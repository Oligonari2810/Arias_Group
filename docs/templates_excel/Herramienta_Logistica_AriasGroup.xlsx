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 Logística" sheetId="1" state="visible" r:id="rId3"/>
    <sheet name="Solicitud Agente Logística" sheetId="2" state="visible" r:id="rId4"/>
  </sheets>
  <definedNames>
    <definedName function="false" hidden="false" localSheetId="0" name="_xlnm.Print_Area" vbProcedure="false">'Calculadora Logística'!$A$1:$H$85</definedName>
    <definedName function="false" hidden="false" localSheetId="1" name="_xlnm.Print_Area" vbProcedure="false">'Solicitud Agente Logística'!$A$1:$H$60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<sst xmlns="http://schemas.openxmlformats.org/spreadsheetml/2006/main" count="107" uniqueCount="94">
  <si>
    <t xml:space="preserve">ARIAS GROUP CARIBE</t>
  </si>
  <si>
    <t xml:space="preserve">CALCULADORA DE LOGÍSTICA</t>
  </si>
  <si>
    <t xml:space="preserve">Uso interno — antes de enviar oferta al cliente</t>
  </si>
  <si>
    <t xml:space="preserve">1.  DATOS DEL PEDIDO</t>
  </si>
  <si>
    <t xml:space="preserve">Producto</t>
  </si>
  <si>
    <t xml:space="preserve">Ref. Fassa</t>
  </si>
  <si>
    <t xml:space="preserve">Ud.</t>
  </si>
  <si>
    <t xml:space="preserve">Cantidad</t>
  </si>
  <si>
    <t xml:space="preserve">Placas/palé</t>
  </si>
  <si>
    <t xml:space="preserve">Palés</t>
  </si>
  <si>
    <t xml:space="preserve">TOTAL PALÉS</t>
  </si>
  <si>
    <t xml:space="preserve">2.  CÁLCULO DE CONTENEDORES</t>
  </si>
  <si>
    <t xml:space="preserve">Tipo contenedor</t>
  </si>
  <si>
    <t xml:space="preserve">40' Standard</t>
  </si>
  <si>
    <t xml:space="preserve">Palés por contenedor</t>
  </si>
  <si>
    <t xml:space="preserve">← 1 fila × 4 fondo × 3 capas</t>
  </si>
  <si>
    <t xml:space="preserve">Capacidad máx. peso</t>
  </si>
  <si>
    <t xml:space="preserve">26.850 kg</t>
  </si>
  <si>
    <t xml:space="preserve">por contenedor</t>
  </si>
  <si>
    <t xml:space="preserve">CONTENEDORES NECESARIOS</t>
  </si>
  <si>
    <t xml:space="preserve">3.  COSTES LOGÍSTICOS (USD)</t>
  </si>
  <si>
    <t xml:space="preserve">Tarifa ref. Tarancón → Valencia</t>
  </si>
  <si>
    <t xml:space="preserve">USD/contenedor · editable</t>
  </si>
  <si>
    <t xml:space="preserve">Tarifa ref. Valencia → Caucedo</t>
  </si>
  <si>
    <t xml:space="preserve">Flete Tarancón → Valencia</t>
  </si>
  <si>
    <t xml:space="preserve">Flete Valencia → Caucedo</t>
  </si>
  <si>
    <t xml:space="preserve">Seguro marítimo (0,5%)</t>
  </si>
  <si>
    <t xml:space="preserve">"0,5% sobre flete marítimo"</t>
  </si>
  <si>
    <t xml:space="preserve">TOTAL LOGÍSTICA</t>
  </si>
  <si>
    <t xml:space="preserve">4.  VIABILIDAD — ANTES DE ENVIAR AL CLIENTE</t>
  </si>
  <si>
    <t xml:space="preserve">Coste mercancía (€)</t>
  </si>
  <si>
    <t xml:space="preserve">{{COSTE_MERCANCIA_EUR}}</t>
  </si>
  <si>
    <t xml:space="preserve">Introduce el coste Fassa en €</t>
  </si>
  <si>
    <t xml:space="preserve">Tipo de cambio EUR/USD</t>
  </si>
  <si>
    <t xml:space="preserve">Actualiza según mercado</t>
  </si>
  <si>
    <t xml:space="preserve">Margen mínimo objetivo</t>
  </si>
  <si>
    <t xml:space="preserve">20%</t>
  </si>
  <si>
    <t xml:space="preserve">Mínimo aceptable</t>
  </si>
  <si>
    <t xml:space="preserve">PRECIO MÍNIMO AL CLIENTE (CIF)</t>
  </si>
  <si>
    <t xml:space="preserve">USD · con 20% margen mínimo</t>
  </si>
  <si>
    <t xml:space="preserve">⚠  Usa este precio mínimo como base antes de enviar cualquier oferta CIF al cliente. Si el precio de mercado no lo soporta, considera cambiar a EXW.</t>
  </si>
  <si>
    <t xml:space="preserve">Arias Group Caribe SRL  ·  Uso interno  ·  No compartir con cliente</t>
  </si>
  <si>
    <t xml:space="preserve">SOLICITUD DE COTIZACIÓN LOGÍSTICA</t>
  </si>
  <si>
    <t xml:space="preserve">Para agente de carga y aduanas</t>
  </si>
  <si>
    <t xml:space="preserve">DATOS GENERALES</t>
  </si>
  <si>
    <t xml:space="preserve">Solicitante</t>
  </si>
  <si>
    <t xml:space="preserve">Arias Group Caribe SRL</t>
  </si>
  <si>
    <t xml:space="preserve">Fecha solicitud</t>
  </si>
  <si>
    <t xml:space="preserve">{{FECHA}}</t>
  </si>
  <si>
    <t xml:space="preserve">Proyecto</t>
  </si>
  <si>
    <t xml:space="preserve">{{NOMBRE_PROYECTO}}</t>
  </si>
  <si>
    <t xml:space="preserve">Ref. interna</t>
  </si>
  <si>
    <t xml:space="preserve">{{REF}}</t>
  </si>
  <si>
    <t xml:space="preserve">Incoterm solicitado</t>
  </si>
  <si>
    <t xml:space="preserve">CIF Puerto Caucedo, R. Dominicana</t>
  </si>
  <si>
    <t xml:space="preserve">Respuesta requerida</t>
  </si>
  <si>
    <t xml:space="preserve">{{FECHA_RESPUESTA}}</t>
  </si>
  <si>
    <t xml:space="preserve">MERCANCÍA</t>
  </si>
  <si>
    <t xml:space="preserve">Descripción</t>
  </si>
  <si>
    <t xml:space="preserve">Peso bruto (kg)</t>
  </si>
  <si>
    <t xml:space="preserve">DETALLE LOGÍSTICO</t>
  </si>
  <si>
    <t xml:space="preserve">Origen (fábrica)</t>
  </si>
  <si>
    <t xml:space="preserve">C. Londres, 1 — 16400 Tarancón, Cuenca, España</t>
  </si>
  <si>
    <t xml:space="preserve">Puerto embarque</t>
  </si>
  <si>
    <t xml:space="preserve">Valencia, España</t>
  </si>
  <si>
    <t xml:space="preserve">Puerto destino</t>
  </si>
  <si>
    <t xml:space="preserve">Puerto Caucedo, República Dominicana</t>
  </si>
  <si>
    <t xml:space="preserve">Número de contenedores</t>
  </si>
  <si>
    <t xml:space="preserve">{{N_CONTENEDORES}}</t>
  </si>
  <si>
    <t xml:space="preserve">Peso bruto total</t>
  </si>
  <si>
    <t xml:space="preserve">{{PESO_BRUTO_TOTAL}} kg</t>
  </si>
  <si>
    <t xml:space="preserve">Mercancía</t>
  </si>
  <si>
    <t xml:space="preserve">Placas de yeso laminado — HS 6809.11.00 — No peligrosa</t>
  </si>
  <si>
    <t xml:space="preserve">Fecha estimada embarque</t>
  </si>
  <si>
    <t xml:space="preserve">{{FECHA_EMBARQUE}}</t>
  </si>
  <si>
    <t xml:space="preserve">SERVICIOS REQUERIDOS — COTIZAR POR SEPARADO</t>
  </si>
  <si>
    <t xml:space="preserve">Servicio</t>
  </si>
  <si>
    <t xml:space="preserve">Precio ofertado</t>
  </si>
  <si>
    <t xml:space="preserve">Unidad</t>
  </si>
  <si>
    <t xml:space="preserve">Flete terrestre</t>
  </si>
  <si>
    <t xml:space="preserve">Fábrica Tarancón → Puerto Valencia</t>
  </si>
  <si>
    <t xml:space="preserve">USD/contenedor</t>
  </si>
  <si>
    <t xml:space="preserve">Flete marítimo</t>
  </si>
  <si>
    <t xml:space="preserve">Puerto Valencia → Puerto Caucedo</t>
  </si>
  <si>
    <t xml:space="preserve">Seguro marítimo</t>
  </si>
  <si>
    <t xml:space="preserve">Cobertura CIF sobre valor declarado</t>
  </si>
  <si>
    <t xml:space="preserve">USD/envío</t>
  </si>
  <si>
    <t xml:space="preserve">Handling origen</t>
  </si>
  <si>
    <t xml:space="preserve">Carga y estiba en Valencia</t>
  </si>
  <si>
    <t xml:space="preserve">Handling destino</t>
  </si>
  <si>
    <t xml:space="preserve">Descarga en Puerto Caucedo</t>
  </si>
  <si>
    <t xml:space="preserve">Documentación</t>
  </si>
  <si>
    <t xml:space="preserve">BL, certificado origen, DUA exportación</t>
  </si>
  <si>
    <t xml:space="preserve">Arias Group Caribe SRL  ·  Distribución técnica Fassa Bortolo  ·  República Dominicana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</si>
</sst>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C5D5E8"/>
      <name val="Arial"/>
      <family val="0"/>
      <charset val="1"/>
    </font>
    <font>
      <b val="true"/>
      <sz val="9"/>
      <color rgb="FF1A355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C2B3A"/>
      <name val="Arial"/>
      <family val="0"/>
      <charset val="1"/>
    </font>
    <font>
      <sz val="9"/>
      <color rgb="FF5C7A9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5C7A99"/>
      <name val="Arial"/>
      <family val="0"/>
      <charset val="1"/>
    </font>
    <font>
      <b val="true"/>
      <sz val="11"/>
      <color rgb="FF1A3557"/>
      <name val="Arial"/>
      <family val="0"/>
      <charset val="1"/>
    </font>
    <font>
      <i val="true"/>
      <sz val="8"/>
      <color rgb="FF5C7A99"/>
      <name val="Arial"/>
      <family val="0"/>
      <charset val="1"/>
    </font>
    <font>
      <b val="true"/>
      <sz val="22"/>
      <color rgb="FF1A3557"/>
      <name val="Arial"/>
      <family val="0"/>
      <charset val="1"/>
    </font>
    <font>
      <i val="true"/>
      <sz val="9"/>
      <color rgb="FF5C7A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557"/>
      <name val="Arial"/>
      <family val="0"/>
      <charset val="1"/>
    </font>
    <font>
      <b val="true"/>
      <sz val="14"/>
      <color rgb="FF1A3557"/>
      <name val="Arial"/>
      <family val="0"/>
      <charset val="1"/>
    </font>
    <font>
      <i val="true"/>
      <sz val="8"/>
      <color rgb="FFB8860B"/>
      <name val="Arial"/>
      <family val="0"/>
      <charset val="1"/>
    </font>
    <font>
      <sz val="8"/>
      <color rgb="FFC5D5E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1C2B3A"/>
      <name val="Arial"/>
      <family val="0"/>
      <charset val="1"/>
    </font>
    <font>
      <sz val="8"/>
      <color rgb="FF5C7A9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557"/>
        <bgColor rgb="FF1C2B3A"/>
      </patternFill>
    </fill>
    <fill>
      <patternFill patternType="solid">
        <fgColor rgb="FF2563A8"/>
        <bgColor rgb="FF3366FF"/>
      </patternFill>
    </fill>
    <fill>
      <patternFill patternType="solid">
        <fgColor rgb="FFEEF3F9"/>
        <bgColor rgb="FFF5F7FA"/>
      </patternFill>
    </fill>
    <fill>
      <patternFill patternType="solid">
        <fgColor rgb="FFFFFFFF"/>
        <bgColor rgb="FFFFFDE7"/>
      </patternFill>
    </fill>
    <fill>
      <patternFill patternType="solid">
        <fgColor rgb="FFF5F7FA"/>
        <bgColor rgb="FFEEF3F9"/>
      </patternFill>
    </fill>
    <fill>
      <patternFill patternType="solid">
        <fgColor rgb="FFFFFDE7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563A8"/>
      </bottom>
      <diagonal/>
    </border>
    <border diagonalUp="false" diagonalDown="false">
      <left/>
      <right/>
      <top/>
      <bottom style="thin">
        <color rgb="FFC5D5E8"/>
      </bottom>
      <diagonal/>
    </border>
    <border diagonalUp="false" diagonalDown="false">
      <left style="thin">
        <color rgb="FF2563A8"/>
      </left>
      <right style="thin">
        <color rgb="FF2563A8"/>
      </right>
      <top style="thin">
        <color rgb="FF2563A8"/>
      </top>
      <bottom style="thin">
        <color rgb="FF2563A8"/>
      </bottom>
      <diagonal/>
    </border>
    <border diagonalUp="false" diagonalDown="false">
      <left style="thin">
        <color rgb="FF2563A8"/>
      </left>
      <right/>
      <top style="thin">
        <color rgb="FF2563A8"/>
      </top>
      <bottom style="thin">
        <color rgb="FF2563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DE7"/>
      <rgbColor rgb="FFEEF3F9"/>
      <rgbColor rgb="FF660066"/>
      <rgbColor rgb="FFFF8080"/>
      <rgbColor rgb="FF2563A8"/>
      <rgbColor rgb="FFC5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A99"/>
      <rgbColor rgb="FF969696"/>
      <rgbColor rgb="FF1A3557"/>
      <rgbColor rgb="FF339966"/>
      <rgbColor rgb="FF003300"/>
      <rgbColor rgb="FF333300"/>
      <rgbColor rgb="FF993300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2"/>
  </cols>
  <sheetData>
    <row r="1" customFormat="false" ht="6" hidden="false" customHeight="true" outlineLevel="0" collapsed="false"/>
    <row r="2" customFormat="false" ht="18" hidden="false" customHeight="true" outlineLevel="0" collapsed="false">
      <c r="A2" s="2"/>
      <c r="B2" s="3" t="s">
        <v>0</v>
      </c>
      <c r="C2" s="3"/>
      <c r="D2" s="4" t="s">
        <v>1</v>
      </c>
      <c r="E2" s="4"/>
      <c r="F2" s="4"/>
      <c r="G2" s="4"/>
      <c r="H2" s="2"/>
    </row>
    <row r="3" customFormat="false" ht="18" hidden="false" customHeight="true" outlineLevel="0" collapsed="false">
      <c r="A3" s="2"/>
      <c r="B3" s="3"/>
      <c r="C3" s="3"/>
      <c r="D3" s="4"/>
      <c r="E3" s="4"/>
      <c r="F3" s="4"/>
      <c r="G3" s="4"/>
      <c r="H3" s="2"/>
    </row>
    <row r="4" customFormat="false" ht="18" hidden="false" customHeight="true" outlineLevel="0" collapsed="false">
      <c r="A4" s="2"/>
      <c r="B4" s="3"/>
      <c r="C4" s="3"/>
      <c r="D4" s="4"/>
      <c r="E4" s="4"/>
      <c r="F4" s="4"/>
      <c r="G4" s="4"/>
      <c r="H4" s="2"/>
    </row>
    <row r="5" customFormat="false" ht="18" hidden="false" customHeight="true" outlineLevel="0" collapsed="false">
      <c r="A5" s="2"/>
      <c r="B5" s="3"/>
      <c r="C5" s="3"/>
      <c r="D5" s="4"/>
      <c r="E5" s="4"/>
      <c r="F5" s="4"/>
      <c r="G5" s="4"/>
      <c r="H5" s="2"/>
    </row>
    <row r="6" customFormat="false" ht="18" hidden="false" customHeight="true" outlineLevel="0" collapsed="false">
      <c r="A6" s="2"/>
      <c r="B6" s="3"/>
      <c r="C6" s="3"/>
      <c r="D6" s="5" t="s">
        <v>2</v>
      </c>
      <c r="E6" s="5"/>
      <c r="F6" s="5"/>
      <c r="G6" s="5"/>
      <c r="H6" s="2"/>
    </row>
    <row r="7" customFormat="false" ht="18" hidden="false" customHeight="true" outlineLevel="0" collapsed="false">
      <c r="A7" s="2"/>
      <c r="B7" s="3"/>
      <c r="C7" s="3"/>
      <c r="D7" s="5"/>
      <c r="E7" s="5"/>
      <c r="F7" s="5"/>
      <c r="G7" s="5"/>
      <c r="H7" s="2"/>
    </row>
    <row r="8" customFormat="false" ht="18" hidden="false" customHeight="true" outlineLevel="0" collapsed="false">
      <c r="A8" s="2"/>
      <c r="B8" s="3"/>
      <c r="C8" s="3"/>
      <c r="D8" s="5"/>
      <c r="E8" s="5"/>
      <c r="F8" s="5"/>
      <c r="G8" s="5"/>
      <c r="H8" s="2"/>
    </row>
    <row r="9" customFormat="false" ht="3.75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7.5" hidden="false" customHeight="true" outlineLevel="0" collapsed="false"/>
    <row r="11" customFormat="false" ht="21.75" hidden="false" customHeight="true" outlineLevel="0" collapsed="false">
      <c r="B11" s="7" t="s">
        <v>3</v>
      </c>
      <c r="C11" s="7"/>
      <c r="D11" s="7"/>
      <c r="E11" s="7"/>
      <c r="F11" s="7"/>
      <c r="G11" s="7"/>
    </row>
    <row r="12" customFormat="false" ht="19.5" hidden="false" customHeight="true" outlineLevel="0" collapsed="false">
      <c r="B12" s="8" t="s">
        <v>4</v>
      </c>
      <c r="C12" s="8" t="s">
        <v>5</v>
      </c>
      <c r="D12" s="8" t="s">
        <v>6</v>
      </c>
      <c r="E12" s="8" t="s">
        <v>7</v>
      </c>
      <c r="F12" s="8" t="s">
        <v>8</v>
      </c>
      <c r="G12" s="8" t="s">
        <v>9</v>
      </c>
    </row>
    <row r="13" customFormat="false" ht="21.75" hidden="false" customHeight="true" outlineLevel="0" collapsed="false">
      <c r="B13" s="9"/>
      <c r="C13" s="10"/>
      <c r="D13" s="10"/>
      <c r="E13" s="10"/>
      <c r="F13" s="11" t="n">
        <v>48</v>
      </c>
      <c r="G13" s="10" t="str">
        <f aca="false">IF(E13="","",CEILING(E13/F13,1))</f>
        <v/>
      </c>
    </row>
    <row r="14" customFormat="false" ht="21.75" hidden="false" customHeight="true" outlineLevel="0" collapsed="false">
      <c r="B14" s="12"/>
      <c r="C14" s="13"/>
      <c r="D14" s="13"/>
      <c r="E14" s="13"/>
      <c r="F14" s="14" t="n">
        <v>48</v>
      </c>
      <c r="G14" s="13" t="str">
        <f aca="false">IF(E14="","",CEILING(E14/F14,1))</f>
        <v/>
      </c>
    </row>
    <row r="15" customFormat="false" ht="21.75" hidden="false" customHeight="true" outlineLevel="0" collapsed="false">
      <c r="B15" s="9"/>
      <c r="C15" s="10"/>
      <c r="D15" s="10"/>
      <c r="E15" s="10"/>
      <c r="F15" s="11" t="n">
        <v>48</v>
      </c>
      <c r="G15" s="10" t="str">
        <f aca="false">IF(E15="","",CEILING(E15/F15,1))</f>
        <v/>
      </c>
    </row>
    <row r="16" customFormat="false" ht="21.75" hidden="false" customHeight="true" outlineLevel="0" collapsed="false">
      <c r="B16" s="12"/>
      <c r="C16" s="13"/>
      <c r="D16" s="13"/>
      <c r="E16" s="13"/>
      <c r="F16" s="14" t="n">
        <v>48</v>
      </c>
      <c r="G16" s="13" t="str">
        <f aca="false">IF(E16="","",CEILING(E16/F16,1))</f>
        <v/>
      </c>
    </row>
    <row r="17" customFormat="false" ht="21.75" hidden="false" customHeight="true" outlineLevel="0" collapsed="false">
      <c r="B17" s="9"/>
      <c r="C17" s="10"/>
      <c r="D17" s="10"/>
      <c r="E17" s="10"/>
      <c r="F17" s="11" t="n">
        <v>48</v>
      </c>
      <c r="G17" s="10" t="str">
        <f aca="false">IF(E17="","",CEILING(E17/F17,1))</f>
        <v/>
      </c>
    </row>
    <row r="18" customFormat="false" ht="21.75" hidden="false" customHeight="true" outlineLevel="0" collapsed="false">
      <c r="B18" s="12"/>
      <c r="C18" s="13"/>
      <c r="D18" s="13"/>
      <c r="E18" s="13"/>
      <c r="F18" s="14" t="n">
        <v>48</v>
      </c>
      <c r="G18" s="13" t="str">
        <f aca="false">IF(E18="","",CEILING(E18/F18,1))</f>
        <v/>
      </c>
    </row>
    <row r="19" customFormat="false" ht="21.75" hidden="false" customHeight="true" outlineLevel="0" collapsed="false">
      <c r="B19" s="15" t="s">
        <v>10</v>
      </c>
      <c r="C19" s="15"/>
      <c r="D19" s="15"/>
      <c r="E19" s="15"/>
      <c r="F19" s="15"/>
      <c r="G19" s="16" t="n">
        <f aca="false">SUM(G13:G18)</f>
        <v>0</v>
      </c>
    </row>
    <row r="20" customFormat="false" ht="9.75" hidden="false" customHeight="true" outlineLevel="0" collapsed="false"/>
    <row r="21" customFormat="false" ht="21.75" hidden="false" customHeight="true" outlineLevel="0" collapsed="false">
      <c r="B21" s="7" t="s">
        <v>11</v>
      </c>
      <c r="C21" s="7"/>
      <c r="D21" s="7"/>
      <c r="E21" s="7"/>
      <c r="F21" s="7"/>
      <c r="G21" s="7"/>
    </row>
    <row r="22" customFormat="false" ht="21.75" hidden="false" customHeight="true" outlineLevel="0" collapsed="false">
      <c r="B22" s="17" t="s">
        <v>12</v>
      </c>
      <c r="C22" s="18" t="s">
        <v>13</v>
      </c>
      <c r="D22" s="19"/>
      <c r="E22" s="19"/>
      <c r="F22" s="19"/>
      <c r="G22" s="19"/>
    </row>
    <row r="23" customFormat="false" ht="21.75" hidden="false" customHeight="true" outlineLevel="0" collapsed="false">
      <c r="B23" s="17" t="s">
        <v>14</v>
      </c>
      <c r="C23" s="18" t="n">
        <v>12</v>
      </c>
      <c r="D23" s="19" t="s">
        <v>15</v>
      </c>
      <c r="E23" s="19"/>
      <c r="F23" s="19"/>
      <c r="G23" s="19"/>
    </row>
    <row r="24" customFormat="false" ht="21.75" hidden="false" customHeight="true" outlineLevel="0" collapsed="false">
      <c r="B24" s="17" t="s">
        <v>16</v>
      </c>
      <c r="C24" s="18" t="s">
        <v>17</v>
      </c>
      <c r="D24" s="19" t="s">
        <v>18</v>
      </c>
      <c r="E24" s="19"/>
      <c r="F24" s="19"/>
      <c r="G24" s="19"/>
    </row>
    <row r="25" customFormat="false" ht="31.5" hidden="false" customHeight="true" outlineLevel="0" collapsed="false">
      <c r="B25" s="20" t="s">
        <v>19</v>
      </c>
      <c r="C25" s="20"/>
      <c r="D25" s="21" t="n">
        <f aca="false">CEILING(G19/12,1)</f>
        <v>0</v>
      </c>
      <c r="E25" s="22" t="str">
        <f aca="false">IF(G19="","",G19&amp;" palés ÷ 12 = "&amp;TEXT(CEILING(G19/12,1),"0")&amp;" contenedores")</f>
        <v>0 palés ÷ 12 = 0 contenedores</v>
      </c>
      <c r="F25" s="22"/>
      <c r="G25" s="22"/>
    </row>
    <row r="26" customFormat="false" ht="9.75" hidden="false" customHeight="true" outlineLevel="0" collapsed="false"/>
    <row r="27" customFormat="false" ht="21.75" hidden="false" customHeight="true" outlineLevel="0" collapsed="false">
      <c r="B27" s="7" t="s">
        <v>20</v>
      </c>
      <c r="C27" s="7"/>
      <c r="D27" s="7"/>
      <c r="E27" s="7"/>
      <c r="F27" s="7"/>
      <c r="G27" s="7"/>
    </row>
    <row r="28" customFormat="false" ht="24" hidden="false" customHeight="true" outlineLevel="0" collapsed="false">
      <c r="B28" s="23" t="s">
        <v>21</v>
      </c>
      <c r="C28" s="24" t="n">
        <v>1990</v>
      </c>
      <c r="D28" s="25" t="s">
        <v>22</v>
      </c>
      <c r="E28" s="25"/>
      <c r="F28" s="25"/>
      <c r="G28" s="25"/>
    </row>
    <row r="29" customFormat="false" ht="24" hidden="false" customHeight="true" outlineLevel="0" collapsed="false">
      <c r="B29" s="23" t="s">
        <v>23</v>
      </c>
      <c r="C29" s="24" t="n">
        <v>4150</v>
      </c>
      <c r="D29" s="25" t="s">
        <v>22</v>
      </c>
      <c r="E29" s="25"/>
      <c r="F29" s="25"/>
      <c r="G29" s="25"/>
    </row>
    <row r="30" customFormat="false" ht="21.75" hidden="false" customHeight="true" outlineLevel="0" collapsed="false">
      <c r="B30" s="26" t="s">
        <v>24</v>
      </c>
      <c r="C30" s="19" t="str">
        <f aca="false">D25&amp;" cont. × "&amp;TEXT(C28,"#,##0")&amp;" USD"</f>
        <v>0 cont. × 1,990 USD</v>
      </c>
      <c r="D30" s="19"/>
      <c r="E30" s="19"/>
      <c r="F30" s="19"/>
      <c r="G30" s="10" t="n">
        <f aca="false">C28*D25</f>
        <v>0</v>
      </c>
    </row>
    <row r="31" customFormat="false" ht="21.75" hidden="false" customHeight="true" outlineLevel="0" collapsed="false">
      <c r="B31" s="27" t="s">
        <v>25</v>
      </c>
      <c r="C31" s="25" t="str">
        <f aca="false">D25&amp;" cont. × "&amp;TEXT(C29,"#,##0")&amp;" USD"</f>
        <v>0 cont. × 4,150 USD</v>
      </c>
      <c r="D31" s="25"/>
      <c r="E31" s="25"/>
      <c r="F31" s="25"/>
      <c r="G31" s="13" t="n">
        <f aca="false">C29*D25</f>
        <v>0</v>
      </c>
    </row>
    <row r="32" customFormat="false" ht="21.75" hidden="false" customHeight="true" outlineLevel="0" collapsed="false">
      <c r="B32" s="26" t="s">
        <v>26</v>
      </c>
      <c r="C32" s="19" t="s">
        <v>27</v>
      </c>
      <c r="D32" s="19"/>
      <c r="E32" s="19"/>
      <c r="F32" s="19"/>
      <c r="G32" s="10" t="n">
        <f aca="false">(D25*C29)*0.005</f>
        <v>0</v>
      </c>
    </row>
    <row r="33" customFormat="false" ht="25.5" hidden="false" customHeight="true" outlineLevel="0" collapsed="false">
      <c r="B33" s="28" t="s">
        <v>28</v>
      </c>
      <c r="C33" s="28"/>
      <c r="D33" s="28"/>
      <c r="E33" s="28"/>
      <c r="F33" s="28"/>
      <c r="G33" s="29" t="n">
        <f aca="false">SUM(G30:G32)</f>
        <v>0</v>
      </c>
    </row>
    <row r="34" customFormat="false" ht="9.75" hidden="false" customHeight="true" outlineLevel="0" collapsed="false"/>
    <row r="35" customFormat="false" ht="21.75" hidden="false" customHeight="true" outlineLevel="0" collapsed="false">
      <c r="B35" s="7" t="s">
        <v>29</v>
      </c>
      <c r="C35" s="7"/>
      <c r="D35" s="7"/>
      <c r="E35" s="7"/>
      <c r="F35" s="7"/>
      <c r="G35" s="7"/>
    </row>
    <row r="36" customFormat="false" ht="24" hidden="false" customHeight="true" outlineLevel="0" collapsed="false">
      <c r="B36" s="17" t="s">
        <v>30</v>
      </c>
      <c r="C36" s="30" t="s">
        <v>31</v>
      </c>
      <c r="D36" s="19" t="s">
        <v>32</v>
      </c>
      <c r="E36" s="19"/>
      <c r="F36" s="19"/>
      <c r="G36" s="19"/>
    </row>
    <row r="37" customFormat="false" ht="24" hidden="false" customHeight="true" outlineLevel="0" collapsed="false">
      <c r="B37" s="17" t="s">
        <v>33</v>
      </c>
      <c r="C37" s="30" t="n">
        <v>1.09</v>
      </c>
      <c r="D37" s="19" t="s">
        <v>34</v>
      </c>
      <c r="E37" s="19"/>
      <c r="F37" s="19"/>
      <c r="G37" s="19"/>
    </row>
    <row r="38" customFormat="false" ht="24" hidden="false" customHeight="true" outlineLevel="0" collapsed="false">
      <c r="B38" s="17" t="s">
        <v>35</v>
      </c>
      <c r="C38" s="30" t="s">
        <v>36</v>
      </c>
      <c r="D38" s="19" t="s">
        <v>37</v>
      </c>
      <c r="E38" s="19"/>
      <c r="F38" s="19"/>
      <c r="G38" s="19"/>
    </row>
    <row r="39" customFormat="false" ht="27.75" hidden="false" customHeight="true" outlineLevel="0" collapsed="false">
      <c r="B39" s="20" t="s">
        <v>38</v>
      </c>
      <c r="C39" s="20"/>
      <c r="D39" s="31" t="str">
        <f aca="false">IF(OR(C36="",C36="{{COSTE_MERCANCIA_EUR}}"),"Introduce coste mercancía →",ROUND((C36*C37+G33)/0.8,2))</f>
        <v>Introduce coste mercancía →</v>
      </c>
      <c r="E39" s="31"/>
      <c r="F39" s="32" t="s">
        <v>39</v>
      </c>
      <c r="G39" s="32"/>
    </row>
    <row r="40" customFormat="false" ht="9.75" hidden="false" customHeight="true" outlineLevel="0" collapsed="false"/>
    <row r="41" customFormat="false" ht="24" hidden="false" customHeight="true" outlineLevel="0" collapsed="false">
      <c r="B41" s="33" t="s">
        <v>40</v>
      </c>
      <c r="C41" s="33"/>
      <c r="D41" s="33"/>
      <c r="E41" s="33"/>
      <c r="F41" s="33"/>
      <c r="G41" s="33"/>
    </row>
    <row r="42" customFormat="false" ht="9.75" hidden="false" customHeight="true" outlineLevel="0" collapsed="false"/>
    <row r="43" customFormat="false" ht="3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8" hidden="false" customHeight="true" outlineLevel="0" collapsed="false">
      <c r="B44" s="34" t="s">
        <v>41</v>
      </c>
      <c r="C44" s="34"/>
      <c r="D44" s="34"/>
      <c r="E44" s="34"/>
      <c r="F44" s="34"/>
      <c r="G44" s="34"/>
    </row>
  </sheetData>
  <mergeCells count="27">
    <mergeCell ref="B2:C8"/>
    <mergeCell ref="D2:G5"/>
    <mergeCell ref="D6:G8"/>
    <mergeCell ref="B11:G11"/>
    <mergeCell ref="B19:F19"/>
    <mergeCell ref="B21:G21"/>
    <mergeCell ref="D22:G22"/>
    <mergeCell ref="D23:G23"/>
    <mergeCell ref="D24:G24"/>
    <mergeCell ref="B25:C25"/>
    <mergeCell ref="E25:G25"/>
    <mergeCell ref="B27:G27"/>
    <mergeCell ref="D28:G28"/>
    <mergeCell ref="D29:G29"/>
    <mergeCell ref="C30:F30"/>
    <mergeCell ref="C31:F31"/>
    <mergeCell ref="C32:F32"/>
    <mergeCell ref="B33:F33"/>
    <mergeCell ref="B35:G35"/>
    <mergeCell ref="D36:G36"/>
    <mergeCell ref="D37:G37"/>
    <mergeCell ref="D38:G38"/>
    <mergeCell ref="B39:C39"/>
    <mergeCell ref="D39:E39"/>
    <mergeCell ref="F39:G39"/>
    <mergeCell ref="B41:G41"/>
    <mergeCell ref="B44:G44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22"/>
    <col collapsed="false" customWidth="true" hidden="false" outlineLevel="0" max="4" min="4" style="1" width="10"/>
    <col collapsed="false" customWidth="true" hidden="false" outlineLevel="0" max="7" min="5" style="1" width="12"/>
    <col collapsed="false" customWidth="true" hidden="false" outlineLevel="0" max="8" min="8" style="1" width="2"/>
  </cols>
  <sheetData>
    <row r="1" customFormat="false" ht="6" hidden="false" customHeight="true" outlineLevel="0" collapsed="false"/>
    <row r="2" customFormat="false" ht="18" hidden="false" customHeight="true" outlineLevel="0" collapsed="false">
      <c r="A2" s="2"/>
      <c r="B2" s="3" t="s">
        <v>0</v>
      </c>
      <c r="C2" s="3"/>
      <c r="D2" s="35" t="s">
        <v>42</v>
      </c>
      <c r="E2" s="35"/>
      <c r="F2" s="35"/>
      <c r="G2" s="35"/>
      <c r="H2" s="2"/>
    </row>
    <row r="3" customFormat="false" ht="18" hidden="false" customHeight="true" outlineLevel="0" collapsed="false">
      <c r="A3" s="2"/>
      <c r="B3" s="3"/>
      <c r="C3" s="3"/>
      <c r="D3" s="35"/>
      <c r="E3" s="35"/>
      <c r="F3" s="35"/>
      <c r="G3" s="35"/>
      <c r="H3" s="2"/>
    </row>
    <row r="4" customFormat="false" ht="18" hidden="false" customHeight="true" outlineLevel="0" collapsed="false">
      <c r="A4" s="2"/>
      <c r="B4" s="3"/>
      <c r="C4" s="3"/>
      <c r="D4" s="35"/>
      <c r="E4" s="35"/>
      <c r="F4" s="35"/>
      <c r="G4" s="35"/>
      <c r="H4" s="2"/>
    </row>
    <row r="5" customFormat="false" ht="18" hidden="false" customHeight="true" outlineLevel="0" collapsed="false">
      <c r="A5" s="2"/>
      <c r="B5" s="3"/>
      <c r="C5" s="3"/>
      <c r="D5" s="35"/>
      <c r="E5" s="35"/>
      <c r="F5" s="35"/>
      <c r="G5" s="35"/>
      <c r="H5" s="2"/>
    </row>
    <row r="6" customFormat="false" ht="18" hidden="false" customHeight="true" outlineLevel="0" collapsed="false">
      <c r="A6" s="2"/>
      <c r="B6" s="3"/>
      <c r="C6" s="3"/>
      <c r="D6" s="5" t="s">
        <v>43</v>
      </c>
      <c r="E6" s="5"/>
      <c r="F6" s="5"/>
      <c r="G6" s="5"/>
      <c r="H6" s="2"/>
    </row>
    <row r="7" customFormat="false" ht="18" hidden="false" customHeight="true" outlineLevel="0" collapsed="false">
      <c r="A7" s="2"/>
      <c r="B7" s="3"/>
      <c r="C7" s="3"/>
      <c r="D7" s="5"/>
      <c r="E7" s="5"/>
      <c r="F7" s="5"/>
      <c r="G7" s="5"/>
      <c r="H7" s="2"/>
    </row>
    <row r="8" customFormat="false" ht="18" hidden="false" customHeight="true" outlineLevel="0" collapsed="false">
      <c r="A8" s="2"/>
      <c r="B8" s="3"/>
      <c r="C8" s="3"/>
      <c r="D8" s="5"/>
      <c r="E8" s="5"/>
      <c r="F8" s="5"/>
      <c r="G8" s="5"/>
      <c r="H8" s="2"/>
    </row>
    <row r="9" customFormat="false" ht="3.75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7.5" hidden="false" customHeight="true" outlineLevel="0" collapsed="false"/>
    <row r="11" customFormat="false" ht="21.75" hidden="false" customHeight="true" outlineLevel="0" collapsed="false">
      <c r="B11" s="7" t="s">
        <v>44</v>
      </c>
      <c r="C11" s="7"/>
      <c r="D11" s="7"/>
      <c r="E11" s="7"/>
      <c r="F11" s="7"/>
      <c r="G11" s="7"/>
    </row>
    <row r="12" customFormat="false" ht="25.5" hidden="false" customHeight="true" outlineLevel="0" collapsed="false">
      <c r="B12" s="17" t="s">
        <v>45</v>
      </c>
      <c r="C12" s="9" t="s">
        <v>46</v>
      </c>
      <c r="D12" s="36"/>
      <c r="E12" s="17" t="s">
        <v>47</v>
      </c>
      <c r="F12" s="26" t="s">
        <v>48</v>
      </c>
      <c r="G12" s="26"/>
    </row>
    <row r="13" customFormat="false" ht="25.5" hidden="false" customHeight="true" outlineLevel="0" collapsed="false">
      <c r="B13" s="17" t="s">
        <v>49</v>
      </c>
      <c r="C13" s="9" t="s">
        <v>50</v>
      </c>
      <c r="D13" s="36"/>
      <c r="E13" s="17" t="s">
        <v>51</v>
      </c>
      <c r="F13" s="26" t="s">
        <v>52</v>
      </c>
      <c r="G13" s="26"/>
    </row>
    <row r="14" customFormat="false" ht="25.5" hidden="false" customHeight="true" outlineLevel="0" collapsed="false">
      <c r="B14" s="17" t="s">
        <v>53</v>
      </c>
      <c r="C14" s="9" t="s">
        <v>54</v>
      </c>
      <c r="D14" s="36"/>
      <c r="E14" s="17" t="s">
        <v>55</v>
      </c>
      <c r="F14" s="26" t="s">
        <v>56</v>
      </c>
      <c r="G14" s="26"/>
    </row>
    <row r="15" customFormat="false" ht="9.75" hidden="false" customHeight="true" outlineLevel="0" collapsed="false"/>
    <row r="16" customFormat="false" ht="21.75" hidden="false" customHeight="true" outlineLevel="0" collapsed="false">
      <c r="B16" s="7" t="s">
        <v>57</v>
      </c>
      <c r="C16" s="7"/>
      <c r="D16" s="7"/>
      <c r="E16" s="7"/>
      <c r="F16" s="7"/>
      <c r="G16" s="7"/>
    </row>
    <row r="17" customFormat="false" ht="19.5" hidden="false" customHeight="true" outlineLevel="0" collapsed="false">
      <c r="B17" s="8" t="s">
        <v>58</v>
      </c>
      <c r="C17" s="8" t="s">
        <v>5</v>
      </c>
      <c r="D17" s="8" t="s">
        <v>6</v>
      </c>
      <c r="E17" s="8" t="s">
        <v>7</v>
      </c>
      <c r="F17" s="8" t="s">
        <v>9</v>
      </c>
      <c r="G17" s="8" t="s">
        <v>59</v>
      </c>
    </row>
    <row r="18" customFormat="false" ht="21.75" hidden="false" customHeight="true" outlineLevel="0" collapsed="false">
      <c r="B18" s="9"/>
      <c r="C18" s="10"/>
      <c r="D18" s="10"/>
      <c r="E18" s="10"/>
      <c r="F18" s="10"/>
      <c r="G18" s="10"/>
    </row>
    <row r="19" customFormat="false" ht="21.75" hidden="false" customHeight="true" outlineLevel="0" collapsed="false">
      <c r="B19" s="12"/>
      <c r="C19" s="13"/>
      <c r="D19" s="13"/>
      <c r="E19" s="13"/>
      <c r="F19" s="13"/>
      <c r="G19" s="13"/>
    </row>
    <row r="20" customFormat="false" ht="21.75" hidden="false" customHeight="true" outlineLevel="0" collapsed="false">
      <c r="B20" s="9"/>
      <c r="C20" s="10"/>
      <c r="D20" s="10"/>
      <c r="E20" s="10"/>
      <c r="F20" s="10"/>
      <c r="G20" s="10"/>
    </row>
    <row r="21" customFormat="false" ht="21.75" hidden="false" customHeight="true" outlineLevel="0" collapsed="false">
      <c r="B21" s="12"/>
      <c r="C21" s="13"/>
      <c r="D21" s="13"/>
      <c r="E21" s="13"/>
      <c r="F21" s="13"/>
      <c r="G21" s="13"/>
    </row>
    <row r="22" customFormat="false" ht="9.75" hidden="false" customHeight="true" outlineLevel="0" collapsed="false"/>
    <row r="23" customFormat="false" ht="21.75" hidden="false" customHeight="true" outlineLevel="0" collapsed="false">
      <c r="B23" s="7" t="s">
        <v>60</v>
      </c>
      <c r="C23" s="7"/>
      <c r="D23" s="7"/>
      <c r="E23" s="7"/>
      <c r="F23" s="7"/>
      <c r="G23" s="7"/>
    </row>
    <row r="24" customFormat="false" ht="21.75" hidden="false" customHeight="true" outlineLevel="0" collapsed="false">
      <c r="B24" s="17" t="s">
        <v>61</v>
      </c>
      <c r="C24" s="26" t="s">
        <v>62</v>
      </c>
      <c r="D24" s="26"/>
      <c r="E24" s="26"/>
      <c r="F24" s="26"/>
      <c r="G24" s="26"/>
    </row>
    <row r="25" customFormat="false" ht="21.75" hidden="false" customHeight="true" outlineLevel="0" collapsed="false">
      <c r="B25" s="23" t="s">
        <v>63</v>
      </c>
      <c r="C25" s="27" t="s">
        <v>64</v>
      </c>
      <c r="D25" s="27"/>
      <c r="E25" s="27"/>
      <c r="F25" s="27"/>
      <c r="G25" s="27"/>
    </row>
    <row r="26" customFormat="false" ht="21.75" hidden="false" customHeight="true" outlineLevel="0" collapsed="false">
      <c r="B26" s="17" t="s">
        <v>65</v>
      </c>
      <c r="C26" s="26" t="s">
        <v>66</v>
      </c>
      <c r="D26" s="26"/>
      <c r="E26" s="26"/>
      <c r="F26" s="26"/>
      <c r="G26" s="26"/>
    </row>
    <row r="27" customFormat="false" ht="21.75" hidden="false" customHeight="true" outlineLevel="0" collapsed="false">
      <c r="B27" s="23" t="s">
        <v>12</v>
      </c>
      <c r="C27" s="27" t="s">
        <v>13</v>
      </c>
      <c r="D27" s="27"/>
      <c r="E27" s="27"/>
      <c r="F27" s="27"/>
      <c r="G27" s="27"/>
    </row>
    <row r="28" customFormat="false" ht="21.75" hidden="false" customHeight="true" outlineLevel="0" collapsed="false">
      <c r="B28" s="17" t="s">
        <v>67</v>
      </c>
      <c r="C28" s="26" t="s">
        <v>68</v>
      </c>
      <c r="D28" s="26"/>
      <c r="E28" s="26"/>
      <c r="F28" s="26"/>
      <c r="G28" s="26"/>
    </row>
    <row r="29" customFormat="false" ht="21.75" hidden="false" customHeight="true" outlineLevel="0" collapsed="false">
      <c r="B29" s="23" t="s">
        <v>69</v>
      </c>
      <c r="C29" s="27" t="s">
        <v>70</v>
      </c>
      <c r="D29" s="27"/>
      <c r="E29" s="27"/>
      <c r="F29" s="27"/>
      <c r="G29" s="27"/>
    </row>
    <row r="30" customFormat="false" ht="21.75" hidden="false" customHeight="true" outlineLevel="0" collapsed="false">
      <c r="B30" s="17" t="s">
        <v>71</v>
      </c>
      <c r="C30" s="26" t="s">
        <v>72</v>
      </c>
      <c r="D30" s="26"/>
      <c r="E30" s="26"/>
      <c r="F30" s="26"/>
      <c r="G30" s="26"/>
    </row>
    <row r="31" customFormat="false" ht="21.75" hidden="false" customHeight="true" outlineLevel="0" collapsed="false">
      <c r="B31" s="23" t="s">
        <v>73</v>
      </c>
      <c r="C31" s="27" t="s">
        <v>74</v>
      </c>
      <c r="D31" s="27"/>
      <c r="E31" s="27"/>
      <c r="F31" s="27"/>
      <c r="G31" s="27"/>
    </row>
    <row r="32" customFormat="false" ht="9.75" hidden="false" customHeight="true" outlineLevel="0" collapsed="false"/>
    <row r="33" customFormat="false" ht="21.75" hidden="false" customHeight="true" outlineLevel="0" collapsed="false">
      <c r="B33" s="7" t="s">
        <v>75</v>
      </c>
      <c r="C33" s="7"/>
      <c r="D33" s="7"/>
      <c r="E33" s="7"/>
      <c r="F33" s="7"/>
      <c r="G33" s="7"/>
    </row>
    <row r="34" customFormat="false" ht="19.5" hidden="false" customHeight="true" outlineLevel="0" collapsed="false">
      <c r="B34" s="8" t="s">
        <v>76</v>
      </c>
      <c r="C34" s="8" t="s">
        <v>58</v>
      </c>
      <c r="D34" s="37" t="s">
        <v>77</v>
      </c>
      <c r="E34" s="37"/>
      <c r="F34" s="37"/>
      <c r="G34" s="8" t="s">
        <v>78</v>
      </c>
    </row>
    <row r="35" customFormat="false" ht="21.75" hidden="false" customHeight="true" outlineLevel="0" collapsed="false">
      <c r="B35" s="38" t="s">
        <v>79</v>
      </c>
      <c r="C35" s="39" t="s">
        <v>80</v>
      </c>
      <c r="D35" s="40"/>
      <c r="E35" s="40"/>
      <c r="F35" s="40"/>
      <c r="G35" s="41" t="s">
        <v>81</v>
      </c>
    </row>
    <row r="36" customFormat="false" ht="21.75" hidden="false" customHeight="true" outlineLevel="0" collapsed="false">
      <c r="B36" s="42" t="s">
        <v>82</v>
      </c>
      <c r="C36" s="43" t="s">
        <v>83</v>
      </c>
      <c r="D36" s="40"/>
      <c r="E36" s="40"/>
      <c r="F36" s="40"/>
      <c r="G36" s="44" t="s">
        <v>81</v>
      </c>
    </row>
    <row r="37" customFormat="false" ht="21.75" hidden="false" customHeight="true" outlineLevel="0" collapsed="false">
      <c r="B37" s="38" t="s">
        <v>84</v>
      </c>
      <c r="C37" s="39" t="s">
        <v>85</v>
      </c>
      <c r="D37" s="40"/>
      <c r="E37" s="40"/>
      <c r="F37" s="40"/>
      <c r="G37" s="41" t="s">
        <v>86</v>
      </c>
    </row>
    <row r="38" customFormat="false" ht="21.75" hidden="false" customHeight="true" outlineLevel="0" collapsed="false">
      <c r="B38" s="42" t="s">
        <v>87</v>
      </c>
      <c r="C38" s="43" t="s">
        <v>88</v>
      </c>
      <c r="D38" s="40"/>
      <c r="E38" s="40"/>
      <c r="F38" s="40"/>
      <c r="G38" s="44" t="s">
        <v>81</v>
      </c>
    </row>
    <row r="39" customFormat="false" ht="21.75" hidden="false" customHeight="true" outlineLevel="0" collapsed="false">
      <c r="B39" s="38" t="s">
        <v>89</v>
      </c>
      <c r="C39" s="39" t="s">
        <v>90</v>
      </c>
      <c r="D39" s="40"/>
      <c r="E39" s="40"/>
      <c r="F39" s="40"/>
      <c r="G39" s="41" t="s">
        <v>81</v>
      </c>
    </row>
    <row r="40" customFormat="false" ht="21.75" hidden="false" customHeight="true" outlineLevel="0" collapsed="false">
      <c r="B40" s="42" t="s">
        <v>91</v>
      </c>
      <c r="C40" s="43" t="s">
        <v>92</v>
      </c>
      <c r="D40" s="40"/>
      <c r="E40" s="40"/>
      <c r="F40" s="40"/>
      <c r="G40" s="44" t="s">
        <v>86</v>
      </c>
    </row>
    <row r="41" customFormat="false" ht="9.75" hidden="false" customHeight="true" outlineLevel="0" collapsed="false"/>
    <row r="42" customFormat="false" ht="3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8" hidden="false" customHeight="true" outlineLevel="0" collapsed="false">
      <c r="B43" s="34" t="s">
        <v>93</v>
      </c>
      <c r="C43" s="34"/>
      <c r="D43" s="34"/>
      <c r="E43" s="34"/>
      <c r="F43" s="34"/>
      <c r="G43" s="34"/>
    </row>
  </sheetData>
  <mergeCells count="26">
    <mergeCell ref="B2:C8"/>
    <mergeCell ref="D2:G5"/>
    <mergeCell ref="D6:G8"/>
    <mergeCell ref="B11:G11"/>
    <mergeCell ref="F12:G12"/>
    <mergeCell ref="F13:G13"/>
    <mergeCell ref="F14:G14"/>
    <mergeCell ref="B16:G16"/>
    <mergeCell ref="B23:G23"/>
    <mergeCell ref="C24:G24"/>
    <mergeCell ref="C25:G25"/>
    <mergeCell ref="C26:G26"/>
    <mergeCell ref="C27:G27"/>
    <mergeCell ref="C28:G28"/>
    <mergeCell ref="C29:G29"/>
    <mergeCell ref="C30:G30"/>
    <mergeCell ref="C31:G31"/>
    <mergeCell ref="B33:G33"/>
    <mergeCell ref="D34:F34"/>
    <mergeCell ref="D35:F35"/>
    <mergeCell ref="D36:F36"/>
    <mergeCell ref="D37:F37"/>
    <mergeCell ref="D38:F38"/>
    <mergeCell ref="D39:F39"/>
    <mergeCell ref="D40:F40"/>
    <mergeCell ref="B43:G43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2026-04-11T19:03:21Z</dcterms:created>
  <dc:creator>openpyxl</dc:creator>
  <dc:description/>
  <dc:language>en-US</dc:language>
  <cp:lastModifiedBy/>
  <dcterms:modified xsi:type="dcterms:W3CDTF">2026-04-11T19:03:37Z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