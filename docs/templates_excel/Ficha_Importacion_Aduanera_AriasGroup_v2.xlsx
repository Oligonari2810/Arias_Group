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ización Aduanera" sheetId="1" state="visible" r:id="rId3"/>
  </sheets>
  <definedNames>
    <definedName function="false" hidden="false" localSheetId="0" name="_xlnm.Print_Area" vbProcedure="false">'Cotización Aduanera'!$A$1:$H$70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<sst xmlns="http://schemas.openxmlformats.org/spreadsheetml/2006/main" count="100" uniqueCount="90">
  <si>
    <t xml:space="preserve">ARIAS GROUP CARIBE</t>
  </si>
  <si>
    <t xml:space="preserve">FICHA TÉCNICA DE IMPORTACIÓN</t>
  </si>
  <si>
    <t xml:space="preserve">Sistemas Constructivos Fassa Bortolo</t>
  </si>
  <si>
    <t xml:space="preserve">DATOS GENERALES</t>
  </si>
  <si>
    <t xml:space="preserve">Exportador</t>
  </si>
  <si>
    <t xml:space="preserve">Arias Group Caribe SRL</t>
  </si>
  <si>
    <t xml:space="preserve">Importador</t>
  </si>
  <si>
    <t xml:space="preserve">Incoterm</t>
  </si>
  <si>
    <t xml:space="preserve">CIF Puerto Caucedo, República Dominicana</t>
  </si>
  <si>
    <t xml:space="preserve">Puerto destino</t>
  </si>
  <si>
    <t xml:space="preserve">Puerto Caucedo, República Dominicana</t>
  </si>
  <si>
    <t xml:space="preserve">Puerto salida</t>
  </si>
  <si>
    <t xml:space="preserve">Valencia, España</t>
  </si>
  <si>
    <t xml:space="preserve">Régimen</t>
  </si>
  <si>
    <t xml:space="preserve">Importación con exención CONFOTUR</t>
  </si>
  <si>
    <t xml:space="preserve">Origen</t>
  </si>
  <si>
    <t xml:space="preserve">Tarancón, España</t>
  </si>
  <si>
    <t xml:space="preserve">Endoso</t>
  </si>
  <si>
    <t xml:space="preserve">Cliente CONFOTUR en destino</t>
  </si>
  <si>
    <t xml:space="preserve">PRODUCTO</t>
  </si>
  <si>
    <t xml:space="preserve">Producto</t>
  </si>
  <si>
    <t xml:space="preserve">Placa de yeso laminado</t>
  </si>
  <si>
    <t xml:space="preserve">Norma de referencia</t>
  </si>
  <si>
    <t xml:space="preserve">EN 520</t>
  </si>
  <si>
    <t xml:space="preserve">Clasificación HS</t>
  </si>
  <si>
    <t xml:space="preserve">6809.11.00</t>
  </si>
  <si>
    <t xml:space="preserve">Composición</t>
  </si>
  <si>
    <t xml:space="preserve">Sulfato de Calcio dihidratado (CaSO₄·2H₂O) + aditivos + papel/cartón</t>
  </si>
  <si>
    <t xml:space="preserve">Uso</t>
  </si>
  <si>
    <t xml:space="preserve">Tabiques, trasdosados y techos suspendidos interiores</t>
  </si>
  <si>
    <t xml:space="preserve">Certificaciones</t>
  </si>
  <si>
    <t xml:space="preserve">Marcado CE · Declaración Ambiental EPD (S-P-06425 / S-P-06430) · LEED</t>
  </si>
  <si>
    <t xml:space="preserve">ESPECIFICACIONES TÉCNICAS</t>
  </si>
  <si>
    <t xml:space="preserve">Característica</t>
  </si>
  <si>
    <t xml:space="preserve">GYPSOTECH STD Tipo A — BA 13mm</t>
  </si>
  <si>
    <t xml:space="preserve">GYPSOTECH AQUA EH2 — BA 13mm</t>
  </si>
  <si>
    <t xml:space="preserve">Espesor</t>
  </si>
  <si>
    <t xml:space="preserve">12,5 mm</t>
  </si>
  <si>
    <t xml:space="preserve">Anchura</t>
  </si>
  <si>
    <t xml:space="preserve">1.200 mm</t>
  </si>
  <si>
    <t xml:space="preserve">Longitud</t>
  </si>
  <si>
    <t xml:space="preserve">2.500 mm</t>
  </si>
  <si>
    <t xml:space="preserve">Peso específico</t>
  </si>
  <si>
    <t xml:space="preserve">8,7 kg/m²</t>
  </si>
  <si>
    <t xml:space="preserve">Peso por placa</t>
  </si>
  <si>
    <t xml:space="preserve">26,1 kg</t>
  </si>
  <si>
    <t xml:space="preserve">Absorción agua total</t>
  </si>
  <si>
    <t xml:space="preserve">—</t>
  </si>
  <si>
    <t xml:space="preserve">&lt; 10%</t>
  </si>
  <si>
    <t xml:space="preserve">Absorción superficial</t>
  </si>
  <si>
    <t xml:space="preserve">≤ 220 g/m²</t>
  </si>
  <si>
    <t xml:space="preserve">Reacción al fuego</t>
  </si>
  <si>
    <t xml:space="preserve">A2-s1,d0</t>
  </si>
  <si>
    <t xml:space="preserve">Color cara vista</t>
  </si>
  <si>
    <t xml:space="preserve">Marfil</t>
  </si>
  <si>
    <t xml:space="preserve">Verde</t>
  </si>
  <si>
    <t xml:space="preserve">Borde</t>
  </si>
  <si>
    <t xml:space="preserve">BA (Borde Afinado)</t>
  </si>
  <si>
    <t xml:space="preserve">LOGÍSTICA</t>
  </si>
  <si>
    <t xml:space="preserve">Dimensiones placa</t>
  </si>
  <si>
    <t xml:space="preserve">1.200 × 2.500 mm</t>
  </si>
  <si>
    <t xml:space="preserve">Tipo contenedor</t>
  </si>
  <si>
    <t xml:space="preserve">40' HC</t>
  </si>
  <si>
    <t xml:space="preserve">Unidades por palé</t>
  </si>
  <si>
    <t xml:space="preserve">48 ud</t>
  </si>
  <si>
    <t xml:space="preserve">Contenedores</t>
  </si>
  <si>
    <t xml:space="preserve">4 unidades</t>
  </si>
  <si>
    <t xml:space="preserve">Palés totales</t>
  </si>
  <si>
    <t xml:space="preserve">76 palés</t>
  </si>
  <si>
    <t xml:space="preserve">Capacidad útil/cont.</t>
  </si>
  <si>
    <t xml:space="preserve">25.000 kg</t>
  </si>
  <si>
    <t xml:space="preserve">Peso neto total</t>
  </si>
  <si>
    <t xml:space="preserve">95.212 kg</t>
  </si>
  <si>
    <t xml:space="preserve">Peso bruto total</t>
  </si>
  <si>
    <t xml:space="preserve">97.660 kg</t>
  </si>
  <si>
    <t xml:space="preserve">VALOR DE LA MERCANCÍA</t>
  </si>
  <si>
    <t xml:space="preserve">Descripción</t>
  </si>
  <si>
    <t xml:space="preserve">Ref. producto</t>
  </si>
  <si>
    <t xml:space="preserve">Ud</t>
  </si>
  <si>
    <t xml:space="preserve">Cant.</t>
  </si>
  <si>
    <t xml:space="preserve">€/ud</t>
  </si>
  <si>
    <t xml:space="preserve">Subtotal (€)</t>
  </si>
  <si>
    <t xml:space="preserve">GYPSOTECH STD Tipo A — BA 13mm 1200×2500</t>
  </si>
  <si>
    <t xml:space="preserve">00A003250A0</t>
  </si>
  <si>
    <t xml:space="preserve">ud</t>
  </si>
  <si>
    <t xml:space="preserve">GYPSOTECH AQUA EH2 — BA 13mm 1200×2500</t>
  </si>
  <si>
    <t xml:space="preserve">00H003250A0</t>
  </si>
  <si>
    <t xml:space="preserve">TOTAL VALOR MERCANCÍA</t>
  </si>
  <si>
    <t xml:space="preserve">Valor CIF declarado = Valor mercancía + Flete + Seguro  |  Pendiente cotización de flete por agente</t>
  </si>
  <si>
    <t xml:space="preserve">Arias Group Caribe SRL  ·  Distribución técnica Fassa Bortolo  ·  República Dominicana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</si>
</sst>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C5D5E8"/>
      <name val="Arial"/>
      <family val="0"/>
      <charset val="1"/>
    </font>
    <font>
      <b val="true"/>
      <sz val="9"/>
      <color rgb="FF1A3557"/>
      <name val="Arial"/>
      <family val="0"/>
      <charset val="1"/>
    </font>
    <font>
      <b val="true"/>
      <sz val="8"/>
      <color rgb="FF5C7A99"/>
      <name val="Arial"/>
      <family val="0"/>
      <charset val="1"/>
    </font>
    <font>
      <sz val="9"/>
      <color rgb="FF1C2B3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C2B3A"/>
      <name val="Arial"/>
      <family val="0"/>
      <charset val="1"/>
    </font>
    <font>
      <sz val="8"/>
      <color rgb="FF5C7A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C00000"/>
      <name val="Arial"/>
      <family val="0"/>
      <charset val="1"/>
    </font>
    <font>
      <sz val="8"/>
      <color rgb="FFC5D5E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3557"/>
        <bgColor rgb="FF1C2B3A"/>
      </patternFill>
    </fill>
    <fill>
      <patternFill patternType="solid">
        <fgColor rgb="FF2563A8"/>
        <bgColor rgb="FF3366FF"/>
      </patternFill>
    </fill>
    <fill>
      <patternFill patternType="solid">
        <fgColor rgb="FFEEF3F9"/>
        <bgColor rgb="FFF5F7FA"/>
      </patternFill>
    </fill>
    <fill>
      <patternFill patternType="solid">
        <fgColor rgb="FFFFFFFF"/>
        <bgColor rgb="FFF5F7FA"/>
      </patternFill>
    </fill>
    <fill>
      <patternFill patternType="solid">
        <fgColor rgb="FFF5F7FA"/>
        <bgColor rgb="FFEEF3F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563A8"/>
      </bottom>
      <diagonal/>
    </border>
    <border diagonalUp="false" diagonalDown="false">
      <left/>
      <right/>
      <top/>
      <bottom style="thin">
        <color rgb="FFC5D5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EEF3F9"/>
      <rgbColor rgb="FF660066"/>
      <rgbColor rgb="FFFF8080"/>
      <rgbColor rgb="FF2563A8"/>
      <rgbColor rgb="FFC5D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7A99"/>
      <rgbColor rgb="FF969696"/>
      <rgbColor rgb="FF1A3557"/>
      <rgbColor rgb="FF339966"/>
      <rgbColor rgb="FF003300"/>
      <rgbColor rgb="FF333300"/>
      <rgbColor rgb="FF993300"/>
      <rgbColor rgb="FF993366"/>
      <rgbColor rgb="FF333399"/>
      <rgbColor rgb="FF1C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2"/>
  </cols>
  <sheetData>
    <row r="1" customFormat="false" ht="6" hidden="false" customHeight="true" outlineLevel="0" collapsed="false"/>
    <row r="2" customFormat="false" ht="18" hidden="false" customHeight="true" outlineLevel="0" collapsed="false">
      <c r="A2" s="1"/>
      <c r="B2" s="2" t="s">
        <v>0</v>
      </c>
      <c r="C2" s="2"/>
      <c r="D2" s="3" t="s">
        <v>1</v>
      </c>
      <c r="E2" s="3"/>
      <c r="F2" s="3"/>
      <c r="G2" s="3"/>
      <c r="H2" s="1"/>
    </row>
    <row r="3" customFormat="false" ht="18" hidden="false" customHeight="true" outlineLevel="0" collapsed="false">
      <c r="A3" s="1"/>
      <c r="B3" s="2"/>
      <c r="C3" s="2"/>
      <c r="D3" s="3"/>
      <c r="E3" s="3"/>
      <c r="F3" s="3"/>
      <c r="G3" s="3"/>
      <c r="H3" s="1"/>
    </row>
    <row r="4" customFormat="false" ht="18" hidden="false" customHeight="true" outlineLevel="0" collapsed="false">
      <c r="A4" s="1"/>
      <c r="B4" s="2"/>
      <c r="C4" s="2"/>
      <c r="D4" s="3"/>
      <c r="E4" s="3"/>
      <c r="F4" s="3"/>
      <c r="G4" s="3"/>
      <c r="H4" s="1"/>
    </row>
    <row r="5" customFormat="false" ht="18" hidden="false" customHeight="true" outlineLevel="0" collapsed="false">
      <c r="A5" s="1"/>
      <c r="B5" s="2"/>
      <c r="C5" s="2"/>
      <c r="D5" s="3"/>
      <c r="E5" s="3"/>
      <c r="F5" s="3"/>
      <c r="G5" s="3"/>
      <c r="H5" s="1"/>
    </row>
    <row r="6" customFormat="false" ht="18" hidden="false" customHeight="true" outlineLevel="0" collapsed="false">
      <c r="A6" s="1"/>
      <c r="B6" s="2"/>
      <c r="C6" s="2"/>
      <c r="D6" s="4" t="s">
        <v>2</v>
      </c>
      <c r="E6" s="4"/>
      <c r="F6" s="4"/>
      <c r="G6" s="4"/>
      <c r="H6" s="1"/>
    </row>
    <row r="7" customFormat="false" ht="18" hidden="false" customHeight="true" outlineLevel="0" collapsed="false">
      <c r="A7" s="1"/>
      <c r="B7" s="2"/>
      <c r="C7" s="2"/>
      <c r="D7" s="4"/>
      <c r="E7" s="4"/>
      <c r="F7" s="4"/>
      <c r="G7" s="4"/>
      <c r="H7" s="1"/>
    </row>
    <row r="8" customFormat="false" ht="18" hidden="false" customHeight="true" outlineLevel="0" collapsed="false">
      <c r="A8" s="1"/>
      <c r="B8" s="2"/>
      <c r="C8" s="2"/>
      <c r="D8" s="4"/>
      <c r="E8" s="4"/>
      <c r="F8" s="4"/>
      <c r="G8" s="4"/>
      <c r="H8" s="1"/>
    </row>
    <row r="9" customFormat="false" ht="3.75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7.5" hidden="false" customHeight="true" outlineLevel="0" collapsed="false"/>
    <row r="11" customFormat="false" ht="6" hidden="false" customHeight="true" outlineLevel="0" collapsed="false"/>
    <row r="12" customFormat="false" ht="21.75" hidden="false" customHeight="true" outlineLevel="0" collapsed="false">
      <c r="B12" s="6" t="s">
        <v>3</v>
      </c>
      <c r="C12" s="6"/>
      <c r="D12" s="6"/>
      <c r="E12" s="6"/>
      <c r="F12" s="6"/>
      <c r="G12" s="6"/>
    </row>
    <row r="13" customFormat="false" ht="27.75" hidden="false" customHeight="true" outlineLevel="0" collapsed="false">
      <c r="B13" s="7" t="s">
        <v>4</v>
      </c>
      <c r="C13" s="8" t="s">
        <v>5</v>
      </c>
      <c r="D13" s="9"/>
      <c r="E13" s="7" t="s">
        <v>6</v>
      </c>
      <c r="F13" s="8" t="s">
        <v>5</v>
      </c>
      <c r="G13" s="8"/>
    </row>
    <row r="14" customFormat="false" ht="27.75" hidden="false" customHeight="true" outlineLevel="0" collapsed="false">
      <c r="B14" s="7" t="s">
        <v>7</v>
      </c>
      <c r="C14" s="8" t="s">
        <v>8</v>
      </c>
      <c r="D14" s="9"/>
      <c r="E14" s="7" t="s">
        <v>9</v>
      </c>
      <c r="F14" s="8" t="s">
        <v>10</v>
      </c>
      <c r="G14" s="8"/>
    </row>
    <row r="15" customFormat="false" ht="27.75" hidden="false" customHeight="true" outlineLevel="0" collapsed="false">
      <c r="B15" s="7" t="s">
        <v>11</v>
      </c>
      <c r="C15" s="8" t="s">
        <v>12</v>
      </c>
      <c r="D15" s="9"/>
      <c r="E15" s="7" t="s">
        <v>13</v>
      </c>
      <c r="F15" s="8" t="s">
        <v>14</v>
      </c>
      <c r="G15" s="8"/>
    </row>
    <row r="16" customFormat="false" ht="27.75" hidden="false" customHeight="true" outlineLevel="0" collapsed="false">
      <c r="B16" s="7" t="s">
        <v>15</v>
      </c>
      <c r="C16" s="8" t="s">
        <v>16</v>
      </c>
      <c r="D16" s="9"/>
      <c r="E16" s="7" t="s">
        <v>17</v>
      </c>
      <c r="F16" s="8" t="s">
        <v>18</v>
      </c>
      <c r="G16" s="8"/>
    </row>
    <row r="17" customFormat="false" ht="9.75" hidden="false" customHeight="true" outlineLevel="0" collapsed="false"/>
    <row r="18" customFormat="false" ht="21.75" hidden="false" customHeight="true" outlineLevel="0" collapsed="false">
      <c r="B18" s="6" t="s">
        <v>19</v>
      </c>
      <c r="C18" s="6"/>
      <c r="D18" s="6"/>
      <c r="E18" s="6"/>
      <c r="F18" s="6"/>
      <c r="G18" s="6"/>
    </row>
    <row r="19" customFormat="false" ht="21.75" hidden="false" customHeight="true" outlineLevel="0" collapsed="false">
      <c r="B19" s="10" t="s">
        <v>20</v>
      </c>
      <c r="C19" s="11" t="s">
        <v>21</v>
      </c>
      <c r="D19" s="11"/>
      <c r="E19" s="11"/>
      <c r="F19" s="11"/>
      <c r="G19" s="11"/>
    </row>
    <row r="20" customFormat="false" ht="21.75" hidden="false" customHeight="true" outlineLevel="0" collapsed="false">
      <c r="B20" s="10" t="s">
        <v>22</v>
      </c>
      <c r="C20" s="11" t="s">
        <v>23</v>
      </c>
      <c r="D20" s="11"/>
      <c r="E20" s="11"/>
      <c r="F20" s="11"/>
      <c r="G20" s="11"/>
    </row>
    <row r="21" customFormat="false" ht="21.75" hidden="false" customHeight="true" outlineLevel="0" collapsed="false">
      <c r="B21" s="10" t="s">
        <v>24</v>
      </c>
      <c r="C21" s="11" t="s">
        <v>25</v>
      </c>
      <c r="D21" s="11"/>
      <c r="E21" s="11"/>
      <c r="F21" s="11"/>
      <c r="G21" s="11"/>
    </row>
    <row r="22" customFormat="false" ht="21.75" hidden="false" customHeight="true" outlineLevel="0" collapsed="false">
      <c r="B22" s="10" t="s">
        <v>26</v>
      </c>
      <c r="C22" s="11" t="s">
        <v>27</v>
      </c>
      <c r="D22" s="11"/>
      <c r="E22" s="11"/>
      <c r="F22" s="11"/>
      <c r="G22" s="11"/>
    </row>
    <row r="23" customFormat="false" ht="21.75" hidden="false" customHeight="true" outlineLevel="0" collapsed="false">
      <c r="B23" s="10" t="s">
        <v>28</v>
      </c>
      <c r="C23" s="11" t="s">
        <v>29</v>
      </c>
      <c r="D23" s="11"/>
      <c r="E23" s="11"/>
      <c r="F23" s="11"/>
      <c r="G23" s="11"/>
    </row>
    <row r="24" customFormat="false" ht="21.75" hidden="false" customHeight="true" outlineLevel="0" collapsed="false">
      <c r="B24" s="10" t="s">
        <v>30</v>
      </c>
      <c r="C24" s="11" t="s">
        <v>31</v>
      </c>
      <c r="D24" s="11"/>
      <c r="E24" s="11"/>
      <c r="F24" s="11"/>
      <c r="G24" s="11"/>
    </row>
    <row r="25" customFormat="false" ht="9.75" hidden="false" customHeight="true" outlineLevel="0" collapsed="false"/>
    <row r="26" customFormat="false" ht="21.75" hidden="false" customHeight="true" outlineLevel="0" collapsed="false">
      <c r="B26" s="6" t="s">
        <v>32</v>
      </c>
      <c r="C26" s="6"/>
      <c r="D26" s="6"/>
      <c r="E26" s="6"/>
      <c r="F26" s="6"/>
      <c r="G26" s="6"/>
    </row>
    <row r="27" customFormat="false" ht="19.5" hidden="false" customHeight="true" outlineLevel="0" collapsed="false">
      <c r="B27" s="12" t="s">
        <v>33</v>
      </c>
      <c r="C27" s="13" t="s">
        <v>34</v>
      </c>
      <c r="D27" s="13"/>
      <c r="E27" s="13" t="s">
        <v>35</v>
      </c>
      <c r="F27" s="13"/>
      <c r="G27" s="13"/>
    </row>
    <row r="28" customFormat="false" ht="18" hidden="false" customHeight="true" outlineLevel="0" collapsed="false">
      <c r="B28" s="14" t="s">
        <v>36</v>
      </c>
      <c r="C28" s="15" t="s">
        <v>37</v>
      </c>
      <c r="D28" s="15"/>
      <c r="E28" s="15" t="s">
        <v>37</v>
      </c>
      <c r="F28" s="15"/>
      <c r="G28" s="15"/>
    </row>
    <row r="29" customFormat="false" ht="18" hidden="false" customHeight="true" outlineLevel="0" collapsed="false">
      <c r="B29" s="16" t="s">
        <v>38</v>
      </c>
      <c r="C29" s="17" t="s">
        <v>39</v>
      </c>
      <c r="D29" s="17"/>
      <c r="E29" s="17" t="s">
        <v>39</v>
      </c>
      <c r="F29" s="17"/>
      <c r="G29" s="17"/>
    </row>
    <row r="30" customFormat="false" ht="18" hidden="false" customHeight="true" outlineLevel="0" collapsed="false">
      <c r="B30" s="14" t="s">
        <v>40</v>
      </c>
      <c r="C30" s="15" t="s">
        <v>41</v>
      </c>
      <c r="D30" s="15"/>
      <c r="E30" s="15" t="s">
        <v>41</v>
      </c>
      <c r="F30" s="15"/>
      <c r="G30" s="15"/>
    </row>
    <row r="31" customFormat="false" ht="18" hidden="false" customHeight="true" outlineLevel="0" collapsed="false">
      <c r="B31" s="16" t="s">
        <v>42</v>
      </c>
      <c r="C31" s="17" t="s">
        <v>43</v>
      </c>
      <c r="D31" s="17"/>
      <c r="E31" s="17" t="s">
        <v>43</v>
      </c>
      <c r="F31" s="17"/>
      <c r="G31" s="17"/>
    </row>
    <row r="32" customFormat="false" ht="18" hidden="false" customHeight="true" outlineLevel="0" collapsed="false">
      <c r="B32" s="14" t="s">
        <v>44</v>
      </c>
      <c r="C32" s="15" t="s">
        <v>45</v>
      </c>
      <c r="D32" s="15"/>
      <c r="E32" s="15" t="s">
        <v>45</v>
      </c>
      <c r="F32" s="15"/>
      <c r="G32" s="15"/>
    </row>
    <row r="33" customFormat="false" ht="18" hidden="false" customHeight="true" outlineLevel="0" collapsed="false">
      <c r="B33" s="16" t="s">
        <v>46</v>
      </c>
      <c r="C33" s="17" t="s">
        <v>47</v>
      </c>
      <c r="D33" s="17"/>
      <c r="E33" s="17" t="s">
        <v>48</v>
      </c>
      <c r="F33" s="17"/>
      <c r="G33" s="17"/>
    </row>
    <row r="34" customFormat="false" ht="18" hidden="false" customHeight="true" outlineLevel="0" collapsed="false">
      <c r="B34" s="14" t="s">
        <v>49</v>
      </c>
      <c r="C34" s="15" t="s">
        <v>47</v>
      </c>
      <c r="D34" s="15"/>
      <c r="E34" s="15" t="s">
        <v>50</v>
      </c>
      <c r="F34" s="15"/>
      <c r="G34" s="15"/>
    </row>
    <row r="35" customFormat="false" ht="18" hidden="false" customHeight="true" outlineLevel="0" collapsed="false">
      <c r="B35" s="16" t="s">
        <v>51</v>
      </c>
      <c r="C35" s="17" t="s">
        <v>52</v>
      </c>
      <c r="D35" s="17"/>
      <c r="E35" s="17" t="s">
        <v>52</v>
      </c>
      <c r="F35" s="17"/>
      <c r="G35" s="17"/>
    </row>
    <row r="36" customFormat="false" ht="18" hidden="false" customHeight="true" outlineLevel="0" collapsed="false">
      <c r="B36" s="14" t="s">
        <v>53</v>
      </c>
      <c r="C36" s="15" t="s">
        <v>54</v>
      </c>
      <c r="D36" s="15"/>
      <c r="E36" s="15" t="s">
        <v>55</v>
      </c>
      <c r="F36" s="15"/>
      <c r="G36" s="15"/>
    </row>
    <row r="37" customFormat="false" ht="18" hidden="false" customHeight="true" outlineLevel="0" collapsed="false">
      <c r="B37" s="16" t="s">
        <v>56</v>
      </c>
      <c r="C37" s="17" t="s">
        <v>57</v>
      </c>
      <c r="D37" s="17"/>
      <c r="E37" s="17" t="s">
        <v>57</v>
      </c>
      <c r="F37" s="17"/>
      <c r="G37" s="17"/>
    </row>
    <row r="38" customFormat="false" ht="9.75" hidden="false" customHeight="true" outlineLevel="0" collapsed="false"/>
    <row r="39" customFormat="false" ht="21.75" hidden="false" customHeight="true" outlineLevel="0" collapsed="false">
      <c r="B39" s="6" t="s">
        <v>58</v>
      </c>
      <c r="C39" s="6"/>
      <c r="D39" s="6"/>
      <c r="E39" s="6"/>
      <c r="F39" s="6"/>
      <c r="G39" s="6"/>
    </row>
    <row r="40" customFormat="false" ht="24" hidden="false" customHeight="true" outlineLevel="0" collapsed="false">
      <c r="B40" s="10" t="s">
        <v>59</v>
      </c>
      <c r="C40" s="11" t="s">
        <v>60</v>
      </c>
      <c r="D40" s="9"/>
      <c r="E40" s="10" t="s">
        <v>61</v>
      </c>
      <c r="F40" s="11" t="s">
        <v>62</v>
      </c>
      <c r="G40" s="11"/>
    </row>
    <row r="41" customFormat="false" ht="24" hidden="false" customHeight="true" outlineLevel="0" collapsed="false">
      <c r="B41" s="10" t="s">
        <v>63</v>
      </c>
      <c r="C41" s="11" t="s">
        <v>64</v>
      </c>
      <c r="D41" s="9"/>
      <c r="E41" s="10" t="s">
        <v>65</v>
      </c>
      <c r="F41" s="11" t="s">
        <v>66</v>
      </c>
      <c r="G41" s="11"/>
    </row>
    <row r="42" customFormat="false" ht="24" hidden="false" customHeight="true" outlineLevel="0" collapsed="false">
      <c r="B42" s="10" t="s">
        <v>67</v>
      </c>
      <c r="C42" s="11" t="s">
        <v>68</v>
      </c>
      <c r="D42" s="9"/>
      <c r="E42" s="10" t="s">
        <v>69</v>
      </c>
      <c r="F42" s="11" t="s">
        <v>70</v>
      </c>
      <c r="G42" s="11"/>
    </row>
    <row r="43" customFormat="false" ht="24" hidden="false" customHeight="true" outlineLevel="0" collapsed="false">
      <c r="B43" s="10" t="s">
        <v>71</v>
      </c>
      <c r="C43" s="11" t="s">
        <v>72</v>
      </c>
      <c r="D43" s="9"/>
      <c r="E43" s="10" t="s">
        <v>73</v>
      </c>
      <c r="F43" s="11" t="s">
        <v>74</v>
      </c>
      <c r="G43" s="11"/>
    </row>
    <row r="44" customFormat="false" ht="9.75" hidden="false" customHeight="true" outlineLevel="0" collapsed="false"/>
    <row r="45" customFormat="false" ht="21.75" hidden="false" customHeight="true" outlineLevel="0" collapsed="false">
      <c r="B45" s="6" t="s">
        <v>75</v>
      </c>
      <c r="C45" s="6"/>
      <c r="D45" s="6"/>
      <c r="E45" s="6"/>
      <c r="F45" s="6"/>
      <c r="G45" s="6"/>
    </row>
    <row r="46" customFormat="false" ht="19.5" hidden="false" customHeight="true" outlineLevel="0" collapsed="false">
      <c r="B46" s="18" t="s">
        <v>76</v>
      </c>
      <c r="C46" s="18" t="s">
        <v>77</v>
      </c>
      <c r="D46" s="18" t="s">
        <v>78</v>
      </c>
      <c r="E46" s="18" t="s">
        <v>79</v>
      </c>
      <c r="F46" s="18" t="s">
        <v>80</v>
      </c>
      <c r="G46" s="18" t="s">
        <v>81</v>
      </c>
    </row>
    <row r="47" customFormat="false" ht="21.75" hidden="false" customHeight="true" outlineLevel="0" collapsed="false">
      <c r="B47" s="8" t="s">
        <v>82</v>
      </c>
      <c r="C47" s="19" t="s">
        <v>83</v>
      </c>
      <c r="D47" s="15" t="s">
        <v>84</v>
      </c>
      <c r="E47" s="15" t="n">
        <v>1488</v>
      </c>
      <c r="F47" s="20" t="n">
        <v>6.05</v>
      </c>
      <c r="G47" s="20" t="n">
        <f aca="false">E47*F47</f>
        <v>9002.4</v>
      </c>
    </row>
    <row r="48" customFormat="false" ht="21.75" hidden="false" customHeight="true" outlineLevel="0" collapsed="false">
      <c r="B48" s="21" t="s">
        <v>85</v>
      </c>
      <c r="C48" s="22" t="s">
        <v>86</v>
      </c>
      <c r="D48" s="17" t="s">
        <v>84</v>
      </c>
      <c r="E48" s="17" t="n">
        <v>1200</v>
      </c>
      <c r="F48" s="23" t="n">
        <v>10.07</v>
      </c>
      <c r="G48" s="23" t="n">
        <f aca="false">E48*F48</f>
        <v>12084</v>
      </c>
    </row>
    <row r="49" customFormat="false" ht="24" hidden="false" customHeight="true" outlineLevel="0" collapsed="false">
      <c r="B49" s="24" t="s">
        <v>87</v>
      </c>
      <c r="C49" s="24"/>
      <c r="D49" s="24"/>
      <c r="E49" s="24"/>
      <c r="F49" s="24"/>
      <c r="G49" s="25" t="n">
        <f aca="false">SUM(G47:G48)</f>
        <v>21086.4</v>
      </c>
    </row>
    <row r="50" customFormat="false" ht="19.5" hidden="false" customHeight="true" outlineLevel="0" collapsed="false">
      <c r="B50" s="26" t="s">
        <v>88</v>
      </c>
      <c r="C50" s="26"/>
      <c r="D50" s="26"/>
      <c r="E50" s="26"/>
      <c r="F50" s="26"/>
      <c r="G50" s="26"/>
    </row>
    <row r="51" customFormat="false" ht="9.75" hidden="false" customHeight="true" outlineLevel="0" collapsed="false"/>
    <row r="52" customFormat="false" ht="3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</row>
    <row r="53" customFormat="false" ht="18" hidden="false" customHeight="true" outlineLevel="0" collapsed="false">
      <c r="B53" s="27" t="s">
        <v>89</v>
      </c>
      <c r="C53" s="27"/>
      <c r="D53" s="27"/>
      <c r="E53" s="27"/>
      <c r="F53" s="27"/>
      <c r="G53" s="27"/>
    </row>
  </sheetData>
  <mergeCells count="47">
    <mergeCell ref="B2:C8"/>
    <mergeCell ref="D2:G5"/>
    <mergeCell ref="D6:G8"/>
    <mergeCell ref="B12:G12"/>
    <mergeCell ref="F13:G13"/>
    <mergeCell ref="F14:G14"/>
    <mergeCell ref="F15:G15"/>
    <mergeCell ref="F16:G16"/>
    <mergeCell ref="B18:G18"/>
    <mergeCell ref="C19:G19"/>
    <mergeCell ref="C20:G20"/>
    <mergeCell ref="C21:G21"/>
    <mergeCell ref="C22:G22"/>
    <mergeCell ref="C23:G23"/>
    <mergeCell ref="C24:G24"/>
    <mergeCell ref="B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B39:G39"/>
    <mergeCell ref="F40:G40"/>
    <mergeCell ref="F41:G41"/>
    <mergeCell ref="F42:G42"/>
    <mergeCell ref="F43:G43"/>
    <mergeCell ref="B45:G45"/>
    <mergeCell ref="B49:F49"/>
    <mergeCell ref="B50:G50"/>
    <mergeCell ref="B53:G53"/>
  </mergeCells>
  <printOptions headings="false" gridLines="false" gridLinesSet="true" horizontalCentered="false" verticalCentered="false"/>
  <pageMargins left="0.5" right="0.5" top="0.6" bottom="0.6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2026-04-10T14:56:53Z</dcterms:created>
  <dc:creator>openpyxl</dc:creator>
  <dc:description/>
  <dc:language>en-US</dc:language>
  <cp:lastModifiedBy/>
  <dcterms:modified xsi:type="dcterms:W3CDTF">2026-04-10T14:56:53Z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