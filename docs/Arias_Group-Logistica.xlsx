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Generales" sheetId="1" r:id="rId4"/>
    <sheet state="visible" name="Producto" sheetId="2" r:id="rId5"/>
    <sheet state="visible" name="Especificaciones" sheetId="3" r:id="rId6"/>
    <sheet state="visible" name="Logistica" sheetId="4" r:id="rId7"/>
    <sheet state="visible" name="Contenedores" sheetId="5" r:id="rId8"/>
    <sheet state="visible" name="Valor" sheetId="6" r:id="rId9"/>
    <sheet state="visible" name="Resumen" sheetId="7" r:id="rId10"/>
  </sheets>
  <definedNames/>
  <calcPr/>
  <extLst>
    <ext uri="GoogleSheetsCustomDataVersion2">
      <go:sheetsCustomData xmlns:go="http://customooxmlschemas.google.com/" r:id="rId11" roundtripDataChecksum="1318eitNTXn6MMBRtcBxF/9183L+ZHDZ/5c+GayT7tQ="/>
    </ext>
  </extLst>
</workbook>
</file>

<file path=xl/sharedStrings.xml><?xml version="1.0" encoding="utf-8"?>
<sst xmlns="http://schemas.openxmlformats.org/spreadsheetml/2006/main" count="203" uniqueCount="144">
  <si>
    <t>Campo</t>
  </si>
  <si>
    <t>Valor</t>
  </si>
  <si>
    <t>Exportador</t>
  </si>
  <si>
    <t>Fassa Bortolo</t>
  </si>
  <si>
    <t>Origen</t>
  </si>
  <si>
    <t>Tarancón, España</t>
  </si>
  <si>
    <t>Incoterm</t>
  </si>
  <si>
    <t>CIF República Dominicana</t>
  </si>
  <si>
    <t>Puerto salida</t>
  </si>
  <si>
    <t>Valencia (confirmar)</t>
  </si>
  <si>
    <t>Puerto destino</t>
  </si>
  <si>
    <t>Caucedo / Haina (confirmar)</t>
  </si>
  <si>
    <t>Importador</t>
  </si>
  <si>
    <t>Cliente final (CONFOTUR)</t>
  </si>
  <si>
    <t>Régimen</t>
  </si>
  <si>
    <t>Importación con exención CONFOTUR</t>
  </si>
  <si>
    <t>Producto</t>
  </si>
  <si>
    <t>Placa de yeso laminado</t>
  </si>
  <si>
    <t>Norma</t>
  </si>
  <si>
    <t>EN 520</t>
  </si>
  <si>
    <t>Tipos</t>
  </si>
  <si>
    <t>STD Tipo A / AQUA Tipo EH2</t>
  </si>
  <si>
    <t>Clasificación HS</t>
  </si>
  <si>
    <t>6809.11.00</t>
  </si>
  <si>
    <t>Composición</t>
  </si>
  <si>
    <t>Yeso + papel/cartón</t>
  </si>
  <si>
    <t>Uso</t>
  </si>
  <si>
    <t>Tabiques, trasdosados, techos interiores</t>
  </si>
  <si>
    <t>Dimensiones</t>
  </si>
  <si>
    <t>1200 x 2500 mm</t>
  </si>
  <si>
    <t>Espesor</t>
  </si>
  <si>
    <t>12,5 mm</t>
  </si>
  <si>
    <t>Superficie por placa</t>
  </si>
  <si>
    <t>3,00 m²</t>
  </si>
  <si>
    <t>Peso específico</t>
  </si>
  <si>
    <t>8,7 kg/m²</t>
  </si>
  <si>
    <t>Peso por placa</t>
  </si>
  <si>
    <t>26,1 kg</t>
  </si>
  <si>
    <t>Unidades por pallet</t>
  </si>
  <si>
    <t>48</t>
  </si>
  <si>
    <t>Peso neto por pallet</t>
  </si>
  <si>
    <t>1.252,8 kg</t>
  </si>
  <si>
    <t>Peso bruto por pallet</t>
  </si>
  <si>
    <t>1.285 kg</t>
  </si>
  <si>
    <t>Número de pallets</t>
  </si>
  <si>
    <t>76</t>
  </si>
  <si>
    <t>Total unidades</t>
  </si>
  <si>
    <t>3.648</t>
  </si>
  <si>
    <t>Total m²</t>
  </si>
  <si>
    <t>10.944</t>
  </si>
  <si>
    <t>Peso neto total</t>
  </si>
  <si>
    <t>95.212 kg</t>
  </si>
  <si>
    <t>Peso bruto total</t>
  </si>
  <si>
    <t>97.660 kg</t>
  </si>
  <si>
    <t>Tipo contenedor</t>
  </si>
  <si>
    <t>40’ HC</t>
  </si>
  <si>
    <t>Capacidad útil</t>
  </si>
  <si>
    <t>25.000 kg</t>
  </si>
  <si>
    <t>Pallets por contenedor</t>
  </si>
  <si>
    <t>20</t>
  </si>
  <si>
    <t>Número de contenedores</t>
  </si>
  <si>
    <t>4</t>
  </si>
  <si>
    <t>Precio unitario</t>
  </si>
  <si>
    <t>4,03 €/placa</t>
  </si>
  <si>
    <t>Valor mercancía</t>
  </si>
  <si>
    <t>14.701 €</t>
  </si>
  <si>
    <t>Valor CIF declarado</t>
  </si>
  <si>
    <t>21.000 € (confirmar)</t>
  </si>
  <si>
    <t>Descripción</t>
  </si>
  <si>
    <t>GYPSOTECH STD BA 13 MMX1200X2500</t>
  </si>
  <si>
    <t>00A003250A0</t>
  </si>
  <si>
    <t>Placa de yeso laminado tipo A conforme a la norma UNE EN 520, diseñada para aplicaciones interiores en tabiques, trasdosados y techos suspendidos continuos. Destaca por su versatilidad de uso, estabilidad dimensional y acabado superficial uniforme.</t>
  </si>
  <si>
    <t>Placa de 1200 mm de ancho por 2500 mm de alto</t>
  </si>
  <si>
    <t>M2/PLACA</t>
  </si>
  <si>
    <t>UDXPALÉ</t>
  </si>
  <si>
    <t>M2/PALÉ</t>
  </si>
  <si>
    <t>€/M2</t>
  </si>
  <si>
    <t>Cantidad de placas</t>
  </si>
  <si>
    <t>ud</t>
  </si>
  <si>
    <t>Precio por placa</t>
  </si>
  <si>
    <t>€/PLACA</t>
  </si>
  <si>
    <t>Subtotal</t>
  </si>
  <si>
    <t>€</t>
  </si>
  <si>
    <t>GYPSOTECH AQUA H2 BA 13 MMX1200X2500</t>
  </si>
  <si>
    <t>00H003250A0</t>
  </si>
  <si>
    <t>Placa de baja capacidad de absorción de agua (inferior al 10%) y absorción superficial (inferior a 220 g/m2) específica para  ambientes con condiciones higrométricas particulares.</t>
  </si>
  <si>
    <t>Total coste mercancia</t>
  </si>
  <si>
    <t>ARIAS GROUP CARIBE SRL
RNC:133-63109-1</t>
  </si>
  <si>
    <t>FICHA TÉCNICA DE IMPORTACIÓN</t>
  </si>
  <si>
    <t>Sistemas Constructivos Fassa Bortolo</t>
  </si>
  <si>
    <t>DATOS GENERALES</t>
  </si>
  <si>
    <t>Arias Group Caribe SRL</t>
  </si>
  <si>
    <t>CIF Puerto Caucedo, República Dominicana</t>
  </si>
  <si>
    <t>Puerto Caucedo, República Dominicana</t>
  </si>
  <si>
    <t>Valencia, España</t>
  </si>
  <si>
    <t xml:space="preserve">Tarancón,Cuenca - CP: 16400, España </t>
  </si>
  <si>
    <t>Endoso</t>
  </si>
  <si>
    <t>Cliente CONFOTUR en destino</t>
  </si>
  <si>
    <t>PRODUCTO</t>
  </si>
  <si>
    <t>Norma de referencia</t>
  </si>
  <si>
    <t>Sulfato de Calcio dihidratado (CaSO₄·2H₂O) + aditivos + papel/cartón</t>
  </si>
  <si>
    <t>Tabiques, trasdosados y techos suspendidos interiores</t>
  </si>
  <si>
    <t>Certificaciones</t>
  </si>
  <si>
    <t>Marcado CE · Declaración Ambiental EPD (S-P-06425 / S-P-06430) · LEED</t>
  </si>
  <si>
    <t>ESPECIFICACIONES TÉCNICAS</t>
  </si>
  <si>
    <t>Característica</t>
  </si>
  <si>
    <t>GYPSOTECH STD Tipo A — BA 13mm</t>
  </si>
  <si>
    <t>GYPSOTECH AQUA EH2 — BA 13mm</t>
  </si>
  <si>
    <t>Anchura</t>
  </si>
  <si>
    <t>1.200 mm</t>
  </si>
  <si>
    <t>Longitud</t>
  </si>
  <si>
    <t>2.500 mm</t>
  </si>
  <si>
    <t>Absorción agua total</t>
  </si>
  <si>
    <t>—</t>
  </si>
  <si>
    <t>&lt; 10%</t>
  </si>
  <si>
    <t>Absorción superficial</t>
  </si>
  <si>
    <t>≤ 220 g/m²</t>
  </si>
  <si>
    <t>Reacción al fuego</t>
  </si>
  <si>
    <t>A2-s1,d0</t>
  </si>
  <si>
    <t>Color cara vista</t>
  </si>
  <si>
    <t>Marfil</t>
  </si>
  <si>
    <t>Verde</t>
  </si>
  <si>
    <t>Borde</t>
  </si>
  <si>
    <t>BA (Borde Afinado)</t>
  </si>
  <si>
    <t>LOGÍSTICA</t>
  </si>
  <si>
    <t>Dimensiones placa</t>
  </si>
  <si>
    <t>1.200 × 2.500 mm</t>
  </si>
  <si>
    <t>Unidades por palé</t>
  </si>
  <si>
    <t>48 placa</t>
  </si>
  <si>
    <t>Contenedores</t>
  </si>
  <si>
    <t>Palés totales</t>
  </si>
  <si>
    <t>Capacidad útil/cont.</t>
  </si>
  <si>
    <t>VALOR DE LA MERCANCÍA</t>
  </si>
  <si>
    <t>Ref. producto</t>
  </si>
  <si>
    <t>Ud</t>
  </si>
  <si>
    <t>Cant.</t>
  </si>
  <si>
    <t>€/ud</t>
  </si>
  <si>
    <t>Subtotal (€)</t>
  </si>
  <si>
    <t>GYPSOTECH STD Tipo A — BA 13mm 1200×2500</t>
  </si>
  <si>
    <t>Placa</t>
  </si>
  <si>
    <t>GYPSOTECH AQUA EH2 — BA 13mm 1200×2500</t>
  </si>
  <si>
    <t>TOTAL VALOR MERCANCÍA</t>
  </si>
  <si>
    <t>Valor CIF declarado = Valor mercancía + Flete + Seguro  |  Pendiente cotización de flete por agente</t>
  </si>
  <si>
    <t>Arias Group Caribe SRL  ·  Distribución técnica Fassa Bortolo  ·  República Dominicana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</si>
</sst>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&quot; €&quot;"/>
  </numFmts>
  <fonts count="19">
    <font>
      <sz val="11.0"/>
      <color theme="1"/>
      <name val="Calibri"/>
      <scheme val="minor"/>
    </font>
    <font>
      <color theme="1"/>
      <name val="Calibri"/>
      <scheme val="minor"/>
    </font>
    <font>
      <b/>
      <sz val="12.0"/>
      <color theme="1"/>
      <name val="Calibri"/>
      <scheme val="minor"/>
    </font>
    <font>
      <b/>
      <color theme="1"/>
      <name val="Calibri"/>
      <scheme val="minor"/>
    </font>
    <font>
      <i/>
      <color theme="1"/>
      <name val="Calibri"/>
      <scheme val="minor"/>
    </font>
    <font>
      <sz val="11.0"/>
      <color theme="1"/>
      <name val="Calibri"/>
    </font>
    <font>
      <b/>
      <sz val="14.0"/>
      <color rgb="FFFFFFFF"/>
      <name val="Arial"/>
    </font>
    <font/>
    <font>
      <b/>
      <sz val="13.0"/>
      <color rgb="FFFFFFFF"/>
      <name val="Arial"/>
    </font>
    <font>
      <color rgb="FFC5D5E8"/>
      <name val="Arial"/>
    </font>
    <font>
      <b/>
      <sz val="9.0"/>
      <color rgb="FF1A3557"/>
      <name val="Arial"/>
    </font>
    <font>
      <b/>
      <sz val="8.0"/>
      <color rgb="FF5C7A99"/>
      <name val="Arial"/>
    </font>
    <font>
      <sz val="9.0"/>
      <color rgb="FF1C2B3A"/>
      <name val="Arial"/>
    </font>
    <font>
      <b/>
      <sz val="8.0"/>
      <color rgb="FFFFFFFF"/>
      <name val="Arial"/>
    </font>
    <font>
      <b/>
      <sz val="8.0"/>
      <color rgb="FF1C2B3A"/>
      <name val="Arial"/>
    </font>
    <font>
      <sz val="8.0"/>
      <color rgb="FF5C7A99"/>
      <name val="Arial"/>
    </font>
    <font>
      <b/>
      <color rgb="FFFFFFFF"/>
      <name val="Arial"/>
    </font>
    <font>
      <i/>
      <sz val="8.0"/>
      <color rgb="FFC00000"/>
      <name val="Arial"/>
    </font>
    <font>
      <sz val="8.0"/>
      <color rgb="FFC5D5E8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A3557"/>
        <bgColor rgb="FF1A3557"/>
      </patternFill>
    </fill>
    <fill>
      <patternFill patternType="solid">
        <fgColor rgb="FF2563A8"/>
        <bgColor rgb="FF2563A8"/>
      </patternFill>
    </fill>
    <fill>
      <patternFill patternType="solid">
        <fgColor rgb="FFEEF3F9"/>
        <bgColor rgb="FFEEF3F9"/>
      </patternFill>
    </fill>
    <fill>
      <patternFill patternType="solid">
        <fgColor rgb="FFFFFFFF"/>
        <bgColor rgb="FFFFFFFF"/>
      </patternFill>
    </fill>
    <fill>
      <patternFill patternType="solid">
        <fgColor rgb="FFF5F7FA"/>
        <bgColor rgb="FFF5F7FA"/>
      </patternFill>
    </fill>
  </fills>
  <borders count="20">
    <border/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right/>
      <top/>
      <bottom/>
    </border>
    <border>
      <left/>
      <top/>
      <bottom style="thin">
        <color rgb="FF2563A8"/>
      </bottom>
    </border>
    <border>
      <top/>
      <bottom style="thin">
        <color rgb="FF2563A8"/>
      </bottom>
    </border>
    <border>
      <right/>
      <top/>
      <bottom style="thin">
        <color rgb="FF2563A8"/>
      </bottom>
    </border>
    <border>
      <left/>
      <right/>
      <top/>
      <bottom style="thin">
        <color rgb="FFC5D5E8"/>
      </bottom>
    </border>
    <border>
      <left/>
      <top/>
      <bottom style="thin">
        <color rgb="FFC5D5E8"/>
      </bottom>
    </border>
    <border>
      <right/>
      <top/>
      <bottom style="thin">
        <color rgb="FFC5D5E8"/>
      </bottom>
    </border>
    <border>
      <top/>
      <bottom style="thin">
        <color rgb="FFC5D5E8"/>
      </bottom>
    </border>
    <border>
      <left/>
      <top/>
      <bottom/>
    </border>
    <border>
      <right/>
      <top/>
      <bottom/>
    </border>
    <border>
      <top/>
      <bottom/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shrinkToFit="0" vertical="center" wrapText="1"/>
    </xf>
    <xf borderId="0" fillId="0" fontId="4" numFmtId="0" xfId="0" applyAlignment="1" applyFont="1">
      <alignment horizontal="right" readingOrder="0"/>
    </xf>
    <xf borderId="0" fillId="0" fontId="1" numFmtId="4" xfId="0" applyAlignment="1" applyFont="1" applyNumberFormat="1">
      <alignment vertical="center"/>
    </xf>
    <xf borderId="0" fillId="0" fontId="1" numFmtId="0" xfId="0" applyAlignment="1" applyFont="1">
      <alignment readingOrder="0" vertical="center"/>
    </xf>
    <xf borderId="0" fillId="0" fontId="1" numFmtId="4" xfId="0" applyAlignment="1" applyFont="1" applyNumberForma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readingOrder="0"/>
    </xf>
    <xf borderId="0" fillId="0" fontId="3" numFmtId="0" xfId="0" applyAlignment="1" applyFont="1">
      <alignment horizontal="right"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 readingOrder="0" vertical="center"/>
    </xf>
    <xf borderId="0" fillId="0" fontId="3" numFmtId="0" xfId="0" applyAlignment="1" applyFont="1">
      <alignment horizontal="right" readingOrder="0" vertical="center"/>
    </xf>
    <xf borderId="0" fillId="0" fontId="3" numFmtId="4" xfId="0" applyFont="1" applyNumberFormat="1"/>
    <xf borderId="0" fillId="0" fontId="3" numFmtId="0" xfId="0" applyAlignment="1" applyFont="1">
      <alignment readingOrder="0"/>
    </xf>
    <xf borderId="0" fillId="0" fontId="5" numFmtId="0" xfId="0" applyAlignment="1" applyFont="1">
      <alignment vertical="bottom"/>
    </xf>
    <xf borderId="1" fillId="2" fontId="6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0" fontId="7" numFmtId="0" xfId="0" applyBorder="1" applyFont="1"/>
    <xf borderId="1" fillId="2" fontId="8" numFmtId="0" xfId="0" applyAlignment="1" applyBorder="1" applyFont="1">
      <alignment horizontal="center" vertical="center"/>
    </xf>
    <xf borderId="4" fillId="0" fontId="7" numFmtId="0" xfId="0" applyBorder="1" applyFont="1"/>
    <xf borderId="5" fillId="0" fontId="7" numFmtId="0" xfId="0" applyBorder="1" applyFont="1"/>
    <xf borderId="6" fillId="0" fontId="7" numFmtId="0" xfId="0" applyBorder="1" applyFont="1"/>
    <xf borderId="7" fillId="0" fontId="7" numFmtId="0" xfId="0" applyBorder="1" applyFont="1"/>
    <xf borderId="8" fillId="0" fontId="7" numFmtId="0" xfId="0" applyBorder="1" applyFont="1"/>
    <xf borderId="1" fillId="2" fontId="9" numFmtId="0" xfId="0" applyAlignment="1" applyBorder="1" applyFont="1">
      <alignment horizontal="center"/>
    </xf>
    <xf borderId="9" fillId="3" fontId="5" numFmtId="0" xfId="0" applyAlignment="1" applyBorder="1" applyFill="1" applyFont="1">
      <alignment vertical="bottom"/>
    </xf>
    <xf borderId="10" fillId="4" fontId="10" numFmtId="0" xfId="0" applyBorder="1" applyFill="1" applyFont="1"/>
    <xf borderId="11" fillId="0" fontId="7" numFmtId="0" xfId="0" applyBorder="1" applyFont="1"/>
    <xf borderId="12" fillId="0" fontId="7" numFmtId="0" xfId="0" applyBorder="1" applyFont="1"/>
    <xf borderId="13" fillId="5" fontId="11" numFmtId="0" xfId="0" applyAlignment="1" applyBorder="1" applyFill="1" applyFont="1">
      <alignment vertical="top"/>
    </xf>
    <xf borderId="13" fillId="5" fontId="12" numFmtId="0" xfId="0" applyAlignment="1" applyBorder="1" applyFont="1">
      <alignment shrinkToFit="0" vertical="center" wrapText="1"/>
    </xf>
    <xf borderId="13" fillId="5" fontId="5" numFmtId="0" xfId="0" applyAlignment="1" applyBorder="1" applyFont="1">
      <alignment vertical="center"/>
    </xf>
    <xf borderId="13" fillId="5" fontId="11" numFmtId="0" xfId="0" applyAlignment="1" applyBorder="1" applyFont="1">
      <alignment vertical="center"/>
    </xf>
    <xf borderId="14" fillId="5" fontId="12" numFmtId="0" xfId="0" applyAlignment="1" applyBorder="1" applyFont="1">
      <alignment shrinkToFit="0" vertical="center" wrapText="1"/>
    </xf>
    <xf borderId="15" fillId="0" fontId="7" numFmtId="0" xfId="0" applyBorder="1" applyFont="1"/>
    <xf borderId="13" fillId="5" fontId="12" numFmtId="0" xfId="0" applyAlignment="1" applyBorder="1" applyFont="1">
      <alignment readingOrder="0" shrinkToFit="0" vertical="center" wrapText="1"/>
    </xf>
    <xf borderId="13" fillId="5" fontId="11" numFmtId="0" xfId="0" applyBorder="1" applyFont="1"/>
    <xf borderId="14" fillId="5" fontId="12" numFmtId="0" xfId="0" applyBorder="1" applyFont="1"/>
    <xf borderId="16" fillId="0" fontId="7" numFmtId="0" xfId="0" applyBorder="1" applyFont="1"/>
    <xf borderId="0" fillId="0" fontId="5" numFmtId="4" xfId="0" applyAlignment="1" applyFont="1" applyNumberFormat="1">
      <alignment vertical="bottom"/>
    </xf>
    <xf borderId="9" fillId="2" fontId="13" numFmtId="0" xfId="0" applyAlignment="1" applyBorder="1" applyFont="1">
      <alignment horizontal="center"/>
    </xf>
    <xf borderId="17" fillId="2" fontId="13" numFmtId="0" xfId="0" applyAlignment="1" applyBorder="1" applyFont="1">
      <alignment horizontal="center"/>
    </xf>
    <xf borderId="18" fillId="0" fontId="7" numFmtId="0" xfId="0" applyBorder="1" applyFont="1"/>
    <xf borderId="19" fillId="0" fontId="7" numFmtId="0" xfId="0" applyBorder="1" applyFont="1"/>
    <xf borderId="13" fillId="5" fontId="14" numFmtId="0" xfId="0" applyBorder="1" applyFont="1"/>
    <xf borderId="14" fillId="5" fontId="12" numFmtId="0" xfId="0" applyAlignment="1" applyBorder="1" applyFont="1">
      <alignment horizontal="center"/>
    </xf>
    <xf borderId="13" fillId="6" fontId="14" numFmtId="0" xfId="0" applyBorder="1" applyFill="1" applyFont="1"/>
    <xf borderId="14" fillId="6" fontId="12" numFmtId="0" xfId="0" applyAlignment="1" applyBorder="1" applyFont="1">
      <alignment horizontal="center"/>
    </xf>
    <xf borderId="13" fillId="5" fontId="12" numFmtId="0" xfId="0" applyBorder="1" applyFont="1"/>
    <xf borderId="13" fillId="5" fontId="5" numFmtId="0" xfId="0" applyAlignment="1" applyBorder="1" applyFont="1">
      <alignment vertical="bottom"/>
    </xf>
    <xf borderId="14" fillId="5" fontId="5" numFmtId="0" xfId="0" applyBorder="1" applyFont="1"/>
    <xf borderId="13" fillId="5" fontId="12" numFmtId="0" xfId="0" applyAlignment="1" applyBorder="1" applyFont="1">
      <alignment horizontal="left" readingOrder="0"/>
    </xf>
    <xf borderId="13" fillId="5" fontId="12" numFmtId="4" xfId="0" applyAlignment="1" applyBorder="1" applyFont="1" applyNumberFormat="1">
      <alignment horizontal="left"/>
    </xf>
    <xf borderId="9" fillId="3" fontId="13" numFmtId="0" xfId="0" applyAlignment="1" applyBorder="1" applyFont="1">
      <alignment horizontal="center"/>
    </xf>
    <xf borderId="13" fillId="5" fontId="12" numFmtId="0" xfId="0" applyAlignment="1" applyBorder="1" applyFont="1">
      <alignment shrinkToFit="0" wrapText="1"/>
    </xf>
    <xf borderId="13" fillId="5" fontId="15" numFmtId="0" xfId="0" applyAlignment="1" applyBorder="1" applyFont="1">
      <alignment horizontal="center" vertical="center"/>
    </xf>
    <xf borderId="13" fillId="5" fontId="12" numFmtId="0" xfId="0" applyAlignment="1" applyBorder="1" applyFont="1">
      <alignment horizontal="center" readingOrder="0" vertical="center"/>
    </xf>
    <xf borderId="13" fillId="5" fontId="12" numFmtId="0" xfId="0" applyAlignment="1" applyBorder="1" applyFont="1">
      <alignment horizontal="center" vertical="center"/>
    </xf>
    <xf borderId="13" fillId="5" fontId="12" numFmtId="164" xfId="0" applyAlignment="1" applyBorder="1" applyFont="1" applyNumberFormat="1">
      <alignment horizontal="center" vertical="center"/>
    </xf>
    <xf borderId="13" fillId="6" fontId="12" numFmtId="0" xfId="0" applyAlignment="1" applyBorder="1" applyFont="1">
      <alignment shrinkToFit="0" wrapText="1"/>
    </xf>
    <xf borderId="13" fillId="6" fontId="15" numFmtId="0" xfId="0" applyAlignment="1" applyBorder="1" applyFont="1">
      <alignment horizontal="center" vertical="center"/>
    </xf>
    <xf borderId="13" fillId="6" fontId="12" numFmtId="0" xfId="0" applyAlignment="1" applyBorder="1" applyFont="1">
      <alignment horizontal="center" readingOrder="0" vertical="center"/>
    </xf>
    <xf borderId="13" fillId="6" fontId="12" numFmtId="0" xfId="0" applyAlignment="1" applyBorder="1" applyFont="1">
      <alignment horizontal="center" vertical="center"/>
    </xf>
    <xf borderId="13" fillId="6" fontId="12" numFmtId="164" xfId="0" applyAlignment="1" applyBorder="1" applyFont="1" applyNumberFormat="1">
      <alignment horizontal="center" vertical="center"/>
    </xf>
    <xf borderId="17" fillId="2" fontId="16" numFmtId="0" xfId="0" applyAlignment="1" applyBorder="1" applyFont="1">
      <alignment horizontal="right"/>
    </xf>
    <xf borderId="9" fillId="2" fontId="16" numFmtId="164" xfId="0" applyAlignment="1" applyBorder="1" applyFont="1" applyNumberFormat="1">
      <alignment horizontal="center"/>
    </xf>
    <xf borderId="17" fillId="5" fontId="17" numFmtId="0" xfId="0" applyBorder="1" applyFont="1"/>
    <xf borderId="17" fillId="2" fontId="18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33.14"/>
    <col customWidth="1" min="3" max="26" width="8.71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35.14"/>
    <col customWidth="1" min="3" max="26" width="8.71"/>
  </cols>
  <sheetData>
    <row r="1">
      <c r="A1" s="1" t="s">
        <v>0</v>
      </c>
      <c r="B1" s="1" t="s">
        <v>1</v>
      </c>
    </row>
    <row r="2">
      <c r="A2" s="1" t="s">
        <v>16</v>
      </c>
      <c r="B2" s="1" t="s">
        <v>17</v>
      </c>
    </row>
    <row r="3">
      <c r="A3" s="1" t="s">
        <v>18</v>
      </c>
      <c r="B3" s="1" t="s">
        <v>19</v>
      </c>
    </row>
    <row r="4">
      <c r="A4" s="1" t="s">
        <v>20</v>
      </c>
      <c r="B4" s="1" t="s">
        <v>21</v>
      </c>
    </row>
    <row r="5">
      <c r="A5" s="1" t="s">
        <v>22</v>
      </c>
      <c r="B5" s="1" t="s">
        <v>23</v>
      </c>
    </row>
    <row r="6">
      <c r="A6" s="1" t="s">
        <v>24</v>
      </c>
      <c r="B6" s="1" t="s">
        <v>25</v>
      </c>
    </row>
    <row r="7">
      <c r="A7" s="1" t="s">
        <v>26</v>
      </c>
      <c r="B7" s="1" t="s">
        <v>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5.29"/>
    <col customWidth="1" min="3" max="26" width="8.71"/>
  </cols>
  <sheetData>
    <row r="1">
      <c r="A1" s="1" t="s">
        <v>0</v>
      </c>
      <c r="B1" s="1" t="s">
        <v>1</v>
      </c>
    </row>
    <row r="2">
      <c r="A2" s="1" t="s">
        <v>28</v>
      </c>
      <c r="B2" s="1" t="s">
        <v>29</v>
      </c>
    </row>
    <row r="3">
      <c r="A3" s="1" t="s">
        <v>30</v>
      </c>
      <c r="B3" s="1" t="s">
        <v>31</v>
      </c>
    </row>
    <row r="4">
      <c r="A4" s="1" t="s">
        <v>32</v>
      </c>
      <c r="B4" s="1" t="s">
        <v>33</v>
      </c>
    </row>
    <row r="5">
      <c r="A5" s="1" t="s">
        <v>34</v>
      </c>
      <c r="B5" s="1" t="s">
        <v>35</v>
      </c>
    </row>
    <row r="6">
      <c r="A6" s="1" t="s">
        <v>36</v>
      </c>
      <c r="B6" s="1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9.86"/>
    <col customWidth="1" min="3" max="26" width="8.71"/>
  </cols>
  <sheetData>
    <row r="1">
      <c r="A1" s="1" t="s">
        <v>0</v>
      </c>
      <c r="B1" s="1" t="s">
        <v>1</v>
      </c>
    </row>
    <row r="2">
      <c r="A2" s="1" t="s">
        <v>38</v>
      </c>
      <c r="B2" s="1" t="s">
        <v>39</v>
      </c>
    </row>
    <row r="3">
      <c r="A3" s="1" t="s">
        <v>40</v>
      </c>
      <c r="B3" s="1" t="s">
        <v>41</v>
      </c>
    </row>
    <row r="4">
      <c r="A4" s="1" t="s">
        <v>42</v>
      </c>
      <c r="B4" s="1" t="s">
        <v>43</v>
      </c>
    </row>
    <row r="5">
      <c r="A5" s="1" t="s">
        <v>44</v>
      </c>
      <c r="B5" s="1" t="s">
        <v>45</v>
      </c>
    </row>
    <row r="6">
      <c r="A6" s="1" t="s">
        <v>46</v>
      </c>
      <c r="B6" s="1" t="s">
        <v>47</v>
      </c>
    </row>
    <row r="7">
      <c r="A7" s="1" t="s">
        <v>48</v>
      </c>
      <c r="B7" s="1" t="s">
        <v>49</v>
      </c>
    </row>
    <row r="8">
      <c r="A8" s="1" t="s">
        <v>50</v>
      </c>
      <c r="B8" s="1" t="s">
        <v>51</v>
      </c>
    </row>
    <row r="9">
      <c r="A9" s="1" t="s">
        <v>52</v>
      </c>
      <c r="B9" s="1" t="s">
        <v>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86"/>
    <col customWidth="1" min="2" max="2" width="9.43"/>
    <col customWidth="1" min="3" max="26" width="8.71"/>
  </cols>
  <sheetData>
    <row r="1">
      <c r="A1" s="1" t="s">
        <v>0</v>
      </c>
      <c r="B1" s="1" t="s">
        <v>1</v>
      </c>
    </row>
    <row r="2">
      <c r="A2" s="1" t="s">
        <v>54</v>
      </c>
      <c r="B2" s="1" t="s">
        <v>55</v>
      </c>
    </row>
    <row r="3">
      <c r="A3" s="1" t="s">
        <v>56</v>
      </c>
      <c r="B3" s="1" t="s">
        <v>57</v>
      </c>
    </row>
    <row r="4">
      <c r="A4" s="1" t="s">
        <v>58</v>
      </c>
      <c r="B4" s="1" t="s">
        <v>59</v>
      </c>
    </row>
    <row r="5">
      <c r="A5" s="1" t="s">
        <v>60</v>
      </c>
      <c r="B5" s="1" t="s">
        <v>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19.0"/>
    <col customWidth="1" min="3" max="3" width="83.43"/>
    <col customWidth="1" min="4" max="4" width="9.57"/>
    <col customWidth="1" min="5" max="5" width="10.29"/>
    <col customWidth="1" min="6" max="6" width="5.86"/>
    <col customWidth="1" min="7" max="7" width="8.86"/>
    <col customWidth="1" min="8" max="8" width="7.0"/>
    <col customWidth="1" min="9" max="9" width="8.86"/>
    <col customWidth="1" min="10" max="10" width="4.86"/>
    <col customWidth="1" min="11" max="11" width="6.43"/>
    <col customWidth="1" min="12" max="12" width="7.0"/>
    <col customWidth="1" min="13" max="13" width="9.0"/>
    <col customWidth="1" min="14" max="26" width="8.71"/>
  </cols>
  <sheetData>
    <row r="1">
      <c r="A1" s="1" t="s">
        <v>0</v>
      </c>
      <c r="B1" s="1" t="s">
        <v>1</v>
      </c>
    </row>
    <row r="2">
      <c r="A2" s="1" t="s">
        <v>62</v>
      </c>
      <c r="B2" s="1" t="s">
        <v>63</v>
      </c>
    </row>
    <row r="3">
      <c r="A3" s="1" t="s">
        <v>64</v>
      </c>
      <c r="B3" s="1" t="s">
        <v>65</v>
      </c>
    </row>
    <row r="4">
      <c r="A4" s="1" t="s">
        <v>66</v>
      </c>
      <c r="B4" s="1" t="s">
        <v>67</v>
      </c>
    </row>
    <row r="7">
      <c r="C7" s="2" t="s">
        <v>68</v>
      </c>
    </row>
    <row r="8">
      <c r="C8" s="3" t="s">
        <v>69</v>
      </c>
    </row>
    <row r="9">
      <c r="A9" s="4"/>
      <c r="B9" s="3" t="s">
        <v>70</v>
      </c>
      <c r="C9" s="5" t="s">
        <v>71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C10" s="6"/>
      <c r="D10" s="7"/>
      <c r="E10" s="8"/>
      <c r="F10" s="7"/>
      <c r="G10" s="8"/>
      <c r="H10" s="7"/>
      <c r="I10" s="8"/>
      <c r="J10" s="7"/>
      <c r="K10" s="8"/>
      <c r="L10" s="4"/>
      <c r="M10" s="8"/>
    </row>
    <row r="11">
      <c r="C11" s="6" t="s">
        <v>72</v>
      </c>
      <c r="D11" s="9">
        <f>1.2*2.5</f>
        <v>3</v>
      </c>
      <c r="E11" s="10" t="s">
        <v>73</v>
      </c>
      <c r="F11" s="9">
        <v>48.0</v>
      </c>
      <c r="G11" s="10" t="s">
        <v>74</v>
      </c>
      <c r="H11" s="9">
        <v>144.0</v>
      </c>
      <c r="I11" s="10" t="s">
        <v>75</v>
      </c>
      <c r="J11" s="9">
        <f>4.03*50%</f>
        <v>2.015</v>
      </c>
      <c r="K11" s="10" t="s">
        <v>76</v>
      </c>
    </row>
    <row r="12">
      <c r="C12" s="11"/>
    </row>
    <row r="13">
      <c r="C13" s="12" t="s">
        <v>77</v>
      </c>
      <c r="D13" s="9">
        <v>1488.0</v>
      </c>
      <c r="E13" s="13" t="s">
        <v>78</v>
      </c>
    </row>
    <row r="14">
      <c r="C14" s="12" t="s">
        <v>79</v>
      </c>
      <c r="D14" s="9">
        <f>D11*J11</f>
        <v>6.045</v>
      </c>
      <c r="E14" s="14" t="s">
        <v>80</v>
      </c>
    </row>
    <row r="15">
      <c r="C15" s="15" t="s">
        <v>81</v>
      </c>
      <c r="D15" s="9">
        <f>D14*D13</f>
        <v>8994.96</v>
      </c>
      <c r="E15" s="13" t="s">
        <v>82</v>
      </c>
    </row>
    <row r="16">
      <c r="C16" s="3"/>
    </row>
    <row r="17">
      <c r="C17" s="3" t="s">
        <v>83</v>
      </c>
    </row>
    <row r="18">
      <c r="B18" s="3" t="s">
        <v>84</v>
      </c>
      <c r="C18" s="5" t="s">
        <v>85</v>
      </c>
    </row>
    <row r="20">
      <c r="C20" s="6" t="s">
        <v>72</v>
      </c>
      <c r="D20" s="9">
        <f>1.2*2.5</f>
        <v>3</v>
      </c>
      <c r="E20" s="10" t="s">
        <v>73</v>
      </c>
      <c r="F20" s="9">
        <v>48.0</v>
      </c>
      <c r="G20" s="10" t="s">
        <v>74</v>
      </c>
      <c r="H20" s="9">
        <v>144.0</v>
      </c>
      <c r="I20" s="10" t="s">
        <v>75</v>
      </c>
      <c r="J20" s="9">
        <f>6.71*50%</f>
        <v>3.355</v>
      </c>
      <c r="K20" s="10" t="s">
        <v>76</v>
      </c>
    </row>
    <row r="21">
      <c r="C21" s="11"/>
    </row>
    <row r="22">
      <c r="C22" s="12" t="s">
        <v>77</v>
      </c>
      <c r="D22" s="9">
        <v>1200.0</v>
      </c>
      <c r="E22" s="13" t="s">
        <v>78</v>
      </c>
    </row>
    <row r="23">
      <c r="C23" s="12" t="s">
        <v>79</v>
      </c>
      <c r="D23" s="9">
        <f>D20*J20</f>
        <v>10.065</v>
      </c>
      <c r="E23" s="8" t="s">
        <v>80</v>
      </c>
    </row>
    <row r="24" ht="15.75" customHeight="1">
      <c r="C24" s="15" t="s">
        <v>81</v>
      </c>
      <c r="D24" s="9">
        <f>D23*D22</f>
        <v>12078</v>
      </c>
      <c r="E24" s="13" t="s">
        <v>82</v>
      </c>
    </row>
    <row r="25" ht="15.75" customHeight="1"/>
    <row r="26" ht="15.75" customHeight="1">
      <c r="C26" s="12" t="s">
        <v>86</v>
      </c>
      <c r="D26" s="16">
        <f>D15+D24</f>
        <v>21072.96</v>
      </c>
      <c r="E26" s="17" t="s">
        <v>82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.86"/>
    <col customWidth="1" min="2" max="2" width="19.14"/>
    <col customWidth="1" min="3" max="3" width="24.86"/>
    <col customWidth="1" min="7" max="7" width="14.86"/>
    <col customWidth="1" min="8" max="8" width="3.43"/>
  </cols>
  <sheetData>
    <row r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19" t="s">
        <v>87</v>
      </c>
      <c r="B2" s="20"/>
      <c r="C2" s="20"/>
      <c r="D2" s="21"/>
      <c r="E2" s="22" t="s">
        <v>88</v>
      </c>
      <c r="F2" s="20"/>
      <c r="G2" s="20"/>
      <c r="H2" s="21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23"/>
      <c r="D3" s="24"/>
      <c r="E3" s="23"/>
      <c r="H3" s="24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23"/>
      <c r="D4" s="24"/>
      <c r="E4" s="23"/>
      <c r="H4" s="24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23"/>
      <c r="D5" s="24"/>
      <c r="E5" s="25"/>
      <c r="F5" s="26"/>
      <c r="G5" s="26"/>
      <c r="H5" s="27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23"/>
      <c r="D6" s="24"/>
      <c r="E6" s="28" t="s">
        <v>89</v>
      </c>
      <c r="F6" s="20"/>
      <c r="G6" s="20"/>
      <c r="H6" s="21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23"/>
      <c r="D7" s="24"/>
      <c r="E7" s="23"/>
      <c r="H7" s="24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25"/>
      <c r="B8" s="26"/>
      <c r="C8" s="26"/>
      <c r="D8" s="27"/>
      <c r="E8" s="25"/>
      <c r="F8" s="26"/>
      <c r="G8" s="26"/>
      <c r="H8" s="27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29"/>
      <c r="B9" s="29"/>
      <c r="C9" s="29"/>
      <c r="D9" s="29"/>
      <c r="E9" s="29"/>
      <c r="F9" s="29"/>
      <c r="G9" s="29"/>
      <c r="H9" s="29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18"/>
      <c r="B12" s="30" t="s">
        <v>90</v>
      </c>
      <c r="C12" s="31"/>
      <c r="D12" s="31"/>
      <c r="E12" s="31"/>
      <c r="F12" s="31"/>
      <c r="G12" s="32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18"/>
      <c r="B13" s="33" t="s">
        <v>2</v>
      </c>
      <c r="C13" s="34" t="s">
        <v>91</v>
      </c>
      <c r="D13" s="35"/>
      <c r="E13" s="36" t="s">
        <v>12</v>
      </c>
      <c r="F13" s="37" t="s">
        <v>91</v>
      </c>
      <c r="G13" s="3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18"/>
      <c r="B14" s="33" t="s">
        <v>6</v>
      </c>
      <c r="C14" s="34" t="s">
        <v>92</v>
      </c>
      <c r="D14" s="35"/>
      <c r="E14" s="36" t="s">
        <v>10</v>
      </c>
      <c r="F14" s="37" t="s">
        <v>93</v>
      </c>
      <c r="G14" s="3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18"/>
      <c r="B15" s="33" t="s">
        <v>8</v>
      </c>
      <c r="C15" s="34" t="s">
        <v>94</v>
      </c>
      <c r="D15" s="35"/>
      <c r="E15" s="36" t="s">
        <v>14</v>
      </c>
      <c r="F15" s="37" t="s">
        <v>15</v>
      </c>
      <c r="G15" s="3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18"/>
      <c r="B16" s="33" t="s">
        <v>4</v>
      </c>
      <c r="C16" s="39" t="s">
        <v>95</v>
      </c>
      <c r="D16" s="35"/>
      <c r="E16" s="36" t="s">
        <v>96</v>
      </c>
      <c r="F16" s="37" t="s">
        <v>97</v>
      </c>
      <c r="G16" s="3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18"/>
      <c r="B18" s="30" t="s">
        <v>98</v>
      </c>
      <c r="C18" s="31"/>
      <c r="D18" s="31"/>
      <c r="E18" s="31"/>
      <c r="F18" s="31"/>
      <c r="G18" s="32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18"/>
      <c r="B19" s="40" t="s">
        <v>16</v>
      </c>
      <c r="C19" s="41" t="s">
        <v>17</v>
      </c>
      <c r="D19" s="42"/>
      <c r="E19" s="42"/>
      <c r="F19" s="42"/>
      <c r="G19" s="3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18"/>
      <c r="B20" s="40" t="s">
        <v>99</v>
      </c>
      <c r="C20" s="41" t="s">
        <v>19</v>
      </c>
      <c r="D20" s="42"/>
      <c r="E20" s="42"/>
      <c r="F20" s="42"/>
      <c r="G20" s="3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>
      <c r="A21" s="18"/>
      <c r="B21" s="40" t="s">
        <v>22</v>
      </c>
      <c r="C21" s="41" t="s">
        <v>23</v>
      </c>
      <c r="D21" s="42"/>
      <c r="E21" s="42"/>
      <c r="F21" s="42"/>
      <c r="G21" s="3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18"/>
      <c r="B22" s="40" t="s">
        <v>24</v>
      </c>
      <c r="C22" s="41" t="s">
        <v>100</v>
      </c>
      <c r="D22" s="42"/>
      <c r="E22" s="42"/>
      <c r="F22" s="42"/>
      <c r="G22" s="3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18"/>
      <c r="B23" s="40" t="s">
        <v>26</v>
      </c>
      <c r="C23" s="41" t="s">
        <v>101</v>
      </c>
      <c r="D23" s="42"/>
      <c r="E23" s="42"/>
      <c r="F23" s="42"/>
      <c r="G23" s="3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A24" s="18"/>
      <c r="B24" s="40" t="s">
        <v>102</v>
      </c>
      <c r="C24" s="41" t="s">
        <v>103</v>
      </c>
      <c r="D24" s="42"/>
      <c r="E24" s="42"/>
      <c r="F24" s="42"/>
      <c r="G24" s="3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18"/>
      <c r="B26" s="30" t="s">
        <v>104</v>
      </c>
      <c r="C26" s="31"/>
      <c r="D26" s="31"/>
      <c r="E26" s="31"/>
      <c r="F26" s="31"/>
      <c r="G26" s="32"/>
      <c r="H26" s="18"/>
      <c r="I26" s="43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>
      <c r="A27" s="18"/>
      <c r="B27" s="44" t="s">
        <v>105</v>
      </c>
      <c r="C27" s="45" t="s">
        <v>106</v>
      </c>
      <c r="D27" s="46"/>
      <c r="E27" s="45" t="s">
        <v>107</v>
      </c>
      <c r="F27" s="47"/>
      <c r="G27" s="46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18"/>
      <c r="B28" s="48" t="s">
        <v>30</v>
      </c>
      <c r="C28" s="49" t="s">
        <v>31</v>
      </c>
      <c r="D28" s="38"/>
      <c r="E28" s="49" t="s">
        <v>31</v>
      </c>
      <c r="F28" s="42"/>
      <c r="G28" s="3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18"/>
      <c r="B29" s="50" t="s">
        <v>108</v>
      </c>
      <c r="C29" s="51" t="s">
        <v>109</v>
      </c>
      <c r="D29" s="38"/>
      <c r="E29" s="51" t="s">
        <v>109</v>
      </c>
      <c r="F29" s="42"/>
      <c r="G29" s="3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>
      <c r="A30" s="18"/>
      <c r="B30" s="48" t="s">
        <v>110</v>
      </c>
      <c r="C30" s="49" t="s">
        <v>111</v>
      </c>
      <c r="D30" s="38"/>
      <c r="E30" s="49" t="s">
        <v>111</v>
      </c>
      <c r="F30" s="42"/>
      <c r="G30" s="3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>
      <c r="A31" s="18"/>
      <c r="B31" s="50" t="s">
        <v>34</v>
      </c>
      <c r="C31" s="51" t="s">
        <v>35</v>
      </c>
      <c r="D31" s="38"/>
      <c r="E31" s="51" t="s">
        <v>35</v>
      </c>
      <c r="F31" s="42"/>
      <c r="G31" s="3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>
      <c r="A32" s="18"/>
      <c r="B32" s="48" t="s">
        <v>36</v>
      </c>
      <c r="C32" s="49" t="s">
        <v>37</v>
      </c>
      <c r="D32" s="38"/>
      <c r="E32" s="49" t="s">
        <v>37</v>
      </c>
      <c r="F32" s="42"/>
      <c r="G32" s="3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18"/>
      <c r="B33" s="50" t="s">
        <v>112</v>
      </c>
      <c r="C33" s="51" t="s">
        <v>113</v>
      </c>
      <c r="D33" s="38"/>
      <c r="E33" s="51" t="s">
        <v>114</v>
      </c>
      <c r="F33" s="42"/>
      <c r="G33" s="3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A34" s="18"/>
      <c r="B34" s="48" t="s">
        <v>115</v>
      </c>
      <c r="C34" s="49" t="s">
        <v>113</v>
      </c>
      <c r="D34" s="38"/>
      <c r="E34" s="49" t="s">
        <v>116</v>
      </c>
      <c r="F34" s="42"/>
      <c r="G34" s="3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18"/>
      <c r="B35" s="50" t="s">
        <v>117</v>
      </c>
      <c r="C35" s="51" t="s">
        <v>118</v>
      </c>
      <c r="D35" s="38"/>
      <c r="E35" s="51" t="s">
        <v>118</v>
      </c>
      <c r="F35" s="42"/>
      <c r="G35" s="3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18"/>
      <c r="B36" s="48" t="s">
        <v>119</v>
      </c>
      <c r="C36" s="49" t="s">
        <v>120</v>
      </c>
      <c r="D36" s="38"/>
      <c r="E36" s="49" t="s">
        <v>121</v>
      </c>
      <c r="F36" s="42"/>
      <c r="G36" s="3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18"/>
      <c r="B37" s="50" t="s">
        <v>122</v>
      </c>
      <c r="C37" s="51" t="s">
        <v>123</v>
      </c>
      <c r="D37" s="38"/>
      <c r="E37" s="51" t="s">
        <v>123</v>
      </c>
      <c r="F37" s="42"/>
      <c r="G37" s="3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18"/>
      <c r="B39" s="30" t="s">
        <v>124</v>
      </c>
      <c r="C39" s="31"/>
      <c r="D39" s="31"/>
      <c r="E39" s="31"/>
      <c r="F39" s="31"/>
      <c r="G39" s="32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18"/>
      <c r="B40" s="40" t="s">
        <v>125</v>
      </c>
      <c r="C40" s="52" t="s">
        <v>126</v>
      </c>
      <c r="D40" s="53"/>
      <c r="E40" s="40" t="s">
        <v>54</v>
      </c>
      <c r="F40" s="54"/>
      <c r="G40" s="3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18"/>
      <c r="B41" s="40" t="s">
        <v>127</v>
      </c>
      <c r="C41" s="55" t="s">
        <v>128</v>
      </c>
      <c r="D41" s="53"/>
      <c r="E41" s="40" t="s">
        <v>129</v>
      </c>
      <c r="F41" s="54"/>
      <c r="G41" s="3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18"/>
      <c r="B42" s="40" t="s">
        <v>130</v>
      </c>
      <c r="C42" s="55">
        <v>56.0</v>
      </c>
      <c r="D42" s="53"/>
      <c r="E42" s="40" t="s">
        <v>131</v>
      </c>
      <c r="F42" s="54"/>
      <c r="G42" s="3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18"/>
      <c r="B43" s="40" t="s">
        <v>50</v>
      </c>
      <c r="C43" s="56">
        <f>(E47+E48)*8.7*3</f>
        <v>70156.8</v>
      </c>
      <c r="D43" s="53"/>
      <c r="E43" s="40" t="s">
        <v>52</v>
      </c>
      <c r="F43" s="41"/>
      <c r="G43" s="3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18"/>
      <c r="B45" s="30" t="s">
        <v>132</v>
      </c>
      <c r="C45" s="31"/>
      <c r="D45" s="31"/>
      <c r="E45" s="31"/>
      <c r="F45" s="31"/>
      <c r="G45" s="32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>
      <c r="A46" s="18"/>
      <c r="B46" s="57" t="s">
        <v>68</v>
      </c>
      <c r="C46" s="57" t="s">
        <v>133</v>
      </c>
      <c r="D46" s="57" t="s">
        <v>134</v>
      </c>
      <c r="E46" s="57" t="s">
        <v>135</v>
      </c>
      <c r="F46" s="57" t="s">
        <v>136</v>
      </c>
      <c r="G46" s="57" t="s">
        <v>137</v>
      </c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18"/>
      <c r="B47" s="58" t="s">
        <v>138</v>
      </c>
      <c r="C47" s="59" t="s">
        <v>70</v>
      </c>
      <c r="D47" s="60" t="s">
        <v>139</v>
      </c>
      <c r="E47" s="61">
        <v>1488.0</v>
      </c>
      <c r="F47" s="62">
        <v>6.05</v>
      </c>
      <c r="G47" s="62">
        <f t="shared" ref="G47:G48" si="1">E47*F47</f>
        <v>9002.4</v>
      </c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>
      <c r="A48" s="18"/>
      <c r="B48" s="63" t="s">
        <v>140</v>
      </c>
      <c r="C48" s="64" t="s">
        <v>84</v>
      </c>
      <c r="D48" s="65" t="s">
        <v>139</v>
      </c>
      <c r="E48" s="66">
        <v>1200.0</v>
      </c>
      <c r="F48" s="67">
        <v>10.07</v>
      </c>
      <c r="G48" s="67">
        <f t="shared" si="1"/>
        <v>12084</v>
      </c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18"/>
      <c r="B49" s="68" t="s">
        <v>141</v>
      </c>
      <c r="C49" s="47"/>
      <c r="D49" s="47"/>
      <c r="E49" s="47"/>
      <c r="F49" s="46"/>
      <c r="G49" s="69">
        <f>SUM(G47:G48)</f>
        <v>21086.4</v>
      </c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18"/>
      <c r="B50" s="70" t="s">
        <v>142</v>
      </c>
      <c r="C50" s="47"/>
      <c r="D50" s="47"/>
      <c r="E50" s="47"/>
      <c r="F50" s="47"/>
      <c r="G50" s="46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29"/>
      <c r="B52" s="29"/>
      <c r="C52" s="29"/>
      <c r="D52" s="29"/>
      <c r="E52" s="29"/>
      <c r="F52" s="29"/>
      <c r="G52" s="29"/>
      <c r="H52" s="29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>
      <c r="A53" s="18"/>
      <c r="B53" s="71" t="s">
        <v>143</v>
      </c>
      <c r="C53" s="47"/>
      <c r="D53" s="47"/>
      <c r="E53" s="47"/>
      <c r="F53" s="47"/>
      <c r="G53" s="46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mergeCells count="47">
    <mergeCell ref="A2:D8"/>
    <mergeCell ref="E2:H5"/>
    <mergeCell ref="E6:H8"/>
    <mergeCell ref="B12:G12"/>
    <mergeCell ref="F13:G13"/>
    <mergeCell ref="F14:G14"/>
    <mergeCell ref="F15:G15"/>
    <mergeCell ref="F16:G16"/>
    <mergeCell ref="B18:G18"/>
    <mergeCell ref="C19:G19"/>
    <mergeCell ref="C20:G20"/>
    <mergeCell ref="C21:G21"/>
    <mergeCell ref="C22:G22"/>
    <mergeCell ref="C23:G23"/>
    <mergeCell ref="E30:G30"/>
    <mergeCell ref="E31:G31"/>
    <mergeCell ref="E32:G32"/>
    <mergeCell ref="E33:G33"/>
    <mergeCell ref="E34:G34"/>
    <mergeCell ref="E35:G35"/>
    <mergeCell ref="E36:G36"/>
    <mergeCell ref="E37:G37"/>
    <mergeCell ref="C24:G24"/>
    <mergeCell ref="B26:G26"/>
    <mergeCell ref="C27:D27"/>
    <mergeCell ref="E27:G27"/>
    <mergeCell ref="C28:D28"/>
    <mergeCell ref="E28:G28"/>
    <mergeCell ref="E29:G29"/>
    <mergeCell ref="C29:D29"/>
    <mergeCell ref="C30:D30"/>
    <mergeCell ref="C31:D31"/>
    <mergeCell ref="C32:D32"/>
    <mergeCell ref="C33:D33"/>
    <mergeCell ref="C34:D34"/>
    <mergeCell ref="C35:D35"/>
    <mergeCell ref="B45:G45"/>
    <mergeCell ref="B49:F49"/>
    <mergeCell ref="B50:G50"/>
    <mergeCell ref="B53:G53"/>
    <mergeCell ref="C36:D36"/>
    <mergeCell ref="C37:D37"/>
    <mergeCell ref="B39:G39"/>
    <mergeCell ref="F40:G40"/>
    <mergeCell ref="F41:G41"/>
    <mergeCell ref="F42:G42"/>
    <mergeCell ref="F43:G43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2026-04-10T14:07:36Z</dcterms:created>
  <dc:creator>openpyxl</dc:creator>
</cp:coreProperties>
</file>