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PRODUCT" sheetId="2" state="visible" r:id="rId2"/>
    <sheet name="SYSTEM" sheetId="3" state="visible" r:id="rId3"/>
    <sheet name="INPUT_SYSTEM" sheetId="4" state="visible" r:id="rId4"/>
    <sheet name="INPUT_PRODUCT" sheetId="5" state="visible" r:id="rId5"/>
    <sheet name="SYSTEM_CALCULATION" sheetId="6" state="visible" r:id="rId6"/>
    <sheet name="PRODUCT_CALCULATION" sheetId="7" state="visible" r:id="rId7"/>
    <sheet name="LOGISTIC" sheetId="8" state="visible" r:id="rId8"/>
    <sheet name="FASSA PRE_ORDER" sheetId="9" state="visible" r:id="rId9"/>
    <sheet name="SYSTEM_OUTPUT" sheetId="10" state="visible" r:id="rId10"/>
    <sheet name="PRODUCT_OUTP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/d/yyyy"/>
    <numFmt numFmtId="166" formatCode="#,##0.00&quot; €&quot;"/>
  </numFmts>
  <fonts count="27">
    <font>
      <name val="Arial"/>
      <color rgb="FF000000"/>
      <sz val="10"/>
      <scheme val="minor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cheme val="minor"/>
    </font>
    <font>
      <name val="Arial"/>
      <b val="1"/>
      <color theme="1"/>
      <sz val="8"/>
    </font>
    <font>
      <name val="Arial"/>
      <color theme="1"/>
      <sz val="8"/>
    </font>
    <font>
      <name val="Arial"/>
      <b val="1"/>
      <color rgb="FFFFFFFF"/>
      <sz val="9"/>
    </font>
    <font>
      <name val="Calibri"/>
      <color theme="1"/>
      <sz val="11"/>
    </font>
    <font>
      <name val="Arial"/>
      <b val="1"/>
      <color rgb="FFFFFFFF"/>
    </font>
    <font/>
    <font>
      <name val="Arial"/>
      <i val="1"/>
      <color rgb="FF666666"/>
      <sz val="7"/>
    </font>
    <font>
      <name val="Arial"/>
      <b val="1"/>
      <color rgb="FFFFFFFF"/>
      <sz val="14"/>
    </font>
    <font>
      <name val="Arial"/>
      <b val="1"/>
      <color rgb="FFFFFFFF"/>
      <sz val="13"/>
    </font>
    <font>
      <name val="Arial"/>
      <color rgb="FFC5D5E8"/>
      <sz val="11"/>
    </font>
    <font>
      <name val="Arial"/>
      <b val="1"/>
      <color rgb="FF1A3557"/>
      <sz val="9"/>
    </font>
    <font>
      <name val="Arial"/>
      <b val="1"/>
      <color rgb="FF5C7A99"/>
      <sz val="8"/>
    </font>
    <font>
      <name val="Arial"/>
      <color rgb="FF1C2B3A"/>
      <sz val="9"/>
    </font>
    <font>
      <name val="Arial"/>
      <b val="1"/>
      <color rgb="FFFFFFFF"/>
      <sz val="8"/>
    </font>
    <font>
      <name val="Arial"/>
      <b val="1"/>
      <color rgb="FF1C2B3A"/>
      <sz val="8"/>
    </font>
    <font>
      <name val="Arial"/>
      <color rgb="FF5C7A99"/>
      <sz val="8"/>
    </font>
    <font>
      <name val="Arial"/>
      <b val="1"/>
      <color rgb="FFFFFFFF"/>
      <sz val="11"/>
    </font>
    <font>
      <name val="Arial"/>
      <i val="1"/>
      <color rgb="FFC00000"/>
      <sz val="8"/>
    </font>
    <font>
      <name val="Arial"/>
      <color rgb="FFC5D5E8"/>
      <sz val="8"/>
    </font>
    <font>
      <name val="Arial"/>
      <b val="1"/>
      <color theme="1"/>
      <sz val="14"/>
    </font>
    <font>
      <b val="1"/>
      <sz val="12"/>
    </font>
    <font>
      <b val="1"/>
    </font>
  </fonts>
  <fills count="21">
    <fill>
      <patternFill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D9F2D9"/>
        <bgColor rgb="FFD9F2D9"/>
      </patternFill>
    </fill>
    <fill>
      <patternFill patternType="solid">
        <fgColor rgb="FFE5E5E5"/>
        <bgColor rgb="FFE5E5E5"/>
      </patternFill>
    </fill>
    <fill>
      <patternFill patternType="solid">
        <fgColor rgb="FF1B3A5C"/>
        <bgColor rgb="FF1B3A5C"/>
      </patternFill>
    </fill>
    <fill>
      <patternFill patternType="solid">
        <fgColor rgb="FF2E6DA4"/>
        <bgColor rgb="FF2E6DA4"/>
      </patternFill>
    </fill>
    <fill>
      <patternFill patternType="solid">
        <fgColor rgb="FFDCFCE7"/>
        <bgColor rgb="FFDCFCE7"/>
      </patternFill>
    </fill>
    <fill>
      <patternFill patternType="solid">
        <fgColor rgb="FFFFF9E6"/>
        <bgColor rgb="FFFFF9E6"/>
      </patternFill>
    </fill>
    <fill>
      <patternFill patternType="solid">
        <fgColor rgb="FFEBF3FB"/>
        <bgColor rgb="FFEBF3FB"/>
      </patternFill>
    </fill>
    <fill>
      <patternFill patternType="solid">
        <fgColor rgb="FFDBEAFE"/>
        <bgColor rgb="FFDBEAFE"/>
      </patternFill>
    </fill>
    <fill>
      <patternFill patternType="solid">
        <fgColor rgb="FFFEF9C3"/>
        <bgColor rgb="FFFEF9C3"/>
      </patternFill>
    </fill>
    <fill>
      <patternFill patternType="solid">
        <fgColor rgb="FFFFE4E6"/>
        <bgColor rgb="FFFFE4E6"/>
      </patternFill>
    </fill>
    <fill>
      <patternFill patternType="solid">
        <fgColor rgb="FFF3E8FF"/>
        <bgColor rgb="FFF3E8FF"/>
      </patternFill>
    </fill>
    <fill>
      <patternFill patternType="solid">
        <fgColor rgb="FFFFF7ED"/>
        <bgColor rgb="FFFFF7ED"/>
      </patternFill>
    </fill>
    <fill>
      <patternFill patternType="solid">
        <fgColor rgb="FF1A3557"/>
        <bgColor rgb="FF1A3557"/>
      </patternFill>
    </fill>
    <fill>
      <patternFill patternType="solid">
        <fgColor rgb="FF2563A8"/>
        <bgColor rgb="FF2563A8"/>
      </patternFill>
    </fill>
    <fill>
      <patternFill patternType="solid">
        <fgColor rgb="FFEEF3F9"/>
        <bgColor rgb="FFEEF3F9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  <fill>
      <patternFill patternType="solid">
        <fgColor rgb="FFFFF2CC"/>
        <bgColor rgb="FFFFF2CC"/>
      </patternFill>
    </fill>
  </fills>
  <borders count="37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1B3A5C"/>
      </left>
      <top style="medium">
        <color rgb="FF1B3A5C"/>
      </top>
      <bottom style="medium">
        <color rgb="FF1B3A5C"/>
      </bottom>
    </border>
    <border>
      <top style="medium">
        <color rgb="FF1B3A5C"/>
      </top>
      <bottom style="medium">
        <color rgb="FF1B3A5C"/>
      </bottom>
    </border>
    <border>
      <right/>
      <top style="medium">
        <color rgb="FF1B3A5C"/>
      </top>
      <bottom style="medium">
        <color rgb="FF1B3A5C"/>
      </bottom>
    </border>
    <border>
      <left style="medium">
        <color rgb="FF1B3A5C"/>
      </left>
      <right/>
      <top style="medium">
        <color rgb="FF1B3A5C"/>
      </top>
      <bottom style="medium">
        <color rgb="FF1B3A5C"/>
      </bottom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medium">
        <color rgb="FF1B3A5C"/>
      </right>
      <top style="medium">
        <color rgb="FF1B3A5C"/>
      </top>
      <bottom style="medium">
        <color rgb="FF1B3A5C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 style="thin">
        <color rgb="FF2563A8"/>
      </bottom>
    </border>
    <border>
      <top/>
      <bottom style="thin">
        <color rgb="FF2563A8"/>
      </bottom>
    </border>
    <border>
      <right/>
      <top/>
      <bottom style="thin">
        <color rgb="FF2563A8"/>
      </bottom>
    </border>
    <border>
      <left/>
      <right/>
      <top/>
      <bottom style="thin">
        <color rgb="FFC5D5E8"/>
      </bottom>
    </border>
    <border>
      <left/>
      <top/>
      <bottom style="thin">
        <color rgb="FFC5D5E8"/>
      </bottom>
    </border>
    <border>
      <right/>
      <top/>
      <bottom style="thin">
        <color rgb="FFC5D5E8"/>
      </bottom>
    </border>
    <border>
      <top/>
      <bottom style="thin">
        <color rgb="FFC5D5E8"/>
      </bottom>
    </border>
    <border>
      <left/>
      <top/>
      <bottom/>
    </border>
    <border>
      <right/>
      <top/>
      <bottom/>
    </border>
    <border>
      <top/>
      <bottom/>
    </border>
    <border>
      <top style="medium">
        <color rgb="FF1B3A5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medium">
        <color rgb="FF1B3A5C"/>
      </right>
      <top style="medium">
        <color rgb="FF1B3A5C"/>
      </top>
    </border>
    <border>
      <left/>
      <right/>
      <top/>
      <bottom style="thin">
        <color rgb="FF2563A8"/>
      </bottom>
    </border>
    <border>
      <bottom style="thin">
        <color rgb="FF2563A8"/>
      </bottom>
    </border>
    <border>
      <bottom style="thin">
        <color rgb="FFC5D5E8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2" fontId="3" fillId="3" borderId="1" applyAlignment="1" pivotButton="0" quotePrefix="0" xfId="0">
      <alignment vertical="bottom"/>
    </xf>
    <xf numFmtId="10" fontId="3" fillId="3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164" fontId="3" fillId="3" borderId="1" applyAlignment="1" pivotButton="0" quotePrefix="0" xfId="0">
      <alignment vertical="bottom"/>
    </xf>
    <xf numFmtId="0" fontId="4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center" vertical="bottom"/>
    </xf>
    <xf numFmtId="9" fontId="3" fillId="0" borderId="0" applyAlignment="1" pivotButton="0" quotePrefix="0" xfId="0">
      <alignment horizontal="center" vertical="bottom"/>
    </xf>
    <xf numFmtId="1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left" vertical="bottom"/>
    </xf>
    <xf numFmtId="4" fontId="3" fillId="0" borderId="0" applyAlignment="1" pivotButton="0" quotePrefix="0" xfId="0">
      <alignment horizontal="center" vertical="bottom"/>
    </xf>
    <xf numFmtId="0" fontId="7" fillId="5" borderId="2" applyAlignment="1" pivotButton="0" quotePrefix="0" xfId="0">
      <alignment horizontal="center" wrapText="1"/>
    </xf>
    <xf numFmtId="0" fontId="8" fillId="0" borderId="0" applyAlignment="1" pivotButton="0" quotePrefix="0" xfId="0">
      <alignment vertical="bottom"/>
    </xf>
    <xf numFmtId="0" fontId="9" fillId="6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6" fillId="7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6" fillId="8" borderId="2" applyAlignment="1" pivotButton="0" quotePrefix="0" xfId="0">
      <alignment horizontal="right" vertical="top" wrapText="1"/>
    </xf>
    <xf numFmtId="0" fontId="5" fillId="9" borderId="2" applyAlignment="1" pivotButton="0" quotePrefix="0" xfId="0">
      <alignment horizontal="right" vertical="top" wrapText="1"/>
    </xf>
    <xf numFmtId="0" fontId="6" fillId="10" borderId="2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6" fillId="11" borderId="2" applyAlignment="1" pivotButton="0" quotePrefix="0" xfId="0">
      <alignment vertical="top" wrapText="1"/>
    </xf>
    <xf numFmtId="0" fontId="5" fillId="11" borderId="2" applyAlignment="1" pivotButton="0" quotePrefix="0" xfId="0">
      <alignment vertical="top" wrapText="1"/>
    </xf>
    <xf numFmtId="0" fontId="6" fillId="12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  <xf numFmtId="0" fontId="6" fillId="13" borderId="2" applyAlignment="1" pivotButton="0" quotePrefix="0" xfId="0">
      <alignment vertical="top" wrapText="1"/>
    </xf>
    <xf numFmtId="0" fontId="5" fillId="13" borderId="2" applyAlignment="1" pivotButton="0" quotePrefix="0" xfId="0">
      <alignment vertical="top" wrapText="1"/>
    </xf>
    <xf numFmtId="0" fontId="7" fillId="5" borderId="6" applyAlignment="1" pivotButton="0" quotePrefix="0" xfId="0">
      <alignment horizontal="right"/>
    </xf>
    <xf numFmtId="0" fontId="8" fillId="0" borderId="4" applyAlignment="1" pivotButton="0" quotePrefix="0" xfId="0">
      <alignment vertical="bottom"/>
    </xf>
    <xf numFmtId="0" fontId="7" fillId="5" borderId="7" applyAlignment="1" pivotButton="0" quotePrefix="0" xfId="0">
      <alignment horizontal="center"/>
    </xf>
    <xf numFmtId="0" fontId="9" fillId="6" borderId="6" pivotButton="0" quotePrefix="0" xfId="0"/>
    <xf numFmtId="0" fontId="6" fillId="7" borderId="8" applyAlignment="1" pivotButton="0" quotePrefix="0" xfId="0">
      <alignment vertical="top" wrapText="1"/>
    </xf>
    <xf numFmtId="0" fontId="10" fillId="0" borderId="9" pivotButton="0" quotePrefix="0" xfId="0"/>
    <xf numFmtId="0" fontId="10" fillId="0" borderId="10" pivotButton="0" quotePrefix="0" xfId="0"/>
    <xf numFmtId="0" fontId="6" fillId="7" borderId="2" applyAlignment="1" pivotButton="0" quotePrefix="0" xfId="0">
      <alignment horizontal="right" vertical="top" wrapText="1"/>
    </xf>
    <xf numFmtId="0" fontId="7" fillId="5" borderId="3" applyAlignment="1" pivotButton="0" quotePrefix="0" xfId="0">
      <alignment horizontal="right"/>
    </xf>
    <xf numFmtId="0" fontId="6" fillId="7" borderId="8" applyAlignment="1" pivotButton="0" quotePrefix="0" xfId="0">
      <alignment horizontal="right" vertical="top" wrapText="1"/>
    </xf>
    <xf numFmtId="0" fontId="6" fillId="13" borderId="8" applyAlignment="1" pivotButton="0" quotePrefix="0" xfId="0">
      <alignment vertical="top" wrapText="1"/>
    </xf>
    <xf numFmtId="0" fontId="10" fillId="0" borderId="11" pivotButton="0" quotePrefix="0" xfId="0"/>
    <xf numFmtId="0" fontId="6" fillId="12" borderId="8" applyAlignment="1" pivotButton="0" quotePrefix="0" xfId="0">
      <alignment vertical="top" wrapText="1"/>
    </xf>
    <xf numFmtId="0" fontId="6" fillId="11" borderId="8" applyAlignment="1" pivotButton="0" quotePrefix="0" xfId="0">
      <alignment vertical="top" wrapText="1"/>
    </xf>
    <xf numFmtId="0" fontId="6" fillId="10" borderId="8" applyAlignment="1" pivotButton="0" quotePrefix="0" xfId="0">
      <alignment vertical="top" wrapText="1"/>
    </xf>
    <xf numFmtId="0" fontId="6" fillId="14" borderId="2" applyAlignment="1" pivotButton="0" quotePrefix="0" xfId="0">
      <alignment vertical="top" wrapText="1"/>
    </xf>
    <xf numFmtId="0" fontId="5" fillId="14" borderId="2" applyAlignment="1" pivotButton="0" quotePrefix="0" xfId="0">
      <alignment vertical="top" wrapText="1"/>
    </xf>
    <xf numFmtId="0" fontId="6" fillId="14" borderId="8" applyAlignment="1" pivotButton="0" quotePrefix="0" xfId="0">
      <alignment vertical="top" wrapText="1"/>
    </xf>
    <xf numFmtId="0" fontId="6" fillId="12" borderId="2" applyAlignment="1" pivotButton="0" quotePrefix="0" xfId="0">
      <alignment horizontal="right" vertical="top" wrapText="1"/>
    </xf>
    <xf numFmtId="0" fontId="11" fillId="0" borderId="0" applyAlignment="1" pivotButton="0" quotePrefix="0" xfId="0">
      <alignment vertical="bottom" wrapText="1"/>
    </xf>
    <xf numFmtId="0" fontId="3" fillId="3" borderId="1" applyAlignment="1" pivotButton="0" quotePrefix="0" xfId="0">
      <alignment horizontal="center" vertical="bottom"/>
    </xf>
    <xf numFmtId="165" fontId="3" fillId="3" borderId="1" applyAlignment="1" pivotButton="0" quotePrefix="0" xfId="0">
      <alignment horizontal="center" vertical="bottom"/>
    </xf>
    <xf numFmtId="49" fontId="3" fillId="0" borderId="0" applyAlignment="1" pivotButton="0" quotePrefix="0" xfId="0">
      <alignment vertical="bottom"/>
    </xf>
    <xf numFmtId="2" fontId="3" fillId="0" borderId="0" applyAlignment="1" pivotButton="0" quotePrefix="0" xfId="0">
      <alignment vertical="bottom"/>
    </xf>
    <xf numFmtId="10" fontId="3" fillId="0" borderId="0" applyAlignment="1" pivotButton="0" quotePrefix="0" xfId="0">
      <alignment vertical="bottom"/>
    </xf>
    <xf numFmtId="2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4" fontId="3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2" fillId="15" borderId="12" applyAlignment="1" pivotButton="0" quotePrefix="0" xfId="0">
      <alignment horizontal="center"/>
    </xf>
    <xf numFmtId="0" fontId="10" fillId="0" borderId="13" pivotButton="0" quotePrefix="0" xfId="0"/>
    <xf numFmtId="0" fontId="10" fillId="0" borderId="14" pivotButton="0" quotePrefix="0" xfId="0"/>
    <xf numFmtId="4" fontId="13" fillId="15" borderId="12" applyAlignment="1" pivotButton="0" quotePrefix="0" xfId="0">
      <alignment horizontal="center"/>
    </xf>
    <xf numFmtId="0" fontId="10" fillId="0" borderId="15" pivotButton="0" quotePrefix="0" xfId="0"/>
    <xf numFmtId="0" fontId="10" fillId="0" borderId="16" pivotButton="0" quotePrefix="0" xfId="0"/>
    <xf numFmtId="0" fontId="10" fillId="0" borderId="17" pivotButton="0" quotePrefix="0" xfId="0"/>
    <xf numFmtId="0" fontId="10" fillId="0" borderId="18" pivotButton="0" quotePrefix="0" xfId="0"/>
    <xf numFmtId="0" fontId="10" fillId="0" borderId="19" pivotButton="0" quotePrefix="0" xfId="0"/>
    <xf numFmtId="0" fontId="14" fillId="15" borderId="12" applyAlignment="1" pivotButton="0" quotePrefix="0" xfId="0">
      <alignment horizontal="center" vertical="bottom"/>
    </xf>
    <xf numFmtId="0" fontId="8" fillId="16" borderId="1" applyAlignment="1" pivotButton="0" quotePrefix="0" xfId="0">
      <alignment vertical="bottom"/>
    </xf>
    <xf numFmtId="49" fontId="8" fillId="16" borderId="1" applyAlignment="1" pivotButton="0" quotePrefix="0" xfId="0">
      <alignment vertical="bottom"/>
    </xf>
    <xf numFmtId="4" fontId="8" fillId="16" borderId="1" applyAlignment="1" pivotButton="0" quotePrefix="0" xfId="0">
      <alignment vertical="bottom"/>
    </xf>
    <xf numFmtId="49" fontId="8" fillId="0" borderId="0" applyAlignment="1" pivotButton="0" quotePrefix="0" xfId="0">
      <alignment vertical="bottom"/>
    </xf>
    <xf numFmtId="4" fontId="8" fillId="0" borderId="0" applyAlignment="1" pivotButton="0" quotePrefix="0" xfId="0">
      <alignment vertical="bottom"/>
    </xf>
    <xf numFmtId="49" fontId="15" fillId="17" borderId="20" applyAlignment="1" pivotButton="0" quotePrefix="0" xfId="0">
      <alignment vertical="bottom"/>
    </xf>
    <xf numFmtId="0" fontId="10" fillId="0" borderId="21" pivotButton="0" quotePrefix="0" xfId="0"/>
    <xf numFmtId="0" fontId="10" fillId="0" borderId="22" pivotButton="0" quotePrefix="0" xfId="0"/>
    <xf numFmtId="49" fontId="16" fillId="18" borderId="23" applyAlignment="1" pivotButton="0" quotePrefix="0" xfId="0">
      <alignment vertical="top"/>
    </xf>
    <xf numFmtId="0" fontId="17" fillId="18" borderId="23" applyAlignment="1" pivotButton="0" quotePrefix="0" xfId="0">
      <alignment wrapText="1"/>
    </xf>
    <xf numFmtId="0" fontId="8" fillId="18" borderId="23" pivotButton="0" quotePrefix="0" xfId="0"/>
    <xf numFmtId="0" fontId="16" fillId="18" borderId="23" pivotButton="0" quotePrefix="0" xfId="0"/>
    <xf numFmtId="0" fontId="17" fillId="18" borderId="24" applyAlignment="1" pivotButton="0" quotePrefix="0" xfId="0">
      <alignment wrapText="1"/>
    </xf>
    <xf numFmtId="0" fontId="10" fillId="0" borderId="25" pivotButton="0" quotePrefix="0" xfId="0"/>
    <xf numFmtId="49" fontId="16" fillId="18" borderId="23" applyAlignment="1" pivotButton="0" quotePrefix="0" xfId="0">
      <alignment vertical="bottom"/>
    </xf>
    <xf numFmtId="0" fontId="17" fillId="18" borderId="24" applyAlignment="1" pivotButton="0" quotePrefix="0" xfId="0">
      <alignment vertical="bottom"/>
    </xf>
    <xf numFmtId="0" fontId="10" fillId="0" borderId="26" pivotButton="0" quotePrefix="0" xfId="0"/>
    <xf numFmtId="49" fontId="18" fillId="15" borderId="1" applyAlignment="1" pivotButton="0" quotePrefix="0" xfId="0">
      <alignment horizontal="center" vertical="bottom"/>
    </xf>
    <xf numFmtId="0" fontId="18" fillId="15" borderId="27" applyAlignment="1" pivotButton="0" quotePrefix="0" xfId="0">
      <alignment horizontal="center" vertical="bottom"/>
    </xf>
    <xf numFmtId="0" fontId="10" fillId="0" borderId="28" pivotButton="0" quotePrefix="0" xfId="0"/>
    <xf numFmtId="0" fontId="10" fillId="0" borderId="29" pivotButton="0" quotePrefix="0" xfId="0"/>
    <xf numFmtId="49" fontId="19" fillId="18" borderId="23" applyAlignment="1" pivotButton="0" quotePrefix="0" xfId="0">
      <alignment vertical="bottom"/>
    </xf>
    <xf numFmtId="0" fontId="17" fillId="18" borderId="24" applyAlignment="1" pivotButton="0" quotePrefix="0" xfId="0">
      <alignment horizontal="center" vertical="bottom"/>
    </xf>
    <xf numFmtId="49" fontId="19" fillId="19" borderId="23" applyAlignment="1" pivotButton="0" quotePrefix="0" xfId="0">
      <alignment vertical="bottom"/>
    </xf>
    <xf numFmtId="0" fontId="17" fillId="19" borderId="24" applyAlignment="1" pivotButton="0" quotePrefix="0" xfId="0">
      <alignment horizontal="center" vertical="bottom"/>
    </xf>
    <xf numFmtId="0" fontId="17" fillId="18" borderId="23" applyAlignment="1" pivotButton="0" quotePrefix="0" xfId="0">
      <alignment vertical="bottom"/>
    </xf>
    <xf numFmtId="0" fontId="8" fillId="18" borderId="23" applyAlignment="1" pivotButton="0" quotePrefix="0" xfId="0">
      <alignment vertical="bottom"/>
    </xf>
    <xf numFmtId="0" fontId="16" fillId="18" borderId="23" applyAlignment="1" pivotButton="0" quotePrefix="0" xfId="0">
      <alignment vertical="bottom"/>
    </xf>
    <xf numFmtId="0" fontId="8" fillId="18" borderId="24" applyAlignment="1" pivotButton="0" quotePrefix="0" xfId="0">
      <alignment vertical="bottom"/>
    </xf>
    <xf numFmtId="0" fontId="17" fillId="18" borderId="23" applyAlignment="1" pivotButton="0" quotePrefix="0" xfId="0">
      <alignment horizontal="left" vertical="bottom"/>
    </xf>
    <xf numFmtId="4" fontId="17" fillId="18" borderId="23" applyAlignment="1" pivotButton="0" quotePrefix="0" xfId="0">
      <alignment horizontal="left" vertical="bottom"/>
    </xf>
    <xf numFmtId="49" fontId="18" fillId="16" borderId="1" applyAlignment="1" pivotButton="0" quotePrefix="0" xfId="0">
      <alignment horizontal="center" vertical="bottom"/>
    </xf>
    <xf numFmtId="0" fontId="18" fillId="16" borderId="1" applyAlignment="1" pivotButton="0" quotePrefix="0" xfId="0">
      <alignment horizontal="center" vertical="bottom"/>
    </xf>
    <xf numFmtId="4" fontId="18" fillId="16" borderId="1" applyAlignment="1" pivotButton="0" quotePrefix="0" xfId="0">
      <alignment horizontal="center" vertical="bottom"/>
    </xf>
    <xf numFmtId="49" fontId="17" fillId="18" borderId="23" applyAlignment="1" pivotButton="0" quotePrefix="0" xfId="0">
      <alignment vertical="bottom" wrapText="1"/>
    </xf>
    <xf numFmtId="0" fontId="20" fillId="18" borderId="23" applyAlignment="1" pivotButton="0" quotePrefix="0" xfId="0">
      <alignment horizontal="center"/>
    </xf>
    <xf numFmtId="0" fontId="17" fillId="18" borderId="23" applyAlignment="1" pivotButton="0" quotePrefix="0" xfId="0">
      <alignment horizontal="center"/>
    </xf>
    <xf numFmtId="166" fontId="17" fillId="18" borderId="23" applyAlignment="1" pivotButton="0" quotePrefix="0" xfId="0">
      <alignment horizontal="center"/>
    </xf>
    <xf numFmtId="49" fontId="17" fillId="19" borderId="23" applyAlignment="1" pivotButton="0" quotePrefix="0" xfId="0">
      <alignment vertical="bottom" wrapText="1"/>
    </xf>
    <xf numFmtId="0" fontId="20" fillId="19" borderId="23" applyAlignment="1" pivotButton="0" quotePrefix="0" xfId="0">
      <alignment horizontal="center"/>
    </xf>
    <xf numFmtId="0" fontId="17" fillId="19" borderId="23" applyAlignment="1" pivotButton="0" quotePrefix="0" xfId="0">
      <alignment horizontal="center"/>
    </xf>
    <xf numFmtId="166" fontId="17" fillId="19" borderId="23" applyAlignment="1" pivotButton="0" quotePrefix="0" xfId="0">
      <alignment horizontal="center"/>
    </xf>
    <xf numFmtId="49" fontId="21" fillId="15" borderId="27" applyAlignment="1" pivotButton="0" quotePrefix="0" xfId="0">
      <alignment horizontal="right" vertical="bottom"/>
    </xf>
    <xf numFmtId="166" fontId="21" fillId="15" borderId="1" applyAlignment="1" pivotButton="0" quotePrefix="0" xfId="0">
      <alignment horizontal="center" vertical="bottom"/>
    </xf>
    <xf numFmtId="49" fontId="22" fillId="18" borderId="27" applyAlignment="1" pivotButton="0" quotePrefix="0" xfId="0">
      <alignment vertical="bottom"/>
    </xf>
    <xf numFmtId="49" fontId="23" fillId="15" borderId="27" applyAlignment="1" pivotButton="0" quotePrefix="0" xfId="0">
      <alignment horizontal="center" vertical="bottom"/>
    </xf>
    <xf numFmtId="0" fontId="24" fillId="2" borderId="27" applyAlignment="1" pivotButton="0" quotePrefix="0" xfId="0">
      <alignment horizontal="center" vertical="bottom"/>
    </xf>
    <xf numFmtId="165" fontId="3" fillId="0" borderId="0" applyAlignment="1" pivotButton="0" quotePrefix="0" xfId="0">
      <alignment horizontal="center" vertical="bottom"/>
    </xf>
    <xf numFmtId="0" fontId="1" fillId="20" borderId="1" applyAlignment="1" pivotButton="0" quotePrefix="0" xfId="0">
      <alignment vertical="bottom"/>
    </xf>
    <xf numFmtId="4" fontId="1" fillId="20" borderId="1" applyAlignment="1" pivotButton="0" quotePrefix="0" xfId="0">
      <alignment vertical="bottom"/>
    </xf>
    <xf numFmtId="0" fontId="0" fillId="0" borderId="0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5" borderId="7" applyAlignment="1" pivotButton="0" quotePrefix="0" xfId="0">
      <alignment horizontal="right"/>
    </xf>
    <xf numFmtId="0" fontId="0" fillId="0" borderId="11" pivotButton="0" quotePrefix="0" xfId="0"/>
    <xf numFmtId="0" fontId="12" fillId="15" borderId="1" applyAlignment="1" pivotButton="0" quotePrefix="0" xfId="0">
      <alignment horizontal="center"/>
    </xf>
    <xf numFmtId="4" fontId="13" fillId="15" borderId="1" applyAlignment="1" pivotButton="0" quotePrefix="0" xfId="0">
      <alignment horizontal="center"/>
    </xf>
    <xf numFmtId="0" fontId="14" fillId="15" borderId="1" applyAlignment="1" pivotButton="0" quotePrefix="0" xfId="0">
      <alignment horizontal="center" vertical="bottom"/>
    </xf>
    <xf numFmtId="49" fontId="15" fillId="17" borderId="34" applyAlignment="1" pivotButton="0" quotePrefix="0" xfId="0">
      <alignment vertical="bottom"/>
    </xf>
    <xf numFmtId="0" fontId="0" fillId="0" borderId="35" pivotButton="0" quotePrefix="0" xfId="0"/>
    <xf numFmtId="0" fontId="0" fillId="0" borderId="36" pivotButton="0" quotePrefix="0" xfId="0"/>
    <xf numFmtId="0" fontId="18" fillId="15" borderId="1" applyAlignment="1" pivotButton="0" quotePrefix="0" xfId="0">
      <alignment horizontal="center" vertical="bottom"/>
    </xf>
    <xf numFmtId="0" fontId="17" fillId="18" borderId="23" applyAlignment="1" pivotButton="0" quotePrefix="0" xfId="0">
      <alignment horizontal="center" vertical="bottom"/>
    </xf>
    <xf numFmtId="0" fontId="17" fillId="19" borderId="23" applyAlignment="1" pivotButton="0" quotePrefix="0" xfId="0">
      <alignment horizontal="center" vertical="bottom"/>
    </xf>
    <xf numFmtId="49" fontId="21" fillId="15" borderId="1" applyAlignment="1" pivotButton="0" quotePrefix="0" xfId="0">
      <alignment horizontal="right" vertical="bottom"/>
    </xf>
    <xf numFmtId="49" fontId="22" fillId="18" borderId="1" applyAlignment="1" pivotButton="0" quotePrefix="0" xfId="0">
      <alignment vertical="bottom"/>
    </xf>
    <xf numFmtId="49" fontId="23" fillId="15" borderId="1" applyAlignment="1" pivotButton="0" quotePrefix="0" xfId="0">
      <alignment horizontal="center" vertical="bottom"/>
    </xf>
    <xf numFmtId="0" fontId="24" fillId="2" borderId="1" applyAlignment="1" pivotButton="0" quotePrefix="0" xfId="0">
      <alignment horizontal="center" vertical="bottom"/>
    </xf>
    <xf numFmtId="0" fontId="25" fillId="0" borderId="0" pivotButton="0" quotePrefix="0" xfId="0"/>
    <xf numFmtId="0" fontId="26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1.75" customWidth="1" style="125" min="1" max="1"/>
    <col width="13.25" customWidth="1" style="125" min="2" max="2"/>
    <col width="31.5" customWidth="1" style="125" min="3" max="3"/>
    <col width="12.63" customWidth="1" style="125" min="4" max="6"/>
  </cols>
  <sheetData>
    <row r="1" ht="15.75" customHeight="1" s="125">
      <c r="A1" s="1" t="inlineStr">
        <is>
          <t>PARAMETRO</t>
        </is>
      </c>
      <c r="B1" s="1" t="inlineStr">
        <is>
          <t>VALOR</t>
        </is>
      </c>
      <c r="C1" s="1" t="inlineStr">
        <is>
          <t>NOTA</t>
        </is>
      </c>
      <c r="D1" s="2" t="n"/>
      <c r="E1" s="2" t="n"/>
      <c r="F1" s="2" t="n"/>
    </row>
    <row r="2" ht="15.75" customHeight="1" s="125">
      <c r="A2" s="62" t="inlineStr">
        <is>
          <t>TC_EUR_USD</t>
        </is>
      </c>
      <c r="B2" s="4" t="n">
        <v>1.17</v>
      </c>
      <c r="C2" s="62" t="inlineStr">
        <is>
          <t>Tipo de cambio EUR a USD</t>
        </is>
      </c>
      <c r="D2" s="2" t="n"/>
      <c r="E2" s="2" t="n"/>
      <c r="F2" s="2" t="n"/>
    </row>
    <row r="3" ht="15.75" customHeight="1" s="125">
      <c r="A3" s="62" t="inlineStr">
        <is>
          <t>TC_USD_RD</t>
        </is>
      </c>
      <c r="B3" s="4" t="n">
        <v>63</v>
      </c>
      <c r="C3" s="62" t="inlineStr">
        <is>
          <t>Tipo de cambio USD a RD$</t>
        </is>
      </c>
      <c r="D3" s="2" t="n"/>
      <c r="E3" s="2" t="n"/>
      <c r="F3" s="2" t="n"/>
    </row>
    <row r="4" ht="15.75" customHeight="1" s="125">
      <c r="A4" s="62" t="inlineStr">
        <is>
          <t>MONEDA</t>
        </is>
      </c>
      <c r="B4" s="5" t="inlineStr">
        <is>
          <t>USD</t>
        </is>
      </c>
      <c r="C4" s="62" t="inlineStr">
        <is>
          <t>Moneda visible al cliente</t>
        </is>
      </c>
      <c r="D4" s="2" t="n"/>
      <c r="E4" s="2" t="n"/>
      <c r="F4" s="2" t="n"/>
    </row>
    <row r="5" ht="15.75" customHeight="1" s="125">
      <c r="A5" s="62" t="inlineStr">
        <is>
          <t>INCOTERM</t>
        </is>
      </c>
      <c r="B5" s="4" t="inlineStr">
        <is>
          <t>EXW</t>
        </is>
      </c>
      <c r="C5" s="62" t="inlineStr">
        <is>
          <t>Incoterm por defecto</t>
        </is>
      </c>
      <c r="D5" s="2" t="n"/>
      <c r="E5" s="2" t="n"/>
      <c r="F5" s="2" t="n"/>
    </row>
    <row r="6" ht="15.75" customHeight="1" s="125">
      <c r="A6" s="62" t="inlineStr">
        <is>
          <t>MARGEN_ARIAS_BASE</t>
        </is>
      </c>
      <c r="B6" s="6" t="n">
        <v>0.2</v>
      </c>
      <c r="C6" s="62" t="inlineStr">
        <is>
          <t>Referencia orientativa. El margen real se define por proyecto en INPUT.</t>
        </is>
      </c>
      <c r="D6" s="2" t="n"/>
      <c r="E6" s="2" t="n"/>
      <c r="F6" s="2" t="n"/>
    </row>
    <row r="7" ht="15.75" customHeight="1" s="125">
      <c r="A7" s="62" t="inlineStr">
        <is>
          <t>MERMA_OBRA</t>
        </is>
      </c>
      <c r="B7" s="6" t="n">
        <v>0.05</v>
      </c>
      <c r="C7" s="62" t="inlineStr">
        <is>
          <t>Merma estandar en obra (5%)</t>
        </is>
      </c>
      <c r="D7" s="2" t="n"/>
      <c r="E7" s="2" t="n"/>
      <c r="F7" s="2" t="n"/>
    </row>
    <row r="8" ht="15.75" customHeight="1" s="125">
      <c r="A8" s="62" t="inlineStr">
        <is>
          <t>DIAS_VALIDEZ</t>
        </is>
      </c>
      <c r="B8" s="6" t="n">
        <v>15</v>
      </c>
      <c r="C8" s="62" t="inlineStr">
        <is>
          <t>Dias de validez comercial</t>
        </is>
      </c>
      <c r="D8" s="2" t="n"/>
      <c r="E8" s="2" t="n"/>
      <c r="F8" s="2" t="n"/>
    </row>
    <row r="9" ht="15.75" customHeight="1" s="125">
      <c r="A9" s="62" t="inlineStr">
        <is>
          <t>LOGISTICA_FOB</t>
        </is>
      </c>
      <c r="B9" s="7" t="inlineStr"/>
      <c r="C9" s="62" t="inlineStr">
        <is>
          <t>Pendiente tarifa Amura Cargo</t>
        </is>
      </c>
      <c r="D9" s="2" t="n"/>
      <c r="E9" s="2" t="n"/>
      <c r="F9" s="2" t="n"/>
    </row>
    <row r="10" ht="15.75" customHeight="1" s="125">
      <c r="A10" s="8" t="inlineStr">
        <is>
          <t>LOGISTICA_CIF</t>
        </is>
      </c>
      <c r="B10" s="8" t="inlineStr"/>
      <c r="C10" s="8" t="inlineStr">
        <is>
          <t>Pendiente tarifa Amura Cargo</t>
        </is>
      </c>
      <c r="D10" s="2" t="n"/>
      <c r="E10" s="2" t="n"/>
      <c r="F10" s="2" t="n"/>
    </row>
    <row r="11" ht="15.75" customHeight="1" s="125">
      <c r="A11" s="8" t="inlineStr">
        <is>
          <t>FECHA_ACTUALIZACION_TC</t>
        </is>
      </c>
      <c r="B11" s="8" t="inlineStr">
        <is>
          <t>2026-04-09</t>
        </is>
      </c>
      <c r="C11" s="8" t="inlineStr">
        <is>
          <t>Fecha de actualizacion</t>
        </is>
      </c>
      <c r="D11" s="2" t="n"/>
      <c r="E11" s="2" t="n"/>
      <c r="F11" s="2" t="n"/>
    </row>
    <row r="12" ht="15.75" customHeight="1" s="125">
      <c r="A12" s="2" t="n"/>
      <c r="B12" s="2" t="n"/>
      <c r="C12" s="2" t="n"/>
      <c r="D12" s="2" t="n"/>
      <c r="E12" s="2" t="n"/>
      <c r="F12" s="2" t="n"/>
    </row>
    <row r="13" ht="15.75" customHeight="1" s="125">
      <c r="A13" s="2" t="n"/>
      <c r="B13" s="2" t="n"/>
      <c r="C13" s="2" t="n"/>
      <c r="D13" s="2" t="n"/>
      <c r="E13" s="2" t="n"/>
      <c r="F13" s="2" t="n"/>
    </row>
    <row r="14" ht="15.75" customHeight="1" s="125">
      <c r="A14" s="2" t="n"/>
      <c r="B14" s="2" t="n"/>
      <c r="C14" s="2" t="n"/>
      <c r="D14" s="2" t="n"/>
      <c r="E14" s="2" t="n"/>
      <c r="F14" s="2" t="n"/>
    </row>
    <row r="15" ht="15.75" customHeight="1" s="125">
      <c r="A15" s="2" t="n"/>
      <c r="B15" s="2" t="n"/>
      <c r="C15" s="2" t="n"/>
      <c r="D15" s="2" t="n"/>
      <c r="E15" s="2" t="n"/>
      <c r="F15" s="2" t="n"/>
    </row>
    <row r="16" ht="15.75" customHeight="1" s="125">
      <c r="A16" s="2" t="n"/>
      <c r="B16" s="2" t="n"/>
      <c r="C16" s="2" t="n"/>
      <c r="D16" s="2" t="n"/>
      <c r="E16" s="2" t="n"/>
      <c r="F16" s="2" t="n"/>
    </row>
    <row r="17" ht="15.75" customHeight="1" s="125">
      <c r="A17" s="2" t="n"/>
      <c r="B17" s="2" t="n"/>
      <c r="C17" s="2" t="n"/>
      <c r="D17" s="2" t="n"/>
      <c r="E17" s="2" t="n"/>
      <c r="F17" s="2" t="n"/>
    </row>
    <row r="18" ht="15.75" customHeight="1" s="125">
      <c r="A18" s="2" t="n"/>
      <c r="B18" s="2" t="n"/>
      <c r="C18" s="2" t="n"/>
      <c r="D18" s="2" t="n"/>
      <c r="E18" s="2" t="n"/>
      <c r="F18" s="2" t="n"/>
    </row>
    <row r="19" ht="15.75" customHeight="1" s="125">
      <c r="A19" s="2" t="n"/>
      <c r="B19" s="2" t="n"/>
      <c r="C19" s="2" t="n"/>
      <c r="D19" s="2" t="n"/>
      <c r="E19" s="2" t="n"/>
      <c r="F19" s="2" t="n"/>
    </row>
    <row r="20" ht="15.75" customHeight="1" s="125">
      <c r="A20" s="2" t="n"/>
      <c r="B20" s="2" t="n"/>
      <c r="C20" s="2" t="n"/>
      <c r="D20" s="2" t="n"/>
      <c r="E20" s="2" t="n"/>
      <c r="F20" s="2" t="n"/>
    </row>
    <row r="21" ht="15.75" customHeight="1" s="125">
      <c r="A21" s="2" t="n"/>
      <c r="B21" s="2" t="n"/>
      <c r="C21" s="2" t="n"/>
      <c r="D21" s="2" t="n"/>
      <c r="E21" s="2" t="n"/>
      <c r="F21" s="2" t="n"/>
    </row>
    <row r="22" ht="15.75" customHeight="1" s="125">
      <c r="A22" s="2" t="n"/>
      <c r="B22" s="2" t="n"/>
      <c r="C22" s="2" t="n"/>
      <c r="D22" s="2" t="n"/>
      <c r="E22" s="2" t="n"/>
      <c r="F22" s="2" t="n"/>
    </row>
    <row r="23" ht="15.75" customHeight="1" s="125">
      <c r="A23" s="2" t="n"/>
      <c r="B23" s="2" t="n"/>
      <c r="C23" s="2" t="n"/>
      <c r="D23" s="2" t="n"/>
      <c r="E23" s="2" t="n"/>
      <c r="F23" s="2" t="n"/>
    </row>
    <row r="24" ht="15.75" customHeight="1" s="125">
      <c r="A24" s="2" t="n"/>
      <c r="B24" s="2" t="n"/>
      <c r="C24" s="2" t="n"/>
      <c r="D24" s="2" t="n"/>
      <c r="E24" s="2" t="n"/>
      <c r="F24" s="2" t="n"/>
    </row>
    <row r="25" ht="15.75" customHeight="1" s="125">
      <c r="A25" s="2" t="n"/>
      <c r="B25" s="2" t="n"/>
      <c r="C25" s="2" t="n"/>
      <c r="D25" s="2" t="n"/>
      <c r="E25" s="2" t="n"/>
      <c r="F25" s="2" t="n"/>
    </row>
    <row r="26" ht="15.75" customHeight="1" s="125">
      <c r="A26" s="2" t="n"/>
      <c r="B26" s="2" t="n"/>
      <c r="C26" s="2" t="n"/>
      <c r="D26" s="2" t="n"/>
      <c r="E26" s="2" t="n"/>
      <c r="F26" s="2" t="n"/>
    </row>
    <row r="27" ht="15.75" customHeight="1" s="125">
      <c r="A27" s="2" t="n"/>
      <c r="B27" s="2" t="n"/>
      <c r="C27" s="2" t="n"/>
      <c r="D27" s="2" t="n"/>
      <c r="E27" s="2" t="n"/>
      <c r="F27" s="2" t="n"/>
    </row>
    <row r="28" ht="15.75" customHeight="1" s="125">
      <c r="A28" s="2" t="n"/>
      <c r="B28" s="2" t="n"/>
      <c r="C28" s="2" t="n"/>
      <c r="D28" s="2" t="n"/>
      <c r="E28" s="2" t="n"/>
      <c r="F28" s="2" t="n"/>
    </row>
    <row r="29" ht="15.75" customHeight="1" s="125">
      <c r="A29" s="2" t="n"/>
      <c r="B29" s="2" t="n"/>
      <c r="C29" s="2" t="n"/>
      <c r="D29" s="2" t="n"/>
      <c r="E29" s="2" t="n"/>
      <c r="F29" s="2" t="n"/>
    </row>
    <row r="30" ht="15.75" customHeight="1" s="125">
      <c r="A30" s="2" t="n"/>
      <c r="B30" s="2" t="n"/>
      <c r="C30" s="2" t="n"/>
      <c r="D30" s="2" t="n"/>
      <c r="E30" s="2" t="n"/>
      <c r="F30" s="2" t="n"/>
    </row>
    <row r="31" ht="15.75" customHeight="1" s="125">
      <c r="A31" s="2" t="n"/>
      <c r="B31" s="2" t="n"/>
      <c r="C31" s="2" t="n"/>
      <c r="D31" s="2" t="n"/>
      <c r="E31" s="2" t="n"/>
      <c r="F31" s="2" t="n"/>
    </row>
    <row r="32" ht="15.75" customHeight="1" s="125">
      <c r="A32" s="2" t="n"/>
      <c r="B32" s="2" t="n"/>
      <c r="C32" s="2" t="n"/>
      <c r="D32" s="2" t="n"/>
      <c r="E32" s="2" t="n"/>
      <c r="F32" s="2" t="n"/>
    </row>
    <row r="33" ht="15.75" customHeight="1" s="125">
      <c r="A33" s="2" t="n"/>
      <c r="B33" s="2" t="n"/>
      <c r="C33" s="2" t="n"/>
      <c r="D33" s="2" t="n"/>
      <c r="E33" s="2" t="n"/>
      <c r="F33" s="2" t="n"/>
    </row>
    <row r="34" ht="15.75" customHeight="1" s="125">
      <c r="A34" s="2" t="n"/>
      <c r="B34" s="2" t="n"/>
      <c r="C34" s="2" t="n"/>
      <c r="D34" s="2" t="n"/>
      <c r="E34" s="2" t="n"/>
      <c r="F34" s="2" t="n"/>
    </row>
    <row r="35" ht="15.75" customHeight="1" s="125">
      <c r="A35" s="2" t="n"/>
      <c r="B35" s="2" t="n"/>
      <c r="C35" s="2" t="n"/>
      <c r="D35" s="2" t="n"/>
      <c r="E35" s="2" t="n"/>
      <c r="F35" s="2" t="n"/>
    </row>
    <row r="36" ht="15.75" customHeight="1" s="125">
      <c r="A36" s="2" t="n"/>
      <c r="B36" s="2" t="n"/>
      <c r="C36" s="2" t="n"/>
      <c r="D36" s="2" t="n"/>
      <c r="E36" s="2" t="n"/>
      <c r="F36" s="2" t="n"/>
    </row>
    <row r="37" ht="15.75" customHeight="1" s="125">
      <c r="A37" s="2" t="n"/>
      <c r="B37" s="2" t="n"/>
      <c r="C37" s="2" t="n"/>
      <c r="D37" s="2" t="n"/>
      <c r="E37" s="2" t="n"/>
      <c r="F37" s="2" t="n"/>
    </row>
    <row r="38" ht="15.75" customHeight="1" s="125">
      <c r="A38" s="2" t="n"/>
      <c r="B38" s="2" t="n"/>
      <c r="C38" s="2" t="n"/>
      <c r="D38" s="2" t="n"/>
      <c r="E38" s="2" t="n"/>
      <c r="F38" s="2" t="n"/>
    </row>
    <row r="39" ht="15.75" customHeight="1" s="125">
      <c r="A39" s="2" t="n"/>
      <c r="B39" s="2" t="n"/>
      <c r="C39" s="2" t="n"/>
      <c r="D39" s="2" t="n"/>
      <c r="E39" s="2" t="n"/>
      <c r="F39" s="2" t="n"/>
    </row>
    <row r="40" ht="15.75" customHeight="1" s="125">
      <c r="A40" s="2" t="n"/>
      <c r="B40" s="2" t="n"/>
      <c r="C40" s="2" t="n"/>
      <c r="D40" s="2" t="n"/>
      <c r="E40" s="2" t="n"/>
      <c r="F40" s="2" t="n"/>
    </row>
    <row r="41" ht="15.75" customHeight="1" s="125">
      <c r="A41" s="2" t="n"/>
      <c r="B41" s="2" t="n"/>
      <c r="C41" s="2" t="n"/>
      <c r="D41" s="2" t="n"/>
      <c r="E41" s="2" t="n"/>
      <c r="F41" s="2" t="n"/>
    </row>
    <row r="42" ht="15.75" customHeight="1" s="125">
      <c r="A42" s="2" t="n"/>
      <c r="B42" s="2" t="n"/>
      <c r="C42" s="2" t="n"/>
      <c r="D42" s="2" t="n"/>
      <c r="E42" s="2" t="n"/>
      <c r="F42" s="2" t="n"/>
    </row>
    <row r="43" ht="15.75" customHeight="1" s="125">
      <c r="A43" s="2" t="n"/>
      <c r="B43" s="2" t="n"/>
      <c r="C43" s="2" t="n"/>
      <c r="D43" s="2" t="n"/>
      <c r="E43" s="2" t="n"/>
      <c r="F43" s="2" t="n"/>
    </row>
    <row r="44" ht="15.75" customHeight="1" s="125">
      <c r="A44" s="2" t="n"/>
      <c r="B44" s="2" t="n"/>
      <c r="C44" s="2" t="n"/>
      <c r="D44" s="2" t="n"/>
      <c r="E44" s="2" t="n"/>
      <c r="F44" s="2" t="n"/>
    </row>
    <row r="45" ht="15.75" customHeight="1" s="125">
      <c r="A45" s="2" t="n"/>
      <c r="B45" s="2" t="n"/>
      <c r="C45" s="2" t="n"/>
      <c r="D45" s="2" t="n"/>
      <c r="E45" s="2" t="n"/>
      <c r="F45" s="2" t="n"/>
    </row>
    <row r="46" ht="15.75" customHeight="1" s="125">
      <c r="A46" s="2" t="n"/>
      <c r="B46" s="2" t="n"/>
      <c r="C46" s="2" t="n"/>
      <c r="D46" s="2" t="n"/>
      <c r="E46" s="2" t="n"/>
      <c r="F46" s="2" t="n"/>
    </row>
    <row r="47" ht="15.75" customHeight="1" s="125">
      <c r="A47" s="2" t="n"/>
      <c r="B47" s="2" t="n"/>
      <c r="C47" s="2" t="n"/>
      <c r="D47" s="2" t="n"/>
      <c r="E47" s="2" t="n"/>
      <c r="F47" s="2" t="n"/>
    </row>
    <row r="48" ht="15.75" customHeight="1" s="125">
      <c r="A48" s="2" t="n"/>
      <c r="B48" s="2" t="n"/>
      <c r="C48" s="2" t="n"/>
      <c r="D48" s="2" t="n"/>
      <c r="E48" s="2" t="n"/>
      <c r="F48" s="2" t="n"/>
    </row>
    <row r="49" ht="15.75" customHeight="1" s="125">
      <c r="A49" s="2" t="n"/>
      <c r="B49" s="2" t="n"/>
      <c r="C49" s="2" t="n"/>
      <c r="D49" s="2" t="n"/>
      <c r="E49" s="2" t="n"/>
      <c r="F49" s="2" t="n"/>
    </row>
    <row r="50" ht="15.75" customHeight="1" s="125">
      <c r="A50" s="2" t="n"/>
      <c r="B50" s="2" t="n"/>
      <c r="C50" s="2" t="n"/>
      <c r="D50" s="2" t="n"/>
      <c r="E50" s="2" t="n"/>
      <c r="F50" s="2" t="n"/>
    </row>
    <row r="51" ht="15.75" customHeight="1" s="125">
      <c r="A51" s="2" t="n"/>
      <c r="B51" s="2" t="n"/>
      <c r="C51" s="2" t="n"/>
      <c r="D51" s="2" t="n"/>
      <c r="E51" s="2" t="n"/>
      <c r="F51" s="2" t="n"/>
    </row>
    <row r="52" ht="15.75" customHeight="1" s="125">
      <c r="A52" s="2" t="n"/>
      <c r="B52" s="2" t="n"/>
      <c r="C52" s="2" t="n"/>
      <c r="D52" s="2" t="n"/>
      <c r="E52" s="2" t="n"/>
      <c r="F52" s="2" t="n"/>
    </row>
    <row r="53" ht="15.75" customHeight="1" s="125">
      <c r="A53" s="2" t="n"/>
      <c r="B53" s="2" t="n"/>
      <c r="C53" s="2" t="n"/>
      <c r="D53" s="2" t="n"/>
      <c r="E53" s="2" t="n"/>
      <c r="F53" s="2" t="n"/>
    </row>
    <row r="54" ht="15.75" customHeight="1" s="125">
      <c r="A54" s="2" t="n"/>
      <c r="B54" s="2" t="n"/>
      <c r="C54" s="2" t="n"/>
      <c r="D54" s="2" t="n"/>
      <c r="E54" s="2" t="n"/>
      <c r="F54" s="2" t="n"/>
    </row>
    <row r="55" ht="15.75" customHeight="1" s="125">
      <c r="A55" s="2" t="n"/>
      <c r="B55" s="2" t="n"/>
      <c r="C55" s="2" t="n"/>
      <c r="D55" s="2" t="n"/>
      <c r="E55" s="2" t="n"/>
      <c r="F55" s="2" t="n"/>
    </row>
    <row r="56" ht="15.75" customHeight="1" s="125">
      <c r="A56" s="2" t="n"/>
      <c r="B56" s="2" t="n"/>
      <c r="C56" s="2" t="n"/>
      <c r="D56" s="2" t="n"/>
      <c r="E56" s="2" t="n"/>
      <c r="F56" s="2" t="n"/>
    </row>
    <row r="57" ht="15.75" customHeight="1" s="125">
      <c r="A57" s="2" t="n"/>
      <c r="B57" s="2" t="n"/>
      <c r="C57" s="2" t="n"/>
      <c r="D57" s="2" t="n"/>
      <c r="E57" s="2" t="n"/>
      <c r="F57" s="2" t="n"/>
    </row>
    <row r="58" ht="15.75" customHeight="1" s="125">
      <c r="A58" s="2" t="n"/>
      <c r="B58" s="2" t="n"/>
      <c r="C58" s="2" t="n"/>
      <c r="D58" s="2" t="n"/>
      <c r="E58" s="2" t="n"/>
      <c r="F58" s="2" t="n"/>
    </row>
    <row r="59" ht="15.75" customHeight="1" s="125">
      <c r="A59" s="2" t="n"/>
      <c r="B59" s="2" t="n"/>
      <c r="C59" s="2" t="n"/>
      <c r="D59" s="2" t="n"/>
      <c r="E59" s="2" t="n"/>
      <c r="F59" s="2" t="n"/>
    </row>
    <row r="60" ht="15.75" customHeight="1" s="125">
      <c r="A60" s="2" t="n"/>
      <c r="B60" s="2" t="n"/>
      <c r="C60" s="2" t="n"/>
      <c r="D60" s="2" t="n"/>
      <c r="E60" s="2" t="n"/>
      <c r="F60" s="2" t="n"/>
    </row>
    <row r="61" ht="15.75" customHeight="1" s="125">
      <c r="A61" s="2" t="n"/>
      <c r="B61" s="2" t="n"/>
      <c r="C61" s="2" t="n"/>
      <c r="D61" s="2" t="n"/>
      <c r="E61" s="2" t="n"/>
      <c r="F61" s="2" t="n"/>
    </row>
    <row r="62" ht="15.75" customHeight="1" s="125">
      <c r="A62" s="2" t="n"/>
      <c r="B62" s="2" t="n"/>
      <c r="C62" s="2" t="n"/>
      <c r="D62" s="2" t="n"/>
      <c r="E62" s="2" t="n"/>
      <c r="F62" s="2" t="n"/>
    </row>
    <row r="63" ht="15.75" customHeight="1" s="125">
      <c r="A63" s="2" t="n"/>
      <c r="B63" s="2" t="n"/>
      <c r="C63" s="2" t="n"/>
      <c r="D63" s="2" t="n"/>
      <c r="E63" s="2" t="n"/>
      <c r="F63" s="2" t="n"/>
    </row>
    <row r="64" ht="15.75" customHeight="1" s="125">
      <c r="A64" s="2" t="n"/>
      <c r="B64" s="2" t="n"/>
      <c r="C64" s="2" t="n"/>
      <c r="D64" s="2" t="n"/>
      <c r="E64" s="2" t="n"/>
      <c r="F64" s="2" t="n"/>
    </row>
    <row r="65" ht="15.75" customHeight="1" s="125">
      <c r="A65" s="2" t="n"/>
      <c r="B65" s="2" t="n"/>
      <c r="C65" s="2" t="n"/>
      <c r="D65" s="2" t="n"/>
      <c r="E65" s="2" t="n"/>
      <c r="F65" s="2" t="n"/>
    </row>
    <row r="66" ht="15.75" customHeight="1" s="125">
      <c r="A66" s="2" t="n"/>
      <c r="B66" s="2" t="n"/>
      <c r="C66" s="2" t="n"/>
      <c r="D66" s="2" t="n"/>
      <c r="E66" s="2" t="n"/>
      <c r="F66" s="2" t="n"/>
    </row>
    <row r="67" ht="15.75" customHeight="1" s="125">
      <c r="A67" s="2" t="n"/>
      <c r="B67" s="2" t="n"/>
      <c r="C67" s="2" t="n"/>
      <c r="D67" s="2" t="n"/>
      <c r="E67" s="2" t="n"/>
      <c r="F67" s="2" t="n"/>
    </row>
    <row r="68" ht="15.75" customHeight="1" s="125">
      <c r="A68" s="2" t="n"/>
      <c r="B68" s="2" t="n"/>
      <c r="C68" s="2" t="n"/>
      <c r="D68" s="2" t="n"/>
      <c r="E68" s="2" t="n"/>
      <c r="F68" s="2" t="n"/>
    </row>
    <row r="69" ht="15.75" customHeight="1" s="125">
      <c r="A69" s="2" t="n"/>
      <c r="B69" s="2" t="n"/>
      <c r="C69" s="2" t="n"/>
      <c r="D69" s="2" t="n"/>
      <c r="E69" s="2" t="n"/>
      <c r="F69" s="2" t="n"/>
    </row>
    <row r="70" ht="15.75" customHeight="1" s="125">
      <c r="A70" s="2" t="n"/>
      <c r="B70" s="2" t="n"/>
      <c r="C70" s="2" t="n"/>
      <c r="D70" s="2" t="n"/>
      <c r="E70" s="2" t="n"/>
      <c r="F70" s="2" t="n"/>
    </row>
    <row r="71" ht="15.75" customHeight="1" s="125">
      <c r="A71" s="2" t="n"/>
      <c r="B71" s="2" t="n"/>
      <c r="C71" s="2" t="n"/>
      <c r="D71" s="2" t="n"/>
      <c r="E71" s="2" t="n"/>
      <c r="F71" s="2" t="n"/>
    </row>
    <row r="72" ht="15.75" customHeight="1" s="125">
      <c r="A72" s="2" t="n"/>
      <c r="B72" s="2" t="n"/>
      <c r="C72" s="2" t="n"/>
      <c r="D72" s="2" t="n"/>
      <c r="E72" s="2" t="n"/>
      <c r="F72" s="2" t="n"/>
    </row>
    <row r="73" ht="15.75" customHeight="1" s="125">
      <c r="A73" s="2" t="n"/>
      <c r="B73" s="2" t="n"/>
      <c r="C73" s="2" t="n"/>
      <c r="D73" s="2" t="n"/>
      <c r="E73" s="2" t="n"/>
      <c r="F73" s="2" t="n"/>
    </row>
    <row r="74" ht="15.75" customHeight="1" s="125">
      <c r="A74" s="2" t="n"/>
      <c r="B74" s="2" t="n"/>
      <c r="C74" s="2" t="n"/>
      <c r="D74" s="2" t="n"/>
      <c r="E74" s="2" t="n"/>
      <c r="F74" s="2" t="n"/>
    </row>
    <row r="75" ht="15.75" customHeight="1" s="125">
      <c r="A75" s="2" t="n"/>
      <c r="B75" s="2" t="n"/>
      <c r="C75" s="2" t="n"/>
      <c r="D75" s="2" t="n"/>
      <c r="E75" s="2" t="n"/>
      <c r="F75" s="2" t="n"/>
    </row>
    <row r="76" ht="15.75" customHeight="1" s="125">
      <c r="A76" s="2" t="n"/>
      <c r="B76" s="2" t="n"/>
      <c r="C76" s="2" t="n"/>
      <c r="D76" s="2" t="n"/>
      <c r="E76" s="2" t="n"/>
      <c r="F76" s="2" t="n"/>
    </row>
    <row r="77" ht="15.75" customHeight="1" s="125">
      <c r="A77" s="2" t="n"/>
      <c r="B77" s="2" t="n"/>
      <c r="C77" s="2" t="n"/>
      <c r="D77" s="2" t="n"/>
      <c r="E77" s="2" t="n"/>
      <c r="F77" s="2" t="n"/>
    </row>
    <row r="78" ht="15.75" customHeight="1" s="125">
      <c r="A78" s="2" t="n"/>
      <c r="B78" s="2" t="n"/>
      <c r="C78" s="2" t="n"/>
      <c r="D78" s="2" t="n"/>
      <c r="E78" s="2" t="n"/>
      <c r="F78" s="2" t="n"/>
    </row>
    <row r="79" ht="15.75" customHeight="1" s="125">
      <c r="A79" s="2" t="n"/>
      <c r="B79" s="2" t="n"/>
      <c r="C79" s="2" t="n"/>
      <c r="D79" s="2" t="n"/>
      <c r="E79" s="2" t="n"/>
      <c r="F79" s="2" t="n"/>
    </row>
    <row r="80" ht="15.75" customHeight="1" s="125">
      <c r="A80" s="2" t="n"/>
      <c r="B80" s="2" t="n"/>
      <c r="C80" s="2" t="n"/>
      <c r="D80" s="2" t="n"/>
      <c r="E80" s="2" t="n"/>
      <c r="F80" s="2" t="n"/>
    </row>
    <row r="81" ht="15.75" customHeight="1" s="125">
      <c r="A81" s="2" t="n"/>
      <c r="B81" s="2" t="n"/>
      <c r="C81" s="2" t="n"/>
      <c r="D81" s="2" t="n"/>
      <c r="E81" s="2" t="n"/>
      <c r="F81" s="2" t="n"/>
    </row>
    <row r="82" ht="15.75" customHeight="1" s="125">
      <c r="A82" s="2" t="n"/>
      <c r="B82" s="2" t="n"/>
      <c r="C82" s="2" t="n"/>
      <c r="D82" s="2" t="n"/>
      <c r="E82" s="2" t="n"/>
      <c r="F82" s="2" t="n"/>
    </row>
    <row r="83" ht="15.75" customHeight="1" s="125">
      <c r="A83" s="2" t="n"/>
      <c r="B83" s="2" t="n"/>
      <c r="C83" s="2" t="n"/>
      <c r="D83" s="2" t="n"/>
      <c r="E83" s="2" t="n"/>
      <c r="F83" s="2" t="n"/>
    </row>
    <row r="84" ht="15.75" customHeight="1" s="125">
      <c r="A84" s="2" t="n"/>
      <c r="B84" s="2" t="n"/>
      <c r="C84" s="2" t="n"/>
      <c r="D84" s="2" t="n"/>
      <c r="E84" s="2" t="n"/>
      <c r="F84" s="2" t="n"/>
    </row>
    <row r="85" ht="15.75" customHeight="1" s="125">
      <c r="A85" s="2" t="n"/>
      <c r="B85" s="2" t="n"/>
      <c r="C85" s="2" t="n"/>
      <c r="D85" s="2" t="n"/>
      <c r="E85" s="2" t="n"/>
      <c r="F85" s="2" t="n"/>
    </row>
    <row r="86" ht="15.75" customHeight="1" s="125">
      <c r="A86" s="2" t="n"/>
      <c r="B86" s="2" t="n"/>
      <c r="C86" s="2" t="n"/>
      <c r="D86" s="2" t="n"/>
      <c r="E86" s="2" t="n"/>
      <c r="F86" s="2" t="n"/>
    </row>
    <row r="87" ht="15.75" customHeight="1" s="125">
      <c r="A87" s="2" t="n"/>
      <c r="B87" s="2" t="n"/>
      <c r="C87" s="2" t="n"/>
      <c r="D87" s="2" t="n"/>
      <c r="E87" s="2" t="n"/>
      <c r="F87" s="2" t="n"/>
    </row>
    <row r="88" ht="15.75" customHeight="1" s="125">
      <c r="A88" s="2" t="n"/>
      <c r="B88" s="2" t="n"/>
      <c r="C88" s="2" t="n"/>
      <c r="D88" s="2" t="n"/>
      <c r="E88" s="2" t="n"/>
      <c r="F88" s="2" t="n"/>
    </row>
    <row r="89" ht="15.75" customHeight="1" s="125">
      <c r="A89" s="2" t="n"/>
      <c r="B89" s="2" t="n"/>
      <c r="C89" s="2" t="n"/>
      <c r="D89" s="2" t="n"/>
      <c r="E89" s="2" t="n"/>
      <c r="F89" s="2" t="n"/>
    </row>
    <row r="90" ht="15.75" customHeight="1" s="125">
      <c r="A90" s="2" t="n"/>
      <c r="B90" s="2" t="n"/>
      <c r="C90" s="2" t="n"/>
      <c r="D90" s="2" t="n"/>
      <c r="E90" s="2" t="n"/>
      <c r="F90" s="2" t="n"/>
    </row>
    <row r="91" ht="15.75" customHeight="1" s="125">
      <c r="A91" s="2" t="n"/>
      <c r="B91" s="2" t="n"/>
      <c r="C91" s="2" t="n"/>
      <c r="D91" s="2" t="n"/>
      <c r="E91" s="2" t="n"/>
      <c r="F91" s="2" t="n"/>
    </row>
    <row r="92" ht="15.75" customHeight="1" s="125">
      <c r="A92" s="2" t="n"/>
      <c r="B92" s="2" t="n"/>
      <c r="C92" s="2" t="n"/>
      <c r="D92" s="2" t="n"/>
      <c r="E92" s="2" t="n"/>
      <c r="F92" s="2" t="n"/>
    </row>
    <row r="93" ht="15.75" customHeight="1" s="125">
      <c r="A93" s="2" t="n"/>
      <c r="B93" s="2" t="n"/>
      <c r="C93" s="2" t="n"/>
      <c r="D93" s="2" t="n"/>
      <c r="E93" s="2" t="n"/>
      <c r="F93" s="2" t="n"/>
    </row>
    <row r="94" ht="15.75" customHeight="1" s="125">
      <c r="A94" s="2" t="n"/>
      <c r="B94" s="2" t="n"/>
      <c r="C94" s="2" t="n"/>
      <c r="D94" s="2" t="n"/>
      <c r="E94" s="2" t="n"/>
      <c r="F94" s="2" t="n"/>
    </row>
    <row r="95" ht="15.75" customHeight="1" s="125">
      <c r="A95" s="2" t="n"/>
      <c r="B95" s="2" t="n"/>
      <c r="C95" s="2" t="n"/>
      <c r="D95" s="2" t="n"/>
      <c r="E95" s="2" t="n"/>
      <c r="F95" s="2" t="n"/>
    </row>
    <row r="96" ht="15.75" customHeight="1" s="125">
      <c r="A96" s="2" t="n"/>
      <c r="B96" s="2" t="n"/>
      <c r="C96" s="2" t="n"/>
      <c r="D96" s="2" t="n"/>
      <c r="E96" s="2" t="n"/>
      <c r="F96" s="2" t="n"/>
    </row>
    <row r="97" ht="15.75" customHeight="1" s="125">
      <c r="A97" s="2" t="n"/>
      <c r="B97" s="2" t="n"/>
      <c r="C97" s="2" t="n"/>
      <c r="D97" s="2" t="n"/>
      <c r="E97" s="2" t="n"/>
      <c r="F97" s="2" t="n"/>
    </row>
    <row r="98" ht="15.75" customHeight="1" s="125">
      <c r="A98" s="2" t="n"/>
      <c r="B98" s="2" t="n"/>
      <c r="C98" s="2" t="n"/>
      <c r="D98" s="2" t="n"/>
      <c r="E98" s="2" t="n"/>
      <c r="F98" s="2" t="n"/>
    </row>
    <row r="99" ht="15.75" customHeight="1" s="125">
      <c r="A99" s="2" t="n"/>
      <c r="B99" s="2" t="n"/>
      <c r="C99" s="2" t="n"/>
      <c r="D99" s="2" t="n"/>
      <c r="E99" s="2" t="n"/>
      <c r="F99" s="2" t="n"/>
    </row>
    <row r="100" ht="15.75" customHeight="1" s="125">
      <c r="A100" s="2" t="n"/>
      <c r="B100" s="2" t="n"/>
      <c r="C100" s="2" t="n"/>
      <c r="D100" s="2" t="n"/>
      <c r="E100" s="2" t="n"/>
      <c r="F100" s="2" t="n"/>
    </row>
    <row r="101" ht="15.75" customHeight="1" s="125">
      <c r="A101" s="2" t="n"/>
      <c r="B101" s="2" t="n"/>
      <c r="C101" s="2" t="n"/>
      <c r="D101" s="2" t="n"/>
      <c r="E101" s="2" t="n"/>
      <c r="F101" s="2" t="n"/>
    </row>
    <row r="102" ht="15.75" customHeight="1" s="125">
      <c r="A102" s="2" t="n"/>
      <c r="B102" s="2" t="n"/>
      <c r="C102" s="2" t="n"/>
      <c r="D102" s="2" t="n"/>
      <c r="E102" s="2" t="n"/>
      <c r="F102" s="2" t="n"/>
    </row>
    <row r="103" ht="15.75" customHeight="1" s="125">
      <c r="A103" s="2" t="n"/>
      <c r="B103" s="2" t="n"/>
      <c r="C103" s="2" t="n"/>
      <c r="D103" s="2" t="n"/>
      <c r="E103" s="2" t="n"/>
      <c r="F103" s="2" t="n"/>
    </row>
    <row r="104" ht="15.75" customHeight="1" s="125">
      <c r="A104" s="2" t="n"/>
      <c r="B104" s="2" t="n"/>
      <c r="C104" s="2" t="n"/>
      <c r="D104" s="2" t="n"/>
      <c r="E104" s="2" t="n"/>
      <c r="F104" s="2" t="n"/>
    </row>
    <row r="105" ht="15.75" customHeight="1" s="125">
      <c r="A105" s="2" t="n"/>
      <c r="B105" s="2" t="n"/>
      <c r="C105" s="2" t="n"/>
      <c r="D105" s="2" t="n"/>
      <c r="E105" s="2" t="n"/>
      <c r="F105" s="2" t="n"/>
    </row>
    <row r="106" ht="15.75" customHeight="1" s="125">
      <c r="A106" s="2" t="n"/>
      <c r="B106" s="2" t="n"/>
      <c r="C106" s="2" t="n"/>
      <c r="D106" s="2" t="n"/>
      <c r="E106" s="2" t="n"/>
      <c r="F106" s="2" t="n"/>
    </row>
    <row r="107" ht="15.75" customHeight="1" s="125">
      <c r="A107" s="2" t="n"/>
      <c r="B107" s="2" t="n"/>
      <c r="C107" s="2" t="n"/>
      <c r="D107" s="2" t="n"/>
      <c r="E107" s="2" t="n"/>
      <c r="F107" s="2" t="n"/>
    </row>
    <row r="108" ht="15.75" customHeight="1" s="125">
      <c r="A108" s="2" t="n"/>
      <c r="B108" s="2" t="n"/>
      <c r="C108" s="2" t="n"/>
      <c r="D108" s="2" t="n"/>
      <c r="E108" s="2" t="n"/>
      <c r="F108" s="2" t="n"/>
    </row>
    <row r="109" ht="15.75" customHeight="1" s="125">
      <c r="A109" s="2" t="n"/>
      <c r="B109" s="2" t="n"/>
      <c r="C109" s="2" t="n"/>
      <c r="D109" s="2" t="n"/>
      <c r="E109" s="2" t="n"/>
      <c r="F109" s="2" t="n"/>
    </row>
    <row r="110" ht="15.75" customHeight="1" s="125">
      <c r="A110" s="2" t="n"/>
      <c r="B110" s="2" t="n"/>
      <c r="C110" s="2" t="n"/>
      <c r="D110" s="2" t="n"/>
      <c r="E110" s="2" t="n"/>
      <c r="F110" s="2" t="n"/>
    </row>
    <row r="111" ht="15.75" customHeight="1" s="125">
      <c r="A111" s="2" t="n"/>
      <c r="B111" s="2" t="n"/>
      <c r="C111" s="2" t="n"/>
      <c r="D111" s="2" t="n"/>
      <c r="E111" s="2" t="n"/>
      <c r="F111" s="2" t="n"/>
    </row>
    <row r="112" ht="15.75" customHeight="1" s="125">
      <c r="A112" s="2" t="n"/>
      <c r="B112" s="2" t="n"/>
      <c r="C112" s="2" t="n"/>
      <c r="D112" s="2" t="n"/>
      <c r="E112" s="2" t="n"/>
      <c r="F112" s="2" t="n"/>
    </row>
    <row r="113" ht="15.75" customHeight="1" s="125">
      <c r="A113" s="2" t="n"/>
      <c r="B113" s="2" t="n"/>
      <c r="C113" s="2" t="n"/>
      <c r="D113" s="2" t="n"/>
      <c r="E113" s="2" t="n"/>
      <c r="F113" s="2" t="n"/>
    </row>
    <row r="114" ht="15.75" customHeight="1" s="125">
      <c r="A114" s="2" t="n"/>
      <c r="B114" s="2" t="n"/>
      <c r="C114" s="2" t="n"/>
      <c r="D114" s="2" t="n"/>
      <c r="E114" s="2" t="n"/>
      <c r="F114" s="2" t="n"/>
    </row>
    <row r="115" ht="15.75" customHeight="1" s="125">
      <c r="A115" s="2" t="n"/>
      <c r="B115" s="2" t="n"/>
      <c r="C115" s="2" t="n"/>
      <c r="D115" s="2" t="n"/>
      <c r="E115" s="2" t="n"/>
      <c r="F115" s="2" t="n"/>
    </row>
    <row r="116" ht="15.75" customHeight="1" s="125">
      <c r="A116" s="2" t="n"/>
      <c r="B116" s="2" t="n"/>
      <c r="C116" s="2" t="n"/>
      <c r="D116" s="2" t="n"/>
      <c r="E116" s="2" t="n"/>
      <c r="F116" s="2" t="n"/>
    </row>
    <row r="117" ht="15.75" customHeight="1" s="125">
      <c r="A117" s="2" t="n"/>
      <c r="B117" s="2" t="n"/>
      <c r="C117" s="2" t="n"/>
      <c r="D117" s="2" t="n"/>
      <c r="E117" s="2" t="n"/>
      <c r="F117" s="2" t="n"/>
    </row>
    <row r="118" ht="15.75" customHeight="1" s="125">
      <c r="A118" s="2" t="n"/>
      <c r="B118" s="2" t="n"/>
      <c r="C118" s="2" t="n"/>
      <c r="D118" s="2" t="n"/>
      <c r="E118" s="2" t="n"/>
      <c r="F118" s="2" t="n"/>
    </row>
    <row r="119" ht="15.75" customHeight="1" s="125">
      <c r="A119" s="2" t="n"/>
      <c r="B119" s="2" t="n"/>
      <c r="C119" s="2" t="n"/>
      <c r="D119" s="2" t="n"/>
      <c r="E119" s="2" t="n"/>
      <c r="F119" s="2" t="n"/>
    </row>
    <row r="120" ht="15.75" customHeight="1" s="125">
      <c r="A120" s="2" t="n"/>
      <c r="B120" s="2" t="n"/>
      <c r="C120" s="2" t="n"/>
      <c r="D120" s="2" t="n"/>
      <c r="E120" s="2" t="n"/>
      <c r="F120" s="2" t="n"/>
    </row>
    <row r="121" ht="15.75" customHeight="1" s="125">
      <c r="A121" s="2" t="n"/>
      <c r="B121" s="2" t="n"/>
      <c r="C121" s="2" t="n"/>
      <c r="D121" s="2" t="n"/>
      <c r="E121" s="2" t="n"/>
      <c r="F121" s="2" t="n"/>
    </row>
    <row r="122" ht="15.75" customHeight="1" s="125">
      <c r="A122" s="2" t="n"/>
      <c r="B122" s="2" t="n"/>
      <c r="C122" s="2" t="n"/>
      <c r="D122" s="2" t="n"/>
      <c r="E122" s="2" t="n"/>
      <c r="F122" s="2" t="n"/>
    </row>
    <row r="123" ht="15.75" customHeight="1" s="125">
      <c r="A123" s="2" t="n"/>
      <c r="B123" s="2" t="n"/>
      <c r="C123" s="2" t="n"/>
      <c r="D123" s="2" t="n"/>
      <c r="E123" s="2" t="n"/>
      <c r="F123" s="2" t="n"/>
    </row>
    <row r="124" ht="15.75" customHeight="1" s="125">
      <c r="A124" s="2" t="n"/>
      <c r="B124" s="2" t="n"/>
      <c r="C124" s="2" t="n"/>
      <c r="D124" s="2" t="n"/>
      <c r="E124" s="2" t="n"/>
      <c r="F124" s="2" t="n"/>
    </row>
    <row r="125" ht="15.75" customHeight="1" s="125">
      <c r="A125" s="2" t="n"/>
      <c r="B125" s="2" t="n"/>
      <c r="C125" s="2" t="n"/>
      <c r="D125" s="2" t="n"/>
      <c r="E125" s="2" t="n"/>
      <c r="F125" s="2" t="n"/>
    </row>
    <row r="126" ht="15.75" customHeight="1" s="125">
      <c r="A126" s="2" t="n"/>
      <c r="B126" s="2" t="n"/>
      <c r="C126" s="2" t="n"/>
      <c r="D126" s="2" t="n"/>
      <c r="E126" s="2" t="n"/>
      <c r="F126" s="2" t="n"/>
    </row>
    <row r="127" ht="15.75" customHeight="1" s="125">
      <c r="A127" s="2" t="n"/>
      <c r="B127" s="2" t="n"/>
      <c r="C127" s="2" t="n"/>
      <c r="D127" s="2" t="n"/>
      <c r="E127" s="2" t="n"/>
      <c r="F127" s="2" t="n"/>
    </row>
    <row r="128" ht="15.75" customHeight="1" s="125">
      <c r="A128" s="2" t="n"/>
      <c r="B128" s="2" t="n"/>
      <c r="C128" s="2" t="n"/>
      <c r="D128" s="2" t="n"/>
      <c r="E128" s="2" t="n"/>
      <c r="F128" s="2" t="n"/>
    </row>
    <row r="129" ht="15.75" customHeight="1" s="125">
      <c r="A129" s="2" t="n"/>
      <c r="B129" s="2" t="n"/>
      <c r="C129" s="2" t="n"/>
      <c r="D129" s="2" t="n"/>
      <c r="E129" s="2" t="n"/>
      <c r="F129" s="2" t="n"/>
    </row>
    <row r="130" ht="15.75" customHeight="1" s="125">
      <c r="A130" s="2" t="n"/>
      <c r="B130" s="2" t="n"/>
      <c r="C130" s="2" t="n"/>
      <c r="D130" s="2" t="n"/>
      <c r="E130" s="2" t="n"/>
      <c r="F130" s="2" t="n"/>
    </row>
    <row r="131" ht="15.75" customHeight="1" s="125">
      <c r="A131" s="2" t="n"/>
      <c r="B131" s="2" t="n"/>
      <c r="C131" s="2" t="n"/>
      <c r="D131" s="2" t="n"/>
      <c r="E131" s="2" t="n"/>
      <c r="F131" s="2" t="n"/>
    </row>
    <row r="132" ht="15.75" customHeight="1" s="125">
      <c r="A132" s="2" t="n"/>
      <c r="B132" s="2" t="n"/>
      <c r="C132" s="2" t="n"/>
      <c r="D132" s="2" t="n"/>
      <c r="E132" s="2" t="n"/>
      <c r="F132" s="2" t="n"/>
    </row>
    <row r="133" ht="15.75" customHeight="1" s="125">
      <c r="A133" s="2" t="n"/>
      <c r="B133" s="2" t="n"/>
      <c r="C133" s="2" t="n"/>
      <c r="D133" s="2" t="n"/>
      <c r="E133" s="2" t="n"/>
      <c r="F133" s="2" t="n"/>
    </row>
    <row r="134" ht="15.75" customHeight="1" s="125">
      <c r="A134" s="2" t="n"/>
      <c r="B134" s="2" t="n"/>
      <c r="C134" s="2" t="n"/>
      <c r="D134" s="2" t="n"/>
      <c r="E134" s="2" t="n"/>
      <c r="F134" s="2" t="n"/>
    </row>
    <row r="135" ht="15.75" customHeight="1" s="125">
      <c r="A135" s="2" t="n"/>
      <c r="B135" s="2" t="n"/>
      <c r="C135" s="2" t="n"/>
      <c r="D135" s="2" t="n"/>
      <c r="E135" s="2" t="n"/>
      <c r="F135" s="2" t="n"/>
    </row>
    <row r="136" ht="15.75" customHeight="1" s="125">
      <c r="A136" s="2" t="n"/>
      <c r="B136" s="2" t="n"/>
      <c r="C136" s="2" t="n"/>
      <c r="D136" s="2" t="n"/>
      <c r="E136" s="2" t="n"/>
      <c r="F136" s="2" t="n"/>
    </row>
    <row r="137" ht="15.75" customHeight="1" s="125">
      <c r="A137" s="2" t="n"/>
      <c r="B137" s="2" t="n"/>
      <c r="C137" s="2" t="n"/>
      <c r="D137" s="2" t="n"/>
      <c r="E137" s="2" t="n"/>
      <c r="F137" s="2" t="n"/>
    </row>
    <row r="138" ht="15.75" customHeight="1" s="125">
      <c r="A138" s="2" t="n"/>
      <c r="B138" s="2" t="n"/>
      <c r="C138" s="2" t="n"/>
      <c r="D138" s="2" t="n"/>
      <c r="E138" s="2" t="n"/>
      <c r="F138" s="2" t="n"/>
    </row>
    <row r="139" ht="15.75" customHeight="1" s="125">
      <c r="A139" s="2" t="n"/>
      <c r="B139" s="2" t="n"/>
      <c r="C139" s="2" t="n"/>
      <c r="D139" s="2" t="n"/>
      <c r="E139" s="2" t="n"/>
      <c r="F139" s="2" t="n"/>
    </row>
    <row r="140" ht="15.75" customHeight="1" s="125">
      <c r="A140" s="2" t="n"/>
      <c r="B140" s="2" t="n"/>
      <c r="C140" s="2" t="n"/>
      <c r="D140" s="2" t="n"/>
      <c r="E140" s="2" t="n"/>
      <c r="F140" s="2" t="n"/>
    </row>
    <row r="141" ht="15.75" customHeight="1" s="125">
      <c r="A141" s="2" t="n"/>
      <c r="B141" s="2" t="n"/>
      <c r="C141" s="2" t="n"/>
      <c r="D141" s="2" t="n"/>
      <c r="E141" s="2" t="n"/>
      <c r="F141" s="2" t="n"/>
    </row>
    <row r="142" ht="15.75" customHeight="1" s="125">
      <c r="A142" s="2" t="n"/>
      <c r="B142" s="2" t="n"/>
      <c r="C142" s="2" t="n"/>
      <c r="D142" s="2" t="n"/>
      <c r="E142" s="2" t="n"/>
      <c r="F142" s="2" t="n"/>
    </row>
    <row r="143" ht="15.75" customHeight="1" s="125">
      <c r="A143" s="2" t="n"/>
      <c r="B143" s="2" t="n"/>
      <c r="C143" s="2" t="n"/>
      <c r="D143" s="2" t="n"/>
      <c r="E143" s="2" t="n"/>
      <c r="F143" s="2" t="n"/>
    </row>
    <row r="144" ht="15.75" customHeight="1" s="125">
      <c r="A144" s="2" t="n"/>
      <c r="B144" s="2" t="n"/>
      <c r="C144" s="2" t="n"/>
      <c r="D144" s="2" t="n"/>
      <c r="E144" s="2" t="n"/>
      <c r="F144" s="2" t="n"/>
    </row>
    <row r="145" ht="15.75" customHeight="1" s="125">
      <c r="A145" s="2" t="n"/>
      <c r="B145" s="2" t="n"/>
      <c r="C145" s="2" t="n"/>
      <c r="D145" s="2" t="n"/>
      <c r="E145" s="2" t="n"/>
      <c r="F145" s="2" t="n"/>
    </row>
    <row r="146" ht="15.75" customHeight="1" s="125">
      <c r="A146" s="2" t="n"/>
      <c r="B146" s="2" t="n"/>
      <c r="C146" s="2" t="n"/>
      <c r="D146" s="2" t="n"/>
      <c r="E146" s="2" t="n"/>
      <c r="F146" s="2" t="n"/>
    </row>
    <row r="147" ht="15.75" customHeight="1" s="125">
      <c r="A147" s="2" t="n"/>
      <c r="B147" s="2" t="n"/>
      <c r="C147" s="2" t="n"/>
      <c r="D147" s="2" t="n"/>
      <c r="E147" s="2" t="n"/>
      <c r="F147" s="2" t="n"/>
    </row>
    <row r="148" ht="15.75" customHeight="1" s="125">
      <c r="A148" s="2" t="n"/>
      <c r="B148" s="2" t="n"/>
      <c r="C148" s="2" t="n"/>
      <c r="D148" s="2" t="n"/>
      <c r="E148" s="2" t="n"/>
      <c r="F148" s="2" t="n"/>
    </row>
    <row r="149" ht="15.75" customHeight="1" s="125">
      <c r="A149" s="2" t="n"/>
      <c r="B149" s="2" t="n"/>
      <c r="C149" s="2" t="n"/>
      <c r="D149" s="2" t="n"/>
      <c r="E149" s="2" t="n"/>
      <c r="F149" s="2" t="n"/>
    </row>
    <row r="150" ht="15.75" customHeight="1" s="125">
      <c r="A150" s="2" t="n"/>
      <c r="B150" s="2" t="n"/>
      <c r="C150" s="2" t="n"/>
      <c r="D150" s="2" t="n"/>
      <c r="E150" s="2" t="n"/>
      <c r="F150" s="2" t="n"/>
    </row>
    <row r="151" ht="15.75" customHeight="1" s="125">
      <c r="A151" s="2" t="n"/>
      <c r="B151" s="2" t="n"/>
      <c r="C151" s="2" t="n"/>
      <c r="D151" s="2" t="n"/>
      <c r="E151" s="2" t="n"/>
      <c r="F151" s="2" t="n"/>
    </row>
    <row r="152" ht="15.75" customHeight="1" s="125">
      <c r="A152" s="2" t="n"/>
      <c r="B152" s="2" t="n"/>
      <c r="C152" s="2" t="n"/>
      <c r="D152" s="2" t="n"/>
      <c r="E152" s="2" t="n"/>
      <c r="F152" s="2" t="n"/>
    </row>
    <row r="153" ht="15.75" customHeight="1" s="125">
      <c r="A153" s="2" t="n"/>
      <c r="B153" s="2" t="n"/>
      <c r="C153" s="2" t="n"/>
      <c r="D153" s="2" t="n"/>
      <c r="E153" s="2" t="n"/>
      <c r="F153" s="2" t="n"/>
    </row>
    <row r="154" ht="15.75" customHeight="1" s="125">
      <c r="A154" s="2" t="n"/>
      <c r="B154" s="2" t="n"/>
      <c r="C154" s="2" t="n"/>
      <c r="D154" s="2" t="n"/>
      <c r="E154" s="2" t="n"/>
      <c r="F154" s="2" t="n"/>
    </row>
    <row r="155" ht="15.75" customHeight="1" s="125">
      <c r="A155" s="2" t="n"/>
      <c r="B155" s="2" t="n"/>
      <c r="C155" s="2" t="n"/>
      <c r="D155" s="2" t="n"/>
      <c r="E155" s="2" t="n"/>
      <c r="F155" s="2" t="n"/>
    </row>
    <row r="156" ht="15.75" customHeight="1" s="125">
      <c r="A156" s="2" t="n"/>
      <c r="B156" s="2" t="n"/>
      <c r="C156" s="2" t="n"/>
      <c r="D156" s="2" t="n"/>
      <c r="E156" s="2" t="n"/>
      <c r="F156" s="2" t="n"/>
    </row>
    <row r="157" ht="15.75" customHeight="1" s="125">
      <c r="A157" s="2" t="n"/>
      <c r="B157" s="2" t="n"/>
      <c r="C157" s="2" t="n"/>
      <c r="D157" s="2" t="n"/>
      <c r="E157" s="2" t="n"/>
      <c r="F157" s="2" t="n"/>
    </row>
    <row r="158" ht="15.75" customHeight="1" s="125">
      <c r="A158" s="2" t="n"/>
      <c r="B158" s="2" t="n"/>
      <c r="C158" s="2" t="n"/>
      <c r="D158" s="2" t="n"/>
      <c r="E158" s="2" t="n"/>
      <c r="F158" s="2" t="n"/>
    </row>
    <row r="159" ht="15.75" customHeight="1" s="125">
      <c r="A159" s="2" t="n"/>
      <c r="B159" s="2" t="n"/>
      <c r="C159" s="2" t="n"/>
      <c r="D159" s="2" t="n"/>
      <c r="E159" s="2" t="n"/>
      <c r="F159" s="2" t="n"/>
    </row>
    <row r="160" ht="15.75" customHeight="1" s="125">
      <c r="A160" s="2" t="n"/>
      <c r="B160" s="2" t="n"/>
      <c r="C160" s="2" t="n"/>
      <c r="D160" s="2" t="n"/>
      <c r="E160" s="2" t="n"/>
      <c r="F160" s="2" t="n"/>
    </row>
    <row r="161" ht="15.75" customHeight="1" s="125">
      <c r="A161" s="2" t="n"/>
      <c r="B161" s="2" t="n"/>
      <c r="C161" s="2" t="n"/>
      <c r="D161" s="2" t="n"/>
      <c r="E161" s="2" t="n"/>
      <c r="F161" s="2" t="n"/>
    </row>
    <row r="162" ht="15.75" customHeight="1" s="125">
      <c r="A162" s="2" t="n"/>
      <c r="B162" s="2" t="n"/>
      <c r="C162" s="2" t="n"/>
      <c r="D162" s="2" t="n"/>
      <c r="E162" s="2" t="n"/>
      <c r="F162" s="2" t="n"/>
    </row>
    <row r="163" ht="15.75" customHeight="1" s="125">
      <c r="A163" s="2" t="n"/>
      <c r="B163" s="2" t="n"/>
      <c r="C163" s="2" t="n"/>
      <c r="D163" s="2" t="n"/>
      <c r="E163" s="2" t="n"/>
      <c r="F163" s="2" t="n"/>
    </row>
    <row r="164" ht="15.75" customHeight="1" s="125">
      <c r="A164" s="2" t="n"/>
      <c r="B164" s="2" t="n"/>
      <c r="C164" s="2" t="n"/>
      <c r="D164" s="2" t="n"/>
      <c r="E164" s="2" t="n"/>
      <c r="F164" s="2" t="n"/>
    </row>
    <row r="165" ht="15.75" customHeight="1" s="125">
      <c r="A165" s="2" t="n"/>
      <c r="B165" s="2" t="n"/>
      <c r="C165" s="2" t="n"/>
      <c r="D165" s="2" t="n"/>
      <c r="E165" s="2" t="n"/>
      <c r="F165" s="2" t="n"/>
    </row>
    <row r="166" ht="15.75" customHeight="1" s="125">
      <c r="A166" s="2" t="n"/>
      <c r="B166" s="2" t="n"/>
      <c r="C166" s="2" t="n"/>
      <c r="D166" s="2" t="n"/>
      <c r="E166" s="2" t="n"/>
      <c r="F166" s="2" t="n"/>
    </row>
    <row r="167" ht="15.75" customHeight="1" s="125">
      <c r="A167" s="2" t="n"/>
      <c r="B167" s="2" t="n"/>
      <c r="C167" s="2" t="n"/>
      <c r="D167" s="2" t="n"/>
      <c r="E167" s="2" t="n"/>
      <c r="F167" s="2" t="n"/>
    </row>
    <row r="168" ht="15.75" customHeight="1" s="125">
      <c r="A168" s="2" t="n"/>
      <c r="B168" s="2" t="n"/>
      <c r="C168" s="2" t="n"/>
      <c r="D168" s="2" t="n"/>
      <c r="E168" s="2" t="n"/>
      <c r="F168" s="2" t="n"/>
    </row>
    <row r="169" ht="15.75" customHeight="1" s="125">
      <c r="A169" s="2" t="n"/>
      <c r="B169" s="2" t="n"/>
      <c r="C169" s="2" t="n"/>
      <c r="D169" s="2" t="n"/>
      <c r="E169" s="2" t="n"/>
      <c r="F169" s="2" t="n"/>
    </row>
    <row r="170" ht="15.75" customHeight="1" s="125">
      <c r="A170" s="2" t="n"/>
      <c r="B170" s="2" t="n"/>
      <c r="C170" s="2" t="n"/>
      <c r="D170" s="2" t="n"/>
      <c r="E170" s="2" t="n"/>
      <c r="F170" s="2" t="n"/>
    </row>
    <row r="171" ht="15.75" customHeight="1" s="125">
      <c r="A171" s="2" t="n"/>
      <c r="B171" s="2" t="n"/>
      <c r="C171" s="2" t="n"/>
      <c r="D171" s="2" t="n"/>
      <c r="E171" s="2" t="n"/>
      <c r="F171" s="2" t="n"/>
    </row>
    <row r="172" ht="15.75" customHeight="1" s="125">
      <c r="A172" s="2" t="n"/>
      <c r="B172" s="2" t="n"/>
      <c r="C172" s="2" t="n"/>
      <c r="D172" s="2" t="n"/>
      <c r="E172" s="2" t="n"/>
      <c r="F172" s="2" t="n"/>
    </row>
    <row r="173" ht="15.75" customHeight="1" s="125">
      <c r="A173" s="2" t="n"/>
      <c r="B173" s="2" t="n"/>
      <c r="C173" s="2" t="n"/>
      <c r="D173" s="2" t="n"/>
      <c r="E173" s="2" t="n"/>
      <c r="F173" s="2" t="n"/>
    </row>
    <row r="174" ht="15.75" customHeight="1" s="125">
      <c r="A174" s="2" t="n"/>
      <c r="B174" s="2" t="n"/>
      <c r="C174" s="2" t="n"/>
      <c r="D174" s="2" t="n"/>
      <c r="E174" s="2" t="n"/>
      <c r="F174" s="2" t="n"/>
    </row>
    <row r="175" ht="15.75" customHeight="1" s="125">
      <c r="A175" s="2" t="n"/>
      <c r="B175" s="2" t="n"/>
      <c r="C175" s="2" t="n"/>
      <c r="D175" s="2" t="n"/>
      <c r="E175" s="2" t="n"/>
      <c r="F175" s="2" t="n"/>
    </row>
    <row r="176" ht="15.75" customHeight="1" s="125">
      <c r="A176" s="2" t="n"/>
      <c r="B176" s="2" t="n"/>
      <c r="C176" s="2" t="n"/>
      <c r="D176" s="2" t="n"/>
      <c r="E176" s="2" t="n"/>
      <c r="F176" s="2" t="n"/>
    </row>
    <row r="177" ht="15.75" customHeight="1" s="125">
      <c r="A177" s="2" t="n"/>
      <c r="B177" s="2" t="n"/>
      <c r="C177" s="2" t="n"/>
      <c r="D177" s="2" t="n"/>
      <c r="E177" s="2" t="n"/>
      <c r="F177" s="2" t="n"/>
    </row>
    <row r="178" ht="15.75" customHeight="1" s="125">
      <c r="A178" s="2" t="n"/>
      <c r="B178" s="2" t="n"/>
      <c r="C178" s="2" t="n"/>
      <c r="D178" s="2" t="n"/>
      <c r="E178" s="2" t="n"/>
      <c r="F178" s="2" t="n"/>
    </row>
    <row r="179" ht="15.75" customHeight="1" s="125">
      <c r="A179" s="2" t="n"/>
      <c r="B179" s="2" t="n"/>
      <c r="C179" s="2" t="n"/>
      <c r="D179" s="2" t="n"/>
      <c r="E179" s="2" t="n"/>
      <c r="F179" s="2" t="n"/>
    </row>
    <row r="180" ht="15.75" customHeight="1" s="125">
      <c r="A180" s="2" t="n"/>
      <c r="B180" s="2" t="n"/>
      <c r="C180" s="2" t="n"/>
      <c r="D180" s="2" t="n"/>
      <c r="E180" s="2" t="n"/>
      <c r="F180" s="2" t="n"/>
    </row>
    <row r="181" ht="15.75" customHeight="1" s="125">
      <c r="A181" s="2" t="n"/>
      <c r="B181" s="2" t="n"/>
      <c r="C181" s="2" t="n"/>
      <c r="D181" s="2" t="n"/>
      <c r="E181" s="2" t="n"/>
      <c r="F181" s="2" t="n"/>
    </row>
    <row r="182" ht="15.75" customHeight="1" s="125">
      <c r="A182" s="2" t="n"/>
      <c r="B182" s="2" t="n"/>
      <c r="C182" s="2" t="n"/>
      <c r="D182" s="2" t="n"/>
      <c r="E182" s="2" t="n"/>
      <c r="F182" s="2" t="n"/>
    </row>
    <row r="183" ht="15.75" customHeight="1" s="125">
      <c r="A183" s="2" t="n"/>
      <c r="B183" s="2" t="n"/>
      <c r="C183" s="2" t="n"/>
      <c r="D183" s="2" t="n"/>
      <c r="E183" s="2" t="n"/>
      <c r="F183" s="2" t="n"/>
    </row>
    <row r="184" ht="15.75" customHeight="1" s="125">
      <c r="A184" s="2" t="n"/>
      <c r="B184" s="2" t="n"/>
      <c r="C184" s="2" t="n"/>
      <c r="D184" s="2" t="n"/>
      <c r="E184" s="2" t="n"/>
      <c r="F184" s="2" t="n"/>
    </row>
    <row r="185" ht="15.75" customHeight="1" s="125">
      <c r="A185" s="2" t="n"/>
      <c r="B185" s="2" t="n"/>
      <c r="C185" s="2" t="n"/>
      <c r="D185" s="2" t="n"/>
      <c r="E185" s="2" t="n"/>
      <c r="F185" s="2" t="n"/>
    </row>
    <row r="186" ht="15.75" customHeight="1" s="125">
      <c r="A186" s="2" t="n"/>
      <c r="B186" s="2" t="n"/>
      <c r="C186" s="2" t="n"/>
      <c r="D186" s="2" t="n"/>
      <c r="E186" s="2" t="n"/>
      <c r="F186" s="2" t="n"/>
    </row>
    <row r="187" ht="15.75" customHeight="1" s="125">
      <c r="A187" s="2" t="n"/>
      <c r="B187" s="2" t="n"/>
      <c r="C187" s="2" t="n"/>
      <c r="D187" s="2" t="n"/>
      <c r="E187" s="2" t="n"/>
      <c r="F187" s="2" t="n"/>
    </row>
    <row r="188" ht="15.75" customHeight="1" s="125">
      <c r="A188" s="2" t="n"/>
      <c r="B188" s="2" t="n"/>
      <c r="C188" s="2" t="n"/>
      <c r="D188" s="2" t="n"/>
      <c r="E188" s="2" t="n"/>
      <c r="F188" s="2" t="n"/>
    </row>
    <row r="189" ht="15.75" customHeight="1" s="125">
      <c r="A189" s="2" t="n"/>
      <c r="B189" s="2" t="n"/>
      <c r="C189" s="2" t="n"/>
      <c r="D189" s="2" t="n"/>
      <c r="E189" s="2" t="n"/>
      <c r="F189" s="2" t="n"/>
    </row>
    <row r="190" ht="15.75" customHeight="1" s="125">
      <c r="A190" s="2" t="n"/>
      <c r="B190" s="2" t="n"/>
      <c r="C190" s="2" t="n"/>
      <c r="D190" s="2" t="n"/>
      <c r="E190" s="2" t="n"/>
      <c r="F190" s="2" t="n"/>
    </row>
    <row r="191" ht="15.75" customHeight="1" s="125">
      <c r="A191" s="2" t="n"/>
      <c r="B191" s="2" t="n"/>
      <c r="C191" s="2" t="n"/>
      <c r="D191" s="2" t="n"/>
      <c r="E191" s="2" t="n"/>
      <c r="F191" s="2" t="n"/>
    </row>
    <row r="192" ht="15.75" customHeight="1" s="125">
      <c r="A192" s="2" t="n"/>
      <c r="B192" s="2" t="n"/>
      <c r="C192" s="2" t="n"/>
      <c r="D192" s="2" t="n"/>
      <c r="E192" s="2" t="n"/>
      <c r="F192" s="2" t="n"/>
    </row>
    <row r="193" ht="15.75" customHeight="1" s="125">
      <c r="A193" s="2" t="n"/>
      <c r="B193" s="2" t="n"/>
      <c r="C193" s="2" t="n"/>
      <c r="D193" s="2" t="n"/>
      <c r="E193" s="2" t="n"/>
      <c r="F193" s="2" t="n"/>
    </row>
    <row r="194" ht="15.75" customHeight="1" s="125">
      <c r="A194" s="2" t="n"/>
      <c r="B194" s="2" t="n"/>
      <c r="C194" s="2" t="n"/>
      <c r="D194" s="2" t="n"/>
      <c r="E194" s="2" t="n"/>
      <c r="F194" s="2" t="n"/>
    </row>
    <row r="195" ht="15.75" customHeight="1" s="125">
      <c r="A195" s="2" t="n"/>
      <c r="B195" s="2" t="n"/>
      <c r="C195" s="2" t="n"/>
      <c r="D195" s="2" t="n"/>
      <c r="E195" s="2" t="n"/>
      <c r="F195" s="2" t="n"/>
    </row>
    <row r="196" ht="15.75" customHeight="1" s="125">
      <c r="A196" s="2" t="n"/>
      <c r="B196" s="2" t="n"/>
      <c r="C196" s="2" t="n"/>
      <c r="D196" s="2" t="n"/>
      <c r="E196" s="2" t="n"/>
      <c r="F196" s="2" t="n"/>
    </row>
    <row r="197" ht="15.75" customHeight="1" s="125">
      <c r="A197" s="2" t="n"/>
      <c r="B197" s="2" t="n"/>
      <c r="C197" s="2" t="n"/>
      <c r="D197" s="2" t="n"/>
      <c r="E197" s="2" t="n"/>
      <c r="F197" s="2" t="n"/>
    </row>
    <row r="198" ht="15.75" customHeight="1" s="125">
      <c r="A198" s="2" t="n"/>
      <c r="B198" s="2" t="n"/>
      <c r="C198" s="2" t="n"/>
      <c r="D198" s="2" t="n"/>
      <c r="E198" s="2" t="n"/>
      <c r="F198" s="2" t="n"/>
    </row>
    <row r="199" ht="15.75" customHeight="1" s="125">
      <c r="A199" s="2" t="n"/>
      <c r="B199" s="2" t="n"/>
      <c r="C199" s="2" t="n"/>
      <c r="D199" s="2" t="n"/>
      <c r="E199" s="2" t="n"/>
      <c r="F199" s="2" t="n"/>
    </row>
    <row r="200" ht="15.75" customHeight="1" s="125">
      <c r="A200" s="2" t="n"/>
      <c r="B200" s="2" t="n"/>
      <c r="C200" s="2" t="n"/>
      <c r="D200" s="2" t="n"/>
      <c r="E200" s="2" t="n"/>
      <c r="F200" s="2" t="n"/>
    </row>
    <row r="201" ht="15.75" customHeight="1" s="125">
      <c r="A201" s="2" t="n"/>
      <c r="B201" s="2" t="n"/>
      <c r="C201" s="2" t="n"/>
      <c r="D201" s="2" t="n"/>
      <c r="E201" s="2" t="n"/>
      <c r="F201" s="2" t="n"/>
    </row>
    <row r="202" ht="15.75" customHeight="1" s="125">
      <c r="A202" s="2" t="n"/>
      <c r="B202" s="2" t="n"/>
      <c r="C202" s="2" t="n"/>
      <c r="D202" s="2" t="n"/>
      <c r="E202" s="2" t="n"/>
      <c r="F202" s="2" t="n"/>
    </row>
    <row r="203" ht="15.75" customHeight="1" s="125">
      <c r="A203" s="2" t="n"/>
      <c r="B203" s="2" t="n"/>
      <c r="C203" s="2" t="n"/>
      <c r="D203" s="2" t="n"/>
      <c r="E203" s="2" t="n"/>
      <c r="F203" s="2" t="n"/>
    </row>
    <row r="204" ht="15.75" customHeight="1" s="125">
      <c r="A204" s="2" t="n"/>
      <c r="B204" s="2" t="n"/>
      <c r="C204" s="2" t="n"/>
      <c r="D204" s="2" t="n"/>
      <c r="E204" s="2" t="n"/>
      <c r="F204" s="2" t="n"/>
    </row>
    <row r="205" ht="15.75" customHeight="1" s="125">
      <c r="A205" s="2" t="n"/>
      <c r="B205" s="2" t="n"/>
      <c r="C205" s="2" t="n"/>
      <c r="D205" s="2" t="n"/>
      <c r="E205" s="2" t="n"/>
      <c r="F205" s="2" t="n"/>
    </row>
    <row r="206" ht="15.75" customHeight="1" s="125">
      <c r="A206" s="2" t="n"/>
      <c r="B206" s="2" t="n"/>
      <c r="C206" s="2" t="n"/>
      <c r="D206" s="2" t="n"/>
      <c r="E206" s="2" t="n"/>
      <c r="F206" s="2" t="n"/>
    </row>
    <row r="207" ht="15.75" customHeight="1" s="125">
      <c r="A207" s="2" t="n"/>
      <c r="B207" s="2" t="n"/>
      <c r="C207" s="2" t="n"/>
      <c r="D207" s="2" t="n"/>
      <c r="E207" s="2" t="n"/>
      <c r="F207" s="2" t="n"/>
    </row>
    <row r="208" ht="15.75" customHeight="1" s="125">
      <c r="A208" s="2" t="n"/>
      <c r="B208" s="2" t="n"/>
      <c r="C208" s="2" t="n"/>
      <c r="D208" s="2" t="n"/>
      <c r="E208" s="2" t="n"/>
      <c r="F208" s="2" t="n"/>
    </row>
    <row r="209" ht="15.75" customHeight="1" s="125">
      <c r="A209" s="2" t="n"/>
      <c r="B209" s="2" t="n"/>
      <c r="C209" s="2" t="n"/>
      <c r="D209" s="2" t="n"/>
      <c r="E209" s="2" t="n"/>
      <c r="F209" s="2" t="n"/>
    </row>
    <row r="210" ht="15.75" customHeight="1" s="125">
      <c r="A210" s="2" t="n"/>
      <c r="B210" s="2" t="n"/>
      <c r="C210" s="2" t="n"/>
      <c r="D210" s="2" t="n"/>
      <c r="E210" s="2" t="n"/>
      <c r="F210" s="2" t="n"/>
    </row>
    <row r="211" ht="15.75" customHeight="1" s="125">
      <c r="A211" s="2" t="n"/>
      <c r="B211" s="2" t="n"/>
      <c r="C211" s="2" t="n"/>
      <c r="D211" s="2" t="n"/>
      <c r="E211" s="2" t="n"/>
      <c r="F211" s="2" t="n"/>
    </row>
    <row r="212" ht="15.75" customHeight="1" s="125">
      <c r="A212" s="2" t="n"/>
      <c r="B212" s="2" t="n"/>
      <c r="C212" s="2" t="n"/>
      <c r="D212" s="2" t="n"/>
      <c r="E212" s="2" t="n"/>
      <c r="F212" s="2" t="n"/>
    </row>
    <row r="213" ht="15.75" customHeight="1" s="125">
      <c r="A213" s="2" t="n"/>
      <c r="B213" s="2" t="n"/>
      <c r="C213" s="2" t="n"/>
      <c r="D213" s="2" t="n"/>
      <c r="E213" s="2" t="n"/>
      <c r="F213" s="2" t="n"/>
    </row>
    <row r="214" ht="15.75" customHeight="1" s="125">
      <c r="A214" s="2" t="n"/>
      <c r="B214" s="2" t="n"/>
      <c r="C214" s="2" t="n"/>
      <c r="D214" s="2" t="n"/>
      <c r="E214" s="2" t="n"/>
      <c r="F214" s="2" t="n"/>
    </row>
    <row r="215" ht="15.75" customHeight="1" s="125">
      <c r="A215" s="2" t="n"/>
      <c r="B215" s="2" t="n"/>
      <c r="C215" s="2" t="n"/>
      <c r="D215" s="2" t="n"/>
      <c r="E215" s="2" t="n"/>
      <c r="F215" s="2" t="n"/>
    </row>
    <row r="216" ht="15.75" customHeight="1" s="125">
      <c r="A216" s="2" t="n"/>
      <c r="B216" s="2" t="n"/>
      <c r="C216" s="2" t="n"/>
      <c r="D216" s="2" t="n"/>
      <c r="E216" s="2" t="n"/>
      <c r="F216" s="2" t="n"/>
    </row>
    <row r="217" ht="15.75" customHeight="1" s="125">
      <c r="A217" s="2" t="n"/>
      <c r="B217" s="2" t="n"/>
      <c r="C217" s="2" t="n"/>
      <c r="D217" s="2" t="n"/>
      <c r="E217" s="2" t="n"/>
      <c r="F217" s="2" t="n"/>
    </row>
    <row r="218" ht="15.75" customHeight="1" s="125">
      <c r="A218" s="2" t="n"/>
      <c r="B218" s="2" t="n"/>
      <c r="C218" s="2" t="n"/>
      <c r="D218" s="2" t="n"/>
      <c r="E218" s="2" t="n"/>
      <c r="F218" s="2" t="n"/>
    </row>
    <row r="219" ht="15.75" customHeight="1" s="125">
      <c r="A219" s="2" t="n"/>
      <c r="B219" s="2" t="n"/>
      <c r="C219" s="2" t="n"/>
      <c r="D219" s="2" t="n"/>
      <c r="E219" s="2" t="n"/>
      <c r="F219" s="2" t="n"/>
    </row>
    <row r="220" ht="15.75" customHeight="1" s="125">
      <c r="A220" s="2" t="n"/>
      <c r="B220" s="2" t="n"/>
      <c r="C220" s="2" t="n"/>
      <c r="D220" s="2" t="n"/>
      <c r="E220" s="2" t="n"/>
      <c r="F220" s="2" t="n"/>
    </row>
    <row r="221" ht="15.75" customHeight="1" s="125">
      <c r="A221" s="2" t="n"/>
      <c r="B221" s="2" t="n"/>
      <c r="C221" s="2" t="n"/>
      <c r="D221" s="2" t="n"/>
      <c r="E221" s="2" t="n"/>
      <c r="F221" s="2" t="n"/>
    </row>
    <row r="222" ht="15.75" customHeight="1" s="125">
      <c r="A222" s="2" t="n"/>
      <c r="B222" s="2" t="n"/>
      <c r="C222" s="2" t="n"/>
      <c r="D222" s="2" t="n"/>
      <c r="E222" s="2" t="n"/>
      <c r="F222" s="2" t="n"/>
    </row>
    <row r="223" ht="15.75" customHeight="1" s="125">
      <c r="A223" s="2" t="n"/>
      <c r="B223" s="2" t="n"/>
      <c r="C223" s="2" t="n"/>
      <c r="D223" s="2" t="n"/>
      <c r="E223" s="2" t="n"/>
      <c r="F223" s="2" t="n"/>
    </row>
    <row r="224" ht="15.75" customHeight="1" s="125">
      <c r="A224" s="2" t="n"/>
      <c r="B224" s="2" t="n"/>
      <c r="C224" s="2" t="n"/>
      <c r="D224" s="2" t="n"/>
      <c r="E224" s="2" t="n"/>
      <c r="F224" s="2" t="n"/>
    </row>
    <row r="225" ht="15.75" customHeight="1" s="125">
      <c r="A225" s="2" t="n"/>
      <c r="B225" s="2" t="n"/>
      <c r="C225" s="2" t="n"/>
      <c r="D225" s="2" t="n"/>
      <c r="E225" s="2" t="n"/>
      <c r="F225" s="2" t="n"/>
    </row>
    <row r="226" ht="15.75" customHeight="1" s="125">
      <c r="A226" s="2" t="n"/>
      <c r="B226" s="2" t="n"/>
      <c r="C226" s="2" t="n"/>
      <c r="D226" s="2" t="n"/>
      <c r="E226" s="2" t="n"/>
      <c r="F226" s="2" t="n"/>
    </row>
    <row r="227" ht="15.75" customHeight="1" s="125">
      <c r="A227" s="2" t="n"/>
      <c r="B227" s="2" t="n"/>
      <c r="C227" s="2" t="n"/>
      <c r="D227" s="2" t="n"/>
      <c r="E227" s="2" t="n"/>
      <c r="F227" s="2" t="n"/>
    </row>
    <row r="228" ht="15.75" customHeight="1" s="125">
      <c r="A228" s="2" t="n"/>
      <c r="B228" s="2" t="n"/>
      <c r="C228" s="2" t="n"/>
      <c r="D228" s="2" t="n"/>
      <c r="E228" s="2" t="n"/>
      <c r="F228" s="2" t="n"/>
    </row>
    <row r="229" ht="15.75" customHeight="1" s="125">
      <c r="A229" s="2" t="n"/>
      <c r="B229" s="2" t="n"/>
      <c r="C229" s="2" t="n"/>
      <c r="D229" s="2" t="n"/>
      <c r="E229" s="2" t="n"/>
      <c r="F229" s="2" t="n"/>
    </row>
    <row r="230" ht="15.75" customHeight="1" s="125">
      <c r="A230" s="2" t="n"/>
      <c r="B230" s="2" t="n"/>
      <c r="C230" s="2" t="n"/>
      <c r="D230" s="2" t="n"/>
      <c r="E230" s="2" t="n"/>
      <c r="F230" s="2" t="n"/>
    </row>
    <row r="231" ht="15.75" customHeight="1" s="125">
      <c r="A231" s="2" t="n"/>
      <c r="B231" s="2" t="n"/>
      <c r="C231" s="2" t="n"/>
      <c r="D231" s="2" t="n"/>
      <c r="E231" s="2" t="n"/>
      <c r="F231" s="2" t="n"/>
    </row>
    <row r="232" ht="15.75" customHeight="1" s="125">
      <c r="A232" s="2" t="n"/>
      <c r="B232" s="2" t="n"/>
      <c r="C232" s="2" t="n"/>
      <c r="D232" s="2" t="n"/>
      <c r="E232" s="2" t="n"/>
      <c r="F232" s="2" t="n"/>
    </row>
    <row r="233" ht="15.75" customHeight="1" s="125">
      <c r="A233" s="2" t="n"/>
      <c r="B233" s="2" t="n"/>
      <c r="C233" s="2" t="n"/>
      <c r="D233" s="2" t="n"/>
      <c r="E233" s="2" t="n"/>
      <c r="F233" s="2" t="n"/>
    </row>
    <row r="234" ht="15.75" customHeight="1" s="125">
      <c r="A234" s="2" t="n"/>
      <c r="B234" s="2" t="n"/>
      <c r="C234" s="2" t="n"/>
      <c r="D234" s="2" t="n"/>
      <c r="E234" s="2" t="n"/>
      <c r="F234" s="2" t="n"/>
    </row>
    <row r="235" ht="15.75" customHeight="1" s="125">
      <c r="A235" s="2" t="n"/>
      <c r="B235" s="2" t="n"/>
      <c r="C235" s="2" t="n"/>
      <c r="D235" s="2" t="n"/>
      <c r="E235" s="2" t="n"/>
      <c r="F235" s="2" t="n"/>
    </row>
    <row r="236" ht="15.75" customHeight="1" s="125">
      <c r="A236" s="2" t="n"/>
      <c r="B236" s="2" t="n"/>
      <c r="C236" s="2" t="n"/>
      <c r="D236" s="2" t="n"/>
      <c r="E236" s="2" t="n"/>
      <c r="F236" s="2" t="n"/>
    </row>
    <row r="237" ht="15.75" customHeight="1" s="125">
      <c r="A237" s="2" t="n"/>
      <c r="B237" s="2" t="n"/>
      <c r="C237" s="2" t="n"/>
      <c r="D237" s="2" t="n"/>
      <c r="E237" s="2" t="n"/>
      <c r="F237" s="2" t="n"/>
    </row>
    <row r="238" ht="15.75" customHeight="1" s="125">
      <c r="A238" s="2" t="n"/>
      <c r="B238" s="2" t="n"/>
      <c r="C238" s="2" t="n"/>
      <c r="D238" s="2" t="n"/>
      <c r="E238" s="2" t="n"/>
      <c r="F238" s="2" t="n"/>
    </row>
    <row r="239" ht="15.75" customHeight="1" s="125">
      <c r="A239" s="2" t="n"/>
      <c r="B239" s="2" t="n"/>
      <c r="C239" s="2" t="n"/>
      <c r="D239" s="2" t="n"/>
      <c r="E239" s="2" t="n"/>
      <c r="F239" s="2" t="n"/>
    </row>
    <row r="240" ht="15.75" customHeight="1" s="125">
      <c r="A240" s="2" t="n"/>
      <c r="B240" s="2" t="n"/>
      <c r="C240" s="2" t="n"/>
      <c r="D240" s="2" t="n"/>
      <c r="E240" s="2" t="n"/>
      <c r="F240" s="2" t="n"/>
    </row>
    <row r="241" ht="15.75" customHeight="1" s="125">
      <c r="A241" s="2" t="n"/>
      <c r="B241" s="2" t="n"/>
      <c r="C241" s="2" t="n"/>
      <c r="D241" s="2" t="n"/>
      <c r="E241" s="2" t="n"/>
      <c r="F241" s="2" t="n"/>
    </row>
    <row r="242" ht="15.75" customHeight="1" s="125">
      <c r="A242" s="2" t="n"/>
      <c r="B242" s="2" t="n"/>
      <c r="C242" s="2" t="n"/>
      <c r="D242" s="2" t="n"/>
      <c r="E242" s="2" t="n"/>
      <c r="F242" s="2" t="n"/>
    </row>
    <row r="243" ht="15.75" customHeight="1" s="125">
      <c r="A243" s="2" t="n"/>
      <c r="B243" s="2" t="n"/>
      <c r="C243" s="2" t="n"/>
      <c r="D243" s="2" t="n"/>
      <c r="E243" s="2" t="n"/>
      <c r="F243" s="2" t="n"/>
    </row>
    <row r="244" ht="15.75" customHeight="1" s="125">
      <c r="A244" s="2" t="n"/>
      <c r="B244" s="2" t="n"/>
      <c r="C244" s="2" t="n"/>
      <c r="D244" s="2" t="n"/>
      <c r="E244" s="2" t="n"/>
      <c r="F244" s="2" t="n"/>
    </row>
    <row r="245" ht="15.75" customHeight="1" s="125">
      <c r="A245" s="2" t="n"/>
      <c r="B245" s="2" t="n"/>
      <c r="C245" s="2" t="n"/>
      <c r="D245" s="2" t="n"/>
      <c r="E245" s="2" t="n"/>
      <c r="F245" s="2" t="n"/>
    </row>
    <row r="246" ht="15.75" customHeight="1" s="125">
      <c r="A246" s="2" t="n"/>
      <c r="B246" s="2" t="n"/>
      <c r="C246" s="2" t="n"/>
      <c r="D246" s="2" t="n"/>
      <c r="E246" s="2" t="n"/>
      <c r="F246" s="2" t="n"/>
    </row>
    <row r="247" ht="15.75" customHeight="1" s="125">
      <c r="A247" s="2" t="n"/>
      <c r="B247" s="2" t="n"/>
      <c r="C247" s="2" t="n"/>
      <c r="D247" s="2" t="n"/>
      <c r="E247" s="2" t="n"/>
      <c r="F247" s="2" t="n"/>
    </row>
    <row r="248" ht="15.75" customHeight="1" s="125">
      <c r="A248" s="2" t="n"/>
      <c r="B248" s="2" t="n"/>
      <c r="C248" s="2" t="n"/>
      <c r="D248" s="2" t="n"/>
      <c r="E248" s="2" t="n"/>
      <c r="F248" s="2" t="n"/>
    </row>
    <row r="249" ht="15.75" customHeight="1" s="125">
      <c r="A249" s="2" t="n"/>
      <c r="B249" s="2" t="n"/>
      <c r="C249" s="2" t="n"/>
      <c r="D249" s="2" t="n"/>
      <c r="E249" s="2" t="n"/>
      <c r="F249" s="2" t="n"/>
    </row>
    <row r="250" ht="15.75" customHeight="1" s="125">
      <c r="A250" s="2" t="n"/>
      <c r="B250" s="2" t="n"/>
      <c r="C250" s="2" t="n"/>
      <c r="D250" s="2" t="n"/>
      <c r="E250" s="2" t="n"/>
      <c r="F250" s="2" t="n"/>
    </row>
    <row r="251" ht="15.75" customHeight="1" s="125">
      <c r="A251" s="2" t="n"/>
      <c r="B251" s="2" t="n"/>
      <c r="C251" s="2" t="n"/>
      <c r="D251" s="2" t="n"/>
      <c r="E251" s="2" t="n"/>
      <c r="F251" s="2" t="n"/>
    </row>
    <row r="252" ht="15.75" customHeight="1" s="125">
      <c r="A252" s="2" t="n"/>
      <c r="B252" s="2" t="n"/>
      <c r="C252" s="2" t="n"/>
      <c r="D252" s="2" t="n"/>
      <c r="E252" s="2" t="n"/>
      <c r="F252" s="2" t="n"/>
    </row>
    <row r="253" ht="15.75" customHeight="1" s="125">
      <c r="A253" s="2" t="n"/>
      <c r="B253" s="2" t="n"/>
      <c r="C253" s="2" t="n"/>
      <c r="D253" s="2" t="n"/>
      <c r="E253" s="2" t="n"/>
      <c r="F253" s="2" t="n"/>
    </row>
    <row r="254" ht="15.75" customHeight="1" s="125">
      <c r="A254" s="2" t="n"/>
      <c r="B254" s="2" t="n"/>
      <c r="C254" s="2" t="n"/>
      <c r="D254" s="2" t="n"/>
      <c r="E254" s="2" t="n"/>
      <c r="F254" s="2" t="n"/>
    </row>
    <row r="255" ht="15.75" customHeight="1" s="125">
      <c r="A255" s="2" t="n"/>
      <c r="B255" s="2" t="n"/>
      <c r="C255" s="2" t="n"/>
      <c r="D255" s="2" t="n"/>
      <c r="E255" s="2" t="n"/>
      <c r="F255" s="2" t="n"/>
    </row>
    <row r="256" ht="15.75" customHeight="1" s="125">
      <c r="A256" s="2" t="n"/>
      <c r="B256" s="2" t="n"/>
      <c r="C256" s="2" t="n"/>
      <c r="D256" s="2" t="n"/>
      <c r="E256" s="2" t="n"/>
      <c r="F256" s="2" t="n"/>
    </row>
    <row r="257" ht="15.75" customHeight="1" s="125">
      <c r="A257" s="2" t="n"/>
      <c r="B257" s="2" t="n"/>
      <c r="C257" s="2" t="n"/>
      <c r="D257" s="2" t="n"/>
      <c r="E257" s="2" t="n"/>
      <c r="F257" s="2" t="n"/>
    </row>
    <row r="258" ht="15.75" customHeight="1" s="125">
      <c r="A258" s="2" t="n"/>
      <c r="B258" s="2" t="n"/>
      <c r="C258" s="2" t="n"/>
      <c r="D258" s="2" t="n"/>
      <c r="E258" s="2" t="n"/>
      <c r="F258" s="2" t="n"/>
    </row>
    <row r="259" ht="15.75" customHeight="1" s="125">
      <c r="A259" s="2" t="n"/>
      <c r="B259" s="2" t="n"/>
      <c r="C259" s="2" t="n"/>
      <c r="D259" s="2" t="n"/>
      <c r="E259" s="2" t="n"/>
      <c r="F259" s="2" t="n"/>
    </row>
    <row r="260" ht="15.75" customHeight="1" s="125">
      <c r="A260" s="2" t="n"/>
      <c r="B260" s="2" t="n"/>
      <c r="C260" s="2" t="n"/>
      <c r="D260" s="2" t="n"/>
      <c r="E260" s="2" t="n"/>
      <c r="F260" s="2" t="n"/>
    </row>
    <row r="261" ht="15.75" customHeight="1" s="125">
      <c r="A261" s="2" t="n"/>
      <c r="B261" s="2" t="n"/>
      <c r="C261" s="2" t="n"/>
      <c r="D261" s="2" t="n"/>
      <c r="E261" s="2" t="n"/>
      <c r="F261" s="2" t="n"/>
    </row>
    <row r="262" ht="15.75" customHeight="1" s="125">
      <c r="A262" s="2" t="n"/>
      <c r="B262" s="2" t="n"/>
      <c r="C262" s="2" t="n"/>
      <c r="D262" s="2" t="n"/>
      <c r="E262" s="2" t="n"/>
      <c r="F262" s="2" t="n"/>
    </row>
    <row r="263" ht="15.75" customHeight="1" s="125">
      <c r="A263" s="2" t="n"/>
      <c r="B263" s="2" t="n"/>
      <c r="C263" s="2" t="n"/>
      <c r="D263" s="2" t="n"/>
      <c r="E263" s="2" t="n"/>
      <c r="F263" s="2" t="n"/>
    </row>
    <row r="264" ht="15.75" customHeight="1" s="125">
      <c r="A264" s="2" t="n"/>
      <c r="B264" s="2" t="n"/>
      <c r="C264" s="2" t="n"/>
      <c r="D264" s="2" t="n"/>
      <c r="E264" s="2" t="n"/>
      <c r="F264" s="2" t="n"/>
    </row>
    <row r="265" ht="15.75" customHeight="1" s="125">
      <c r="A265" s="2" t="n"/>
      <c r="B265" s="2" t="n"/>
      <c r="C265" s="2" t="n"/>
      <c r="D265" s="2" t="n"/>
      <c r="E265" s="2" t="n"/>
      <c r="F265" s="2" t="n"/>
    </row>
    <row r="266" ht="15.75" customHeight="1" s="125">
      <c r="A266" s="2" t="n"/>
      <c r="B266" s="2" t="n"/>
      <c r="C266" s="2" t="n"/>
      <c r="D266" s="2" t="n"/>
      <c r="E266" s="2" t="n"/>
      <c r="F266" s="2" t="n"/>
    </row>
    <row r="267" ht="15.75" customHeight="1" s="125">
      <c r="A267" s="2" t="n"/>
      <c r="B267" s="2" t="n"/>
      <c r="C267" s="2" t="n"/>
      <c r="D267" s="2" t="n"/>
      <c r="E267" s="2" t="n"/>
      <c r="F267" s="2" t="n"/>
    </row>
    <row r="268" ht="15.75" customHeight="1" s="125">
      <c r="A268" s="2" t="n"/>
      <c r="B268" s="2" t="n"/>
      <c r="C268" s="2" t="n"/>
      <c r="D268" s="2" t="n"/>
      <c r="E268" s="2" t="n"/>
      <c r="F268" s="2" t="n"/>
    </row>
    <row r="269" ht="15.75" customHeight="1" s="125">
      <c r="A269" s="2" t="n"/>
      <c r="B269" s="2" t="n"/>
      <c r="C269" s="2" t="n"/>
      <c r="D269" s="2" t="n"/>
      <c r="E269" s="2" t="n"/>
      <c r="F269" s="2" t="n"/>
    </row>
    <row r="270" ht="15.75" customHeight="1" s="125">
      <c r="A270" s="2" t="n"/>
      <c r="B270" s="2" t="n"/>
      <c r="C270" s="2" t="n"/>
      <c r="D270" s="2" t="n"/>
      <c r="E270" s="2" t="n"/>
      <c r="F270" s="2" t="n"/>
    </row>
    <row r="271" ht="15.75" customHeight="1" s="125">
      <c r="A271" s="2" t="n"/>
      <c r="B271" s="2" t="n"/>
      <c r="C271" s="2" t="n"/>
      <c r="D271" s="2" t="n"/>
      <c r="E271" s="2" t="n"/>
      <c r="F271" s="2" t="n"/>
    </row>
    <row r="272" ht="15.75" customHeight="1" s="125">
      <c r="A272" s="2" t="n"/>
      <c r="B272" s="2" t="n"/>
      <c r="C272" s="2" t="n"/>
      <c r="D272" s="2" t="n"/>
      <c r="E272" s="2" t="n"/>
      <c r="F272" s="2" t="n"/>
    </row>
    <row r="273" ht="15.75" customHeight="1" s="125">
      <c r="A273" s="2" t="n"/>
      <c r="B273" s="2" t="n"/>
      <c r="C273" s="2" t="n"/>
      <c r="D273" s="2" t="n"/>
      <c r="E273" s="2" t="n"/>
      <c r="F273" s="2" t="n"/>
    </row>
    <row r="274" ht="15.75" customHeight="1" s="125">
      <c r="A274" s="2" t="n"/>
      <c r="B274" s="2" t="n"/>
      <c r="C274" s="2" t="n"/>
      <c r="D274" s="2" t="n"/>
      <c r="E274" s="2" t="n"/>
      <c r="F274" s="2" t="n"/>
    </row>
    <row r="275" ht="15.75" customHeight="1" s="125">
      <c r="A275" s="2" t="n"/>
      <c r="B275" s="2" t="n"/>
      <c r="C275" s="2" t="n"/>
      <c r="D275" s="2" t="n"/>
      <c r="E275" s="2" t="n"/>
      <c r="F275" s="2" t="n"/>
    </row>
    <row r="276" ht="15.75" customHeight="1" s="125">
      <c r="A276" s="2" t="n"/>
      <c r="B276" s="2" t="n"/>
      <c r="C276" s="2" t="n"/>
      <c r="D276" s="2" t="n"/>
      <c r="E276" s="2" t="n"/>
      <c r="F276" s="2" t="n"/>
    </row>
    <row r="277" ht="15.75" customHeight="1" s="125">
      <c r="A277" s="2" t="n"/>
      <c r="B277" s="2" t="n"/>
      <c r="C277" s="2" t="n"/>
      <c r="D277" s="2" t="n"/>
      <c r="E277" s="2" t="n"/>
      <c r="F277" s="2" t="n"/>
    </row>
    <row r="278" ht="15.75" customHeight="1" s="125">
      <c r="A278" s="2" t="n"/>
      <c r="B278" s="2" t="n"/>
      <c r="C278" s="2" t="n"/>
      <c r="D278" s="2" t="n"/>
      <c r="E278" s="2" t="n"/>
      <c r="F278" s="2" t="n"/>
    </row>
    <row r="279" ht="15.75" customHeight="1" s="125">
      <c r="A279" s="2" t="n"/>
      <c r="B279" s="2" t="n"/>
      <c r="C279" s="2" t="n"/>
      <c r="D279" s="2" t="n"/>
      <c r="E279" s="2" t="n"/>
      <c r="F279" s="2" t="n"/>
    </row>
    <row r="280" ht="15.75" customHeight="1" s="125">
      <c r="A280" s="2" t="n"/>
      <c r="B280" s="2" t="n"/>
      <c r="C280" s="2" t="n"/>
      <c r="D280" s="2" t="n"/>
      <c r="E280" s="2" t="n"/>
      <c r="F280" s="2" t="n"/>
    </row>
    <row r="281" ht="15.75" customHeight="1" s="125">
      <c r="A281" s="2" t="n"/>
      <c r="B281" s="2" t="n"/>
      <c r="C281" s="2" t="n"/>
      <c r="D281" s="2" t="n"/>
      <c r="E281" s="2" t="n"/>
      <c r="F281" s="2" t="n"/>
    </row>
    <row r="282" ht="15.75" customHeight="1" s="125">
      <c r="A282" s="2" t="n"/>
      <c r="B282" s="2" t="n"/>
      <c r="C282" s="2" t="n"/>
      <c r="D282" s="2" t="n"/>
      <c r="E282" s="2" t="n"/>
      <c r="F282" s="2" t="n"/>
    </row>
    <row r="283" ht="15.75" customHeight="1" s="125">
      <c r="A283" s="2" t="n"/>
      <c r="B283" s="2" t="n"/>
      <c r="C283" s="2" t="n"/>
      <c r="D283" s="2" t="n"/>
      <c r="E283" s="2" t="n"/>
      <c r="F283" s="2" t="n"/>
    </row>
    <row r="284" ht="15.75" customHeight="1" s="125">
      <c r="A284" s="2" t="n"/>
      <c r="B284" s="2" t="n"/>
      <c r="C284" s="2" t="n"/>
      <c r="D284" s="2" t="n"/>
      <c r="E284" s="2" t="n"/>
      <c r="F284" s="2" t="n"/>
    </row>
    <row r="285" ht="15.75" customHeight="1" s="125">
      <c r="A285" s="2" t="n"/>
      <c r="B285" s="2" t="n"/>
      <c r="C285" s="2" t="n"/>
      <c r="D285" s="2" t="n"/>
      <c r="E285" s="2" t="n"/>
      <c r="F285" s="2" t="n"/>
    </row>
    <row r="286" ht="15.75" customHeight="1" s="125">
      <c r="A286" s="2" t="n"/>
      <c r="B286" s="2" t="n"/>
      <c r="C286" s="2" t="n"/>
      <c r="D286" s="2" t="n"/>
      <c r="E286" s="2" t="n"/>
      <c r="F286" s="2" t="n"/>
    </row>
    <row r="287" ht="15.75" customHeight="1" s="125">
      <c r="A287" s="2" t="n"/>
      <c r="B287" s="2" t="n"/>
      <c r="C287" s="2" t="n"/>
      <c r="D287" s="2" t="n"/>
      <c r="E287" s="2" t="n"/>
      <c r="F287" s="2" t="n"/>
    </row>
    <row r="288" ht="15.75" customHeight="1" s="125">
      <c r="A288" s="2" t="n"/>
      <c r="B288" s="2" t="n"/>
      <c r="C288" s="2" t="n"/>
      <c r="D288" s="2" t="n"/>
      <c r="E288" s="2" t="n"/>
      <c r="F288" s="2" t="n"/>
    </row>
    <row r="289" ht="15.75" customHeight="1" s="125">
      <c r="A289" s="2" t="n"/>
      <c r="B289" s="2" t="n"/>
      <c r="C289" s="2" t="n"/>
      <c r="D289" s="2" t="n"/>
      <c r="E289" s="2" t="n"/>
      <c r="F289" s="2" t="n"/>
    </row>
    <row r="290" ht="15.75" customHeight="1" s="125">
      <c r="A290" s="2" t="n"/>
      <c r="B290" s="2" t="n"/>
      <c r="C290" s="2" t="n"/>
      <c r="D290" s="2" t="n"/>
      <c r="E290" s="2" t="n"/>
      <c r="F290" s="2" t="n"/>
    </row>
    <row r="291" ht="15.75" customHeight="1" s="125">
      <c r="A291" s="2" t="n"/>
      <c r="B291" s="2" t="n"/>
      <c r="C291" s="2" t="n"/>
      <c r="D291" s="2" t="n"/>
      <c r="E291" s="2" t="n"/>
      <c r="F291" s="2" t="n"/>
    </row>
    <row r="292" ht="15.75" customHeight="1" s="125">
      <c r="A292" s="2" t="n"/>
      <c r="B292" s="2" t="n"/>
      <c r="C292" s="2" t="n"/>
      <c r="D292" s="2" t="n"/>
      <c r="E292" s="2" t="n"/>
      <c r="F292" s="2" t="n"/>
    </row>
    <row r="293" ht="15.75" customHeight="1" s="125">
      <c r="A293" s="2" t="n"/>
      <c r="B293" s="2" t="n"/>
      <c r="C293" s="2" t="n"/>
      <c r="D293" s="2" t="n"/>
      <c r="E293" s="2" t="n"/>
      <c r="F293" s="2" t="n"/>
    </row>
    <row r="294" ht="15.75" customHeight="1" s="125">
      <c r="A294" s="2" t="n"/>
      <c r="B294" s="2" t="n"/>
      <c r="C294" s="2" t="n"/>
      <c r="D294" s="2" t="n"/>
      <c r="E294" s="2" t="n"/>
      <c r="F294" s="2" t="n"/>
    </row>
    <row r="295" ht="15.75" customHeight="1" s="125">
      <c r="A295" s="2" t="n"/>
      <c r="B295" s="2" t="n"/>
      <c r="C295" s="2" t="n"/>
      <c r="D295" s="2" t="n"/>
      <c r="E295" s="2" t="n"/>
      <c r="F295" s="2" t="n"/>
    </row>
    <row r="296" ht="15.75" customHeight="1" s="125">
      <c r="A296" s="2" t="n"/>
      <c r="B296" s="2" t="n"/>
      <c r="C296" s="2" t="n"/>
      <c r="D296" s="2" t="n"/>
      <c r="E296" s="2" t="n"/>
      <c r="F296" s="2" t="n"/>
    </row>
    <row r="297" ht="15.75" customHeight="1" s="125">
      <c r="A297" s="2" t="n"/>
      <c r="B297" s="2" t="n"/>
      <c r="C297" s="2" t="n"/>
      <c r="D297" s="2" t="n"/>
      <c r="E297" s="2" t="n"/>
      <c r="F297" s="2" t="n"/>
    </row>
    <row r="298" ht="15.75" customHeight="1" s="125">
      <c r="A298" s="2" t="n"/>
      <c r="B298" s="2" t="n"/>
      <c r="C298" s="2" t="n"/>
      <c r="D298" s="2" t="n"/>
      <c r="E298" s="2" t="n"/>
      <c r="F298" s="2" t="n"/>
    </row>
    <row r="299" ht="15.75" customHeight="1" s="125">
      <c r="A299" s="2" t="n"/>
      <c r="B299" s="2" t="n"/>
      <c r="C299" s="2" t="n"/>
      <c r="D299" s="2" t="n"/>
      <c r="E299" s="2" t="n"/>
      <c r="F299" s="2" t="n"/>
    </row>
    <row r="300" ht="15.75" customHeight="1" s="125">
      <c r="A300" s="2" t="n"/>
      <c r="B300" s="2" t="n"/>
      <c r="C300" s="2" t="n"/>
      <c r="D300" s="2" t="n"/>
      <c r="E300" s="2" t="n"/>
      <c r="F300" s="2" t="n"/>
    </row>
    <row r="301" ht="15.75" customHeight="1" s="125">
      <c r="A301" s="2" t="n"/>
      <c r="B301" s="2" t="n"/>
      <c r="C301" s="2" t="n"/>
      <c r="D301" s="2" t="n"/>
      <c r="E301" s="2" t="n"/>
      <c r="F301" s="2" t="n"/>
    </row>
    <row r="302" ht="15.75" customHeight="1" s="125">
      <c r="A302" s="2" t="n"/>
      <c r="B302" s="2" t="n"/>
      <c r="C302" s="2" t="n"/>
      <c r="D302" s="2" t="n"/>
      <c r="E302" s="2" t="n"/>
      <c r="F302" s="2" t="n"/>
    </row>
    <row r="303" ht="15.75" customHeight="1" s="125">
      <c r="A303" s="2" t="n"/>
      <c r="B303" s="2" t="n"/>
      <c r="C303" s="2" t="n"/>
      <c r="D303" s="2" t="n"/>
      <c r="E303" s="2" t="n"/>
      <c r="F303" s="2" t="n"/>
    </row>
    <row r="304" ht="15.75" customHeight="1" s="125">
      <c r="A304" s="2" t="n"/>
      <c r="B304" s="2" t="n"/>
      <c r="C304" s="2" t="n"/>
      <c r="D304" s="2" t="n"/>
      <c r="E304" s="2" t="n"/>
      <c r="F304" s="2" t="n"/>
    </row>
    <row r="305" ht="15.75" customHeight="1" s="125">
      <c r="A305" s="2" t="n"/>
      <c r="B305" s="2" t="n"/>
      <c r="C305" s="2" t="n"/>
      <c r="D305" s="2" t="n"/>
      <c r="E305" s="2" t="n"/>
      <c r="F305" s="2" t="n"/>
    </row>
    <row r="306" ht="15.75" customHeight="1" s="125">
      <c r="A306" s="2" t="n"/>
      <c r="B306" s="2" t="n"/>
      <c r="C306" s="2" t="n"/>
      <c r="D306" s="2" t="n"/>
      <c r="E306" s="2" t="n"/>
      <c r="F306" s="2" t="n"/>
    </row>
    <row r="307" ht="15.75" customHeight="1" s="125">
      <c r="A307" s="2" t="n"/>
      <c r="B307" s="2" t="n"/>
      <c r="C307" s="2" t="n"/>
      <c r="D307" s="2" t="n"/>
      <c r="E307" s="2" t="n"/>
      <c r="F307" s="2" t="n"/>
    </row>
    <row r="308" ht="15.75" customHeight="1" s="125">
      <c r="A308" s="2" t="n"/>
      <c r="B308" s="2" t="n"/>
      <c r="C308" s="2" t="n"/>
      <c r="D308" s="2" t="n"/>
      <c r="E308" s="2" t="n"/>
      <c r="F308" s="2" t="n"/>
    </row>
    <row r="309" ht="15.75" customHeight="1" s="125">
      <c r="A309" s="2" t="n"/>
      <c r="B309" s="2" t="n"/>
      <c r="C309" s="2" t="n"/>
      <c r="D309" s="2" t="n"/>
      <c r="E309" s="2" t="n"/>
      <c r="F309" s="2" t="n"/>
    </row>
    <row r="310" ht="15.75" customHeight="1" s="125">
      <c r="A310" s="2" t="n"/>
      <c r="B310" s="2" t="n"/>
      <c r="C310" s="2" t="n"/>
      <c r="D310" s="2" t="n"/>
      <c r="E310" s="2" t="n"/>
      <c r="F310" s="2" t="n"/>
    </row>
    <row r="311" ht="15.75" customHeight="1" s="125">
      <c r="A311" s="2" t="n"/>
      <c r="B311" s="2" t="n"/>
      <c r="C311" s="2" t="n"/>
      <c r="D311" s="2" t="n"/>
      <c r="E311" s="2" t="n"/>
      <c r="F311" s="2" t="n"/>
    </row>
    <row r="312" ht="15.75" customHeight="1" s="125">
      <c r="A312" s="2" t="n"/>
      <c r="B312" s="2" t="n"/>
      <c r="C312" s="2" t="n"/>
      <c r="D312" s="2" t="n"/>
      <c r="E312" s="2" t="n"/>
      <c r="F312" s="2" t="n"/>
    </row>
    <row r="313" ht="15.75" customHeight="1" s="125">
      <c r="A313" s="2" t="n"/>
      <c r="B313" s="2" t="n"/>
      <c r="C313" s="2" t="n"/>
      <c r="D313" s="2" t="n"/>
      <c r="E313" s="2" t="n"/>
      <c r="F313" s="2" t="n"/>
    </row>
    <row r="314" ht="15.75" customHeight="1" s="125">
      <c r="A314" s="2" t="n"/>
      <c r="B314" s="2" t="n"/>
      <c r="C314" s="2" t="n"/>
      <c r="D314" s="2" t="n"/>
      <c r="E314" s="2" t="n"/>
      <c r="F314" s="2" t="n"/>
    </row>
    <row r="315" ht="15.75" customHeight="1" s="125">
      <c r="A315" s="2" t="n"/>
      <c r="B315" s="2" t="n"/>
      <c r="C315" s="2" t="n"/>
      <c r="D315" s="2" t="n"/>
      <c r="E315" s="2" t="n"/>
      <c r="F315" s="2" t="n"/>
    </row>
    <row r="316" ht="15.75" customHeight="1" s="125">
      <c r="A316" s="2" t="n"/>
      <c r="B316" s="2" t="n"/>
      <c r="C316" s="2" t="n"/>
      <c r="D316" s="2" t="n"/>
      <c r="E316" s="2" t="n"/>
      <c r="F316" s="2" t="n"/>
    </row>
    <row r="317" ht="15.75" customHeight="1" s="125">
      <c r="A317" s="2" t="n"/>
      <c r="B317" s="2" t="n"/>
      <c r="C317" s="2" t="n"/>
      <c r="D317" s="2" t="n"/>
      <c r="E317" s="2" t="n"/>
      <c r="F317" s="2" t="n"/>
    </row>
    <row r="318" ht="15.75" customHeight="1" s="125">
      <c r="A318" s="2" t="n"/>
      <c r="B318" s="2" t="n"/>
      <c r="C318" s="2" t="n"/>
      <c r="D318" s="2" t="n"/>
      <c r="E318" s="2" t="n"/>
      <c r="F318" s="2" t="n"/>
    </row>
    <row r="319" ht="15.75" customHeight="1" s="125">
      <c r="A319" s="2" t="n"/>
      <c r="B319" s="2" t="n"/>
      <c r="C319" s="2" t="n"/>
      <c r="D319" s="2" t="n"/>
      <c r="E319" s="2" t="n"/>
      <c r="F319" s="2" t="n"/>
    </row>
    <row r="320" ht="15.75" customHeight="1" s="125">
      <c r="A320" s="2" t="n"/>
      <c r="B320" s="2" t="n"/>
      <c r="C320" s="2" t="n"/>
      <c r="D320" s="2" t="n"/>
      <c r="E320" s="2" t="n"/>
      <c r="F320" s="2" t="n"/>
    </row>
    <row r="321" ht="15.75" customHeight="1" s="125">
      <c r="A321" s="2" t="n"/>
      <c r="B321" s="2" t="n"/>
      <c r="C321" s="2" t="n"/>
      <c r="D321" s="2" t="n"/>
      <c r="E321" s="2" t="n"/>
      <c r="F321" s="2" t="n"/>
    </row>
    <row r="322" ht="15.75" customHeight="1" s="125">
      <c r="A322" s="2" t="n"/>
      <c r="B322" s="2" t="n"/>
      <c r="C322" s="2" t="n"/>
      <c r="D322" s="2" t="n"/>
      <c r="E322" s="2" t="n"/>
      <c r="F322" s="2" t="n"/>
    </row>
    <row r="323" ht="15.75" customHeight="1" s="125">
      <c r="A323" s="2" t="n"/>
      <c r="B323" s="2" t="n"/>
      <c r="C323" s="2" t="n"/>
      <c r="D323" s="2" t="n"/>
      <c r="E323" s="2" t="n"/>
      <c r="F323" s="2" t="n"/>
    </row>
    <row r="324" ht="15.75" customHeight="1" s="125">
      <c r="A324" s="2" t="n"/>
      <c r="B324" s="2" t="n"/>
      <c r="C324" s="2" t="n"/>
      <c r="D324" s="2" t="n"/>
      <c r="E324" s="2" t="n"/>
      <c r="F324" s="2" t="n"/>
    </row>
    <row r="325" ht="15.75" customHeight="1" s="125">
      <c r="A325" s="2" t="n"/>
      <c r="B325" s="2" t="n"/>
      <c r="C325" s="2" t="n"/>
      <c r="D325" s="2" t="n"/>
      <c r="E325" s="2" t="n"/>
      <c r="F325" s="2" t="n"/>
    </row>
    <row r="326" ht="15.75" customHeight="1" s="125">
      <c r="A326" s="2" t="n"/>
      <c r="B326" s="2" t="n"/>
      <c r="C326" s="2" t="n"/>
      <c r="D326" s="2" t="n"/>
      <c r="E326" s="2" t="n"/>
      <c r="F326" s="2" t="n"/>
    </row>
    <row r="327" ht="15.75" customHeight="1" s="125">
      <c r="A327" s="2" t="n"/>
      <c r="B327" s="2" t="n"/>
      <c r="C327" s="2" t="n"/>
      <c r="D327" s="2" t="n"/>
      <c r="E327" s="2" t="n"/>
      <c r="F327" s="2" t="n"/>
    </row>
    <row r="328" ht="15.75" customHeight="1" s="125">
      <c r="A328" s="2" t="n"/>
      <c r="B328" s="2" t="n"/>
      <c r="C328" s="2" t="n"/>
      <c r="D328" s="2" t="n"/>
      <c r="E328" s="2" t="n"/>
      <c r="F328" s="2" t="n"/>
    </row>
    <row r="329" ht="15.75" customHeight="1" s="125">
      <c r="A329" s="2" t="n"/>
      <c r="B329" s="2" t="n"/>
      <c r="C329" s="2" t="n"/>
      <c r="D329" s="2" t="n"/>
      <c r="E329" s="2" t="n"/>
      <c r="F329" s="2" t="n"/>
    </row>
    <row r="330" ht="15.75" customHeight="1" s="125">
      <c r="A330" s="2" t="n"/>
      <c r="B330" s="2" t="n"/>
      <c r="C330" s="2" t="n"/>
      <c r="D330" s="2" t="n"/>
      <c r="E330" s="2" t="n"/>
      <c r="F330" s="2" t="n"/>
    </row>
    <row r="331" ht="15.75" customHeight="1" s="125">
      <c r="A331" s="2" t="n"/>
      <c r="B331" s="2" t="n"/>
      <c r="C331" s="2" t="n"/>
      <c r="D331" s="2" t="n"/>
      <c r="E331" s="2" t="n"/>
      <c r="F331" s="2" t="n"/>
    </row>
    <row r="332" ht="15.75" customHeight="1" s="125">
      <c r="A332" s="2" t="n"/>
      <c r="B332" s="2" t="n"/>
      <c r="C332" s="2" t="n"/>
      <c r="D332" s="2" t="n"/>
      <c r="E332" s="2" t="n"/>
      <c r="F332" s="2" t="n"/>
    </row>
    <row r="333" ht="15.75" customHeight="1" s="125">
      <c r="A333" s="2" t="n"/>
      <c r="B333" s="2" t="n"/>
      <c r="C333" s="2" t="n"/>
      <c r="D333" s="2" t="n"/>
      <c r="E333" s="2" t="n"/>
      <c r="F333" s="2" t="n"/>
    </row>
    <row r="334" ht="15.75" customHeight="1" s="125">
      <c r="A334" s="2" t="n"/>
      <c r="B334" s="2" t="n"/>
      <c r="C334" s="2" t="n"/>
      <c r="D334" s="2" t="n"/>
      <c r="E334" s="2" t="n"/>
      <c r="F334" s="2" t="n"/>
    </row>
    <row r="335" ht="15.75" customHeight="1" s="125">
      <c r="A335" s="2" t="n"/>
      <c r="B335" s="2" t="n"/>
      <c r="C335" s="2" t="n"/>
      <c r="D335" s="2" t="n"/>
      <c r="E335" s="2" t="n"/>
      <c r="F335" s="2" t="n"/>
    </row>
    <row r="336" ht="15.75" customHeight="1" s="125">
      <c r="A336" s="2" t="n"/>
      <c r="B336" s="2" t="n"/>
      <c r="C336" s="2" t="n"/>
      <c r="D336" s="2" t="n"/>
      <c r="E336" s="2" t="n"/>
      <c r="F336" s="2" t="n"/>
    </row>
    <row r="337" ht="15.75" customHeight="1" s="125">
      <c r="A337" s="2" t="n"/>
      <c r="B337" s="2" t="n"/>
      <c r="C337" s="2" t="n"/>
      <c r="D337" s="2" t="n"/>
      <c r="E337" s="2" t="n"/>
      <c r="F337" s="2" t="n"/>
    </row>
    <row r="338" ht="15.75" customHeight="1" s="125">
      <c r="A338" s="2" t="n"/>
      <c r="B338" s="2" t="n"/>
      <c r="C338" s="2" t="n"/>
      <c r="D338" s="2" t="n"/>
      <c r="E338" s="2" t="n"/>
      <c r="F338" s="2" t="n"/>
    </row>
    <row r="339" ht="15.75" customHeight="1" s="125">
      <c r="A339" s="2" t="n"/>
      <c r="B339" s="2" t="n"/>
      <c r="C339" s="2" t="n"/>
      <c r="D339" s="2" t="n"/>
      <c r="E339" s="2" t="n"/>
      <c r="F339" s="2" t="n"/>
    </row>
    <row r="340" ht="15.75" customHeight="1" s="125">
      <c r="A340" s="2" t="n"/>
      <c r="B340" s="2" t="n"/>
      <c r="C340" s="2" t="n"/>
      <c r="D340" s="2" t="n"/>
      <c r="E340" s="2" t="n"/>
      <c r="F340" s="2" t="n"/>
    </row>
    <row r="341" ht="15.75" customHeight="1" s="125">
      <c r="A341" s="2" t="n"/>
      <c r="B341" s="2" t="n"/>
      <c r="C341" s="2" t="n"/>
      <c r="D341" s="2" t="n"/>
      <c r="E341" s="2" t="n"/>
      <c r="F341" s="2" t="n"/>
    </row>
    <row r="342" ht="15.75" customHeight="1" s="125">
      <c r="A342" s="2" t="n"/>
      <c r="B342" s="2" t="n"/>
      <c r="C342" s="2" t="n"/>
      <c r="D342" s="2" t="n"/>
      <c r="E342" s="2" t="n"/>
      <c r="F342" s="2" t="n"/>
    </row>
    <row r="343" ht="15.75" customHeight="1" s="125">
      <c r="A343" s="2" t="n"/>
      <c r="B343" s="2" t="n"/>
      <c r="C343" s="2" t="n"/>
      <c r="D343" s="2" t="n"/>
      <c r="E343" s="2" t="n"/>
      <c r="F343" s="2" t="n"/>
    </row>
    <row r="344" ht="15.75" customHeight="1" s="125">
      <c r="A344" s="2" t="n"/>
      <c r="B344" s="2" t="n"/>
      <c r="C344" s="2" t="n"/>
      <c r="D344" s="2" t="n"/>
      <c r="E344" s="2" t="n"/>
      <c r="F344" s="2" t="n"/>
    </row>
    <row r="345" ht="15.75" customHeight="1" s="125">
      <c r="A345" s="2" t="n"/>
      <c r="B345" s="2" t="n"/>
      <c r="C345" s="2" t="n"/>
      <c r="D345" s="2" t="n"/>
      <c r="E345" s="2" t="n"/>
      <c r="F345" s="2" t="n"/>
    </row>
    <row r="346" ht="15.75" customHeight="1" s="125">
      <c r="A346" s="2" t="n"/>
      <c r="B346" s="2" t="n"/>
      <c r="C346" s="2" t="n"/>
      <c r="D346" s="2" t="n"/>
      <c r="E346" s="2" t="n"/>
      <c r="F346" s="2" t="n"/>
    </row>
    <row r="347" ht="15.75" customHeight="1" s="125">
      <c r="A347" s="2" t="n"/>
      <c r="B347" s="2" t="n"/>
      <c r="C347" s="2" t="n"/>
      <c r="D347" s="2" t="n"/>
      <c r="E347" s="2" t="n"/>
      <c r="F347" s="2" t="n"/>
    </row>
    <row r="348" ht="15.75" customHeight="1" s="125">
      <c r="A348" s="2" t="n"/>
      <c r="B348" s="2" t="n"/>
      <c r="C348" s="2" t="n"/>
      <c r="D348" s="2" t="n"/>
      <c r="E348" s="2" t="n"/>
      <c r="F348" s="2" t="n"/>
    </row>
    <row r="349" ht="15.75" customHeight="1" s="125">
      <c r="A349" s="2" t="n"/>
      <c r="B349" s="2" t="n"/>
      <c r="C349" s="2" t="n"/>
      <c r="D349" s="2" t="n"/>
      <c r="E349" s="2" t="n"/>
      <c r="F349" s="2" t="n"/>
    </row>
    <row r="350" ht="15.75" customHeight="1" s="125">
      <c r="A350" s="2" t="n"/>
      <c r="B350" s="2" t="n"/>
      <c r="C350" s="2" t="n"/>
      <c r="D350" s="2" t="n"/>
      <c r="E350" s="2" t="n"/>
      <c r="F350" s="2" t="n"/>
    </row>
    <row r="351" ht="15.75" customHeight="1" s="125">
      <c r="A351" s="2" t="n"/>
      <c r="B351" s="2" t="n"/>
      <c r="C351" s="2" t="n"/>
      <c r="D351" s="2" t="n"/>
      <c r="E351" s="2" t="n"/>
      <c r="F351" s="2" t="n"/>
    </row>
    <row r="352" ht="15.75" customHeight="1" s="125">
      <c r="A352" s="2" t="n"/>
      <c r="B352" s="2" t="n"/>
      <c r="C352" s="2" t="n"/>
      <c r="D352" s="2" t="n"/>
      <c r="E352" s="2" t="n"/>
      <c r="F352" s="2" t="n"/>
    </row>
    <row r="353" ht="15.75" customHeight="1" s="125">
      <c r="A353" s="2" t="n"/>
      <c r="B353" s="2" t="n"/>
      <c r="C353" s="2" t="n"/>
      <c r="D353" s="2" t="n"/>
      <c r="E353" s="2" t="n"/>
      <c r="F353" s="2" t="n"/>
    </row>
    <row r="354" ht="15.75" customHeight="1" s="125">
      <c r="A354" s="2" t="n"/>
      <c r="B354" s="2" t="n"/>
      <c r="C354" s="2" t="n"/>
      <c r="D354" s="2" t="n"/>
      <c r="E354" s="2" t="n"/>
      <c r="F354" s="2" t="n"/>
    </row>
    <row r="355" ht="15.75" customHeight="1" s="125">
      <c r="A355" s="2" t="n"/>
      <c r="B355" s="2" t="n"/>
      <c r="C355" s="2" t="n"/>
      <c r="D355" s="2" t="n"/>
      <c r="E355" s="2" t="n"/>
      <c r="F355" s="2" t="n"/>
    </row>
    <row r="356" ht="15.75" customHeight="1" s="125">
      <c r="A356" s="2" t="n"/>
      <c r="B356" s="2" t="n"/>
      <c r="C356" s="2" t="n"/>
      <c r="D356" s="2" t="n"/>
      <c r="E356" s="2" t="n"/>
      <c r="F356" s="2" t="n"/>
    </row>
    <row r="357" ht="15.75" customHeight="1" s="125">
      <c r="A357" s="2" t="n"/>
      <c r="B357" s="2" t="n"/>
      <c r="C357" s="2" t="n"/>
      <c r="D357" s="2" t="n"/>
      <c r="E357" s="2" t="n"/>
      <c r="F357" s="2" t="n"/>
    </row>
    <row r="358" ht="15.75" customHeight="1" s="125">
      <c r="A358" s="2" t="n"/>
      <c r="B358" s="2" t="n"/>
      <c r="C358" s="2" t="n"/>
      <c r="D358" s="2" t="n"/>
      <c r="E358" s="2" t="n"/>
      <c r="F358" s="2" t="n"/>
    </row>
    <row r="359" ht="15.75" customHeight="1" s="125">
      <c r="A359" s="2" t="n"/>
      <c r="B359" s="2" t="n"/>
      <c r="C359" s="2" t="n"/>
      <c r="D359" s="2" t="n"/>
      <c r="E359" s="2" t="n"/>
      <c r="F359" s="2" t="n"/>
    </row>
    <row r="360" ht="15.75" customHeight="1" s="125">
      <c r="A360" s="2" t="n"/>
      <c r="B360" s="2" t="n"/>
      <c r="C360" s="2" t="n"/>
      <c r="D360" s="2" t="n"/>
      <c r="E360" s="2" t="n"/>
      <c r="F360" s="2" t="n"/>
    </row>
    <row r="361" ht="15.75" customHeight="1" s="125">
      <c r="A361" s="2" t="n"/>
      <c r="B361" s="2" t="n"/>
      <c r="C361" s="2" t="n"/>
      <c r="D361" s="2" t="n"/>
      <c r="E361" s="2" t="n"/>
      <c r="F361" s="2" t="n"/>
    </row>
    <row r="362" ht="15.75" customHeight="1" s="125">
      <c r="A362" s="2" t="n"/>
      <c r="B362" s="2" t="n"/>
      <c r="C362" s="2" t="n"/>
      <c r="D362" s="2" t="n"/>
      <c r="E362" s="2" t="n"/>
      <c r="F362" s="2" t="n"/>
    </row>
    <row r="363" ht="15.75" customHeight="1" s="125">
      <c r="A363" s="2" t="n"/>
      <c r="B363" s="2" t="n"/>
      <c r="C363" s="2" t="n"/>
      <c r="D363" s="2" t="n"/>
      <c r="E363" s="2" t="n"/>
      <c r="F363" s="2" t="n"/>
    </row>
    <row r="364" ht="15.75" customHeight="1" s="125">
      <c r="A364" s="2" t="n"/>
      <c r="B364" s="2" t="n"/>
      <c r="C364" s="2" t="n"/>
      <c r="D364" s="2" t="n"/>
      <c r="E364" s="2" t="n"/>
      <c r="F364" s="2" t="n"/>
    </row>
    <row r="365" ht="15.75" customHeight="1" s="125">
      <c r="A365" s="2" t="n"/>
      <c r="B365" s="2" t="n"/>
      <c r="C365" s="2" t="n"/>
      <c r="D365" s="2" t="n"/>
      <c r="E365" s="2" t="n"/>
      <c r="F365" s="2" t="n"/>
    </row>
    <row r="366" ht="15.75" customHeight="1" s="125">
      <c r="A366" s="2" t="n"/>
      <c r="B366" s="2" t="n"/>
      <c r="C366" s="2" t="n"/>
      <c r="D366" s="2" t="n"/>
      <c r="E366" s="2" t="n"/>
      <c r="F366" s="2" t="n"/>
    </row>
    <row r="367" ht="15.75" customHeight="1" s="125">
      <c r="A367" s="2" t="n"/>
      <c r="B367" s="2" t="n"/>
      <c r="C367" s="2" t="n"/>
      <c r="D367" s="2" t="n"/>
      <c r="E367" s="2" t="n"/>
      <c r="F367" s="2" t="n"/>
    </row>
    <row r="368" ht="15.75" customHeight="1" s="125">
      <c r="A368" s="2" t="n"/>
      <c r="B368" s="2" t="n"/>
      <c r="C368" s="2" t="n"/>
      <c r="D368" s="2" t="n"/>
      <c r="E368" s="2" t="n"/>
      <c r="F368" s="2" t="n"/>
    </row>
    <row r="369" ht="15.75" customHeight="1" s="125">
      <c r="A369" s="2" t="n"/>
      <c r="B369" s="2" t="n"/>
      <c r="C369" s="2" t="n"/>
      <c r="D369" s="2" t="n"/>
      <c r="E369" s="2" t="n"/>
      <c r="F369" s="2" t="n"/>
    </row>
    <row r="370" ht="15.75" customHeight="1" s="125">
      <c r="A370" s="2" t="n"/>
      <c r="B370" s="2" t="n"/>
      <c r="C370" s="2" t="n"/>
      <c r="D370" s="2" t="n"/>
      <c r="E370" s="2" t="n"/>
      <c r="F370" s="2" t="n"/>
    </row>
    <row r="371" ht="15.75" customHeight="1" s="125">
      <c r="A371" s="2" t="n"/>
      <c r="B371" s="2" t="n"/>
      <c r="C371" s="2" t="n"/>
      <c r="D371" s="2" t="n"/>
      <c r="E371" s="2" t="n"/>
      <c r="F371" s="2" t="n"/>
    </row>
    <row r="372" ht="15.75" customHeight="1" s="125">
      <c r="A372" s="2" t="n"/>
      <c r="B372" s="2" t="n"/>
      <c r="C372" s="2" t="n"/>
      <c r="D372" s="2" t="n"/>
      <c r="E372" s="2" t="n"/>
      <c r="F372" s="2" t="n"/>
    </row>
    <row r="373" ht="15.75" customHeight="1" s="125">
      <c r="A373" s="2" t="n"/>
      <c r="B373" s="2" t="n"/>
      <c r="C373" s="2" t="n"/>
      <c r="D373" s="2" t="n"/>
      <c r="E373" s="2" t="n"/>
      <c r="F373" s="2" t="n"/>
    </row>
    <row r="374" ht="15.75" customHeight="1" s="125">
      <c r="A374" s="2" t="n"/>
      <c r="B374" s="2" t="n"/>
      <c r="C374" s="2" t="n"/>
      <c r="D374" s="2" t="n"/>
      <c r="E374" s="2" t="n"/>
      <c r="F374" s="2" t="n"/>
    </row>
    <row r="375" ht="15.75" customHeight="1" s="125">
      <c r="A375" s="2" t="n"/>
      <c r="B375" s="2" t="n"/>
      <c r="C375" s="2" t="n"/>
      <c r="D375" s="2" t="n"/>
      <c r="E375" s="2" t="n"/>
      <c r="F375" s="2" t="n"/>
    </row>
    <row r="376" ht="15.75" customHeight="1" s="125">
      <c r="A376" s="2" t="n"/>
      <c r="B376" s="2" t="n"/>
      <c r="C376" s="2" t="n"/>
      <c r="D376" s="2" t="n"/>
      <c r="E376" s="2" t="n"/>
      <c r="F376" s="2" t="n"/>
    </row>
    <row r="377" ht="15.75" customHeight="1" s="125">
      <c r="A377" s="2" t="n"/>
      <c r="B377" s="2" t="n"/>
      <c r="C377" s="2" t="n"/>
      <c r="D377" s="2" t="n"/>
      <c r="E377" s="2" t="n"/>
      <c r="F377" s="2" t="n"/>
    </row>
    <row r="378" ht="15.75" customHeight="1" s="125">
      <c r="A378" s="2" t="n"/>
      <c r="B378" s="2" t="n"/>
      <c r="C378" s="2" t="n"/>
      <c r="D378" s="2" t="n"/>
      <c r="E378" s="2" t="n"/>
      <c r="F378" s="2" t="n"/>
    </row>
    <row r="379" ht="15.75" customHeight="1" s="125">
      <c r="A379" s="2" t="n"/>
      <c r="B379" s="2" t="n"/>
      <c r="C379" s="2" t="n"/>
      <c r="D379" s="2" t="n"/>
      <c r="E379" s="2" t="n"/>
      <c r="F379" s="2" t="n"/>
    </row>
    <row r="380" ht="15.75" customHeight="1" s="125">
      <c r="A380" s="2" t="n"/>
      <c r="B380" s="2" t="n"/>
      <c r="C380" s="2" t="n"/>
      <c r="D380" s="2" t="n"/>
      <c r="E380" s="2" t="n"/>
      <c r="F380" s="2" t="n"/>
    </row>
    <row r="381" ht="15.75" customHeight="1" s="125">
      <c r="A381" s="2" t="n"/>
      <c r="B381" s="2" t="n"/>
      <c r="C381" s="2" t="n"/>
      <c r="D381" s="2" t="n"/>
      <c r="E381" s="2" t="n"/>
      <c r="F381" s="2" t="n"/>
    </row>
    <row r="382" ht="15.75" customHeight="1" s="125">
      <c r="A382" s="2" t="n"/>
      <c r="B382" s="2" t="n"/>
      <c r="C382" s="2" t="n"/>
      <c r="D382" s="2" t="n"/>
      <c r="E382" s="2" t="n"/>
      <c r="F382" s="2" t="n"/>
    </row>
    <row r="383" ht="15.75" customHeight="1" s="125">
      <c r="A383" s="2" t="n"/>
      <c r="B383" s="2" t="n"/>
      <c r="C383" s="2" t="n"/>
      <c r="D383" s="2" t="n"/>
      <c r="E383" s="2" t="n"/>
      <c r="F383" s="2" t="n"/>
    </row>
    <row r="384" ht="15.75" customHeight="1" s="125">
      <c r="A384" s="2" t="n"/>
      <c r="B384" s="2" t="n"/>
      <c r="C384" s="2" t="n"/>
      <c r="D384" s="2" t="n"/>
      <c r="E384" s="2" t="n"/>
      <c r="F384" s="2" t="n"/>
    </row>
    <row r="385" ht="15.75" customHeight="1" s="125">
      <c r="A385" s="2" t="n"/>
      <c r="B385" s="2" t="n"/>
      <c r="C385" s="2" t="n"/>
      <c r="D385" s="2" t="n"/>
      <c r="E385" s="2" t="n"/>
      <c r="F385" s="2" t="n"/>
    </row>
    <row r="386" ht="15.75" customHeight="1" s="125">
      <c r="A386" s="2" t="n"/>
      <c r="B386" s="2" t="n"/>
      <c r="C386" s="2" t="n"/>
      <c r="D386" s="2" t="n"/>
      <c r="E386" s="2" t="n"/>
      <c r="F386" s="2" t="n"/>
    </row>
    <row r="387" ht="15.75" customHeight="1" s="125">
      <c r="A387" s="2" t="n"/>
      <c r="B387" s="2" t="n"/>
      <c r="C387" s="2" t="n"/>
      <c r="D387" s="2" t="n"/>
      <c r="E387" s="2" t="n"/>
      <c r="F387" s="2" t="n"/>
    </row>
    <row r="388" ht="15.75" customHeight="1" s="125">
      <c r="A388" s="2" t="n"/>
      <c r="B388" s="2" t="n"/>
      <c r="C388" s="2" t="n"/>
      <c r="D388" s="2" t="n"/>
      <c r="E388" s="2" t="n"/>
      <c r="F388" s="2" t="n"/>
    </row>
    <row r="389" ht="15.75" customHeight="1" s="125">
      <c r="A389" s="2" t="n"/>
      <c r="B389" s="2" t="n"/>
      <c r="C389" s="2" t="n"/>
      <c r="D389" s="2" t="n"/>
      <c r="E389" s="2" t="n"/>
      <c r="F389" s="2" t="n"/>
    </row>
    <row r="390" ht="15.75" customHeight="1" s="125">
      <c r="A390" s="2" t="n"/>
      <c r="B390" s="2" t="n"/>
      <c r="C390" s="2" t="n"/>
      <c r="D390" s="2" t="n"/>
      <c r="E390" s="2" t="n"/>
      <c r="F390" s="2" t="n"/>
    </row>
    <row r="391" ht="15.75" customHeight="1" s="125">
      <c r="A391" s="2" t="n"/>
      <c r="B391" s="2" t="n"/>
      <c r="C391" s="2" t="n"/>
      <c r="D391" s="2" t="n"/>
      <c r="E391" s="2" t="n"/>
      <c r="F391" s="2" t="n"/>
    </row>
    <row r="392" ht="15.75" customHeight="1" s="125">
      <c r="A392" s="2" t="n"/>
      <c r="B392" s="2" t="n"/>
      <c r="C392" s="2" t="n"/>
      <c r="D392" s="2" t="n"/>
      <c r="E392" s="2" t="n"/>
      <c r="F392" s="2" t="n"/>
    </row>
    <row r="393" ht="15.75" customHeight="1" s="125">
      <c r="A393" s="2" t="n"/>
      <c r="B393" s="2" t="n"/>
      <c r="C393" s="2" t="n"/>
      <c r="D393" s="2" t="n"/>
      <c r="E393" s="2" t="n"/>
      <c r="F393" s="2" t="n"/>
    </row>
    <row r="394" ht="15.75" customHeight="1" s="125">
      <c r="A394" s="2" t="n"/>
      <c r="B394" s="2" t="n"/>
      <c r="C394" s="2" t="n"/>
      <c r="D394" s="2" t="n"/>
      <c r="E394" s="2" t="n"/>
      <c r="F394" s="2" t="n"/>
    </row>
    <row r="395" ht="15.75" customHeight="1" s="125">
      <c r="A395" s="2" t="n"/>
      <c r="B395" s="2" t="n"/>
      <c r="C395" s="2" t="n"/>
      <c r="D395" s="2" t="n"/>
      <c r="E395" s="2" t="n"/>
      <c r="F395" s="2" t="n"/>
    </row>
    <row r="396" ht="15.75" customHeight="1" s="125">
      <c r="A396" s="2" t="n"/>
      <c r="B396" s="2" t="n"/>
      <c r="C396" s="2" t="n"/>
      <c r="D396" s="2" t="n"/>
      <c r="E396" s="2" t="n"/>
      <c r="F396" s="2" t="n"/>
    </row>
    <row r="397" ht="15.75" customHeight="1" s="125">
      <c r="A397" s="2" t="n"/>
      <c r="B397" s="2" t="n"/>
      <c r="C397" s="2" t="n"/>
      <c r="D397" s="2" t="n"/>
      <c r="E397" s="2" t="n"/>
      <c r="F397" s="2" t="n"/>
    </row>
    <row r="398" ht="15.75" customHeight="1" s="125">
      <c r="A398" s="2" t="n"/>
      <c r="B398" s="2" t="n"/>
      <c r="C398" s="2" t="n"/>
      <c r="D398" s="2" t="n"/>
      <c r="E398" s="2" t="n"/>
      <c r="F398" s="2" t="n"/>
    </row>
    <row r="399" ht="15.75" customHeight="1" s="125">
      <c r="A399" s="2" t="n"/>
      <c r="B399" s="2" t="n"/>
      <c r="C399" s="2" t="n"/>
      <c r="D399" s="2" t="n"/>
      <c r="E399" s="2" t="n"/>
      <c r="F399" s="2" t="n"/>
    </row>
    <row r="400" ht="15.75" customHeight="1" s="125">
      <c r="A400" s="2" t="n"/>
      <c r="B400" s="2" t="n"/>
      <c r="C400" s="2" t="n"/>
      <c r="D400" s="2" t="n"/>
      <c r="E400" s="2" t="n"/>
      <c r="F400" s="2" t="n"/>
    </row>
    <row r="401" ht="15.75" customHeight="1" s="125">
      <c r="A401" s="2" t="n"/>
      <c r="B401" s="2" t="n"/>
      <c r="C401" s="2" t="n"/>
      <c r="D401" s="2" t="n"/>
      <c r="E401" s="2" t="n"/>
      <c r="F401" s="2" t="n"/>
    </row>
    <row r="402" ht="15.75" customHeight="1" s="125">
      <c r="A402" s="2" t="n"/>
      <c r="B402" s="2" t="n"/>
      <c r="C402" s="2" t="n"/>
      <c r="D402" s="2" t="n"/>
      <c r="E402" s="2" t="n"/>
      <c r="F402" s="2" t="n"/>
    </row>
    <row r="403" ht="15.75" customHeight="1" s="125">
      <c r="A403" s="2" t="n"/>
      <c r="B403" s="2" t="n"/>
      <c r="C403" s="2" t="n"/>
      <c r="D403" s="2" t="n"/>
      <c r="E403" s="2" t="n"/>
      <c r="F403" s="2" t="n"/>
    </row>
    <row r="404" ht="15.75" customHeight="1" s="125">
      <c r="A404" s="2" t="n"/>
      <c r="B404" s="2" t="n"/>
      <c r="C404" s="2" t="n"/>
      <c r="D404" s="2" t="n"/>
      <c r="E404" s="2" t="n"/>
      <c r="F404" s="2" t="n"/>
    </row>
    <row r="405" ht="15.75" customHeight="1" s="125">
      <c r="A405" s="2" t="n"/>
      <c r="B405" s="2" t="n"/>
      <c r="C405" s="2" t="n"/>
      <c r="D405" s="2" t="n"/>
      <c r="E405" s="2" t="n"/>
      <c r="F405" s="2" t="n"/>
    </row>
    <row r="406" ht="15.75" customHeight="1" s="125">
      <c r="A406" s="2" t="n"/>
      <c r="B406" s="2" t="n"/>
      <c r="C406" s="2" t="n"/>
      <c r="D406" s="2" t="n"/>
      <c r="E406" s="2" t="n"/>
      <c r="F406" s="2" t="n"/>
    </row>
    <row r="407" ht="15.75" customHeight="1" s="125">
      <c r="A407" s="2" t="n"/>
      <c r="B407" s="2" t="n"/>
      <c r="C407" s="2" t="n"/>
      <c r="D407" s="2" t="n"/>
      <c r="E407" s="2" t="n"/>
      <c r="F407" s="2" t="n"/>
    </row>
    <row r="408" ht="15.75" customHeight="1" s="125">
      <c r="A408" s="2" t="n"/>
      <c r="B408" s="2" t="n"/>
      <c r="C408" s="2" t="n"/>
      <c r="D408" s="2" t="n"/>
      <c r="E408" s="2" t="n"/>
      <c r="F408" s="2" t="n"/>
    </row>
    <row r="409" ht="15.75" customHeight="1" s="125">
      <c r="A409" s="2" t="n"/>
      <c r="B409" s="2" t="n"/>
      <c r="C409" s="2" t="n"/>
      <c r="D409" s="2" t="n"/>
      <c r="E409" s="2" t="n"/>
      <c r="F409" s="2" t="n"/>
    </row>
    <row r="410" ht="15.75" customHeight="1" s="125">
      <c r="A410" s="2" t="n"/>
      <c r="B410" s="2" t="n"/>
      <c r="C410" s="2" t="n"/>
      <c r="D410" s="2" t="n"/>
      <c r="E410" s="2" t="n"/>
      <c r="F410" s="2" t="n"/>
    </row>
    <row r="411" ht="15.75" customHeight="1" s="125">
      <c r="A411" s="2" t="n"/>
      <c r="B411" s="2" t="n"/>
      <c r="C411" s="2" t="n"/>
      <c r="D411" s="2" t="n"/>
      <c r="E411" s="2" t="n"/>
      <c r="F411" s="2" t="n"/>
    </row>
    <row r="412" ht="15.75" customHeight="1" s="125">
      <c r="A412" s="2" t="n"/>
      <c r="B412" s="2" t="n"/>
      <c r="C412" s="2" t="n"/>
      <c r="D412" s="2" t="n"/>
      <c r="E412" s="2" t="n"/>
      <c r="F412" s="2" t="n"/>
    </row>
    <row r="413" ht="15.75" customHeight="1" s="125">
      <c r="A413" s="2" t="n"/>
      <c r="B413" s="2" t="n"/>
      <c r="C413" s="2" t="n"/>
      <c r="D413" s="2" t="n"/>
      <c r="E413" s="2" t="n"/>
      <c r="F413" s="2" t="n"/>
    </row>
    <row r="414" ht="15.75" customHeight="1" s="125">
      <c r="A414" s="2" t="n"/>
      <c r="B414" s="2" t="n"/>
      <c r="C414" s="2" t="n"/>
      <c r="D414" s="2" t="n"/>
      <c r="E414" s="2" t="n"/>
      <c r="F414" s="2" t="n"/>
    </row>
    <row r="415" ht="15.75" customHeight="1" s="125">
      <c r="A415" s="2" t="n"/>
      <c r="B415" s="2" t="n"/>
      <c r="C415" s="2" t="n"/>
      <c r="D415" s="2" t="n"/>
      <c r="E415" s="2" t="n"/>
      <c r="F415" s="2" t="n"/>
    </row>
    <row r="416" ht="15.75" customHeight="1" s="125">
      <c r="A416" s="2" t="n"/>
      <c r="B416" s="2" t="n"/>
      <c r="C416" s="2" t="n"/>
      <c r="D416" s="2" t="n"/>
      <c r="E416" s="2" t="n"/>
      <c r="F416" s="2" t="n"/>
    </row>
    <row r="417" ht="15.75" customHeight="1" s="125">
      <c r="A417" s="2" t="n"/>
      <c r="B417" s="2" t="n"/>
      <c r="C417" s="2" t="n"/>
      <c r="D417" s="2" t="n"/>
      <c r="E417" s="2" t="n"/>
      <c r="F417" s="2" t="n"/>
    </row>
    <row r="418" ht="15.75" customHeight="1" s="125">
      <c r="A418" s="2" t="n"/>
      <c r="B418" s="2" t="n"/>
      <c r="C418" s="2" t="n"/>
      <c r="D418" s="2" t="n"/>
      <c r="E418" s="2" t="n"/>
      <c r="F418" s="2" t="n"/>
    </row>
    <row r="419" ht="15.75" customHeight="1" s="125">
      <c r="A419" s="2" t="n"/>
      <c r="B419" s="2" t="n"/>
      <c r="C419" s="2" t="n"/>
      <c r="D419" s="2" t="n"/>
      <c r="E419" s="2" t="n"/>
      <c r="F419" s="2" t="n"/>
    </row>
    <row r="420" ht="15.75" customHeight="1" s="125">
      <c r="A420" s="2" t="n"/>
      <c r="B420" s="2" t="n"/>
      <c r="C420" s="2" t="n"/>
      <c r="D420" s="2" t="n"/>
      <c r="E420" s="2" t="n"/>
      <c r="F420" s="2" t="n"/>
    </row>
    <row r="421" ht="15.75" customHeight="1" s="125">
      <c r="A421" s="2" t="n"/>
      <c r="B421" s="2" t="n"/>
      <c r="C421" s="2" t="n"/>
      <c r="D421" s="2" t="n"/>
      <c r="E421" s="2" t="n"/>
      <c r="F421" s="2" t="n"/>
    </row>
    <row r="422" ht="15.75" customHeight="1" s="125">
      <c r="A422" s="2" t="n"/>
      <c r="B422" s="2" t="n"/>
      <c r="C422" s="2" t="n"/>
      <c r="D422" s="2" t="n"/>
      <c r="E422" s="2" t="n"/>
      <c r="F422" s="2" t="n"/>
    </row>
    <row r="423" ht="15.75" customHeight="1" s="125">
      <c r="A423" s="2" t="n"/>
      <c r="B423" s="2" t="n"/>
      <c r="C423" s="2" t="n"/>
      <c r="D423" s="2" t="n"/>
      <c r="E423" s="2" t="n"/>
      <c r="F423" s="2" t="n"/>
    </row>
    <row r="424" ht="15.75" customHeight="1" s="125">
      <c r="A424" s="2" t="n"/>
      <c r="B424" s="2" t="n"/>
      <c r="C424" s="2" t="n"/>
      <c r="D424" s="2" t="n"/>
      <c r="E424" s="2" t="n"/>
      <c r="F424" s="2" t="n"/>
    </row>
    <row r="425" ht="15.75" customHeight="1" s="125">
      <c r="A425" s="2" t="n"/>
      <c r="B425" s="2" t="n"/>
      <c r="C425" s="2" t="n"/>
      <c r="D425" s="2" t="n"/>
      <c r="E425" s="2" t="n"/>
      <c r="F425" s="2" t="n"/>
    </row>
    <row r="426" ht="15.75" customHeight="1" s="125">
      <c r="A426" s="2" t="n"/>
      <c r="B426" s="2" t="n"/>
      <c r="C426" s="2" t="n"/>
      <c r="D426" s="2" t="n"/>
      <c r="E426" s="2" t="n"/>
      <c r="F426" s="2" t="n"/>
    </row>
    <row r="427" ht="15.75" customHeight="1" s="125">
      <c r="A427" s="2" t="n"/>
      <c r="B427" s="2" t="n"/>
      <c r="C427" s="2" t="n"/>
      <c r="D427" s="2" t="n"/>
      <c r="E427" s="2" t="n"/>
      <c r="F427" s="2" t="n"/>
    </row>
    <row r="428" ht="15.75" customHeight="1" s="125">
      <c r="A428" s="2" t="n"/>
      <c r="B428" s="2" t="n"/>
      <c r="C428" s="2" t="n"/>
      <c r="D428" s="2" t="n"/>
      <c r="E428" s="2" t="n"/>
      <c r="F428" s="2" t="n"/>
    </row>
    <row r="429" ht="15.75" customHeight="1" s="125">
      <c r="A429" s="2" t="n"/>
      <c r="B429" s="2" t="n"/>
      <c r="C429" s="2" t="n"/>
      <c r="D429" s="2" t="n"/>
      <c r="E429" s="2" t="n"/>
      <c r="F429" s="2" t="n"/>
    </row>
    <row r="430" ht="15.75" customHeight="1" s="125">
      <c r="A430" s="2" t="n"/>
      <c r="B430" s="2" t="n"/>
      <c r="C430" s="2" t="n"/>
      <c r="D430" s="2" t="n"/>
      <c r="E430" s="2" t="n"/>
      <c r="F430" s="2" t="n"/>
    </row>
    <row r="431" ht="15.75" customHeight="1" s="125">
      <c r="A431" s="2" t="n"/>
      <c r="B431" s="2" t="n"/>
      <c r="C431" s="2" t="n"/>
      <c r="D431" s="2" t="n"/>
      <c r="E431" s="2" t="n"/>
      <c r="F431" s="2" t="n"/>
    </row>
    <row r="432" ht="15.75" customHeight="1" s="125">
      <c r="A432" s="2" t="n"/>
      <c r="B432" s="2" t="n"/>
      <c r="C432" s="2" t="n"/>
      <c r="D432" s="2" t="n"/>
      <c r="E432" s="2" t="n"/>
      <c r="F432" s="2" t="n"/>
    </row>
    <row r="433" ht="15.75" customHeight="1" s="125">
      <c r="A433" s="2" t="n"/>
      <c r="B433" s="2" t="n"/>
      <c r="C433" s="2" t="n"/>
      <c r="D433" s="2" t="n"/>
      <c r="E433" s="2" t="n"/>
      <c r="F433" s="2" t="n"/>
    </row>
    <row r="434" ht="15.75" customHeight="1" s="125">
      <c r="A434" s="2" t="n"/>
      <c r="B434" s="2" t="n"/>
      <c r="C434" s="2" t="n"/>
      <c r="D434" s="2" t="n"/>
      <c r="E434" s="2" t="n"/>
      <c r="F434" s="2" t="n"/>
    </row>
    <row r="435" ht="15.75" customHeight="1" s="125">
      <c r="A435" s="2" t="n"/>
      <c r="B435" s="2" t="n"/>
      <c r="C435" s="2" t="n"/>
      <c r="D435" s="2" t="n"/>
      <c r="E435" s="2" t="n"/>
      <c r="F435" s="2" t="n"/>
    </row>
    <row r="436" ht="15.75" customHeight="1" s="125">
      <c r="A436" s="2" t="n"/>
      <c r="B436" s="2" t="n"/>
      <c r="C436" s="2" t="n"/>
      <c r="D436" s="2" t="n"/>
      <c r="E436" s="2" t="n"/>
      <c r="F436" s="2" t="n"/>
    </row>
    <row r="437" ht="15.75" customHeight="1" s="125">
      <c r="A437" s="2" t="n"/>
      <c r="B437" s="2" t="n"/>
      <c r="C437" s="2" t="n"/>
      <c r="D437" s="2" t="n"/>
      <c r="E437" s="2" t="n"/>
      <c r="F437" s="2" t="n"/>
    </row>
    <row r="438" ht="15.75" customHeight="1" s="125">
      <c r="A438" s="2" t="n"/>
      <c r="B438" s="2" t="n"/>
      <c r="C438" s="2" t="n"/>
      <c r="D438" s="2" t="n"/>
      <c r="E438" s="2" t="n"/>
      <c r="F438" s="2" t="n"/>
    </row>
    <row r="439" ht="15.75" customHeight="1" s="125">
      <c r="A439" s="2" t="n"/>
      <c r="B439" s="2" t="n"/>
      <c r="C439" s="2" t="n"/>
      <c r="D439" s="2" t="n"/>
      <c r="E439" s="2" t="n"/>
      <c r="F439" s="2" t="n"/>
    </row>
    <row r="440" ht="15.75" customHeight="1" s="125">
      <c r="A440" s="2" t="n"/>
      <c r="B440" s="2" t="n"/>
      <c r="C440" s="2" t="n"/>
      <c r="D440" s="2" t="n"/>
      <c r="E440" s="2" t="n"/>
      <c r="F440" s="2" t="n"/>
    </row>
    <row r="441" ht="15.75" customHeight="1" s="125">
      <c r="A441" s="2" t="n"/>
      <c r="B441" s="2" t="n"/>
      <c r="C441" s="2" t="n"/>
      <c r="D441" s="2" t="n"/>
      <c r="E441" s="2" t="n"/>
      <c r="F441" s="2" t="n"/>
    </row>
    <row r="442" ht="15.75" customHeight="1" s="125">
      <c r="A442" s="2" t="n"/>
      <c r="B442" s="2" t="n"/>
      <c r="C442" s="2" t="n"/>
      <c r="D442" s="2" t="n"/>
      <c r="E442" s="2" t="n"/>
      <c r="F442" s="2" t="n"/>
    </row>
    <row r="443" ht="15.75" customHeight="1" s="125">
      <c r="A443" s="2" t="n"/>
      <c r="B443" s="2" t="n"/>
      <c r="C443" s="2" t="n"/>
      <c r="D443" s="2" t="n"/>
      <c r="E443" s="2" t="n"/>
      <c r="F443" s="2" t="n"/>
    </row>
    <row r="444" ht="15.75" customHeight="1" s="125">
      <c r="A444" s="2" t="n"/>
      <c r="B444" s="2" t="n"/>
      <c r="C444" s="2" t="n"/>
      <c r="D444" s="2" t="n"/>
      <c r="E444" s="2" t="n"/>
      <c r="F444" s="2" t="n"/>
    </row>
    <row r="445" ht="15.75" customHeight="1" s="125">
      <c r="A445" s="2" t="n"/>
      <c r="B445" s="2" t="n"/>
      <c r="C445" s="2" t="n"/>
      <c r="D445" s="2" t="n"/>
      <c r="E445" s="2" t="n"/>
      <c r="F445" s="2" t="n"/>
    </row>
    <row r="446" ht="15.75" customHeight="1" s="125">
      <c r="A446" s="2" t="n"/>
      <c r="B446" s="2" t="n"/>
      <c r="C446" s="2" t="n"/>
      <c r="D446" s="2" t="n"/>
      <c r="E446" s="2" t="n"/>
      <c r="F446" s="2" t="n"/>
    </row>
    <row r="447" ht="15.75" customHeight="1" s="125">
      <c r="A447" s="2" t="n"/>
      <c r="B447" s="2" t="n"/>
      <c r="C447" s="2" t="n"/>
      <c r="D447" s="2" t="n"/>
      <c r="E447" s="2" t="n"/>
      <c r="F447" s="2" t="n"/>
    </row>
    <row r="448" ht="15.75" customHeight="1" s="125">
      <c r="A448" s="2" t="n"/>
      <c r="B448" s="2" t="n"/>
      <c r="C448" s="2" t="n"/>
      <c r="D448" s="2" t="n"/>
      <c r="E448" s="2" t="n"/>
      <c r="F448" s="2" t="n"/>
    </row>
    <row r="449" ht="15.75" customHeight="1" s="125">
      <c r="A449" s="2" t="n"/>
      <c r="B449" s="2" t="n"/>
      <c r="C449" s="2" t="n"/>
      <c r="D449" s="2" t="n"/>
      <c r="E449" s="2" t="n"/>
      <c r="F449" s="2" t="n"/>
    </row>
    <row r="450" ht="15.75" customHeight="1" s="125">
      <c r="A450" s="2" t="n"/>
      <c r="B450" s="2" t="n"/>
      <c r="C450" s="2" t="n"/>
      <c r="D450" s="2" t="n"/>
      <c r="E450" s="2" t="n"/>
      <c r="F450" s="2" t="n"/>
    </row>
    <row r="451" ht="15.75" customHeight="1" s="125">
      <c r="A451" s="2" t="n"/>
      <c r="B451" s="2" t="n"/>
      <c r="C451" s="2" t="n"/>
      <c r="D451" s="2" t="n"/>
      <c r="E451" s="2" t="n"/>
      <c r="F451" s="2" t="n"/>
    </row>
    <row r="452" ht="15.75" customHeight="1" s="125">
      <c r="A452" s="2" t="n"/>
      <c r="B452" s="2" t="n"/>
      <c r="C452" s="2" t="n"/>
      <c r="D452" s="2" t="n"/>
      <c r="E452" s="2" t="n"/>
      <c r="F452" s="2" t="n"/>
    </row>
    <row r="453" ht="15.75" customHeight="1" s="125">
      <c r="A453" s="2" t="n"/>
      <c r="B453" s="2" t="n"/>
      <c r="C453" s="2" t="n"/>
      <c r="D453" s="2" t="n"/>
      <c r="E453" s="2" t="n"/>
      <c r="F453" s="2" t="n"/>
    </row>
    <row r="454" ht="15.75" customHeight="1" s="125">
      <c r="A454" s="2" t="n"/>
      <c r="B454" s="2" t="n"/>
      <c r="C454" s="2" t="n"/>
      <c r="D454" s="2" t="n"/>
      <c r="E454" s="2" t="n"/>
      <c r="F454" s="2" t="n"/>
    </row>
    <row r="455" ht="15.75" customHeight="1" s="125">
      <c r="A455" s="2" t="n"/>
      <c r="B455" s="2" t="n"/>
      <c r="C455" s="2" t="n"/>
      <c r="D455" s="2" t="n"/>
      <c r="E455" s="2" t="n"/>
      <c r="F455" s="2" t="n"/>
    </row>
    <row r="456" ht="15.75" customHeight="1" s="125">
      <c r="A456" s="2" t="n"/>
      <c r="B456" s="2" t="n"/>
      <c r="C456" s="2" t="n"/>
      <c r="D456" s="2" t="n"/>
      <c r="E456" s="2" t="n"/>
      <c r="F456" s="2" t="n"/>
    </row>
    <row r="457" ht="15.75" customHeight="1" s="125">
      <c r="A457" s="2" t="n"/>
      <c r="B457" s="2" t="n"/>
      <c r="C457" s="2" t="n"/>
      <c r="D457" s="2" t="n"/>
      <c r="E457" s="2" t="n"/>
      <c r="F457" s="2" t="n"/>
    </row>
    <row r="458" ht="15.75" customHeight="1" s="125">
      <c r="A458" s="2" t="n"/>
      <c r="B458" s="2" t="n"/>
      <c r="C458" s="2" t="n"/>
      <c r="D458" s="2" t="n"/>
      <c r="E458" s="2" t="n"/>
      <c r="F458" s="2" t="n"/>
    </row>
    <row r="459" ht="15.75" customHeight="1" s="125">
      <c r="A459" s="2" t="n"/>
      <c r="B459" s="2" t="n"/>
      <c r="C459" s="2" t="n"/>
      <c r="D459" s="2" t="n"/>
      <c r="E459" s="2" t="n"/>
      <c r="F459" s="2" t="n"/>
    </row>
    <row r="460" ht="15.75" customHeight="1" s="125">
      <c r="A460" s="2" t="n"/>
      <c r="B460" s="2" t="n"/>
      <c r="C460" s="2" t="n"/>
      <c r="D460" s="2" t="n"/>
      <c r="E460" s="2" t="n"/>
      <c r="F460" s="2" t="n"/>
    </row>
    <row r="461" ht="15.75" customHeight="1" s="125">
      <c r="A461" s="2" t="n"/>
      <c r="B461" s="2" t="n"/>
      <c r="C461" s="2" t="n"/>
      <c r="D461" s="2" t="n"/>
      <c r="E461" s="2" t="n"/>
      <c r="F461" s="2" t="n"/>
    </row>
    <row r="462" ht="15.75" customHeight="1" s="125">
      <c r="A462" s="2" t="n"/>
      <c r="B462" s="2" t="n"/>
      <c r="C462" s="2" t="n"/>
      <c r="D462" s="2" t="n"/>
      <c r="E462" s="2" t="n"/>
      <c r="F462" s="2" t="n"/>
    </row>
    <row r="463" ht="15.75" customHeight="1" s="125">
      <c r="A463" s="2" t="n"/>
      <c r="B463" s="2" t="n"/>
      <c r="C463" s="2" t="n"/>
      <c r="D463" s="2" t="n"/>
      <c r="E463" s="2" t="n"/>
      <c r="F463" s="2" t="n"/>
    </row>
    <row r="464" ht="15.75" customHeight="1" s="125">
      <c r="A464" s="2" t="n"/>
      <c r="B464" s="2" t="n"/>
      <c r="C464" s="2" t="n"/>
      <c r="D464" s="2" t="n"/>
      <c r="E464" s="2" t="n"/>
      <c r="F464" s="2" t="n"/>
    </row>
    <row r="465" ht="15.75" customHeight="1" s="125">
      <c r="A465" s="2" t="n"/>
      <c r="B465" s="2" t="n"/>
      <c r="C465" s="2" t="n"/>
      <c r="D465" s="2" t="n"/>
      <c r="E465" s="2" t="n"/>
      <c r="F465" s="2" t="n"/>
    </row>
    <row r="466" ht="15.75" customHeight="1" s="125">
      <c r="A466" s="2" t="n"/>
      <c r="B466" s="2" t="n"/>
      <c r="C466" s="2" t="n"/>
      <c r="D466" s="2" t="n"/>
      <c r="E466" s="2" t="n"/>
      <c r="F466" s="2" t="n"/>
    </row>
    <row r="467" ht="15.75" customHeight="1" s="125">
      <c r="A467" s="2" t="n"/>
      <c r="B467" s="2" t="n"/>
      <c r="C467" s="2" t="n"/>
      <c r="D467" s="2" t="n"/>
      <c r="E467" s="2" t="n"/>
      <c r="F467" s="2" t="n"/>
    </row>
    <row r="468" ht="15.75" customHeight="1" s="125">
      <c r="A468" s="2" t="n"/>
      <c r="B468" s="2" t="n"/>
      <c r="C468" s="2" t="n"/>
      <c r="D468" s="2" t="n"/>
      <c r="E468" s="2" t="n"/>
      <c r="F468" s="2" t="n"/>
    </row>
    <row r="469" ht="15.75" customHeight="1" s="125">
      <c r="A469" s="2" t="n"/>
      <c r="B469" s="2" t="n"/>
      <c r="C469" s="2" t="n"/>
      <c r="D469" s="2" t="n"/>
      <c r="E469" s="2" t="n"/>
      <c r="F469" s="2" t="n"/>
    </row>
    <row r="470" ht="15.75" customHeight="1" s="125">
      <c r="A470" s="2" t="n"/>
      <c r="B470" s="2" t="n"/>
      <c r="C470" s="2" t="n"/>
      <c r="D470" s="2" t="n"/>
      <c r="E470" s="2" t="n"/>
      <c r="F470" s="2" t="n"/>
    </row>
    <row r="471" ht="15.75" customHeight="1" s="125">
      <c r="A471" s="2" t="n"/>
      <c r="B471" s="2" t="n"/>
      <c r="C471" s="2" t="n"/>
      <c r="D471" s="2" t="n"/>
      <c r="E471" s="2" t="n"/>
      <c r="F471" s="2" t="n"/>
    </row>
    <row r="472" ht="15.75" customHeight="1" s="125">
      <c r="A472" s="2" t="n"/>
      <c r="B472" s="2" t="n"/>
      <c r="C472" s="2" t="n"/>
      <c r="D472" s="2" t="n"/>
      <c r="E472" s="2" t="n"/>
      <c r="F472" s="2" t="n"/>
    </row>
    <row r="473" ht="15.75" customHeight="1" s="125">
      <c r="A473" s="2" t="n"/>
      <c r="B473" s="2" t="n"/>
      <c r="C473" s="2" t="n"/>
      <c r="D473" s="2" t="n"/>
      <c r="E473" s="2" t="n"/>
      <c r="F473" s="2" t="n"/>
    </row>
    <row r="474" ht="15.75" customHeight="1" s="125">
      <c r="A474" s="2" t="n"/>
      <c r="B474" s="2" t="n"/>
      <c r="C474" s="2" t="n"/>
      <c r="D474" s="2" t="n"/>
      <c r="E474" s="2" t="n"/>
      <c r="F474" s="2" t="n"/>
    </row>
    <row r="475" ht="15.75" customHeight="1" s="125">
      <c r="A475" s="2" t="n"/>
      <c r="B475" s="2" t="n"/>
      <c r="C475" s="2" t="n"/>
      <c r="D475" s="2" t="n"/>
      <c r="E475" s="2" t="n"/>
      <c r="F475" s="2" t="n"/>
    </row>
    <row r="476" ht="15.75" customHeight="1" s="125">
      <c r="A476" s="2" t="n"/>
      <c r="B476" s="2" t="n"/>
      <c r="C476" s="2" t="n"/>
      <c r="D476" s="2" t="n"/>
      <c r="E476" s="2" t="n"/>
      <c r="F476" s="2" t="n"/>
    </row>
    <row r="477" ht="15.75" customHeight="1" s="125">
      <c r="A477" s="2" t="n"/>
      <c r="B477" s="2" t="n"/>
      <c r="C477" s="2" t="n"/>
      <c r="D477" s="2" t="n"/>
      <c r="E477" s="2" t="n"/>
      <c r="F477" s="2" t="n"/>
    </row>
    <row r="478" ht="15.75" customHeight="1" s="125">
      <c r="A478" s="2" t="n"/>
      <c r="B478" s="2" t="n"/>
      <c r="C478" s="2" t="n"/>
      <c r="D478" s="2" t="n"/>
      <c r="E478" s="2" t="n"/>
      <c r="F478" s="2" t="n"/>
    </row>
    <row r="479" ht="15.75" customHeight="1" s="125">
      <c r="A479" s="2" t="n"/>
      <c r="B479" s="2" t="n"/>
      <c r="C479" s="2" t="n"/>
      <c r="D479" s="2" t="n"/>
      <c r="E479" s="2" t="n"/>
      <c r="F479" s="2" t="n"/>
    </row>
    <row r="480" ht="15.75" customHeight="1" s="125">
      <c r="A480" s="2" t="n"/>
      <c r="B480" s="2" t="n"/>
      <c r="C480" s="2" t="n"/>
      <c r="D480" s="2" t="n"/>
      <c r="E480" s="2" t="n"/>
      <c r="F480" s="2" t="n"/>
    </row>
    <row r="481" ht="15.75" customHeight="1" s="125">
      <c r="A481" s="2" t="n"/>
      <c r="B481" s="2" t="n"/>
      <c r="C481" s="2" t="n"/>
      <c r="D481" s="2" t="n"/>
      <c r="E481" s="2" t="n"/>
      <c r="F481" s="2" t="n"/>
    </row>
    <row r="482" ht="15.75" customHeight="1" s="125">
      <c r="A482" s="2" t="n"/>
      <c r="B482" s="2" t="n"/>
      <c r="C482" s="2" t="n"/>
      <c r="D482" s="2" t="n"/>
      <c r="E482" s="2" t="n"/>
      <c r="F482" s="2" t="n"/>
    </row>
    <row r="483" ht="15.75" customHeight="1" s="125">
      <c r="A483" s="2" t="n"/>
      <c r="B483" s="2" t="n"/>
      <c r="C483" s="2" t="n"/>
      <c r="D483" s="2" t="n"/>
      <c r="E483" s="2" t="n"/>
      <c r="F483" s="2" t="n"/>
    </row>
    <row r="484" ht="15.75" customHeight="1" s="125">
      <c r="A484" s="2" t="n"/>
      <c r="B484" s="2" t="n"/>
      <c r="C484" s="2" t="n"/>
      <c r="D484" s="2" t="n"/>
      <c r="E484" s="2" t="n"/>
      <c r="F484" s="2" t="n"/>
    </row>
    <row r="485" ht="15.75" customHeight="1" s="125">
      <c r="A485" s="2" t="n"/>
      <c r="B485" s="2" t="n"/>
      <c r="C485" s="2" t="n"/>
      <c r="D485" s="2" t="n"/>
      <c r="E485" s="2" t="n"/>
      <c r="F485" s="2" t="n"/>
    </row>
    <row r="486" ht="15.75" customHeight="1" s="125">
      <c r="A486" s="2" t="n"/>
      <c r="B486" s="2" t="n"/>
      <c r="C486" s="2" t="n"/>
      <c r="D486" s="2" t="n"/>
      <c r="E486" s="2" t="n"/>
      <c r="F486" s="2" t="n"/>
    </row>
    <row r="487" ht="15.75" customHeight="1" s="125">
      <c r="A487" s="2" t="n"/>
      <c r="B487" s="2" t="n"/>
      <c r="C487" s="2" t="n"/>
      <c r="D487" s="2" t="n"/>
      <c r="E487" s="2" t="n"/>
      <c r="F487" s="2" t="n"/>
    </row>
    <row r="488" ht="15.75" customHeight="1" s="125">
      <c r="A488" s="2" t="n"/>
      <c r="B488" s="2" t="n"/>
      <c r="C488" s="2" t="n"/>
      <c r="D488" s="2" t="n"/>
      <c r="E488" s="2" t="n"/>
      <c r="F488" s="2" t="n"/>
    </row>
    <row r="489" ht="15.75" customHeight="1" s="125">
      <c r="A489" s="2" t="n"/>
      <c r="B489" s="2" t="n"/>
      <c r="C489" s="2" t="n"/>
      <c r="D489" s="2" t="n"/>
      <c r="E489" s="2" t="n"/>
      <c r="F489" s="2" t="n"/>
    </row>
    <row r="490" ht="15.75" customHeight="1" s="125">
      <c r="A490" s="2" t="n"/>
      <c r="B490" s="2" t="n"/>
      <c r="C490" s="2" t="n"/>
      <c r="D490" s="2" t="n"/>
      <c r="E490" s="2" t="n"/>
      <c r="F490" s="2" t="n"/>
    </row>
    <row r="491" ht="15.75" customHeight="1" s="125">
      <c r="A491" s="2" t="n"/>
      <c r="B491" s="2" t="n"/>
      <c r="C491" s="2" t="n"/>
      <c r="D491" s="2" t="n"/>
      <c r="E491" s="2" t="n"/>
      <c r="F491" s="2" t="n"/>
    </row>
    <row r="492" ht="15.75" customHeight="1" s="125">
      <c r="A492" s="2" t="n"/>
      <c r="B492" s="2" t="n"/>
      <c r="C492" s="2" t="n"/>
      <c r="D492" s="2" t="n"/>
      <c r="E492" s="2" t="n"/>
      <c r="F492" s="2" t="n"/>
    </row>
    <row r="493" ht="15.75" customHeight="1" s="125">
      <c r="A493" s="2" t="n"/>
      <c r="B493" s="2" t="n"/>
      <c r="C493" s="2" t="n"/>
      <c r="D493" s="2" t="n"/>
      <c r="E493" s="2" t="n"/>
      <c r="F493" s="2" t="n"/>
    </row>
    <row r="494" ht="15.75" customHeight="1" s="125">
      <c r="A494" s="2" t="n"/>
      <c r="B494" s="2" t="n"/>
      <c r="C494" s="2" t="n"/>
      <c r="D494" s="2" t="n"/>
      <c r="E494" s="2" t="n"/>
      <c r="F494" s="2" t="n"/>
    </row>
    <row r="495" ht="15.75" customHeight="1" s="125">
      <c r="A495" s="2" t="n"/>
      <c r="B495" s="2" t="n"/>
      <c r="C495" s="2" t="n"/>
      <c r="D495" s="2" t="n"/>
      <c r="E495" s="2" t="n"/>
      <c r="F495" s="2" t="n"/>
    </row>
    <row r="496" ht="15.75" customHeight="1" s="125">
      <c r="A496" s="2" t="n"/>
      <c r="B496" s="2" t="n"/>
      <c r="C496" s="2" t="n"/>
      <c r="D496" s="2" t="n"/>
      <c r="E496" s="2" t="n"/>
      <c r="F496" s="2" t="n"/>
    </row>
    <row r="497" ht="15.75" customHeight="1" s="125">
      <c r="A497" s="2" t="n"/>
      <c r="B497" s="2" t="n"/>
      <c r="C497" s="2" t="n"/>
      <c r="D497" s="2" t="n"/>
      <c r="E497" s="2" t="n"/>
      <c r="F497" s="2" t="n"/>
    </row>
    <row r="498" ht="15.75" customHeight="1" s="125">
      <c r="A498" s="2" t="n"/>
      <c r="B498" s="2" t="n"/>
      <c r="C498" s="2" t="n"/>
      <c r="D498" s="2" t="n"/>
      <c r="E498" s="2" t="n"/>
      <c r="F498" s="2" t="n"/>
    </row>
    <row r="499" ht="15.75" customHeight="1" s="125">
      <c r="A499" s="2" t="n"/>
      <c r="B499" s="2" t="n"/>
      <c r="C499" s="2" t="n"/>
      <c r="D499" s="2" t="n"/>
      <c r="E499" s="2" t="n"/>
      <c r="F499" s="2" t="n"/>
    </row>
    <row r="500" ht="15.75" customHeight="1" s="125">
      <c r="A500" s="2" t="n"/>
      <c r="B500" s="2" t="n"/>
      <c r="C500" s="2" t="n"/>
      <c r="D500" s="2" t="n"/>
      <c r="E500" s="2" t="n"/>
      <c r="F500" s="2" t="n"/>
    </row>
    <row r="501" ht="15.75" customHeight="1" s="125">
      <c r="A501" s="2" t="n"/>
      <c r="B501" s="2" t="n"/>
      <c r="C501" s="2" t="n"/>
      <c r="D501" s="2" t="n"/>
      <c r="E501" s="2" t="n"/>
      <c r="F501" s="2" t="n"/>
    </row>
    <row r="502" ht="15.75" customHeight="1" s="125">
      <c r="A502" s="2" t="n"/>
      <c r="B502" s="2" t="n"/>
      <c r="C502" s="2" t="n"/>
      <c r="D502" s="2" t="n"/>
      <c r="E502" s="2" t="n"/>
      <c r="F502" s="2" t="n"/>
    </row>
    <row r="503" ht="15.75" customHeight="1" s="125">
      <c r="A503" s="2" t="n"/>
      <c r="B503" s="2" t="n"/>
      <c r="C503" s="2" t="n"/>
      <c r="D503" s="2" t="n"/>
      <c r="E503" s="2" t="n"/>
      <c r="F503" s="2" t="n"/>
    </row>
    <row r="504" ht="15.75" customHeight="1" s="125">
      <c r="A504" s="2" t="n"/>
      <c r="B504" s="2" t="n"/>
      <c r="C504" s="2" t="n"/>
      <c r="D504" s="2" t="n"/>
      <c r="E504" s="2" t="n"/>
      <c r="F504" s="2" t="n"/>
    </row>
    <row r="505" ht="15.75" customHeight="1" s="125">
      <c r="A505" s="2" t="n"/>
      <c r="B505" s="2" t="n"/>
      <c r="C505" s="2" t="n"/>
      <c r="D505" s="2" t="n"/>
      <c r="E505" s="2" t="n"/>
      <c r="F505" s="2" t="n"/>
    </row>
    <row r="506" ht="15.75" customHeight="1" s="125">
      <c r="A506" s="2" t="n"/>
      <c r="B506" s="2" t="n"/>
      <c r="C506" s="2" t="n"/>
      <c r="D506" s="2" t="n"/>
      <c r="E506" s="2" t="n"/>
      <c r="F506" s="2" t="n"/>
    </row>
    <row r="507" ht="15.75" customHeight="1" s="125">
      <c r="A507" s="2" t="n"/>
      <c r="B507" s="2" t="n"/>
      <c r="C507" s="2" t="n"/>
      <c r="D507" s="2" t="n"/>
      <c r="E507" s="2" t="n"/>
      <c r="F507" s="2" t="n"/>
    </row>
    <row r="508" ht="15.75" customHeight="1" s="125">
      <c r="A508" s="2" t="n"/>
      <c r="B508" s="2" t="n"/>
      <c r="C508" s="2" t="n"/>
      <c r="D508" s="2" t="n"/>
      <c r="E508" s="2" t="n"/>
      <c r="F508" s="2" t="n"/>
    </row>
    <row r="509" ht="15.75" customHeight="1" s="125">
      <c r="A509" s="2" t="n"/>
      <c r="B509" s="2" t="n"/>
      <c r="C509" s="2" t="n"/>
      <c r="D509" s="2" t="n"/>
      <c r="E509" s="2" t="n"/>
      <c r="F509" s="2" t="n"/>
    </row>
    <row r="510" ht="15.75" customHeight="1" s="125">
      <c r="A510" s="2" t="n"/>
      <c r="B510" s="2" t="n"/>
      <c r="C510" s="2" t="n"/>
      <c r="D510" s="2" t="n"/>
      <c r="E510" s="2" t="n"/>
      <c r="F510" s="2" t="n"/>
    </row>
    <row r="511" ht="15.75" customHeight="1" s="125">
      <c r="A511" s="2" t="n"/>
      <c r="B511" s="2" t="n"/>
      <c r="C511" s="2" t="n"/>
      <c r="D511" s="2" t="n"/>
      <c r="E511" s="2" t="n"/>
      <c r="F511" s="2" t="n"/>
    </row>
    <row r="512" ht="15.75" customHeight="1" s="125">
      <c r="A512" s="2" t="n"/>
      <c r="B512" s="2" t="n"/>
      <c r="C512" s="2" t="n"/>
      <c r="D512" s="2" t="n"/>
      <c r="E512" s="2" t="n"/>
      <c r="F512" s="2" t="n"/>
    </row>
    <row r="513" ht="15.75" customHeight="1" s="125">
      <c r="A513" s="2" t="n"/>
      <c r="B513" s="2" t="n"/>
      <c r="C513" s="2" t="n"/>
      <c r="D513" s="2" t="n"/>
      <c r="E513" s="2" t="n"/>
      <c r="F513" s="2" t="n"/>
    </row>
    <row r="514" ht="15.75" customHeight="1" s="125">
      <c r="A514" s="2" t="n"/>
      <c r="B514" s="2" t="n"/>
      <c r="C514" s="2" t="n"/>
      <c r="D514" s="2" t="n"/>
      <c r="E514" s="2" t="n"/>
      <c r="F514" s="2" t="n"/>
    </row>
    <row r="515" ht="15.75" customHeight="1" s="125">
      <c r="A515" s="2" t="n"/>
      <c r="B515" s="2" t="n"/>
      <c r="C515" s="2" t="n"/>
      <c r="D515" s="2" t="n"/>
      <c r="E515" s="2" t="n"/>
      <c r="F515" s="2" t="n"/>
    </row>
    <row r="516" ht="15.75" customHeight="1" s="125">
      <c r="A516" s="2" t="n"/>
      <c r="B516" s="2" t="n"/>
      <c r="C516" s="2" t="n"/>
      <c r="D516" s="2" t="n"/>
      <c r="E516" s="2" t="n"/>
      <c r="F516" s="2" t="n"/>
    </row>
    <row r="517" ht="15.75" customHeight="1" s="125">
      <c r="A517" s="2" t="n"/>
      <c r="B517" s="2" t="n"/>
      <c r="C517" s="2" t="n"/>
      <c r="D517" s="2" t="n"/>
      <c r="E517" s="2" t="n"/>
      <c r="F517" s="2" t="n"/>
    </row>
    <row r="518" ht="15.75" customHeight="1" s="125">
      <c r="A518" s="2" t="n"/>
      <c r="B518" s="2" t="n"/>
      <c r="C518" s="2" t="n"/>
      <c r="D518" s="2" t="n"/>
      <c r="E518" s="2" t="n"/>
      <c r="F518" s="2" t="n"/>
    </row>
    <row r="519" ht="15.75" customHeight="1" s="125">
      <c r="A519" s="2" t="n"/>
      <c r="B519" s="2" t="n"/>
      <c r="C519" s="2" t="n"/>
      <c r="D519" s="2" t="n"/>
      <c r="E519" s="2" t="n"/>
      <c r="F519" s="2" t="n"/>
    </row>
    <row r="520" ht="15.75" customHeight="1" s="125">
      <c r="A520" s="2" t="n"/>
      <c r="B520" s="2" t="n"/>
      <c r="C520" s="2" t="n"/>
      <c r="D520" s="2" t="n"/>
      <c r="E520" s="2" t="n"/>
      <c r="F520" s="2" t="n"/>
    </row>
    <row r="521" ht="15.75" customHeight="1" s="125">
      <c r="A521" s="2" t="n"/>
      <c r="B521" s="2" t="n"/>
      <c r="C521" s="2" t="n"/>
      <c r="D521" s="2" t="n"/>
      <c r="E521" s="2" t="n"/>
      <c r="F521" s="2" t="n"/>
    </row>
    <row r="522" ht="15.75" customHeight="1" s="125">
      <c r="A522" s="2" t="n"/>
      <c r="B522" s="2" t="n"/>
      <c r="C522" s="2" t="n"/>
      <c r="D522" s="2" t="n"/>
      <c r="E522" s="2" t="n"/>
      <c r="F522" s="2" t="n"/>
    </row>
    <row r="523" ht="15.75" customHeight="1" s="125">
      <c r="A523" s="2" t="n"/>
      <c r="B523" s="2" t="n"/>
      <c r="C523" s="2" t="n"/>
      <c r="D523" s="2" t="n"/>
      <c r="E523" s="2" t="n"/>
      <c r="F523" s="2" t="n"/>
    </row>
    <row r="524" ht="15.75" customHeight="1" s="125">
      <c r="A524" s="2" t="n"/>
      <c r="B524" s="2" t="n"/>
      <c r="C524" s="2" t="n"/>
      <c r="D524" s="2" t="n"/>
      <c r="E524" s="2" t="n"/>
      <c r="F524" s="2" t="n"/>
    </row>
    <row r="525" ht="15.75" customHeight="1" s="125">
      <c r="A525" s="2" t="n"/>
      <c r="B525" s="2" t="n"/>
      <c r="C525" s="2" t="n"/>
      <c r="D525" s="2" t="n"/>
      <c r="E525" s="2" t="n"/>
      <c r="F525" s="2" t="n"/>
    </row>
    <row r="526" ht="15.75" customHeight="1" s="125">
      <c r="A526" s="2" t="n"/>
      <c r="B526" s="2" t="n"/>
      <c r="C526" s="2" t="n"/>
      <c r="D526" s="2" t="n"/>
      <c r="E526" s="2" t="n"/>
      <c r="F526" s="2" t="n"/>
    </row>
    <row r="527" ht="15.75" customHeight="1" s="125">
      <c r="A527" s="2" t="n"/>
      <c r="B527" s="2" t="n"/>
      <c r="C527" s="2" t="n"/>
      <c r="D527" s="2" t="n"/>
      <c r="E527" s="2" t="n"/>
      <c r="F527" s="2" t="n"/>
    </row>
    <row r="528" ht="15.75" customHeight="1" s="125">
      <c r="A528" s="2" t="n"/>
      <c r="B528" s="2" t="n"/>
      <c r="C528" s="2" t="n"/>
      <c r="D528" s="2" t="n"/>
      <c r="E528" s="2" t="n"/>
      <c r="F528" s="2" t="n"/>
    </row>
    <row r="529" ht="15.75" customHeight="1" s="125">
      <c r="A529" s="2" t="n"/>
      <c r="B529" s="2" t="n"/>
      <c r="C529" s="2" t="n"/>
      <c r="D529" s="2" t="n"/>
      <c r="E529" s="2" t="n"/>
      <c r="F529" s="2" t="n"/>
    </row>
    <row r="530" ht="15.75" customHeight="1" s="125">
      <c r="A530" s="2" t="n"/>
      <c r="B530" s="2" t="n"/>
      <c r="C530" s="2" t="n"/>
      <c r="D530" s="2" t="n"/>
      <c r="E530" s="2" t="n"/>
      <c r="F530" s="2" t="n"/>
    </row>
    <row r="531" ht="15.75" customHeight="1" s="125">
      <c r="A531" s="2" t="n"/>
      <c r="B531" s="2" t="n"/>
      <c r="C531" s="2" t="n"/>
      <c r="D531" s="2" t="n"/>
      <c r="E531" s="2" t="n"/>
      <c r="F531" s="2" t="n"/>
    </row>
    <row r="532" ht="15.75" customHeight="1" s="125">
      <c r="A532" s="2" t="n"/>
      <c r="B532" s="2" t="n"/>
      <c r="C532" s="2" t="n"/>
      <c r="D532" s="2" t="n"/>
      <c r="E532" s="2" t="n"/>
      <c r="F532" s="2" t="n"/>
    </row>
    <row r="533" ht="15.75" customHeight="1" s="125">
      <c r="A533" s="2" t="n"/>
      <c r="B533" s="2" t="n"/>
      <c r="C533" s="2" t="n"/>
      <c r="D533" s="2" t="n"/>
      <c r="E533" s="2" t="n"/>
      <c r="F533" s="2" t="n"/>
    </row>
    <row r="534" ht="15.75" customHeight="1" s="125">
      <c r="A534" s="2" t="n"/>
      <c r="B534" s="2" t="n"/>
      <c r="C534" s="2" t="n"/>
      <c r="D534" s="2" t="n"/>
      <c r="E534" s="2" t="n"/>
      <c r="F534" s="2" t="n"/>
    </row>
    <row r="535" ht="15.75" customHeight="1" s="125">
      <c r="A535" s="2" t="n"/>
      <c r="B535" s="2" t="n"/>
      <c r="C535" s="2" t="n"/>
      <c r="D535" s="2" t="n"/>
      <c r="E535" s="2" t="n"/>
      <c r="F535" s="2" t="n"/>
    </row>
    <row r="536" ht="15.75" customHeight="1" s="125">
      <c r="A536" s="2" t="n"/>
      <c r="B536" s="2" t="n"/>
      <c r="C536" s="2" t="n"/>
      <c r="D536" s="2" t="n"/>
      <c r="E536" s="2" t="n"/>
      <c r="F536" s="2" t="n"/>
    </row>
    <row r="537" ht="15.75" customHeight="1" s="125">
      <c r="A537" s="2" t="n"/>
      <c r="B537" s="2" t="n"/>
      <c r="C537" s="2" t="n"/>
      <c r="D537" s="2" t="n"/>
      <c r="E537" s="2" t="n"/>
      <c r="F537" s="2" t="n"/>
    </row>
    <row r="538" ht="15.75" customHeight="1" s="125">
      <c r="A538" s="2" t="n"/>
      <c r="B538" s="2" t="n"/>
      <c r="C538" s="2" t="n"/>
      <c r="D538" s="2" t="n"/>
      <c r="E538" s="2" t="n"/>
      <c r="F538" s="2" t="n"/>
    </row>
    <row r="539" ht="15.75" customHeight="1" s="125">
      <c r="A539" s="2" t="n"/>
      <c r="B539" s="2" t="n"/>
      <c r="C539" s="2" t="n"/>
      <c r="D539" s="2" t="n"/>
      <c r="E539" s="2" t="n"/>
      <c r="F539" s="2" t="n"/>
    </row>
    <row r="540" ht="15.75" customHeight="1" s="125">
      <c r="A540" s="2" t="n"/>
      <c r="B540" s="2" t="n"/>
      <c r="C540" s="2" t="n"/>
      <c r="D540" s="2" t="n"/>
      <c r="E540" s="2" t="n"/>
      <c r="F540" s="2" t="n"/>
    </row>
    <row r="541" ht="15.75" customHeight="1" s="125">
      <c r="A541" s="2" t="n"/>
      <c r="B541" s="2" t="n"/>
      <c r="C541" s="2" t="n"/>
      <c r="D541" s="2" t="n"/>
      <c r="E541" s="2" t="n"/>
      <c r="F541" s="2" t="n"/>
    </row>
    <row r="542" ht="15.75" customHeight="1" s="125">
      <c r="A542" s="2" t="n"/>
      <c r="B542" s="2" t="n"/>
      <c r="C542" s="2" t="n"/>
      <c r="D542" s="2" t="n"/>
      <c r="E542" s="2" t="n"/>
      <c r="F542" s="2" t="n"/>
    </row>
    <row r="543" ht="15.75" customHeight="1" s="125">
      <c r="A543" s="2" t="n"/>
      <c r="B543" s="2" t="n"/>
      <c r="C543" s="2" t="n"/>
      <c r="D543" s="2" t="n"/>
      <c r="E543" s="2" t="n"/>
      <c r="F543" s="2" t="n"/>
    </row>
    <row r="544" ht="15.75" customHeight="1" s="125">
      <c r="A544" s="2" t="n"/>
      <c r="B544" s="2" t="n"/>
      <c r="C544" s="2" t="n"/>
      <c r="D544" s="2" t="n"/>
      <c r="E544" s="2" t="n"/>
      <c r="F544" s="2" t="n"/>
    </row>
    <row r="545" ht="15.75" customHeight="1" s="125">
      <c r="A545" s="2" t="n"/>
      <c r="B545" s="2" t="n"/>
      <c r="C545" s="2" t="n"/>
      <c r="D545" s="2" t="n"/>
      <c r="E545" s="2" t="n"/>
      <c r="F545" s="2" t="n"/>
    </row>
    <row r="546" ht="15.75" customHeight="1" s="125">
      <c r="A546" s="2" t="n"/>
      <c r="B546" s="2" t="n"/>
      <c r="C546" s="2" t="n"/>
      <c r="D546" s="2" t="n"/>
      <c r="E546" s="2" t="n"/>
      <c r="F546" s="2" t="n"/>
    </row>
    <row r="547" ht="15.75" customHeight="1" s="125">
      <c r="A547" s="2" t="n"/>
      <c r="B547" s="2" t="n"/>
      <c r="C547" s="2" t="n"/>
      <c r="D547" s="2" t="n"/>
      <c r="E547" s="2" t="n"/>
      <c r="F547" s="2" t="n"/>
    </row>
    <row r="548" ht="15.75" customHeight="1" s="125">
      <c r="A548" s="2" t="n"/>
      <c r="B548" s="2" t="n"/>
      <c r="C548" s="2" t="n"/>
      <c r="D548" s="2" t="n"/>
      <c r="E548" s="2" t="n"/>
      <c r="F548" s="2" t="n"/>
    </row>
    <row r="549" ht="15.75" customHeight="1" s="125">
      <c r="A549" s="2" t="n"/>
      <c r="B549" s="2" t="n"/>
      <c r="C549" s="2" t="n"/>
      <c r="D549" s="2" t="n"/>
      <c r="E549" s="2" t="n"/>
      <c r="F549" s="2" t="n"/>
    </row>
    <row r="550" ht="15.75" customHeight="1" s="125">
      <c r="A550" s="2" t="n"/>
      <c r="B550" s="2" t="n"/>
      <c r="C550" s="2" t="n"/>
      <c r="D550" s="2" t="n"/>
      <c r="E550" s="2" t="n"/>
      <c r="F550" s="2" t="n"/>
    </row>
    <row r="551" ht="15.75" customHeight="1" s="125">
      <c r="A551" s="2" t="n"/>
      <c r="B551" s="2" t="n"/>
      <c r="C551" s="2" t="n"/>
      <c r="D551" s="2" t="n"/>
      <c r="E551" s="2" t="n"/>
      <c r="F551" s="2" t="n"/>
    </row>
    <row r="552" ht="15.75" customHeight="1" s="125">
      <c r="A552" s="2" t="n"/>
      <c r="B552" s="2" t="n"/>
      <c r="C552" s="2" t="n"/>
      <c r="D552" s="2" t="n"/>
      <c r="E552" s="2" t="n"/>
      <c r="F552" s="2" t="n"/>
    </row>
    <row r="553" ht="15.75" customHeight="1" s="125">
      <c r="A553" s="2" t="n"/>
      <c r="B553" s="2" t="n"/>
      <c r="C553" s="2" t="n"/>
      <c r="D553" s="2" t="n"/>
      <c r="E553" s="2" t="n"/>
      <c r="F553" s="2" t="n"/>
    </row>
    <row r="554" ht="15.75" customHeight="1" s="125">
      <c r="A554" s="2" t="n"/>
      <c r="B554" s="2" t="n"/>
      <c r="C554" s="2" t="n"/>
      <c r="D554" s="2" t="n"/>
      <c r="E554" s="2" t="n"/>
      <c r="F554" s="2" t="n"/>
    </row>
    <row r="555" ht="15.75" customHeight="1" s="125">
      <c r="A555" s="2" t="n"/>
      <c r="B555" s="2" t="n"/>
      <c r="C555" s="2" t="n"/>
      <c r="D555" s="2" t="n"/>
      <c r="E555" s="2" t="n"/>
      <c r="F555" s="2" t="n"/>
    </row>
    <row r="556" ht="15.75" customHeight="1" s="125">
      <c r="A556" s="2" t="n"/>
      <c r="B556" s="2" t="n"/>
      <c r="C556" s="2" t="n"/>
      <c r="D556" s="2" t="n"/>
      <c r="E556" s="2" t="n"/>
      <c r="F556" s="2" t="n"/>
    </row>
    <row r="557" ht="15.75" customHeight="1" s="125">
      <c r="A557" s="2" t="n"/>
      <c r="B557" s="2" t="n"/>
      <c r="C557" s="2" t="n"/>
      <c r="D557" s="2" t="n"/>
      <c r="E557" s="2" t="n"/>
      <c r="F557" s="2" t="n"/>
    </row>
    <row r="558" ht="15.75" customHeight="1" s="125">
      <c r="A558" s="2" t="n"/>
      <c r="B558" s="2" t="n"/>
      <c r="C558" s="2" t="n"/>
      <c r="D558" s="2" t="n"/>
      <c r="E558" s="2" t="n"/>
      <c r="F558" s="2" t="n"/>
    </row>
    <row r="559" ht="15.75" customHeight="1" s="125">
      <c r="A559" s="2" t="n"/>
      <c r="B559" s="2" t="n"/>
      <c r="C559" s="2" t="n"/>
      <c r="D559" s="2" t="n"/>
      <c r="E559" s="2" t="n"/>
      <c r="F559" s="2" t="n"/>
    </row>
    <row r="560" ht="15.75" customHeight="1" s="125">
      <c r="A560" s="2" t="n"/>
      <c r="B560" s="2" t="n"/>
      <c r="C560" s="2" t="n"/>
      <c r="D560" s="2" t="n"/>
      <c r="E560" s="2" t="n"/>
      <c r="F560" s="2" t="n"/>
    </row>
    <row r="561" ht="15.75" customHeight="1" s="125">
      <c r="A561" s="2" t="n"/>
      <c r="B561" s="2" t="n"/>
      <c r="C561" s="2" t="n"/>
      <c r="D561" s="2" t="n"/>
      <c r="E561" s="2" t="n"/>
      <c r="F561" s="2" t="n"/>
    </row>
    <row r="562" ht="15.75" customHeight="1" s="125">
      <c r="A562" s="2" t="n"/>
      <c r="B562" s="2" t="n"/>
      <c r="C562" s="2" t="n"/>
      <c r="D562" s="2" t="n"/>
      <c r="E562" s="2" t="n"/>
      <c r="F562" s="2" t="n"/>
    </row>
    <row r="563" ht="15.75" customHeight="1" s="125">
      <c r="A563" s="2" t="n"/>
      <c r="B563" s="2" t="n"/>
      <c r="C563" s="2" t="n"/>
      <c r="D563" s="2" t="n"/>
      <c r="E563" s="2" t="n"/>
      <c r="F563" s="2" t="n"/>
    </row>
    <row r="564" ht="15.75" customHeight="1" s="125">
      <c r="A564" s="2" t="n"/>
      <c r="B564" s="2" t="n"/>
      <c r="C564" s="2" t="n"/>
      <c r="D564" s="2" t="n"/>
      <c r="E564" s="2" t="n"/>
      <c r="F564" s="2" t="n"/>
    </row>
    <row r="565" ht="15.75" customHeight="1" s="125">
      <c r="A565" s="2" t="n"/>
      <c r="B565" s="2" t="n"/>
      <c r="C565" s="2" t="n"/>
      <c r="D565" s="2" t="n"/>
      <c r="E565" s="2" t="n"/>
      <c r="F565" s="2" t="n"/>
    </row>
    <row r="566" ht="15.75" customHeight="1" s="125">
      <c r="A566" s="2" t="n"/>
      <c r="B566" s="2" t="n"/>
      <c r="C566" s="2" t="n"/>
      <c r="D566" s="2" t="n"/>
      <c r="E566" s="2" t="n"/>
      <c r="F566" s="2" t="n"/>
    </row>
    <row r="567" ht="15.75" customHeight="1" s="125">
      <c r="A567" s="2" t="n"/>
      <c r="B567" s="2" t="n"/>
      <c r="C567" s="2" t="n"/>
      <c r="D567" s="2" t="n"/>
      <c r="E567" s="2" t="n"/>
      <c r="F567" s="2" t="n"/>
    </row>
    <row r="568" ht="15.75" customHeight="1" s="125">
      <c r="A568" s="2" t="n"/>
      <c r="B568" s="2" t="n"/>
      <c r="C568" s="2" t="n"/>
      <c r="D568" s="2" t="n"/>
      <c r="E568" s="2" t="n"/>
      <c r="F568" s="2" t="n"/>
    </row>
    <row r="569" ht="15.75" customHeight="1" s="125">
      <c r="A569" s="2" t="n"/>
      <c r="B569" s="2" t="n"/>
      <c r="C569" s="2" t="n"/>
      <c r="D569" s="2" t="n"/>
      <c r="E569" s="2" t="n"/>
      <c r="F569" s="2" t="n"/>
    </row>
    <row r="570" ht="15.75" customHeight="1" s="125">
      <c r="A570" s="2" t="n"/>
      <c r="B570" s="2" t="n"/>
      <c r="C570" s="2" t="n"/>
      <c r="D570" s="2" t="n"/>
      <c r="E570" s="2" t="n"/>
      <c r="F570" s="2" t="n"/>
    </row>
    <row r="571" ht="15.75" customHeight="1" s="125">
      <c r="A571" s="2" t="n"/>
      <c r="B571" s="2" t="n"/>
      <c r="C571" s="2" t="n"/>
      <c r="D571" s="2" t="n"/>
      <c r="E571" s="2" t="n"/>
      <c r="F571" s="2" t="n"/>
    </row>
    <row r="572" ht="15.75" customHeight="1" s="125">
      <c r="A572" s="2" t="n"/>
      <c r="B572" s="2" t="n"/>
      <c r="C572" s="2" t="n"/>
      <c r="D572" s="2" t="n"/>
      <c r="E572" s="2" t="n"/>
      <c r="F572" s="2" t="n"/>
    </row>
    <row r="573" ht="15.75" customHeight="1" s="125">
      <c r="A573" s="2" t="n"/>
      <c r="B573" s="2" t="n"/>
      <c r="C573" s="2" t="n"/>
      <c r="D573" s="2" t="n"/>
      <c r="E573" s="2" t="n"/>
      <c r="F573" s="2" t="n"/>
    </row>
    <row r="574" ht="15.75" customHeight="1" s="125">
      <c r="A574" s="2" t="n"/>
      <c r="B574" s="2" t="n"/>
      <c r="C574" s="2" t="n"/>
      <c r="D574" s="2" t="n"/>
      <c r="E574" s="2" t="n"/>
      <c r="F574" s="2" t="n"/>
    </row>
    <row r="575" ht="15.75" customHeight="1" s="125">
      <c r="A575" s="2" t="n"/>
      <c r="B575" s="2" t="n"/>
      <c r="C575" s="2" t="n"/>
      <c r="D575" s="2" t="n"/>
      <c r="E575" s="2" t="n"/>
      <c r="F575" s="2" t="n"/>
    </row>
    <row r="576" ht="15.75" customHeight="1" s="125">
      <c r="A576" s="2" t="n"/>
      <c r="B576" s="2" t="n"/>
      <c r="C576" s="2" t="n"/>
      <c r="D576" s="2" t="n"/>
      <c r="E576" s="2" t="n"/>
      <c r="F576" s="2" t="n"/>
    </row>
    <row r="577" ht="15.75" customHeight="1" s="125">
      <c r="A577" s="2" t="n"/>
      <c r="B577" s="2" t="n"/>
      <c r="C577" s="2" t="n"/>
      <c r="D577" s="2" t="n"/>
      <c r="E577" s="2" t="n"/>
      <c r="F577" s="2" t="n"/>
    </row>
    <row r="578" ht="15.75" customHeight="1" s="125">
      <c r="A578" s="2" t="n"/>
      <c r="B578" s="2" t="n"/>
      <c r="C578" s="2" t="n"/>
      <c r="D578" s="2" t="n"/>
      <c r="E578" s="2" t="n"/>
      <c r="F578" s="2" t="n"/>
    </row>
    <row r="579" ht="15.75" customHeight="1" s="125">
      <c r="A579" s="2" t="n"/>
      <c r="B579" s="2" t="n"/>
      <c r="C579" s="2" t="n"/>
      <c r="D579" s="2" t="n"/>
      <c r="E579" s="2" t="n"/>
      <c r="F579" s="2" t="n"/>
    </row>
    <row r="580" ht="15.75" customHeight="1" s="125">
      <c r="A580" s="2" t="n"/>
      <c r="B580" s="2" t="n"/>
      <c r="C580" s="2" t="n"/>
      <c r="D580" s="2" t="n"/>
      <c r="E580" s="2" t="n"/>
      <c r="F580" s="2" t="n"/>
    </row>
    <row r="581" ht="15.75" customHeight="1" s="125">
      <c r="A581" s="2" t="n"/>
      <c r="B581" s="2" t="n"/>
      <c r="C581" s="2" t="n"/>
      <c r="D581" s="2" t="n"/>
      <c r="E581" s="2" t="n"/>
      <c r="F581" s="2" t="n"/>
    </row>
    <row r="582" ht="15.75" customHeight="1" s="125">
      <c r="A582" s="2" t="n"/>
      <c r="B582" s="2" t="n"/>
      <c r="C582" s="2" t="n"/>
      <c r="D582" s="2" t="n"/>
      <c r="E582" s="2" t="n"/>
      <c r="F582" s="2" t="n"/>
    </row>
    <row r="583" ht="15.75" customHeight="1" s="125">
      <c r="A583" s="2" t="n"/>
      <c r="B583" s="2" t="n"/>
      <c r="C583" s="2" t="n"/>
      <c r="D583" s="2" t="n"/>
      <c r="E583" s="2" t="n"/>
      <c r="F583" s="2" t="n"/>
    </row>
    <row r="584" ht="15.75" customHeight="1" s="125">
      <c r="A584" s="2" t="n"/>
      <c r="B584" s="2" t="n"/>
      <c r="C584" s="2" t="n"/>
      <c r="D584" s="2" t="n"/>
      <c r="E584" s="2" t="n"/>
      <c r="F584" s="2" t="n"/>
    </row>
    <row r="585" ht="15.75" customHeight="1" s="125">
      <c r="A585" s="2" t="n"/>
      <c r="B585" s="2" t="n"/>
      <c r="C585" s="2" t="n"/>
      <c r="D585" s="2" t="n"/>
      <c r="E585" s="2" t="n"/>
      <c r="F585" s="2" t="n"/>
    </row>
    <row r="586" ht="15.75" customHeight="1" s="125">
      <c r="A586" s="2" t="n"/>
      <c r="B586" s="2" t="n"/>
      <c r="C586" s="2" t="n"/>
      <c r="D586" s="2" t="n"/>
      <c r="E586" s="2" t="n"/>
      <c r="F586" s="2" t="n"/>
    </row>
    <row r="587" ht="15.75" customHeight="1" s="125">
      <c r="A587" s="2" t="n"/>
      <c r="B587" s="2" t="n"/>
      <c r="C587" s="2" t="n"/>
      <c r="D587" s="2" t="n"/>
      <c r="E587" s="2" t="n"/>
      <c r="F587" s="2" t="n"/>
    </row>
    <row r="588" ht="15.75" customHeight="1" s="125">
      <c r="A588" s="2" t="n"/>
      <c r="B588" s="2" t="n"/>
      <c r="C588" s="2" t="n"/>
      <c r="D588" s="2" t="n"/>
      <c r="E588" s="2" t="n"/>
      <c r="F588" s="2" t="n"/>
    </row>
    <row r="589" ht="15.75" customHeight="1" s="125">
      <c r="A589" s="2" t="n"/>
      <c r="B589" s="2" t="n"/>
      <c r="C589" s="2" t="n"/>
      <c r="D589" s="2" t="n"/>
      <c r="E589" s="2" t="n"/>
      <c r="F589" s="2" t="n"/>
    </row>
    <row r="590" ht="15.75" customHeight="1" s="125">
      <c r="A590" s="2" t="n"/>
      <c r="B590" s="2" t="n"/>
      <c r="C590" s="2" t="n"/>
      <c r="D590" s="2" t="n"/>
      <c r="E590" s="2" t="n"/>
      <c r="F590" s="2" t="n"/>
    </row>
    <row r="591" ht="15.75" customHeight="1" s="125">
      <c r="A591" s="2" t="n"/>
      <c r="B591" s="2" t="n"/>
      <c r="C591" s="2" t="n"/>
      <c r="D591" s="2" t="n"/>
      <c r="E591" s="2" t="n"/>
      <c r="F591" s="2" t="n"/>
    </row>
    <row r="592" ht="15.75" customHeight="1" s="125">
      <c r="A592" s="2" t="n"/>
      <c r="B592" s="2" t="n"/>
      <c r="C592" s="2" t="n"/>
      <c r="D592" s="2" t="n"/>
      <c r="E592" s="2" t="n"/>
      <c r="F592" s="2" t="n"/>
    </row>
    <row r="593" ht="15.75" customHeight="1" s="125">
      <c r="A593" s="2" t="n"/>
      <c r="B593" s="2" t="n"/>
      <c r="C593" s="2" t="n"/>
      <c r="D593" s="2" t="n"/>
      <c r="E593" s="2" t="n"/>
      <c r="F593" s="2" t="n"/>
    </row>
    <row r="594" ht="15.75" customHeight="1" s="125">
      <c r="A594" s="2" t="n"/>
      <c r="B594" s="2" t="n"/>
      <c r="C594" s="2" t="n"/>
      <c r="D594" s="2" t="n"/>
      <c r="E594" s="2" t="n"/>
      <c r="F594" s="2" t="n"/>
    </row>
    <row r="595" ht="15.75" customHeight="1" s="125">
      <c r="A595" s="2" t="n"/>
      <c r="B595" s="2" t="n"/>
      <c r="C595" s="2" t="n"/>
      <c r="D595" s="2" t="n"/>
      <c r="E595" s="2" t="n"/>
      <c r="F595" s="2" t="n"/>
    </row>
    <row r="596" ht="15.75" customHeight="1" s="125">
      <c r="A596" s="2" t="n"/>
      <c r="B596" s="2" t="n"/>
      <c r="C596" s="2" t="n"/>
      <c r="D596" s="2" t="n"/>
      <c r="E596" s="2" t="n"/>
      <c r="F596" s="2" t="n"/>
    </row>
    <row r="597" ht="15.75" customHeight="1" s="125">
      <c r="A597" s="2" t="n"/>
      <c r="B597" s="2" t="n"/>
      <c r="C597" s="2" t="n"/>
      <c r="D597" s="2" t="n"/>
      <c r="E597" s="2" t="n"/>
      <c r="F597" s="2" t="n"/>
    </row>
    <row r="598" ht="15.75" customHeight="1" s="125">
      <c r="A598" s="2" t="n"/>
      <c r="B598" s="2" t="n"/>
      <c r="C598" s="2" t="n"/>
      <c r="D598" s="2" t="n"/>
      <c r="E598" s="2" t="n"/>
      <c r="F598" s="2" t="n"/>
    </row>
    <row r="599" ht="15.75" customHeight="1" s="125">
      <c r="A599" s="2" t="n"/>
      <c r="B599" s="2" t="n"/>
      <c r="C599" s="2" t="n"/>
      <c r="D599" s="2" t="n"/>
      <c r="E599" s="2" t="n"/>
      <c r="F599" s="2" t="n"/>
    </row>
    <row r="600" ht="15.75" customHeight="1" s="125">
      <c r="A600" s="2" t="n"/>
      <c r="B600" s="2" t="n"/>
      <c r="C600" s="2" t="n"/>
      <c r="D600" s="2" t="n"/>
      <c r="E600" s="2" t="n"/>
      <c r="F600" s="2" t="n"/>
    </row>
    <row r="601" ht="15.75" customHeight="1" s="125">
      <c r="A601" s="2" t="n"/>
      <c r="B601" s="2" t="n"/>
      <c r="C601" s="2" t="n"/>
      <c r="D601" s="2" t="n"/>
      <c r="E601" s="2" t="n"/>
      <c r="F601" s="2" t="n"/>
    </row>
    <row r="602" ht="15.75" customHeight="1" s="125">
      <c r="A602" s="2" t="n"/>
      <c r="B602" s="2" t="n"/>
      <c r="C602" s="2" t="n"/>
      <c r="D602" s="2" t="n"/>
      <c r="E602" s="2" t="n"/>
      <c r="F602" s="2" t="n"/>
    </row>
    <row r="603" ht="15.75" customHeight="1" s="125">
      <c r="A603" s="2" t="n"/>
      <c r="B603" s="2" t="n"/>
      <c r="C603" s="2" t="n"/>
      <c r="D603" s="2" t="n"/>
      <c r="E603" s="2" t="n"/>
      <c r="F603" s="2" t="n"/>
    </row>
    <row r="604" ht="15.75" customHeight="1" s="125">
      <c r="A604" s="2" t="n"/>
      <c r="B604" s="2" t="n"/>
      <c r="C604" s="2" t="n"/>
      <c r="D604" s="2" t="n"/>
      <c r="E604" s="2" t="n"/>
      <c r="F604" s="2" t="n"/>
    </row>
    <row r="605" ht="15.75" customHeight="1" s="125">
      <c r="A605" s="2" t="n"/>
      <c r="B605" s="2" t="n"/>
      <c r="C605" s="2" t="n"/>
      <c r="D605" s="2" t="n"/>
      <c r="E605" s="2" t="n"/>
      <c r="F605" s="2" t="n"/>
    </row>
    <row r="606" ht="15.75" customHeight="1" s="125">
      <c r="A606" s="2" t="n"/>
      <c r="B606" s="2" t="n"/>
      <c r="C606" s="2" t="n"/>
      <c r="D606" s="2" t="n"/>
      <c r="E606" s="2" t="n"/>
      <c r="F606" s="2" t="n"/>
    </row>
    <row r="607" ht="15.75" customHeight="1" s="125">
      <c r="A607" s="2" t="n"/>
      <c r="B607" s="2" t="n"/>
      <c r="C607" s="2" t="n"/>
      <c r="D607" s="2" t="n"/>
      <c r="E607" s="2" t="n"/>
      <c r="F607" s="2" t="n"/>
    </row>
    <row r="608" ht="15.75" customHeight="1" s="125">
      <c r="A608" s="2" t="n"/>
      <c r="B608" s="2" t="n"/>
      <c r="C608" s="2" t="n"/>
      <c r="D608" s="2" t="n"/>
      <c r="E608" s="2" t="n"/>
      <c r="F608" s="2" t="n"/>
    </row>
    <row r="609" ht="15.75" customHeight="1" s="125">
      <c r="A609" s="2" t="n"/>
      <c r="B609" s="2" t="n"/>
      <c r="C609" s="2" t="n"/>
      <c r="D609" s="2" t="n"/>
      <c r="E609" s="2" t="n"/>
      <c r="F609" s="2" t="n"/>
    </row>
    <row r="610" ht="15.75" customHeight="1" s="125">
      <c r="A610" s="2" t="n"/>
      <c r="B610" s="2" t="n"/>
      <c r="C610" s="2" t="n"/>
      <c r="D610" s="2" t="n"/>
      <c r="E610" s="2" t="n"/>
      <c r="F610" s="2" t="n"/>
    </row>
    <row r="611" ht="15.75" customHeight="1" s="125">
      <c r="A611" s="2" t="n"/>
      <c r="B611" s="2" t="n"/>
      <c r="C611" s="2" t="n"/>
      <c r="D611" s="2" t="n"/>
      <c r="E611" s="2" t="n"/>
      <c r="F611" s="2" t="n"/>
    </row>
    <row r="612" ht="15.75" customHeight="1" s="125">
      <c r="A612" s="2" t="n"/>
      <c r="B612" s="2" t="n"/>
      <c r="C612" s="2" t="n"/>
      <c r="D612" s="2" t="n"/>
      <c r="E612" s="2" t="n"/>
      <c r="F612" s="2" t="n"/>
    </row>
    <row r="613" ht="15.75" customHeight="1" s="125">
      <c r="A613" s="2" t="n"/>
      <c r="B613" s="2" t="n"/>
      <c r="C613" s="2" t="n"/>
      <c r="D613" s="2" t="n"/>
      <c r="E613" s="2" t="n"/>
      <c r="F613" s="2" t="n"/>
    </row>
    <row r="614" ht="15.75" customHeight="1" s="125">
      <c r="A614" s="2" t="n"/>
      <c r="B614" s="2" t="n"/>
      <c r="C614" s="2" t="n"/>
      <c r="D614" s="2" t="n"/>
      <c r="E614" s="2" t="n"/>
      <c r="F614" s="2" t="n"/>
    </row>
    <row r="615" ht="15.75" customHeight="1" s="125">
      <c r="A615" s="2" t="n"/>
      <c r="B615" s="2" t="n"/>
      <c r="C615" s="2" t="n"/>
      <c r="D615" s="2" t="n"/>
      <c r="E615" s="2" t="n"/>
      <c r="F615" s="2" t="n"/>
    </row>
    <row r="616" ht="15.75" customHeight="1" s="125">
      <c r="A616" s="2" t="n"/>
      <c r="B616" s="2" t="n"/>
      <c r="C616" s="2" t="n"/>
      <c r="D616" s="2" t="n"/>
      <c r="E616" s="2" t="n"/>
      <c r="F616" s="2" t="n"/>
    </row>
    <row r="617" ht="15.75" customHeight="1" s="125">
      <c r="A617" s="2" t="n"/>
      <c r="B617" s="2" t="n"/>
      <c r="C617" s="2" t="n"/>
      <c r="D617" s="2" t="n"/>
      <c r="E617" s="2" t="n"/>
      <c r="F617" s="2" t="n"/>
    </row>
    <row r="618" ht="15.75" customHeight="1" s="125">
      <c r="A618" s="2" t="n"/>
      <c r="B618" s="2" t="n"/>
      <c r="C618" s="2" t="n"/>
      <c r="D618" s="2" t="n"/>
      <c r="E618" s="2" t="n"/>
      <c r="F618" s="2" t="n"/>
    </row>
    <row r="619" ht="15.75" customHeight="1" s="125">
      <c r="A619" s="2" t="n"/>
      <c r="B619" s="2" t="n"/>
      <c r="C619" s="2" t="n"/>
      <c r="D619" s="2" t="n"/>
      <c r="E619" s="2" t="n"/>
      <c r="F619" s="2" t="n"/>
    </row>
    <row r="620" ht="15.75" customHeight="1" s="125">
      <c r="A620" s="2" t="n"/>
      <c r="B620" s="2" t="n"/>
      <c r="C620" s="2" t="n"/>
      <c r="D620" s="2" t="n"/>
      <c r="E620" s="2" t="n"/>
      <c r="F620" s="2" t="n"/>
    </row>
    <row r="621" ht="15.75" customHeight="1" s="125">
      <c r="A621" s="2" t="n"/>
      <c r="B621" s="2" t="n"/>
      <c r="C621" s="2" t="n"/>
      <c r="D621" s="2" t="n"/>
      <c r="E621" s="2" t="n"/>
      <c r="F621" s="2" t="n"/>
    </row>
    <row r="622" ht="15.75" customHeight="1" s="125">
      <c r="A622" s="2" t="n"/>
      <c r="B622" s="2" t="n"/>
      <c r="C622" s="2" t="n"/>
      <c r="D622" s="2" t="n"/>
      <c r="E622" s="2" t="n"/>
      <c r="F622" s="2" t="n"/>
    </row>
    <row r="623" ht="15.75" customHeight="1" s="125">
      <c r="A623" s="2" t="n"/>
      <c r="B623" s="2" t="n"/>
      <c r="C623" s="2" t="n"/>
      <c r="D623" s="2" t="n"/>
      <c r="E623" s="2" t="n"/>
      <c r="F623" s="2" t="n"/>
    </row>
    <row r="624" ht="15.75" customHeight="1" s="125">
      <c r="A624" s="2" t="n"/>
      <c r="B624" s="2" t="n"/>
      <c r="C624" s="2" t="n"/>
      <c r="D624" s="2" t="n"/>
      <c r="E624" s="2" t="n"/>
      <c r="F624" s="2" t="n"/>
    </row>
    <row r="625" ht="15.75" customHeight="1" s="125">
      <c r="A625" s="2" t="n"/>
      <c r="B625" s="2" t="n"/>
      <c r="C625" s="2" t="n"/>
      <c r="D625" s="2" t="n"/>
      <c r="E625" s="2" t="n"/>
      <c r="F625" s="2" t="n"/>
    </row>
    <row r="626" ht="15.75" customHeight="1" s="125">
      <c r="A626" s="2" t="n"/>
      <c r="B626" s="2" t="n"/>
      <c r="C626" s="2" t="n"/>
      <c r="D626" s="2" t="n"/>
      <c r="E626" s="2" t="n"/>
      <c r="F626" s="2" t="n"/>
    </row>
    <row r="627" ht="15.75" customHeight="1" s="125">
      <c r="A627" s="2" t="n"/>
      <c r="B627" s="2" t="n"/>
      <c r="C627" s="2" t="n"/>
      <c r="D627" s="2" t="n"/>
      <c r="E627" s="2" t="n"/>
      <c r="F627" s="2" t="n"/>
    </row>
    <row r="628" ht="15.75" customHeight="1" s="125">
      <c r="A628" s="2" t="n"/>
      <c r="B628" s="2" t="n"/>
      <c r="C628" s="2" t="n"/>
      <c r="D628" s="2" t="n"/>
      <c r="E628" s="2" t="n"/>
      <c r="F628" s="2" t="n"/>
    </row>
    <row r="629" ht="15.75" customHeight="1" s="125">
      <c r="A629" s="2" t="n"/>
      <c r="B629" s="2" t="n"/>
      <c r="C629" s="2" t="n"/>
      <c r="D629" s="2" t="n"/>
      <c r="E629" s="2" t="n"/>
      <c r="F629" s="2" t="n"/>
    </row>
    <row r="630" ht="15.75" customHeight="1" s="125">
      <c r="A630" s="2" t="n"/>
      <c r="B630" s="2" t="n"/>
      <c r="C630" s="2" t="n"/>
      <c r="D630" s="2" t="n"/>
      <c r="E630" s="2" t="n"/>
      <c r="F630" s="2" t="n"/>
    </row>
    <row r="631" ht="15.75" customHeight="1" s="125">
      <c r="A631" s="2" t="n"/>
      <c r="B631" s="2" t="n"/>
      <c r="C631" s="2" t="n"/>
      <c r="D631" s="2" t="n"/>
      <c r="E631" s="2" t="n"/>
      <c r="F631" s="2" t="n"/>
    </row>
    <row r="632" ht="15.75" customHeight="1" s="125">
      <c r="A632" s="2" t="n"/>
      <c r="B632" s="2" t="n"/>
      <c r="C632" s="2" t="n"/>
      <c r="D632" s="2" t="n"/>
      <c r="E632" s="2" t="n"/>
      <c r="F632" s="2" t="n"/>
    </row>
    <row r="633" ht="15.75" customHeight="1" s="125">
      <c r="A633" s="2" t="n"/>
      <c r="B633" s="2" t="n"/>
      <c r="C633" s="2" t="n"/>
      <c r="D633" s="2" t="n"/>
      <c r="E633" s="2" t="n"/>
      <c r="F633" s="2" t="n"/>
    </row>
    <row r="634" ht="15.75" customHeight="1" s="125">
      <c r="A634" s="2" t="n"/>
      <c r="B634" s="2" t="n"/>
      <c r="C634" s="2" t="n"/>
      <c r="D634" s="2" t="n"/>
      <c r="E634" s="2" t="n"/>
      <c r="F634" s="2" t="n"/>
    </row>
    <row r="635" ht="15.75" customHeight="1" s="125">
      <c r="A635" s="2" t="n"/>
      <c r="B635" s="2" t="n"/>
      <c r="C635" s="2" t="n"/>
      <c r="D635" s="2" t="n"/>
      <c r="E635" s="2" t="n"/>
      <c r="F635" s="2" t="n"/>
    </row>
    <row r="636" ht="15.75" customHeight="1" s="125">
      <c r="A636" s="2" t="n"/>
      <c r="B636" s="2" t="n"/>
      <c r="C636" s="2" t="n"/>
      <c r="D636" s="2" t="n"/>
      <c r="E636" s="2" t="n"/>
      <c r="F636" s="2" t="n"/>
    </row>
    <row r="637" ht="15.75" customHeight="1" s="125">
      <c r="A637" s="2" t="n"/>
      <c r="B637" s="2" t="n"/>
      <c r="C637" s="2" t="n"/>
      <c r="D637" s="2" t="n"/>
      <c r="E637" s="2" t="n"/>
      <c r="F637" s="2" t="n"/>
    </row>
    <row r="638" ht="15.75" customHeight="1" s="125">
      <c r="A638" s="2" t="n"/>
      <c r="B638" s="2" t="n"/>
      <c r="C638" s="2" t="n"/>
      <c r="D638" s="2" t="n"/>
      <c r="E638" s="2" t="n"/>
      <c r="F638" s="2" t="n"/>
    </row>
    <row r="639" ht="15.75" customHeight="1" s="125">
      <c r="A639" s="2" t="n"/>
      <c r="B639" s="2" t="n"/>
      <c r="C639" s="2" t="n"/>
      <c r="D639" s="2" t="n"/>
      <c r="E639" s="2" t="n"/>
      <c r="F639" s="2" t="n"/>
    </row>
    <row r="640" ht="15.75" customHeight="1" s="125">
      <c r="A640" s="2" t="n"/>
      <c r="B640" s="2" t="n"/>
      <c r="C640" s="2" t="n"/>
      <c r="D640" s="2" t="n"/>
      <c r="E640" s="2" t="n"/>
      <c r="F640" s="2" t="n"/>
    </row>
    <row r="641" ht="15.75" customHeight="1" s="125">
      <c r="A641" s="2" t="n"/>
      <c r="B641" s="2" t="n"/>
      <c r="C641" s="2" t="n"/>
      <c r="D641" s="2" t="n"/>
      <c r="E641" s="2" t="n"/>
      <c r="F641" s="2" t="n"/>
    </row>
    <row r="642" ht="15.75" customHeight="1" s="125">
      <c r="A642" s="2" t="n"/>
      <c r="B642" s="2" t="n"/>
      <c r="C642" s="2" t="n"/>
      <c r="D642" s="2" t="n"/>
      <c r="E642" s="2" t="n"/>
      <c r="F642" s="2" t="n"/>
    </row>
    <row r="643" ht="15.75" customHeight="1" s="125">
      <c r="A643" s="2" t="n"/>
      <c r="B643" s="2" t="n"/>
      <c r="C643" s="2" t="n"/>
      <c r="D643" s="2" t="n"/>
      <c r="E643" s="2" t="n"/>
      <c r="F643" s="2" t="n"/>
    </row>
    <row r="644" ht="15.75" customHeight="1" s="125">
      <c r="A644" s="2" t="n"/>
      <c r="B644" s="2" t="n"/>
      <c r="C644" s="2" t="n"/>
      <c r="D644" s="2" t="n"/>
      <c r="E644" s="2" t="n"/>
      <c r="F644" s="2" t="n"/>
    </row>
    <row r="645" ht="15.75" customHeight="1" s="125">
      <c r="A645" s="2" t="n"/>
      <c r="B645" s="2" t="n"/>
      <c r="C645" s="2" t="n"/>
      <c r="D645" s="2" t="n"/>
      <c r="E645" s="2" t="n"/>
      <c r="F645" s="2" t="n"/>
    </row>
    <row r="646" ht="15.75" customHeight="1" s="125">
      <c r="A646" s="2" t="n"/>
      <c r="B646" s="2" t="n"/>
      <c r="C646" s="2" t="n"/>
      <c r="D646" s="2" t="n"/>
      <c r="E646" s="2" t="n"/>
      <c r="F646" s="2" t="n"/>
    </row>
    <row r="647" ht="15.75" customHeight="1" s="125">
      <c r="A647" s="2" t="n"/>
      <c r="B647" s="2" t="n"/>
      <c r="C647" s="2" t="n"/>
      <c r="D647" s="2" t="n"/>
      <c r="E647" s="2" t="n"/>
      <c r="F647" s="2" t="n"/>
    </row>
    <row r="648" ht="15.75" customHeight="1" s="125">
      <c r="A648" s="2" t="n"/>
      <c r="B648" s="2" t="n"/>
      <c r="C648" s="2" t="n"/>
      <c r="D648" s="2" t="n"/>
      <c r="E648" s="2" t="n"/>
      <c r="F648" s="2" t="n"/>
    </row>
    <row r="649" ht="15.75" customHeight="1" s="125">
      <c r="A649" s="2" t="n"/>
      <c r="B649" s="2" t="n"/>
      <c r="C649" s="2" t="n"/>
      <c r="D649" s="2" t="n"/>
      <c r="E649" s="2" t="n"/>
      <c r="F649" s="2" t="n"/>
    </row>
    <row r="650" ht="15.75" customHeight="1" s="125">
      <c r="A650" s="2" t="n"/>
      <c r="B650" s="2" t="n"/>
      <c r="C650" s="2" t="n"/>
      <c r="D650" s="2" t="n"/>
      <c r="E650" s="2" t="n"/>
      <c r="F650" s="2" t="n"/>
    </row>
    <row r="651" ht="15.75" customHeight="1" s="125">
      <c r="A651" s="2" t="n"/>
      <c r="B651" s="2" t="n"/>
      <c r="C651" s="2" t="n"/>
      <c r="D651" s="2" t="n"/>
      <c r="E651" s="2" t="n"/>
      <c r="F651" s="2" t="n"/>
    </row>
    <row r="652" ht="15.75" customHeight="1" s="125">
      <c r="A652" s="2" t="n"/>
      <c r="B652" s="2" t="n"/>
      <c r="C652" s="2" t="n"/>
      <c r="D652" s="2" t="n"/>
      <c r="E652" s="2" t="n"/>
      <c r="F652" s="2" t="n"/>
    </row>
    <row r="653" ht="15.75" customHeight="1" s="125">
      <c r="A653" s="2" t="n"/>
      <c r="B653" s="2" t="n"/>
      <c r="C653" s="2" t="n"/>
      <c r="D653" s="2" t="n"/>
      <c r="E653" s="2" t="n"/>
      <c r="F653" s="2" t="n"/>
    </row>
    <row r="654" ht="15.75" customHeight="1" s="125">
      <c r="A654" s="2" t="n"/>
      <c r="B654" s="2" t="n"/>
      <c r="C654" s="2" t="n"/>
      <c r="D654" s="2" t="n"/>
      <c r="E654" s="2" t="n"/>
      <c r="F654" s="2" t="n"/>
    </row>
    <row r="655" ht="15.75" customHeight="1" s="125">
      <c r="A655" s="2" t="n"/>
      <c r="B655" s="2" t="n"/>
      <c r="C655" s="2" t="n"/>
      <c r="D655" s="2" t="n"/>
      <c r="E655" s="2" t="n"/>
      <c r="F655" s="2" t="n"/>
    </row>
    <row r="656" ht="15.75" customHeight="1" s="125">
      <c r="A656" s="2" t="n"/>
      <c r="B656" s="2" t="n"/>
      <c r="C656" s="2" t="n"/>
      <c r="D656" s="2" t="n"/>
      <c r="E656" s="2" t="n"/>
      <c r="F656" s="2" t="n"/>
    </row>
    <row r="657" ht="15.75" customHeight="1" s="125">
      <c r="A657" s="2" t="n"/>
      <c r="B657" s="2" t="n"/>
      <c r="C657" s="2" t="n"/>
      <c r="D657" s="2" t="n"/>
      <c r="E657" s="2" t="n"/>
      <c r="F657" s="2" t="n"/>
    </row>
    <row r="658" ht="15.75" customHeight="1" s="125">
      <c r="A658" s="2" t="n"/>
      <c r="B658" s="2" t="n"/>
      <c r="C658" s="2" t="n"/>
      <c r="D658" s="2" t="n"/>
      <c r="E658" s="2" t="n"/>
      <c r="F658" s="2" t="n"/>
    </row>
    <row r="659" ht="15.75" customHeight="1" s="125">
      <c r="A659" s="2" t="n"/>
      <c r="B659" s="2" t="n"/>
      <c r="C659" s="2" t="n"/>
      <c r="D659" s="2" t="n"/>
      <c r="E659" s="2" t="n"/>
      <c r="F659" s="2" t="n"/>
    </row>
    <row r="660" ht="15.75" customHeight="1" s="125">
      <c r="A660" s="2" t="n"/>
      <c r="B660" s="2" t="n"/>
      <c r="C660" s="2" t="n"/>
      <c r="D660" s="2" t="n"/>
      <c r="E660" s="2" t="n"/>
      <c r="F660" s="2" t="n"/>
    </row>
    <row r="661" ht="15.75" customHeight="1" s="125">
      <c r="A661" s="2" t="n"/>
      <c r="B661" s="2" t="n"/>
      <c r="C661" s="2" t="n"/>
      <c r="D661" s="2" t="n"/>
      <c r="E661" s="2" t="n"/>
      <c r="F661" s="2" t="n"/>
    </row>
    <row r="662" ht="15.75" customHeight="1" s="125">
      <c r="A662" s="2" t="n"/>
      <c r="B662" s="2" t="n"/>
      <c r="C662" s="2" t="n"/>
      <c r="D662" s="2" t="n"/>
      <c r="E662" s="2" t="n"/>
      <c r="F662" s="2" t="n"/>
    </row>
    <row r="663" ht="15.75" customHeight="1" s="125">
      <c r="A663" s="2" t="n"/>
      <c r="B663" s="2" t="n"/>
      <c r="C663" s="2" t="n"/>
      <c r="D663" s="2" t="n"/>
      <c r="E663" s="2" t="n"/>
      <c r="F663" s="2" t="n"/>
    </row>
    <row r="664" ht="15.75" customHeight="1" s="125">
      <c r="A664" s="2" t="n"/>
      <c r="B664" s="2" t="n"/>
      <c r="C664" s="2" t="n"/>
      <c r="D664" s="2" t="n"/>
      <c r="E664" s="2" t="n"/>
      <c r="F664" s="2" t="n"/>
    </row>
    <row r="665" ht="15.75" customHeight="1" s="125">
      <c r="A665" s="2" t="n"/>
      <c r="B665" s="2" t="n"/>
      <c r="C665" s="2" t="n"/>
      <c r="D665" s="2" t="n"/>
      <c r="E665" s="2" t="n"/>
      <c r="F665" s="2" t="n"/>
    </row>
    <row r="666" ht="15.75" customHeight="1" s="125">
      <c r="A666" s="2" t="n"/>
      <c r="B666" s="2" t="n"/>
      <c r="C666" s="2" t="n"/>
      <c r="D666" s="2" t="n"/>
      <c r="E666" s="2" t="n"/>
      <c r="F666" s="2" t="n"/>
    </row>
    <row r="667" ht="15.75" customHeight="1" s="125">
      <c r="A667" s="2" t="n"/>
      <c r="B667" s="2" t="n"/>
      <c r="C667" s="2" t="n"/>
      <c r="D667" s="2" t="n"/>
      <c r="E667" s="2" t="n"/>
      <c r="F667" s="2" t="n"/>
    </row>
    <row r="668" ht="15.75" customHeight="1" s="125">
      <c r="A668" s="2" t="n"/>
      <c r="B668" s="2" t="n"/>
      <c r="C668" s="2" t="n"/>
      <c r="D668" s="2" t="n"/>
      <c r="E668" s="2" t="n"/>
      <c r="F668" s="2" t="n"/>
    </row>
    <row r="669" ht="15.75" customHeight="1" s="125">
      <c r="A669" s="2" t="n"/>
      <c r="B669" s="2" t="n"/>
      <c r="C669" s="2" t="n"/>
      <c r="D669" s="2" t="n"/>
      <c r="E669" s="2" t="n"/>
      <c r="F669" s="2" t="n"/>
    </row>
    <row r="670" ht="15.75" customHeight="1" s="125">
      <c r="A670" s="2" t="n"/>
      <c r="B670" s="2" t="n"/>
      <c r="C670" s="2" t="n"/>
      <c r="D670" s="2" t="n"/>
      <c r="E670" s="2" t="n"/>
      <c r="F670" s="2" t="n"/>
    </row>
    <row r="671" ht="15.75" customHeight="1" s="125">
      <c r="A671" s="2" t="n"/>
      <c r="B671" s="2" t="n"/>
      <c r="C671" s="2" t="n"/>
      <c r="D671" s="2" t="n"/>
      <c r="E671" s="2" t="n"/>
      <c r="F671" s="2" t="n"/>
    </row>
    <row r="672" ht="15.75" customHeight="1" s="125">
      <c r="A672" s="2" t="n"/>
      <c r="B672" s="2" t="n"/>
      <c r="C672" s="2" t="n"/>
      <c r="D672" s="2" t="n"/>
      <c r="E672" s="2" t="n"/>
      <c r="F672" s="2" t="n"/>
    </row>
    <row r="673" ht="15.75" customHeight="1" s="125">
      <c r="A673" s="2" t="n"/>
      <c r="B673" s="2" t="n"/>
      <c r="C673" s="2" t="n"/>
      <c r="D673" s="2" t="n"/>
      <c r="E673" s="2" t="n"/>
      <c r="F673" s="2" t="n"/>
    </row>
    <row r="674" ht="15.75" customHeight="1" s="125">
      <c r="A674" s="2" t="n"/>
      <c r="B674" s="2" t="n"/>
      <c r="C674" s="2" t="n"/>
      <c r="D674" s="2" t="n"/>
      <c r="E674" s="2" t="n"/>
      <c r="F674" s="2" t="n"/>
    </row>
    <row r="675" ht="15.75" customHeight="1" s="125">
      <c r="A675" s="2" t="n"/>
      <c r="B675" s="2" t="n"/>
      <c r="C675" s="2" t="n"/>
      <c r="D675" s="2" t="n"/>
      <c r="E675" s="2" t="n"/>
      <c r="F675" s="2" t="n"/>
    </row>
    <row r="676" ht="15.75" customHeight="1" s="125">
      <c r="A676" s="2" t="n"/>
      <c r="B676" s="2" t="n"/>
      <c r="C676" s="2" t="n"/>
      <c r="D676" s="2" t="n"/>
      <c r="E676" s="2" t="n"/>
      <c r="F676" s="2" t="n"/>
    </row>
    <row r="677" ht="15.75" customHeight="1" s="125">
      <c r="A677" s="2" t="n"/>
      <c r="B677" s="2" t="n"/>
      <c r="C677" s="2" t="n"/>
      <c r="D677" s="2" t="n"/>
      <c r="E677" s="2" t="n"/>
      <c r="F677" s="2" t="n"/>
    </row>
    <row r="678" ht="15.75" customHeight="1" s="125">
      <c r="A678" s="2" t="n"/>
      <c r="B678" s="2" t="n"/>
      <c r="C678" s="2" t="n"/>
      <c r="D678" s="2" t="n"/>
      <c r="E678" s="2" t="n"/>
      <c r="F678" s="2" t="n"/>
    </row>
    <row r="679" ht="15.75" customHeight="1" s="125">
      <c r="A679" s="2" t="n"/>
      <c r="B679" s="2" t="n"/>
      <c r="C679" s="2" t="n"/>
      <c r="D679" s="2" t="n"/>
      <c r="E679" s="2" t="n"/>
      <c r="F679" s="2" t="n"/>
    </row>
    <row r="680" ht="15.75" customHeight="1" s="125">
      <c r="A680" s="2" t="n"/>
      <c r="B680" s="2" t="n"/>
      <c r="C680" s="2" t="n"/>
      <c r="D680" s="2" t="n"/>
      <c r="E680" s="2" t="n"/>
      <c r="F680" s="2" t="n"/>
    </row>
    <row r="681" ht="15.75" customHeight="1" s="125">
      <c r="A681" s="2" t="n"/>
      <c r="B681" s="2" t="n"/>
      <c r="C681" s="2" t="n"/>
      <c r="D681" s="2" t="n"/>
      <c r="E681" s="2" t="n"/>
      <c r="F681" s="2" t="n"/>
    </row>
    <row r="682" ht="15.75" customHeight="1" s="125">
      <c r="A682" s="2" t="n"/>
      <c r="B682" s="2" t="n"/>
      <c r="C682" s="2" t="n"/>
      <c r="D682" s="2" t="n"/>
      <c r="E682" s="2" t="n"/>
      <c r="F682" s="2" t="n"/>
    </row>
    <row r="683" ht="15.75" customHeight="1" s="125">
      <c r="A683" s="2" t="n"/>
      <c r="B683" s="2" t="n"/>
      <c r="C683" s="2" t="n"/>
      <c r="D683" s="2" t="n"/>
      <c r="E683" s="2" t="n"/>
      <c r="F683" s="2" t="n"/>
    </row>
    <row r="684" ht="15.75" customHeight="1" s="125">
      <c r="A684" s="2" t="n"/>
      <c r="B684" s="2" t="n"/>
      <c r="C684" s="2" t="n"/>
      <c r="D684" s="2" t="n"/>
      <c r="E684" s="2" t="n"/>
      <c r="F684" s="2" t="n"/>
    </row>
    <row r="685" ht="15.75" customHeight="1" s="125">
      <c r="A685" s="2" t="n"/>
      <c r="B685" s="2" t="n"/>
      <c r="C685" s="2" t="n"/>
      <c r="D685" s="2" t="n"/>
      <c r="E685" s="2" t="n"/>
      <c r="F685" s="2" t="n"/>
    </row>
    <row r="686" ht="15.75" customHeight="1" s="125">
      <c r="A686" s="2" t="n"/>
      <c r="B686" s="2" t="n"/>
      <c r="C686" s="2" t="n"/>
      <c r="D686" s="2" t="n"/>
      <c r="E686" s="2" t="n"/>
      <c r="F686" s="2" t="n"/>
    </row>
    <row r="687" ht="15.75" customHeight="1" s="125">
      <c r="A687" s="2" t="n"/>
      <c r="B687" s="2" t="n"/>
      <c r="C687" s="2" t="n"/>
      <c r="D687" s="2" t="n"/>
      <c r="E687" s="2" t="n"/>
      <c r="F687" s="2" t="n"/>
    </row>
    <row r="688" ht="15.75" customHeight="1" s="125">
      <c r="A688" s="2" t="n"/>
      <c r="B688" s="2" t="n"/>
      <c r="C688" s="2" t="n"/>
      <c r="D688" s="2" t="n"/>
      <c r="E688" s="2" t="n"/>
      <c r="F688" s="2" t="n"/>
    </row>
    <row r="689" ht="15.75" customHeight="1" s="125">
      <c r="A689" s="2" t="n"/>
      <c r="B689" s="2" t="n"/>
      <c r="C689" s="2" t="n"/>
      <c r="D689" s="2" t="n"/>
      <c r="E689" s="2" t="n"/>
      <c r="F689" s="2" t="n"/>
    </row>
    <row r="690" ht="15.75" customHeight="1" s="125">
      <c r="A690" s="2" t="n"/>
      <c r="B690" s="2" t="n"/>
      <c r="C690" s="2" t="n"/>
      <c r="D690" s="2" t="n"/>
      <c r="E690" s="2" t="n"/>
      <c r="F690" s="2" t="n"/>
    </row>
    <row r="691" ht="15.75" customHeight="1" s="125">
      <c r="A691" s="2" t="n"/>
      <c r="B691" s="2" t="n"/>
      <c r="C691" s="2" t="n"/>
      <c r="D691" s="2" t="n"/>
      <c r="E691" s="2" t="n"/>
      <c r="F691" s="2" t="n"/>
    </row>
    <row r="692" ht="15.75" customHeight="1" s="125">
      <c r="A692" s="2" t="n"/>
      <c r="B692" s="2" t="n"/>
      <c r="C692" s="2" t="n"/>
      <c r="D692" s="2" t="n"/>
      <c r="E692" s="2" t="n"/>
      <c r="F692" s="2" t="n"/>
    </row>
    <row r="693" ht="15.75" customHeight="1" s="125">
      <c r="A693" s="2" t="n"/>
      <c r="B693" s="2" t="n"/>
      <c r="C693" s="2" t="n"/>
      <c r="D693" s="2" t="n"/>
      <c r="E693" s="2" t="n"/>
      <c r="F693" s="2" t="n"/>
    </row>
    <row r="694" ht="15.75" customHeight="1" s="125">
      <c r="A694" s="2" t="n"/>
      <c r="B694" s="2" t="n"/>
      <c r="C694" s="2" t="n"/>
      <c r="D694" s="2" t="n"/>
      <c r="E694" s="2" t="n"/>
      <c r="F694" s="2" t="n"/>
    </row>
    <row r="695" ht="15.75" customHeight="1" s="125">
      <c r="A695" s="2" t="n"/>
      <c r="B695" s="2" t="n"/>
      <c r="C695" s="2" t="n"/>
      <c r="D695" s="2" t="n"/>
      <c r="E695" s="2" t="n"/>
      <c r="F695" s="2" t="n"/>
    </row>
    <row r="696" ht="15.75" customHeight="1" s="125">
      <c r="A696" s="2" t="n"/>
      <c r="B696" s="2" t="n"/>
      <c r="C696" s="2" t="n"/>
      <c r="D696" s="2" t="n"/>
      <c r="E696" s="2" t="n"/>
      <c r="F696" s="2" t="n"/>
    </row>
    <row r="697" ht="15.75" customHeight="1" s="125">
      <c r="A697" s="2" t="n"/>
      <c r="B697" s="2" t="n"/>
      <c r="C697" s="2" t="n"/>
      <c r="D697" s="2" t="n"/>
      <c r="E697" s="2" t="n"/>
      <c r="F697" s="2" t="n"/>
    </row>
    <row r="698" ht="15.75" customHeight="1" s="125">
      <c r="A698" s="2" t="n"/>
      <c r="B698" s="2" t="n"/>
      <c r="C698" s="2" t="n"/>
      <c r="D698" s="2" t="n"/>
      <c r="E698" s="2" t="n"/>
      <c r="F698" s="2" t="n"/>
    </row>
    <row r="699" ht="15.75" customHeight="1" s="125">
      <c r="A699" s="2" t="n"/>
      <c r="B699" s="2" t="n"/>
      <c r="C699" s="2" t="n"/>
      <c r="D699" s="2" t="n"/>
      <c r="E699" s="2" t="n"/>
      <c r="F699" s="2" t="n"/>
    </row>
    <row r="700" ht="15.75" customHeight="1" s="125">
      <c r="A700" s="2" t="n"/>
      <c r="B700" s="2" t="n"/>
      <c r="C700" s="2" t="n"/>
      <c r="D700" s="2" t="n"/>
      <c r="E700" s="2" t="n"/>
      <c r="F700" s="2" t="n"/>
    </row>
    <row r="701" ht="15.75" customHeight="1" s="125">
      <c r="A701" s="2" t="n"/>
      <c r="B701" s="2" t="n"/>
      <c r="C701" s="2" t="n"/>
      <c r="D701" s="2" t="n"/>
      <c r="E701" s="2" t="n"/>
      <c r="F701" s="2" t="n"/>
    </row>
    <row r="702" ht="15.75" customHeight="1" s="125">
      <c r="A702" s="2" t="n"/>
      <c r="B702" s="2" t="n"/>
      <c r="C702" s="2" t="n"/>
      <c r="D702" s="2" t="n"/>
      <c r="E702" s="2" t="n"/>
      <c r="F702" s="2" t="n"/>
    </row>
    <row r="703" ht="15.75" customHeight="1" s="125">
      <c r="A703" s="2" t="n"/>
      <c r="B703" s="2" t="n"/>
      <c r="C703" s="2" t="n"/>
      <c r="D703" s="2" t="n"/>
      <c r="E703" s="2" t="n"/>
      <c r="F703" s="2" t="n"/>
    </row>
    <row r="704" ht="15.75" customHeight="1" s="125">
      <c r="A704" s="2" t="n"/>
      <c r="B704" s="2" t="n"/>
      <c r="C704" s="2" t="n"/>
      <c r="D704" s="2" t="n"/>
      <c r="E704" s="2" t="n"/>
      <c r="F704" s="2" t="n"/>
    </row>
    <row r="705" ht="15.75" customHeight="1" s="125">
      <c r="A705" s="2" t="n"/>
      <c r="B705" s="2" t="n"/>
      <c r="C705" s="2" t="n"/>
      <c r="D705" s="2" t="n"/>
      <c r="E705" s="2" t="n"/>
      <c r="F705" s="2" t="n"/>
    </row>
    <row r="706" ht="15.75" customHeight="1" s="125">
      <c r="A706" s="2" t="n"/>
      <c r="B706" s="2" t="n"/>
      <c r="C706" s="2" t="n"/>
      <c r="D706" s="2" t="n"/>
      <c r="E706" s="2" t="n"/>
      <c r="F706" s="2" t="n"/>
    </row>
    <row r="707" ht="15.75" customHeight="1" s="125">
      <c r="A707" s="2" t="n"/>
      <c r="B707" s="2" t="n"/>
      <c r="C707" s="2" t="n"/>
      <c r="D707" s="2" t="n"/>
      <c r="E707" s="2" t="n"/>
      <c r="F707" s="2" t="n"/>
    </row>
    <row r="708" ht="15.75" customHeight="1" s="125">
      <c r="A708" s="2" t="n"/>
      <c r="B708" s="2" t="n"/>
      <c r="C708" s="2" t="n"/>
      <c r="D708" s="2" t="n"/>
      <c r="E708" s="2" t="n"/>
      <c r="F708" s="2" t="n"/>
    </row>
    <row r="709" ht="15.75" customHeight="1" s="125">
      <c r="A709" s="2" t="n"/>
      <c r="B709" s="2" t="n"/>
      <c r="C709" s="2" t="n"/>
      <c r="D709" s="2" t="n"/>
      <c r="E709" s="2" t="n"/>
      <c r="F709" s="2" t="n"/>
    </row>
    <row r="710" ht="15.75" customHeight="1" s="125">
      <c r="A710" s="2" t="n"/>
      <c r="B710" s="2" t="n"/>
      <c r="C710" s="2" t="n"/>
      <c r="D710" s="2" t="n"/>
      <c r="E710" s="2" t="n"/>
      <c r="F710" s="2" t="n"/>
    </row>
    <row r="711" ht="15.75" customHeight="1" s="125">
      <c r="A711" s="2" t="n"/>
      <c r="B711" s="2" t="n"/>
      <c r="C711" s="2" t="n"/>
      <c r="D711" s="2" t="n"/>
      <c r="E711" s="2" t="n"/>
      <c r="F711" s="2" t="n"/>
    </row>
    <row r="712" ht="15.75" customHeight="1" s="125">
      <c r="A712" s="2" t="n"/>
      <c r="B712" s="2" t="n"/>
      <c r="C712" s="2" t="n"/>
      <c r="D712" s="2" t="n"/>
      <c r="E712" s="2" t="n"/>
      <c r="F712" s="2" t="n"/>
    </row>
    <row r="713" ht="15.75" customHeight="1" s="125">
      <c r="A713" s="2" t="n"/>
      <c r="B713" s="2" t="n"/>
      <c r="C713" s="2" t="n"/>
      <c r="D713" s="2" t="n"/>
      <c r="E713" s="2" t="n"/>
      <c r="F713" s="2" t="n"/>
    </row>
    <row r="714" ht="15.75" customHeight="1" s="125">
      <c r="A714" s="2" t="n"/>
      <c r="B714" s="2" t="n"/>
      <c r="C714" s="2" t="n"/>
      <c r="D714" s="2" t="n"/>
      <c r="E714" s="2" t="n"/>
      <c r="F714" s="2" t="n"/>
    </row>
    <row r="715" ht="15.75" customHeight="1" s="125">
      <c r="A715" s="2" t="n"/>
      <c r="B715" s="2" t="n"/>
      <c r="C715" s="2" t="n"/>
      <c r="D715" s="2" t="n"/>
      <c r="E715" s="2" t="n"/>
      <c r="F715" s="2" t="n"/>
    </row>
    <row r="716" ht="15.75" customHeight="1" s="125">
      <c r="A716" s="2" t="n"/>
      <c r="B716" s="2" t="n"/>
      <c r="C716" s="2" t="n"/>
      <c r="D716" s="2" t="n"/>
      <c r="E716" s="2" t="n"/>
      <c r="F716" s="2" t="n"/>
    </row>
    <row r="717" ht="15.75" customHeight="1" s="125">
      <c r="A717" s="2" t="n"/>
      <c r="B717" s="2" t="n"/>
      <c r="C717" s="2" t="n"/>
      <c r="D717" s="2" t="n"/>
      <c r="E717" s="2" t="n"/>
      <c r="F717" s="2" t="n"/>
    </row>
    <row r="718" ht="15.75" customHeight="1" s="125">
      <c r="A718" s="2" t="n"/>
      <c r="B718" s="2" t="n"/>
      <c r="C718" s="2" t="n"/>
      <c r="D718" s="2" t="n"/>
      <c r="E718" s="2" t="n"/>
      <c r="F718" s="2" t="n"/>
    </row>
    <row r="719" ht="15.75" customHeight="1" s="125">
      <c r="A719" s="2" t="n"/>
      <c r="B719" s="2" t="n"/>
      <c r="C719" s="2" t="n"/>
      <c r="D719" s="2" t="n"/>
      <c r="E719" s="2" t="n"/>
      <c r="F719" s="2" t="n"/>
    </row>
    <row r="720" ht="15.75" customHeight="1" s="125">
      <c r="A720" s="2" t="n"/>
      <c r="B720" s="2" t="n"/>
      <c r="C720" s="2" t="n"/>
      <c r="D720" s="2" t="n"/>
      <c r="E720" s="2" t="n"/>
      <c r="F720" s="2" t="n"/>
    </row>
    <row r="721" ht="15.75" customHeight="1" s="125">
      <c r="A721" s="2" t="n"/>
      <c r="B721" s="2" t="n"/>
      <c r="C721" s="2" t="n"/>
      <c r="D721" s="2" t="n"/>
      <c r="E721" s="2" t="n"/>
      <c r="F721" s="2" t="n"/>
    </row>
    <row r="722" ht="15.75" customHeight="1" s="125">
      <c r="A722" s="2" t="n"/>
      <c r="B722" s="2" t="n"/>
      <c r="C722" s="2" t="n"/>
      <c r="D722" s="2" t="n"/>
      <c r="E722" s="2" t="n"/>
      <c r="F722" s="2" t="n"/>
    </row>
    <row r="723" ht="15.75" customHeight="1" s="125">
      <c r="A723" s="2" t="n"/>
      <c r="B723" s="2" t="n"/>
      <c r="C723" s="2" t="n"/>
      <c r="D723" s="2" t="n"/>
      <c r="E723" s="2" t="n"/>
      <c r="F723" s="2" t="n"/>
    </row>
    <row r="724" ht="15.75" customHeight="1" s="125">
      <c r="A724" s="2" t="n"/>
      <c r="B724" s="2" t="n"/>
      <c r="C724" s="2" t="n"/>
      <c r="D724" s="2" t="n"/>
      <c r="E724" s="2" t="n"/>
      <c r="F724" s="2" t="n"/>
    </row>
    <row r="725" ht="15.75" customHeight="1" s="125">
      <c r="A725" s="2" t="n"/>
      <c r="B725" s="2" t="n"/>
      <c r="C725" s="2" t="n"/>
      <c r="D725" s="2" t="n"/>
      <c r="E725" s="2" t="n"/>
      <c r="F725" s="2" t="n"/>
    </row>
    <row r="726" ht="15.75" customHeight="1" s="125">
      <c r="A726" s="2" t="n"/>
      <c r="B726" s="2" t="n"/>
      <c r="C726" s="2" t="n"/>
      <c r="D726" s="2" t="n"/>
      <c r="E726" s="2" t="n"/>
      <c r="F726" s="2" t="n"/>
    </row>
    <row r="727" ht="15.75" customHeight="1" s="125">
      <c r="A727" s="2" t="n"/>
      <c r="B727" s="2" t="n"/>
      <c r="C727" s="2" t="n"/>
      <c r="D727" s="2" t="n"/>
      <c r="E727" s="2" t="n"/>
      <c r="F727" s="2" t="n"/>
    </row>
    <row r="728" ht="15.75" customHeight="1" s="125">
      <c r="A728" s="2" t="n"/>
      <c r="B728" s="2" t="n"/>
      <c r="C728" s="2" t="n"/>
      <c r="D728" s="2" t="n"/>
      <c r="E728" s="2" t="n"/>
      <c r="F728" s="2" t="n"/>
    </row>
    <row r="729" ht="15.75" customHeight="1" s="125">
      <c r="A729" s="2" t="n"/>
      <c r="B729" s="2" t="n"/>
      <c r="C729" s="2" t="n"/>
      <c r="D729" s="2" t="n"/>
      <c r="E729" s="2" t="n"/>
      <c r="F729" s="2" t="n"/>
    </row>
    <row r="730" ht="15.75" customHeight="1" s="125">
      <c r="A730" s="2" t="n"/>
      <c r="B730" s="2" t="n"/>
      <c r="C730" s="2" t="n"/>
      <c r="D730" s="2" t="n"/>
      <c r="E730" s="2" t="n"/>
      <c r="F730" s="2" t="n"/>
    </row>
    <row r="731" ht="15.75" customHeight="1" s="125">
      <c r="A731" s="2" t="n"/>
      <c r="B731" s="2" t="n"/>
      <c r="C731" s="2" t="n"/>
      <c r="D731" s="2" t="n"/>
      <c r="E731" s="2" t="n"/>
      <c r="F731" s="2" t="n"/>
    </row>
    <row r="732" ht="15.75" customHeight="1" s="125">
      <c r="A732" s="2" t="n"/>
      <c r="B732" s="2" t="n"/>
      <c r="C732" s="2" t="n"/>
      <c r="D732" s="2" t="n"/>
      <c r="E732" s="2" t="n"/>
      <c r="F732" s="2" t="n"/>
    </row>
    <row r="733" ht="15.75" customHeight="1" s="125">
      <c r="A733" s="2" t="n"/>
      <c r="B733" s="2" t="n"/>
      <c r="C733" s="2" t="n"/>
      <c r="D733" s="2" t="n"/>
      <c r="E733" s="2" t="n"/>
      <c r="F733" s="2" t="n"/>
    </row>
    <row r="734" ht="15.75" customHeight="1" s="125">
      <c r="A734" s="2" t="n"/>
      <c r="B734" s="2" t="n"/>
      <c r="C734" s="2" t="n"/>
      <c r="D734" s="2" t="n"/>
      <c r="E734" s="2" t="n"/>
      <c r="F734" s="2" t="n"/>
    </row>
    <row r="735" ht="15.75" customHeight="1" s="125">
      <c r="A735" s="2" t="n"/>
      <c r="B735" s="2" t="n"/>
      <c r="C735" s="2" t="n"/>
      <c r="D735" s="2" t="n"/>
      <c r="E735" s="2" t="n"/>
      <c r="F735" s="2" t="n"/>
    </row>
    <row r="736" ht="15.75" customHeight="1" s="125">
      <c r="A736" s="2" t="n"/>
      <c r="B736" s="2" t="n"/>
      <c r="C736" s="2" t="n"/>
      <c r="D736" s="2" t="n"/>
      <c r="E736" s="2" t="n"/>
      <c r="F736" s="2" t="n"/>
    </row>
    <row r="737" ht="15.75" customHeight="1" s="125">
      <c r="A737" s="2" t="n"/>
      <c r="B737" s="2" t="n"/>
      <c r="C737" s="2" t="n"/>
      <c r="D737" s="2" t="n"/>
      <c r="E737" s="2" t="n"/>
      <c r="F737" s="2" t="n"/>
    </row>
    <row r="738" ht="15.75" customHeight="1" s="125">
      <c r="A738" s="2" t="n"/>
      <c r="B738" s="2" t="n"/>
      <c r="C738" s="2" t="n"/>
      <c r="D738" s="2" t="n"/>
      <c r="E738" s="2" t="n"/>
      <c r="F738" s="2" t="n"/>
    </row>
    <row r="739" ht="15.75" customHeight="1" s="125">
      <c r="A739" s="2" t="n"/>
      <c r="B739" s="2" t="n"/>
      <c r="C739" s="2" t="n"/>
      <c r="D739" s="2" t="n"/>
      <c r="E739" s="2" t="n"/>
      <c r="F739" s="2" t="n"/>
    </row>
    <row r="740" ht="15.75" customHeight="1" s="125">
      <c r="A740" s="2" t="n"/>
      <c r="B740" s="2" t="n"/>
      <c r="C740" s="2" t="n"/>
      <c r="D740" s="2" t="n"/>
      <c r="E740" s="2" t="n"/>
      <c r="F740" s="2" t="n"/>
    </row>
    <row r="741" ht="15.75" customHeight="1" s="125">
      <c r="A741" s="2" t="n"/>
      <c r="B741" s="2" t="n"/>
      <c r="C741" s="2" t="n"/>
      <c r="D741" s="2" t="n"/>
      <c r="E741" s="2" t="n"/>
      <c r="F741" s="2" t="n"/>
    </row>
    <row r="742" ht="15.75" customHeight="1" s="125">
      <c r="A742" s="2" t="n"/>
      <c r="B742" s="2" t="n"/>
      <c r="C742" s="2" t="n"/>
      <c r="D742" s="2" t="n"/>
      <c r="E742" s="2" t="n"/>
      <c r="F742" s="2" t="n"/>
    </row>
    <row r="743" ht="15.75" customHeight="1" s="125">
      <c r="A743" s="2" t="n"/>
      <c r="B743" s="2" t="n"/>
      <c r="C743" s="2" t="n"/>
      <c r="D743" s="2" t="n"/>
      <c r="E743" s="2" t="n"/>
      <c r="F743" s="2" t="n"/>
    </row>
    <row r="744" ht="15.75" customHeight="1" s="125">
      <c r="A744" s="2" t="n"/>
      <c r="B744" s="2" t="n"/>
      <c r="C744" s="2" t="n"/>
      <c r="D744" s="2" t="n"/>
      <c r="E744" s="2" t="n"/>
      <c r="F744" s="2" t="n"/>
    </row>
    <row r="745" ht="15.75" customHeight="1" s="125">
      <c r="A745" s="2" t="n"/>
      <c r="B745" s="2" t="n"/>
      <c r="C745" s="2" t="n"/>
      <c r="D745" s="2" t="n"/>
      <c r="E745" s="2" t="n"/>
      <c r="F745" s="2" t="n"/>
    </row>
    <row r="746" ht="15.75" customHeight="1" s="125">
      <c r="A746" s="2" t="n"/>
      <c r="B746" s="2" t="n"/>
      <c r="C746" s="2" t="n"/>
      <c r="D746" s="2" t="n"/>
      <c r="E746" s="2" t="n"/>
      <c r="F746" s="2" t="n"/>
    </row>
    <row r="747" ht="15.75" customHeight="1" s="125">
      <c r="A747" s="2" t="n"/>
      <c r="B747" s="2" t="n"/>
      <c r="C747" s="2" t="n"/>
      <c r="D747" s="2" t="n"/>
      <c r="E747" s="2" t="n"/>
      <c r="F747" s="2" t="n"/>
    </row>
    <row r="748" ht="15.75" customHeight="1" s="125">
      <c r="A748" s="2" t="n"/>
      <c r="B748" s="2" t="n"/>
      <c r="C748" s="2" t="n"/>
      <c r="D748" s="2" t="n"/>
      <c r="E748" s="2" t="n"/>
      <c r="F748" s="2" t="n"/>
    </row>
    <row r="749" ht="15.75" customHeight="1" s="125">
      <c r="A749" s="2" t="n"/>
      <c r="B749" s="2" t="n"/>
      <c r="C749" s="2" t="n"/>
      <c r="D749" s="2" t="n"/>
      <c r="E749" s="2" t="n"/>
      <c r="F749" s="2" t="n"/>
    </row>
    <row r="750" ht="15.75" customHeight="1" s="125">
      <c r="A750" s="2" t="n"/>
      <c r="B750" s="2" t="n"/>
      <c r="C750" s="2" t="n"/>
      <c r="D750" s="2" t="n"/>
      <c r="E750" s="2" t="n"/>
      <c r="F750" s="2" t="n"/>
    </row>
    <row r="751" ht="15.75" customHeight="1" s="125">
      <c r="A751" s="2" t="n"/>
      <c r="B751" s="2" t="n"/>
      <c r="C751" s="2" t="n"/>
      <c r="D751" s="2" t="n"/>
      <c r="E751" s="2" t="n"/>
      <c r="F751" s="2" t="n"/>
    </row>
    <row r="752" ht="15.75" customHeight="1" s="125">
      <c r="A752" s="2" t="n"/>
      <c r="B752" s="2" t="n"/>
      <c r="C752" s="2" t="n"/>
      <c r="D752" s="2" t="n"/>
      <c r="E752" s="2" t="n"/>
      <c r="F752" s="2" t="n"/>
    </row>
    <row r="753" ht="15.75" customHeight="1" s="125">
      <c r="A753" s="2" t="n"/>
      <c r="B753" s="2" t="n"/>
      <c r="C753" s="2" t="n"/>
      <c r="D753" s="2" t="n"/>
      <c r="E753" s="2" t="n"/>
      <c r="F753" s="2" t="n"/>
    </row>
    <row r="754" ht="15.75" customHeight="1" s="125">
      <c r="A754" s="2" t="n"/>
      <c r="B754" s="2" t="n"/>
      <c r="C754" s="2" t="n"/>
      <c r="D754" s="2" t="n"/>
      <c r="E754" s="2" t="n"/>
      <c r="F754" s="2" t="n"/>
    </row>
    <row r="755" ht="15.75" customHeight="1" s="125">
      <c r="A755" s="2" t="n"/>
      <c r="B755" s="2" t="n"/>
      <c r="C755" s="2" t="n"/>
      <c r="D755" s="2" t="n"/>
      <c r="E755" s="2" t="n"/>
      <c r="F755" s="2" t="n"/>
    </row>
    <row r="756" ht="15.75" customHeight="1" s="125">
      <c r="A756" s="2" t="n"/>
      <c r="B756" s="2" t="n"/>
      <c r="C756" s="2" t="n"/>
      <c r="D756" s="2" t="n"/>
      <c r="E756" s="2" t="n"/>
      <c r="F756" s="2" t="n"/>
    </row>
    <row r="757" ht="15.75" customHeight="1" s="125">
      <c r="A757" s="2" t="n"/>
      <c r="B757" s="2" t="n"/>
      <c r="C757" s="2" t="n"/>
      <c r="D757" s="2" t="n"/>
      <c r="E757" s="2" t="n"/>
      <c r="F757" s="2" t="n"/>
    </row>
    <row r="758" ht="15.75" customHeight="1" s="125">
      <c r="A758" s="2" t="n"/>
      <c r="B758" s="2" t="n"/>
      <c r="C758" s="2" t="n"/>
      <c r="D758" s="2" t="n"/>
      <c r="E758" s="2" t="n"/>
      <c r="F758" s="2" t="n"/>
    </row>
    <row r="759" ht="15.75" customHeight="1" s="125">
      <c r="A759" s="2" t="n"/>
      <c r="B759" s="2" t="n"/>
      <c r="C759" s="2" t="n"/>
      <c r="D759" s="2" t="n"/>
      <c r="E759" s="2" t="n"/>
      <c r="F759" s="2" t="n"/>
    </row>
    <row r="760" ht="15.75" customHeight="1" s="125">
      <c r="A760" s="2" t="n"/>
      <c r="B760" s="2" t="n"/>
      <c r="C760" s="2" t="n"/>
      <c r="D760" s="2" t="n"/>
      <c r="E760" s="2" t="n"/>
      <c r="F760" s="2" t="n"/>
    </row>
    <row r="761" ht="15.75" customHeight="1" s="125">
      <c r="A761" s="2" t="n"/>
      <c r="B761" s="2" t="n"/>
      <c r="C761" s="2" t="n"/>
      <c r="D761" s="2" t="n"/>
      <c r="E761" s="2" t="n"/>
      <c r="F761" s="2" t="n"/>
    </row>
    <row r="762" ht="15.75" customHeight="1" s="125">
      <c r="A762" s="2" t="n"/>
      <c r="B762" s="2" t="n"/>
      <c r="C762" s="2" t="n"/>
      <c r="D762" s="2" t="n"/>
      <c r="E762" s="2" t="n"/>
      <c r="F762" s="2" t="n"/>
    </row>
    <row r="763" ht="15.75" customHeight="1" s="125">
      <c r="A763" s="2" t="n"/>
      <c r="B763" s="2" t="n"/>
      <c r="C763" s="2" t="n"/>
      <c r="D763" s="2" t="n"/>
      <c r="E763" s="2" t="n"/>
      <c r="F763" s="2" t="n"/>
    </row>
    <row r="764" ht="15.75" customHeight="1" s="125">
      <c r="A764" s="2" t="n"/>
      <c r="B764" s="2" t="n"/>
      <c r="C764" s="2" t="n"/>
      <c r="D764" s="2" t="n"/>
      <c r="E764" s="2" t="n"/>
      <c r="F764" s="2" t="n"/>
    </row>
    <row r="765" ht="15.75" customHeight="1" s="125">
      <c r="A765" s="2" t="n"/>
      <c r="B765" s="2" t="n"/>
      <c r="C765" s="2" t="n"/>
      <c r="D765" s="2" t="n"/>
      <c r="E765" s="2" t="n"/>
      <c r="F765" s="2" t="n"/>
    </row>
    <row r="766" ht="15.75" customHeight="1" s="125">
      <c r="A766" s="2" t="n"/>
      <c r="B766" s="2" t="n"/>
      <c r="C766" s="2" t="n"/>
      <c r="D766" s="2" t="n"/>
      <c r="E766" s="2" t="n"/>
      <c r="F766" s="2" t="n"/>
    </row>
    <row r="767" ht="15.75" customHeight="1" s="125">
      <c r="A767" s="2" t="n"/>
      <c r="B767" s="2" t="n"/>
      <c r="C767" s="2" t="n"/>
      <c r="D767" s="2" t="n"/>
      <c r="E767" s="2" t="n"/>
      <c r="F767" s="2" t="n"/>
    </row>
    <row r="768" ht="15.75" customHeight="1" s="125">
      <c r="A768" s="2" t="n"/>
      <c r="B768" s="2" t="n"/>
      <c r="C768" s="2" t="n"/>
      <c r="D768" s="2" t="n"/>
      <c r="E768" s="2" t="n"/>
      <c r="F768" s="2" t="n"/>
    </row>
    <row r="769" ht="15.75" customHeight="1" s="125">
      <c r="A769" s="2" t="n"/>
      <c r="B769" s="2" t="n"/>
      <c r="C769" s="2" t="n"/>
      <c r="D769" s="2" t="n"/>
      <c r="E769" s="2" t="n"/>
      <c r="F769" s="2" t="n"/>
    </row>
    <row r="770" ht="15.75" customHeight="1" s="125">
      <c r="A770" s="2" t="n"/>
      <c r="B770" s="2" t="n"/>
      <c r="C770" s="2" t="n"/>
      <c r="D770" s="2" t="n"/>
      <c r="E770" s="2" t="n"/>
      <c r="F770" s="2" t="n"/>
    </row>
    <row r="771" ht="15.75" customHeight="1" s="125">
      <c r="A771" s="2" t="n"/>
      <c r="B771" s="2" t="n"/>
      <c r="C771" s="2" t="n"/>
      <c r="D771" s="2" t="n"/>
      <c r="E771" s="2" t="n"/>
      <c r="F771" s="2" t="n"/>
    </row>
    <row r="772" ht="15.75" customHeight="1" s="125">
      <c r="A772" s="2" t="n"/>
      <c r="B772" s="2" t="n"/>
      <c r="C772" s="2" t="n"/>
      <c r="D772" s="2" t="n"/>
      <c r="E772" s="2" t="n"/>
      <c r="F772" s="2" t="n"/>
    </row>
    <row r="773" ht="15.75" customHeight="1" s="125">
      <c r="A773" s="2" t="n"/>
      <c r="B773" s="2" t="n"/>
      <c r="C773" s="2" t="n"/>
      <c r="D773" s="2" t="n"/>
      <c r="E773" s="2" t="n"/>
      <c r="F773" s="2" t="n"/>
    </row>
    <row r="774" ht="15.75" customHeight="1" s="125">
      <c r="A774" s="2" t="n"/>
      <c r="B774" s="2" t="n"/>
      <c r="C774" s="2" t="n"/>
      <c r="D774" s="2" t="n"/>
      <c r="E774" s="2" t="n"/>
      <c r="F774" s="2" t="n"/>
    </row>
    <row r="775" ht="15.75" customHeight="1" s="125">
      <c r="A775" s="2" t="n"/>
      <c r="B775" s="2" t="n"/>
      <c r="C775" s="2" t="n"/>
      <c r="D775" s="2" t="n"/>
      <c r="E775" s="2" t="n"/>
      <c r="F775" s="2" t="n"/>
    </row>
    <row r="776" ht="15.75" customHeight="1" s="125">
      <c r="A776" s="2" t="n"/>
      <c r="B776" s="2" t="n"/>
      <c r="C776" s="2" t="n"/>
      <c r="D776" s="2" t="n"/>
      <c r="E776" s="2" t="n"/>
      <c r="F776" s="2" t="n"/>
    </row>
    <row r="777" ht="15.75" customHeight="1" s="125">
      <c r="A777" s="2" t="n"/>
      <c r="B777" s="2" t="n"/>
      <c r="C777" s="2" t="n"/>
      <c r="D777" s="2" t="n"/>
      <c r="E777" s="2" t="n"/>
      <c r="F777" s="2" t="n"/>
    </row>
    <row r="778" ht="15.75" customHeight="1" s="125">
      <c r="A778" s="2" t="n"/>
      <c r="B778" s="2" t="n"/>
      <c r="C778" s="2" t="n"/>
      <c r="D778" s="2" t="n"/>
      <c r="E778" s="2" t="n"/>
      <c r="F778" s="2" t="n"/>
    </row>
    <row r="779" ht="15.75" customHeight="1" s="125">
      <c r="A779" s="2" t="n"/>
      <c r="B779" s="2" t="n"/>
      <c r="C779" s="2" t="n"/>
      <c r="D779" s="2" t="n"/>
      <c r="E779" s="2" t="n"/>
      <c r="F779" s="2" t="n"/>
    </row>
    <row r="780" ht="15.75" customHeight="1" s="125">
      <c r="A780" s="2" t="n"/>
      <c r="B780" s="2" t="n"/>
      <c r="C780" s="2" t="n"/>
      <c r="D780" s="2" t="n"/>
      <c r="E780" s="2" t="n"/>
      <c r="F780" s="2" t="n"/>
    </row>
    <row r="781" ht="15.75" customHeight="1" s="125">
      <c r="A781" s="2" t="n"/>
      <c r="B781" s="2" t="n"/>
      <c r="C781" s="2" t="n"/>
      <c r="D781" s="2" t="n"/>
      <c r="E781" s="2" t="n"/>
      <c r="F781" s="2" t="n"/>
    </row>
    <row r="782" ht="15.75" customHeight="1" s="125">
      <c r="A782" s="2" t="n"/>
      <c r="B782" s="2" t="n"/>
      <c r="C782" s="2" t="n"/>
      <c r="D782" s="2" t="n"/>
      <c r="E782" s="2" t="n"/>
      <c r="F782" s="2" t="n"/>
    </row>
    <row r="783" ht="15.75" customHeight="1" s="125">
      <c r="A783" s="2" t="n"/>
      <c r="B783" s="2" t="n"/>
      <c r="C783" s="2" t="n"/>
      <c r="D783" s="2" t="n"/>
      <c r="E783" s="2" t="n"/>
      <c r="F783" s="2" t="n"/>
    </row>
    <row r="784" ht="15.75" customHeight="1" s="125">
      <c r="A784" s="2" t="n"/>
      <c r="B784" s="2" t="n"/>
      <c r="C784" s="2" t="n"/>
      <c r="D784" s="2" t="n"/>
      <c r="E784" s="2" t="n"/>
      <c r="F784" s="2" t="n"/>
    </row>
    <row r="785" ht="15.75" customHeight="1" s="125">
      <c r="A785" s="2" t="n"/>
      <c r="B785" s="2" t="n"/>
      <c r="C785" s="2" t="n"/>
      <c r="D785" s="2" t="n"/>
      <c r="E785" s="2" t="n"/>
      <c r="F785" s="2" t="n"/>
    </row>
    <row r="786" ht="15.75" customHeight="1" s="125">
      <c r="A786" s="2" t="n"/>
      <c r="B786" s="2" t="n"/>
      <c r="C786" s="2" t="n"/>
      <c r="D786" s="2" t="n"/>
      <c r="E786" s="2" t="n"/>
      <c r="F786" s="2" t="n"/>
    </row>
    <row r="787" ht="15.75" customHeight="1" s="125">
      <c r="A787" s="2" t="n"/>
      <c r="B787" s="2" t="n"/>
      <c r="C787" s="2" t="n"/>
      <c r="D787" s="2" t="n"/>
      <c r="E787" s="2" t="n"/>
      <c r="F787" s="2" t="n"/>
    </row>
    <row r="788" ht="15.75" customHeight="1" s="125">
      <c r="A788" s="2" t="n"/>
      <c r="B788" s="2" t="n"/>
      <c r="C788" s="2" t="n"/>
      <c r="D788" s="2" t="n"/>
      <c r="E788" s="2" t="n"/>
      <c r="F788" s="2" t="n"/>
    </row>
    <row r="789" ht="15.75" customHeight="1" s="125">
      <c r="A789" s="2" t="n"/>
      <c r="B789" s="2" t="n"/>
      <c r="C789" s="2" t="n"/>
      <c r="D789" s="2" t="n"/>
      <c r="E789" s="2" t="n"/>
      <c r="F789" s="2" t="n"/>
    </row>
    <row r="790" ht="15.75" customHeight="1" s="125">
      <c r="A790" s="2" t="n"/>
      <c r="B790" s="2" t="n"/>
      <c r="C790" s="2" t="n"/>
      <c r="D790" s="2" t="n"/>
      <c r="E790" s="2" t="n"/>
      <c r="F790" s="2" t="n"/>
    </row>
    <row r="791" ht="15.75" customHeight="1" s="125">
      <c r="A791" s="2" t="n"/>
      <c r="B791" s="2" t="n"/>
      <c r="C791" s="2" t="n"/>
      <c r="D791" s="2" t="n"/>
      <c r="E791" s="2" t="n"/>
      <c r="F791" s="2" t="n"/>
    </row>
    <row r="792" ht="15.75" customHeight="1" s="125">
      <c r="A792" s="2" t="n"/>
      <c r="B792" s="2" t="n"/>
      <c r="C792" s="2" t="n"/>
      <c r="D792" s="2" t="n"/>
      <c r="E792" s="2" t="n"/>
      <c r="F792" s="2" t="n"/>
    </row>
    <row r="793" ht="15.75" customHeight="1" s="125">
      <c r="A793" s="2" t="n"/>
      <c r="B793" s="2" t="n"/>
      <c r="C793" s="2" t="n"/>
      <c r="D793" s="2" t="n"/>
      <c r="E793" s="2" t="n"/>
      <c r="F793" s="2" t="n"/>
    </row>
    <row r="794" ht="15.75" customHeight="1" s="125">
      <c r="A794" s="2" t="n"/>
      <c r="B794" s="2" t="n"/>
      <c r="C794" s="2" t="n"/>
      <c r="D794" s="2" t="n"/>
      <c r="E794" s="2" t="n"/>
      <c r="F794" s="2" t="n"/>
    </row>
    <row r="795" ht="15.75" customHeight="1" s="125">
      <c r="A795" s="2" t="n"/>
      <c r="B795" s="2" t="n"/>
      <c r="C795" s="2" t="n"/>
      <c r="D795" s="2" t="n"/>
      <c r="E795" s="2" t="n"/>
      <c r="F795" s="2" t="n"/>
    </row>
    <row r="796" ht="15.75" customHeight="1" s="125">
      <c r="A796" s="2" t="n"/>
      <c r="B796" s="2" t="n"/>
      <c r="C796" s="2" t="n"/>
      <c r="D796" s="2" t="n"/>
      <c r="E796" s="2" t="n"/>
      <c r="F796" s="2" t="n"/>
    </row>
    <row r="797" ht="15.75" customHeight="1" s="125">
      <c r="A797" s="2" t="n"/>
      <c r="B797" s="2" t="n"/>
      <c r="C797" s="2" t="n"/>
      <c r="D797" s="2" t="n"/>
      <c r="E797" s="2" t="n"/>
      <c r="F797" s="2" t="n"/>
    </row>
    <row r="798" ht="15.75" customHeight="1" s="125">
      <c r="A798" s="2" t="n"/>
      <c r="B798" s="2" t="n"/>
      <c r="C798" s="2" t="n"/>
      <c r="D798" s="2" t="n"/>
      <c r="E798" s="2" t="n"/>
      <c r="F798" s="2" t="n"/>
    </row>
    <row r="799" ht="15.75" customHeight="1" s="125">
      <c r="A799" s="2" t="n"/>
      <c r="B799" s="2" t="n"/>
      <c r="C799" s="2" t="n"/>
      <c r="D799" s="2" t="n"/>
      <c r="E799" s="2" t="n"/>
      <c r="F799" s="2" t="n"/>
    </row>
    <row r="800" ht="15.75" customHeight="1" s="125">
      <c r="A800" s="2" t="n"/>
      <c r="B800" s="2" t="n"/>
      <c r="C800" s="2" t="n"/>
      <c r="D800" s="2" t="n"/>
      <c r="E800" s="2" t="n"/>
      <c r="F800" s="2" t="n"/>
    </row>
    <row r="801" ht="15.75" customHeight="1" s="125">
      <c r="A801" s="2" t="n"/>
      <c r="B801" s="2" t="n"/>
      <c r="C801" s="2" t="n"/>
      <c r="D801" s="2" t="n"/>
      <c r="E801" s="2" t="n"/>
      <c r="F801" s="2" t="n"/>
    </row>
    <row r="802" ht="15.75" customHeight="1" s="125">
      <c r="A802" s="2" t="n"/>
      <c r="B802" s="2" t="n"/>
      <c r="C802" s="2" t="n"/>
      <c r="D802" s="2" t="n"/>
      <c r="E802" s="2" t="n"/>
      <c r="F802" s="2" t="n"/>
    </row>
    <row r="803" ht="15.75" customHeight="1" s="125">
      <c r="A803" s="2" t="n"/>
      <c r="B803" s="2" t="n"/>
      <c r="C803" s="2" t="n"/>
      <c r="D803" s="2" t="n"/>
      <c r="E803" s="2" t="n"/>
      <c r="F803" s="2" t="n"/>
    </row>
    <row r="804" ht="15.75" customHeight="1" s="125">
      <c r="A804" s="2" t="n"/>
      <c r="B804" s="2" t="n"/>
      <c r="C804" s="2" t="n"/>
      <c r="D804" s="2" t="n"/>
      <c r="E804" s="2" t="n"/>
      <c r="F804" s="2" t="n"/>
    </row>
    <row r="805" ht="15.75" customHeight="1" s="125">
      <c r="A805" s="2" t="n"/>
      <c r="B805" s="2" t="n"/>
      <c r="C805" s="2" t="n"/>
      <c r="D805" s="2" t="n"/>
      <c r="E805" s="2" t="n"/>
      <c r="F805" s="2" t="n"/>
    </row>
    <row r="806" ht="15.75" customHeight="1" s="125">
      <c r="A806" s="2" t="n"/>
      <c r="B806" s="2" t="n"/>
      <c r="C806" s="2" t="n"/>
      <c r="D806" s="2" t="n"/>
      <c r="E806" s="2" t="n"/>
      <c r="F806" s="2" t="n"/>
    </row>
    <row r="807" ht="15.75" customHeight="1" s="125">
      <c r="A807" s="2" t="n"/>
      <c r="B807" s="2" t="n"/>
      <c r="C807" s="2" t="n"/>
      <c r="D807" s="2" t="n"/>
      <c r="E807" s="2" t="n"/>
      <c r="F807" s="2" t="n"/>
    </row>
    <row r="808" ht="15.75" customHeight="1" s="125">
      <c r="A808" s="2" t="n"/>
      <c r="B808" s="2" t="n"/>
      <c r="C808" s="2" t="n"/>
      <c r="D808" s="2" t="n"/>
      <c r="E808" s="2" t="n"/>
      <c r="F808" s="2" t="n"/>
    </row>
    <row r="809" ht="15.75" customHeight="1" s="125">
      <c r="A809" s="2" t="n"/>
      <c r="B809" s="2" t="n"/>
      <c r="C809" s="2" t="n"/>
      <c r="D809" s="2" t="n"/>
      <c r="E809" s="2" t="n"/>
      <c r="F809" s="2" t="n"/>
    </row>
    <row r="810" ht="15.75" customHeight="1" s="125">
      <c r="A810" s="2" t="n"/>
      <c r="B810" s="2" t="n"/>
      <c r="C810" s="2" t="n"/>
      <c r="D810" s="2" t="n"/>
      <c r="E810" s="2" t="n"/>
      <c r="F810" s="2" t="n"/>
    </row>
    <row r="811" ht="15.75" customHeight="1" s="125">
      <c r="A811" s="2" t="n"/>
      <c r="B811" s="2" t="n"/>
      <c r="C811" s="2" t="n"/>
      <c r="D811" s="2" t="n"/>
      <c r="E811" s="2" t="n"/>
      <c r="F811" s="2" t="n"/>
    </row>
    <row r="812" ht="15.75" customHeight="1" s="125">
      <c r="A812" s="2" t="n"/>
      <c r="B812" s="2" t="n"/>
      <c r="C812" s="2" t="n"/>
      <c r="D812" s="2" t="n"/>
      <c r="E812" s="2" t="n"/>
      <c r="F812" s="2" t="n"/>
    </row>
    <row r="813" ht="15.75" customHeight="1" s="125">
      <c r="A813" s="2" t="n"/>
      <c r="B813" s="2" t="n"/>
      <c r="C813" s="2" t="n"/>
      <c r="D813" s="2" t="n"/>
      <c r="E813" s="2" t="n"/>
      <c r="F813" s="2" t="n"/>
    </row>
    <row r="814" ht="15.75" customHeight="1" s="125">
      <c r="A814" s="2" t="n"/>
      <c r="B814" s="2" t="n"/>
      <c r="C814" s="2" t="n"/>
      <c r="D814" s="2" t="n"/>
      <c r="E814" s="2" t="n"/>
      <c r="F814" s="2" t="n"/>
    </row>
    <row r="815" ht="15.75" customHeight="1" s="125">
      <c r="A815" s="2" t="n"/>
      <c r="B815" s="2" t="n"/>
      <c r="C815" s="2" t="n"/>
      <c r="D815" s="2" t="n"/>
      <c r="E815" s="2" t="n"/>
      <c r="F815" s="2" t="n"/>
    </row>
    <row r="816" ht="15.75" customHeight="1" s="125">
      <c r="A816" s="2" t="n"/>
      <c r="B816" s="2" t="n"/>
      <c r="C816" s="2" t="n"/>
      <c r="D816" s="2" t="n"/>
      <c r="E816" s="2" t="n"/>
      <c r="F816" s="2" t="n"/>
    </row>
    <row r="817" ht="15.75" customHeight="1" s="125">
      <c r="A817" s="2" t="n"/>
      <c r="B817" s="2" t="n"/>
      <c r="C817" s="2" t="n"/>
      <c r="D817" s="2" t="n"/>
      <c r="E817" s="2" t="n"/>
      <c r="F817" s="2" t="n"/>
    </row>
    <row r="818" ht="15.75" customHeight="1" s="125">
      <c r="A818" s="2" t="n"/>
      <c r="B818" s="2" t="n"/>
      <c r="C818" s="2" t="n"/>
      <c r="D818" s="2" t="n"/>
      <c r="E818" s="2" t="n"/>
      <c r="F818" s="2" t="n"/>
    </row>
    <row r="819" ht="15.75" customHeight="1" s="125">
      <c r="A819" s="2" t="n"/>
      <c r="B819" s="2" t="n"/>
      <c r="C819" s="2" t="n"/>
      <c r="D819" s="2" t="n"/>
      <c r="E819" s="2" t="n"/>
      <c r="F819" s="2" t="n"/>
    </row>
    <row r="820" ht="15.75" customHeight="1" s="125">
      <c r="A820" s="2" t="n"/>
      <c r="B820" s="2" t="n"/>
      <c r="C820" s="2" t="n"/>
      <c r="D820" s="2" t="n"/>
      <c r="E820" s="2" t="n"/>
      <c r="F820" s="2" t="n"/>
    </row>
    <row r="821" ht="15.75" customHeight="1" s="125">
      <c r="A821" s="2" t="n"/>
      <c r="B821" s="2" t="n"/>
      <c r="C821" s="2" t="n"/>
      <c r="D821" s="2" t="n"/>
      <c r="E821" s="2" t="n"/>
      <c r="F821" s="2" t="n"/>
    </row>
    <row r="822" ht="15.75" customHeight="1" s="125">
      <c r="A822" s="2" t="n"/>
      <c r="B822" s="2" t="n"/>
      <c r="C822" s="2" t="n"/>
      <c r="D822" s="2" t="n"/>
      <c r="E822" s="2" t="n"/>
      <c r="F822" s="2" t="n"/>
    </row>
    <row r="823" ht="15.75" customHeight="1" s="125">
      <c r="A823" s="2" t="n"/>
      <c r="B823" s="2" t="n"/>
      <c r="C823" s="2" t="n"/>
      <c r="D823" s="2" t="n"/>
      <c r="E823" s="2" t="n"/>
      <c r="F823" s="2" t="n"/>
    </row>
    <row r="824" ht="15.75" customHeight="1" s="125">
      <c r="A824" s="2" t="n"/>
      <c r="B824" s="2" t="n"/>
      <c r="C824" s="2" t="n"/>
      <c r="D824" s="2" t="n"/>
      <c r="E824" s="2" t="n"/>
      <c r="F824" s="2" t="n"/>
    </row>
    <row r="825" ht="15.75" customHeight="1" s="125">
      <c r="A825" s="2" t="n"/>
      <c r="B825" s="2" t="n"/>
      <c r="C825" s="2" t="n"/>
      <c r="D825" s="2" t="n"/>
      <c r="E825" s="2" t="n"/>
      <c r="F825" s="2" t="n"/>
    </row>
    <row r="826" ht="15.75" customHeight="1" s="125">
      <c r="A826" s="2" t="n"/>
      <c r="B826" s="2" t="n"/>
      <c r="C826" s="2" t="n"/>
      <c r="D826" s="2" t="n"/>
      <c r="E826" s="2" t="n"/>
      <c r="F826" s="2" t="n"/>
    </row>
    <row r="827" ht="15.75" customHeight="1" s="125">
      <c r="A827" s="2" t="n"/>
      <c r="B827" s="2" t="n"/>
      <c r="C827" s="2" t="n"/>
      <c r="D827" s="2" t="n"/>
      <c r="E827" s="2" t="n"/>
      <c r="F827" s="2" t="n"/>
    </row>
    <row r="828" ht="15.75" customHeight="1" s="125">
      <c r="A828" s="2" t="n"/>
      <c r="B828" s="2" t="n"/>
      <c r="C828" s="2" t="n"/>
      <c r="D828" s="2" t="n"/>
      <c r="E828" s="2" t="n"/>
      <c r="F828" s="2" t="n"/>
    </row>
    <row r="829" ht="15.75" customHeight="1" s="125">
      <c r="A829" s="2" t="n"/>
      <c r="B829" s="2" t="n"/>
      <c r="C829" s="2" t="n"/>
      <c r="D829" s="2" t="n"/>
      <c r="E829" s="2" t="n"/>
      <c r="F829" s="2" t="n"/>
    </row>
    <row r="830" ht="15.75" customHeight="1" s="125">
      <c r="A830" s="2" t="n"/>
      <c r="B830" s="2" t="n"/>
      <c r="C830" s="2" t="n"/>
      <c r="D830" s="2" t="n"/>
      <c r="E830" s="2" t="n"/>
      <c r="F830" s="2" t="n"/>
    </row>
    <row r="831" ht="15.75" customHeight="1" s="125">
      <c r="A831" s="2" t="n"/>
      <c r="B831" s="2" t="n"/>
      <c r="C831" s="2" t="n"/>
      <c r="D831" s="2" t="n"/>
      <c r="E831" s="2" t="n"/>
      <c r="F831" s="2" t="n"/>
    </row>
    <row r="832" ht="15.75" customHeight="1" s="125">
      <c r="A832" s="2" t="n"/>
      <c r="B832" s="2" t="n"/>
      <c r="C832" s="2" t="n"/>
      <c r="D832" s="2" t="n"/>
      <c r="E832" s="2" t="n"/>
      <c r="F832" s="2" t="n"/>
    </row>
    <row r="833" ht="15.75" customHeight="1" s="125">
      <c r="A833" s="2" t="n"/>
      <c r="B833" s="2" t="n"/>
      <c r="C833" s="2" t="n"/>
      <c r="D833" s="2" t="n"/>
      <c r="E833" s="2" t="n"/>
      <c r="F833" s="2" t="n"/>
    </row>
    <row r="834" ht="15.75" customHeight="1" s="125">
      <c r="A834" s="2" t="n"/>
      <c r="B834" s="2" t="n"/>
      <c r="C834" s="2" t="n"/>
      <c r="D834" s="2" t="n"/>
      <c r="E834" s="2" t="n"/>
      <c r="F834" s="2" t="n"/>
    </row>
    <row r="835" ht="15.75" customHeight="1" s="125">
      <c r="A835" s="2" t="n"/>
      <c r="B835" s="2" t="n"/>
      <c r="C835" s="2" t="n"/>
      <c r="D835" s="2" t="n"/>
      <c r="E835" s="2" t="n"/>
      <c r="F835" s="2" t="n"/>
    </row>
    <row r="836" ht="15.75" customHeight="1" s="125">
      <c r="A836" s="2" t="n"/>
      <c r="B836" s="2" t="n"/>
      <c r="C836" s="2" t="n"/>
      <c r="D836" s="2" t="n"/>
      <c r="E836" s="2" t="n"/>
      <c r="F836" s="2" t="n"/>
    </row>
    <row r="837" ht="15.75" customHeight="1" s="125">
      <c r="A837" s="2" t="n"/>
      <c r="B837" s="2" t="n"/>
      <c r="C837" s="2" t="n"/>
      <c r="D837" s="2" t="n"/>
      <c r="E837" s="2" t="n"/>
      <c r="F837" s="2" t="n"/>
    </row>
    <row r="838" ht="15.75" customHeight="1" s="125">
      <c r="A838" s="2" t="n"/>
      <c r="B838" s="2" t="n"/>
      <c r="C838" s="2" t="n"/>
      <c r="D838" s="2" t="n"/>
      <c r="E838" s="2" t="n"/>
      <c r="F838" s="2" t="n"/>
    </row>
    <row r="839" ht="15.75" customHeight="1" s="125">
      <c r="A839" s="2" t="n"/>
      <c r="B839" s="2" t="n"/>
      <c r="C839" s="2" t="n"/>
      <c r="D839" s="2" t="n"/>
      <c r="E839" s="2" t="n"/>
      <c r="F839" s="2" t="n"/>
    </row>
    <row r="840" ht="15.75" customHeight="1" s="125">
      <c r="A840" s="2" t="n"/>
      <c r="B840" s="2" t="n"/>
      <c r="C840" s="2" t="n"/>
      <c r="D840" s="2" t="n"/>
      <c r="E840" s="2" t="n"/>
      <c r="F840" s="2" t="n"/>
    </row>
    <row r="841" ht="15.75" customHeight="1" s="125">
      <c r="A841" s="2" t="n"/>
      <c r="B841" s="2" t="n"/>
      <c r="C841" s="2" t="n"/>
      <c r="D841" s="2" t="n"/>
      <c r="E841" s="2" t="n"/>
      <c r="F841" s="2" t="n"/>
    </row>
    <row r="842" ht="15.75" customHeight="1" s="125">
      <c r="A842" s="2" t="n"/>
      <c r="B842" s="2" t="n"/>
      <c r="C842" s="2" t="n"/>
      <c r="D842" s="2" t="n"/>
      <c r="E842" s="2" t="n"/>
      <c r="F842" s="2" t="n"/>
    </row>
    <row r="843" ht="15.75" customHeight="1" s="125">
      <c r="A843" s="2" t="n"/>
      <c r="B843" s="2" t="n"/>
      <c r="C843" s="2" t="n"/>
      <c r="D843" s="2" t="n"/>
      <c r="E843" s="2" t="n"/>
      <c r="F843" s="2" t="n"/>
    </row>
    <row r="844" ht="15.75" customHeight="1" s="125">
      <c r="A844" s="2" t="n"/>
      <c r="B844" s="2" t="n"/>
      <c r="C844" s="2" t="n"/>
      <c r="D844" s="2" t="n"/>
      <c r="E844" s="2" t="n"/>
      <c r="F844" s="2" t="n"/>
    </row>
    <row r="845" ht="15.75" customHeight="1" s="125">
      <c r="A845" s="2" t="n"/>
      <c r="B845" s="2" t="n"/>
      <c r="C845" s="2" t="n"/>
      <c r="D845" s="2" t="n"/>
      <c r="E845" s="2" t="n"/>
      <c r="F845" s="2" t="n"/>
    </row>
    <row r="846" ht="15.75" customHeight="1" s="125">
      <c r="A846" s="2" t="n"/>
      <c r="B846" s="2" t="n"/>
      <c r="C846" s="2" t="n"/>
      <c r="D846" s="2" t="n"/>
      <c r="E846" s="2" t="n"/>
      <c r="F846" s="2" t="n"/>
    </row>
    <row r="847" ht="15.75" customHeight="1" s="125">
      <c r="A847" s="2" t="n"/>
      <c r="B847" s="2" t="n"/>
      <c r="C847" s="2" t="n"/>
      <c r="D847" s="2" t="n"/>
      <c r="E847" s="2" t="n"/>
      <c r="F847" s="2" t="n"/>
    </row>
    <row r="848" ht="15.75" customHeight="1" s="125">
      <c r="A848" s="2" t="n"/>
      <c r="B848" s="2" t="n"/>
      <c r="C848" s="2" t="n"/>
      <c r="D848" s="2" t="n"/>
      <c r="E848" s="2" t="n"/>
      <c r="F848" s="2" t="n"/>
    </row>
    <row r="849" ht="15.75" customHeight="1" s="125">
      <c r="A849" s="2" t="n"/>
      <c r="B849" s="2" t="n"/>
      <c r="C849" s="2" t="n"/>
      <c r="D849" s="2" t="n"/>
      <c r="E849" s="2" t="n"/>
      <c r="F849" s="2" t="n"/>
    </row>
    <row r="850" ht="15.75" customHeight="1" s="125">
      <c r="A850" s="2" t="n"/>
      <c r="B850" s="2" t="n"/>
      <c r="C850" s="2" t="n"/>
      <c r="D850" s="2" t="n"/>
      <c r="E850" s="2" t="n"/>
      <c r="F850" s="2" t="n"/>
    </row>
    <row r="851" ht="15.75" customHeight="1" s="125">
      <c r="A851" s="2" t="n"/>
      <c r="B851" s="2" t="n"/>
      <c r="C851" s="2" t="n"/>
      <c r="D851" s="2" t="n"/>
      <c r="E851" s="2" t="n"/>
      <c r="F851" s="2" t="n"/>
    </row>
    <row r="852" ht="15.75" customHeight="1" s="125">
      <c r="A852" s="2" t="n"/>
      <c r="B852" s="2" t="n"/>
      <c r="C852" s="2" t="n"/>
      <c r="D852" s="2" t="n"/>
      <c r="E852" s="2" t="n"/>
      <c r="F852" s="2" t="n"/>
    </row>
    <row r="853" ht="15.75" customHeight="1" s="125">
      <c r="A853" s="2" t="n"/>
      <c r="B853" s="2" t="n"/>
      <c r="C853" s="2" t="n"/>
      <c r="D853" s="2" t="n"/>
      <c r="E853" s="2" t="n"/>
      <c r="F853" s="2" t="n"/>
    </row>
    <row r="854" ht="15.75" customHeight="1" s="125">
      <c r="A854" s="2" t="n"/>
      <c r="B854" s="2" t="n"/>
      <c r="C854" s="2" t="n"/>
      <c r="D854" s="2" t="n"/>
      <c r="E854" s="2" t="n"/>
      <c r="F854" s="2" t="n"/>
    </row>
    <row r="855" ht="15.75" customHeight="1" s="125">
      <c r="A855" s="2" t="n"/>
      <c r="B855" s="2" t="n"/>
      <c r="C855" s="2" t="n"/>
      <c r="D855" s="2" t="n"/>
      <c r="E855" s="2" t="n"/>
      <c r="F855" s="2" t="n"/>
    </row>
    <row r="856" ht="15.75" customHeight="1" s="125">
      <c r="A856" s="2" t="n"/>
      <c r="B856" s="2" t="n"/>
      <c r="C856" s="2" t="n"/>
      <c r="D856" s="2" t="n"/>
      <c r="E856" s="2" t="n"/>
      <c r="F856" s="2" t="n"/>
    </row>
    <row r="857" ht="15.75" customHeight="1" s="125">
      <c r="A857" s="2" t="n"/>
      <c r="B857" s="2" t="n"/>
      <c r="C857" s="2" t="n"/>
      <c r="D857" s="2" t="n"/>
      <c r="E857" s="2" t="n"/>
      <c r="F857" s="2" t="n"/>
    </row>
    <row r="858" ht="15.75" customHeight="1" s="125">
      <c r="A858" s="2" t="n"/>
      <c r="B858" s="2" t="n"/>
      <c r="C858" s="2" t="n"/>
      <c r="D858" s="2" t="n"/>
      <c r="E858" s="2" t="n"/>
      <c r="F858" s="2" t="n"/>
    </row>
    <row r="859" ht="15.75" customHeight="1" s="125">
      <c r="A859" s="2" t="n"/>
      <c r="B859" s="2" t="n"/>
      <c r="C859" s="2" t="n"/>
      <c r="D859" s="2" t="n"/>
      <c r="E859" s="2" t="n"/>
      <c r="F859" s="2" t="n"/>
    </row>
    <row r="860" ht="15.75" customHeight="1" s="125">
      <c r="A860" s="2" t="n"/>
      <c r="B860" s="2" t="n"/>
      <c r="C860" s="2" t="n"/>
      <c r="D860" s="2" t="n"/>
      <c r="E860" s="2" t="n"/>
      <c r="F860" s="2" t="n"/>
    </row>
    <row r="861" ht="15.75" customHeight="1" s="125">
      <c r="A861" s="2" t="n"/>
      <c r="B861" s="2" t="n"/>
      <c r="C861" s="2" t="n"/>
      <c r="D861" s="2" t="n"/>
      <c r="E861" s="2" t="n"/>
      <c r="F861" s="2" t="n"/>
    </row>
    <row r="862" ht="15.75" customHeight="1" s="125">
      <c r="A862" s="2" t="n"/>
      <c r="B862" s="2" t="n"/>
      <c r="C862" s="2" t="n"/>
      <c r="D862" s="2" t="n"/>
      <c r="E862" s="2" t="n"/>
      <c r="F862" s="2" t="n"/>
    </row>
    <row r="863" ht="15.75" customHeight="1" s="125">
      <c r="A863" s="2" t="n"/>
      <c r="B863" s="2" t="n"/>
      <c r="C863" s="2" t="n"/>
      <c r="D863" s="2" t="n"/>
      <c r="E863" s="2" t="n"/>
      <c r="F863" s="2" t="n"/>
    </row>
    <row r="864" ht="15.75" customHeight="1" s="125">
      <c r="A864" s="2" t="n"/>
      <c r="B864" s="2" t="n"/>
      <c r="C864" s="2" t="n"/>
      <c r="D864" s="2" t="n"/>
      <c r="E864" s="2" t="n"/>
      <c r="F864" s="2" t="n"/>
    </row>
    <row r="865" ht="15.75" customHeight="1" s="125">
      <c r="A865" s="2" t="n"/>
      <c r="B865" s="2" t="n"/>
      <c r="C865" s="2" t="n"/>
      <c r="D865" s="2" t="n"/>
      <c r="E865" s="2" t="n"/>
      <c r="F865" s="2" t="n"/>
    </row>
    <row r="866" ht="15.75" customHeight="1" s="125">
      <c r="A866" s="2" t="n"/>
      <c r="B866" s="2" t="n"/>
      <c r="C866" s="2" t="n"/>
      <c r="D866" s="2" t="n"/>
      <c r="E866" s="2" t="n"/>
      <c r="F866" s="2" t="n"/>
    </row>
    <row r="867" ht="15.75" customHeight="1" s="125">
      <c r="A867" s="2" t="n"/>
      <c r="B867" s="2" t="n"/>
      <c r="C867" s="2" t="n"/>
      <c r="D867" s="2" t="n"/>
      <c r="E867" s="2" t="n"/>
      <c r="F867" s="2" t="n"/>
    </row>
    <row r="868" ht="15.75" customHeight="1" s="125">
      <c r="A868" s="2" t="n"/>
      <c r="B868" s="2" t="n"/>
      <c r="C868" s="2" t="n"/>
      <c r="D868" s="2" t="n"/>
      <c r="E868" s="2" t="n"/>
      <c r="F868" s="2" t="n"/>
    </row>
    <row r="869" ht="15.75" customHeight="1" s="125">
      <c r="A869" s="2" t="n"/>
      <c r="B869" s="2" t="n"/>
      <c r="C869" s="2" t="n"/>
      <c r="D869" s="2" t="n"/>
      <c r="E869" s="2" t="n"/>
      <c r="F869" s="2" t="n"/>
    </row>
    <row r="870" ht="15.75" customHeight="1" s="125">
      <c r="A870" s="2" t="n"/>
      <c r="B870" s="2" t="n"/>
      <c r="C870" s="2" t="n"/>
      <c r="D870" s="2" t="n"/>
      <c r="E870" s="2" t="n"/>
      <c r="F870" s="2" t="n"/>
    </row>
    <row r="871" ht="15.75" customHeight="1" s="125">
      <c r="A871" s="2" t="n"/>
      <c r="B871" s="2" t="n"/>
      <c r="C871" s="2" t="n"/>
      <c r="D871" s="2" t="n"/>
      <c r="E871" s="2" t="n"/>
      <c r="F871" s="2" t="n"/>
    </row>
    <row r="872" ht="15.75" customHeight="1" s="125">
      <c r="A872" s="2" t="n"/>
      <c r="B872" s="2" t="n"/>
      <c r="C872" s="2" t="n"/>
      <c r="D872" s="2" t="n"/>
      <c r="E872" s="2" t="n"/>
      <c r="F872" s="2" t="n"/>
    </row>
    <row r="873" ht="15.75" customHeight="1" s="125">
      <c r="A873" s="2" t="n"/>
      <c r="B873" s="2" t="n"/>
      <c r="C873" s="2" t="n"/>
      <c r="D873" s="2" t="n"/>
      <c r="E873" s="2" t="n"/>
      <c r="F873" s="2" t="n"/>
    </row>
    <row r="874" ht="15.75" customHeight="1" s="125">
      <c r="A874" s="2" t="n"/>
      <c r="B874" s="2" t="n"/>
      <c r="C874" s="2" t="n"/>
      <c r="D874" s="2" t="n"/>
      <c r="E874" s="2" t="n"/>
      <c r="F874" s="2" t="n"/>
    </row>
    <row r="875" ht="15.75" customHeight="1" s="125">
      <c r="A875" s="2" t="n"/>
      <c r="B875" s="2" t="n"/>
      <c r="C875" s="2" t="n"/>
      <c r="D875" s="2" t="n"/>
      <c r="E875" s="2" t="n"/>
      <c r="F875" s="2" t="n"/>
    </row>
    <row r="876" ht="15.75" customHeight="1" s="125">
      <c r="A876" s="2" t="n"/>
      <c r="B876" s="2" t="n"/>
      <c r="C876" s="2" t="n"/>
      <c r="D876" s="2" t="n"/>
      <c r="E876" s="2" t="n"/>
      <c r="F876" s="2" t="n"/>
    </row>
    <row r="877" ht="15.75" customHeight="1" s="125">
      <c r="A877" s="2" t="n"/>
      <c r="B877" s="2" t="n"/>
      <c r="C877" s="2" t="n"/>
      <c r="D877" s="2" t="n"/>
      <c r="E877" s="2" t="n"/>
      <c r="F877" s="2" t="n"/>
    </row>
    <row r="878" ht="15.75" customHeight="1" s="125">
      <c r="A878" s="2" t="n"/>
      <c r="B878" s="2" t="n"/>
      <c r="C878" s="2" t="n"/>
      <c r="D878" s="2" t="n"/>
      <c r="E878" s="2" t="n"/>
      <c r="F878" s="2" t="n"/>
    </row>
    <row r="879" ht="15.75" customHeight="1" s="125">
      <c r="A879" s="2" t="n"/>
      <c r="B879" s="2" t="n"/>
      <c r="C879" s="2" t="n"/>
      <c r="D879" s="2" t="n"/>
      <c r="E879" s="2" t="n"/>
      <c r="F879" s="2" t="n"/>
    </row>
    <row r="880" ht="15.75" customHeight="1" s="125">
      <c r="A880" s="2" t="n"/>
      <c r="B880" s="2" t="n"/>
      <c r="C880" s="2" t="n"/>
      <c r="D880" s="2" t="n"/>
      <c r="E880" s="2" t="n"/>
      <c r="F880" s="2" t="n"/>
    </row>
    <row r="881" ht="15.75" customHeight="1" s="125">
      <c r="A881" s="2" t="n"/>
      <c r="B881" s="2" t="n"/>
      <c r="C881" s="2" t="n"/>
      <c r="D881" s="2" t="n"/>
      <c r="E881" s="2" t="n"/>
      <c r="F881" s="2" t="n"/>
    </row>
    <row r="882" ht="15.75" customHeight="1" s="125">
      <c r="A882" s="2" t="n"/>
      <c r="B882" s="2" t="n"/>
      <c r="C882" s="2" t="n"/>
      <c r="D882" s="2" t="n"/>
      <c r="E882" s="2" t="n"/>
      <c r="F882" s="2" t="n"/>
    </row>
    <row r="883" ht="15.75" customHeight="1" s="125">
      <c r="A883" s="2" t="n"/>
      <c r="B883" s="2" t="n"/>
      <c r="C883" s="2" t="n"/>
      <c r="D883" s="2" t="n"/>
      <c r="E883" s="2" t="n"/>
      <c r="F883" s="2" t="n"/>
    </row>
    <row r="884" ht="15.75" customHeight="1" s="125">
      <c r="A884" s="2" t="n"/>
      <c r="B884" s="2" t="n"/>
      <c r="C884" s="2" t="n"/>
      <c r="D884" s="2" t="n"/>
      <c r="E884" s="2" t="n"/>
      <c r="F884" s="2" t="n"/>
    </row>
    <row r="885" ht="15.75" customHeight="1" s="125">
      <c r="A885" s="2" t="n"/>
      <c r="B885" s="2" t="n"/>
      <c r="C885" s="2" t="n"/>
      <c r="D885" s="2" t="n"/>
      <c r="E885" s="2" t="n"/>
      <c r="F885" s="2" t="n"/>
    </row>
    <row r="886" ht="15.75" customHeight="1" s="125">
      <c r="A886" s="2" t="n"/>
      <c r="B886" s="2" t="n"/>
      <c r="C886" s="2" t="n"/>
      <c r="D886" s="2" t="n"/>
      <c r="E886" s="2" t="n"/>
      <c r="F886" s="2" t="n"/>
    </row>
    <row r="887" ht="15.75" customHeight="1" s="125">
      <c r="A887" s="2" t="n"/>
      <c r="B887" s="2" t="n"/>
      <c r="C887" s="2" t="n"/>
      <c r="D887" s="2" t="n"/>
      <c r="E887" s="2" t="n"/>
      <c r="F887" s="2" t="n"/>
    </row>
    <row r="888" ht="15.75" customHeight="1" s="125">
      <c r="A888" s="2" t="n"/>
      <c r="B888" s="2" t="n"/>
      <c r="C888" s="2" t="n"/>
      <c r="D888" s="2" t="n"/>
      <c r="E888" s="2" t="n"/>
      <c r="F888" s="2" t="n"/>
    </row>
    <row r="889" ht="15.75" customHeight="1" s="125">
      <c r="A889" s="2" t="n"/>
      <c r="B889" s="2" t="n"/>
      <c r="C889" s="2" t="n"/>
      <c r="D889" s="2" t="n"/>
      <c r="E889" s="2" t="n"/>
      <c r="F889" s="2" t="n"/>
    </row>
    <row r="890" ht="15.75" customHeight="1" s="125">
      <c r="A890" s="2" t="n"/>
      <c r="B890" s="2" t="n"/>
      <c r="C890" s="2" t="n"/>
      <c r="D890" s="2" t="n"/>
      <c r="E890" s="2" t="n"/>
      <c r="F890" s="2" t="n"/>
    </row>
    <row r="891" ht="15.75" customHeight="1" s="125">
      <c r="A891" s="2" t="n"/>
      <c r="B891" s="2" t="n"/>
      <c r="C891" s="2" t="n"/>
      <c r="D891" s="2" t="n"/>
      <c r="E891" s="2" t="n"/>
      <c r="F891" s="2" t="n"/>
    </row>
    <row r="892" ht="15.75" customHeight="1" s="125">
      <c r="A892" s="2" t="n"/>
      <c r="B892" s="2" t="n"/>
      <c r="C892" s="2" t="n"/>
      <c r="D892" s="2" t="n"/>
      <c r="E892" s="2" t="n"/>
      <c r="F892" s="2" t="n"/>
    </row>
    <row r="893" ht="15.75" customHeight="1" s="125">
      <c r="A893" s="2" t="n"/>
      <c r="B893" s="2" t="n"/>
      <c r="C893" s="2" t="n"/>
      <c r="D893" s="2" t="n"/>
      <c r="E893" s="2" t="n"/>
      <c r="F893" s="2" t="n"/>
    </row>
    <row r="894" ht="15.75" customHeight="1" s="125">
      <c r="A894" s="2" t="n"/>
      <c r="B894" s="2" t="n"/>
      <c r="C894" s="2" t="n"/>
      <c r="D894" s="2" t="n"/>
      <c r="E894" s="2" t="n"/>
      <c r="F894" s="2" t="n"/>
    </row>
    <row r="895" ht="15.75" customHeight="1" s="125">
      <c r="A895" s="2" t="n"/>
      <c r="B895" s="2" t="n"/>
      <c r="C895" s="2" t="n"/>
      <c r="D895" s="2" t="n"/>
      <c r="E895" s="2" t="n"/>
      <c r="F895" s="2" t="n"/>
    </row>
    <row r="896" ht="15.75" customHeight="1" s="125">
      <c r="A896" s="2" t="n"/>
      <c r="B896" s="2" t="n"/>
      <c r="C896" s="2" t="n"/>
      <c r="D896" s="2" t="n"/>
      <c r="E896" s="2" t="n"/>
      <c r="F896" s="2" t="n"/>
    </row>
    <row r="897" ht="15.75" customHeight="1" s="125">
      <c r="A897" s="2" t="n"/>
      <c r="B897" s="2" t="n"/>
      <c r="C897" s="2" t="n"/>
      <c r="D897" s="2" t="n"/>
      <c r="E897" s="2" t="n"/>
      <c r="F897" s="2" t="n"/>
    </row>
    <row r="898" ht="15.75" customHeight="1" s="125">
      <c r="A898" s="2" t="n"/>
      <c r="B898" s="2" t="n"/>
      <c r="C898" s="2" t="n"/>
      <c r="D898" s="2" t="n"/>
      <c r="E898" s="2" t="n"/>
      <c r="F898" s="2" t="n"/>
    </row>
    <row r="899" ht="15.75" customHeight="1" s="125">
      <c r="A899" s="2" t="n"/>
      <c r="B899" s="2" t="n"/>
      <c r="C899" s="2" t="n"/>
      <c r="D899" s="2" t="n"/>
      <c r="E899" s="2" t="n"/>
      <c r="F899" s="2" t="n"/>
    </row>
    <row r="900" ht="15.75" customHeight="1" s="125">
      <c r="A900" s="2" t="n"/>
      <c r="B900" s="2" t="n"/>
      <c r="C900" s="2" t="n"/>
      <c r="D900" s="2" t="n"/>
      <c r="E900" s="2" t="n"/>
      <c r="F900" s="2" t="n"/>
    </row>
    <row r="901" ht="15.75" customHeight="1" s="125">
      <c r="A901" s="2" t="n"/>
      <c r="B901" s="2" t="n"/>
      <c r="C901" s="2" t="n"/>
      <c r="D901" s="2" t="n"/>
      <c r="E901" s="2" t="n"/>
      <c r="F901" s="2" t="n"/>
    </row>
    <row r="902" ht="15.75" customHeight="1" s="125">
      <c r="A902" s="2" t="n"/>
      <c r="B902" s="2" t="n"/>
      <c r="C902" s="2" t="n"/>
      <c r="D902" s="2" t="n"/>
      <c r="E902" s="2" t="n"/>
      <c r="F902" s="2" t="n"/>
    </row>
    <row r="903" ht="15.75" customHeight="1" s="125">
      <c r="A903" s="2" t="n"/>
      <c r="B903" s="2" t="n"/>
      <c r="C903" s="2" t="n"/>
      <c r="D903" s="2" t="n"/>
      <c r="E903" s="2" t="n"/>
      <c r="F903" s="2" t="n"/>
    </row>
    <row r="904" ht="15.75" customHeight="1" s="125">
      <c r="A904" s="2" t="n"/>
      <c r="B904" s="2" t="n"/>
      <c r="C904" s="2" t="n"/>
      <c r="D904" s="2" t="n"/>
      <c r="E904" s="2" t="n"/>
      <c r="F904" s="2" t="n"/>
    </row>
    <row r="905" ht="15.75" customHeight="1" s="125">
      <c r="A905" s="2" t="n"/>
      <c r="B905" s="2" t="n"/>
      <c r="C905" s="2" t="n"/>
      <c r="D905" s="2" t="n"/>
      <c r="E905" s="2" t="n"/>
      <c r="F905" s="2" t="n"/>
    </row>
    <row r="906" ht="15.75" customHeight="1" s="125">
      <c r="A906" s="2" t="n"/>
      <c r="B906" s="2" t="n"/>
      <c r="C906" s="2" t="n"/>
      <c r="D906" s="2" t="n"/>
      <c r="E906" s="2" t="n"/>
      <c r="F906" s="2" t="n"/>
    </row>
    <row r="907" ht="15.75" customHeight="1" s="125">
      <c r="A907" s="2" t="n"/>
      <c r="B907" s="2" t="n"/>
      <c r="C907" s="2" t="n"/>
      <c r="D907" s="2" t="n"/>
      <c r="E907" s="2" t="n"/>
      <c r="F907" s="2" t="n"/>
    </row>
    <row r="908" ht="15.75" customHeight="1" s="125">
      <c r="A908" s="2" t="n"/>
      <c r="B908" s="2" t="n"/>
      <c r="C908" s="2" t="n"/>
      <c r="D908" s="2" t="n"/>
      <c r="E908" s="2" t="n"/>
      <c r="F908" s="2" t="n"/>
    </row>
    <row r="909" ht="15.75" customHeight="1" s="125">
      <c r="A909" s="2" t="n"/>
      <c r="B909" s="2" t="n"/>
      <c r="C909" s="2" t="n"/>
      <c r="D909" s="2" t="n"/>
      <c r="E909" s="2" t="n"/>
      <c r="F909" s="2" t="n"/>
    </row>
    <row r="910" ht="15.75" customHeight="1" s="125">
      <c r="A910" s="2" t="n"/>
      <c r="B910" s="2" t="n"/>
      <c r="C910" s="2" t="n"/>
      <c r="D910" s="2" t="n"/>
      <c r="E910" s="2" t="n"/>
      <c r="F910" s="2" t="n"/>
    </row>
    <row r="911" ht="15.75" customHeight="1" s="125">
      <c r="A911" s="2" t="n"/>
      <c r="B911" s="2" t="n"/>
      <c r="C911" s="2" t="n"/>
      <c r="D911" s="2" t="n"/>
      <c r="E911" s="2" t="n"/>
      <c r="F911" s="2" t="n"/>
    </row>
    <row r="912" ht="15.75" customHeight="1" s="125">
      <c r="A912" s="2" t="n"/>
      <c r="B912" s="2" t="n"/>
      <c r="C912" s="2" t="n"/>
      <c r="D912" s="2" t="n"/>
      <c r="E912" s="2" t="n"/>
      <c r="F912" s="2" t="n"/>
    </row>
    <row r="913" ht="15.75" customHeight="1" s="125">
      <c r="A913" s="2" t="n"/>
      <c r="B913" s="2" t="n"/>
      <c r="C913" s="2" t="n"/>
      <c r="D913" s="2" t="n"/>
      <c r="E913" s="2" t="n"/>
      <c r="F913" s="2" t="n"/>
    </row>
    <row r="914" ht="15.75" customHeight="1" s="125">
      <c r="A914" s="2" t="n"/>
      <c r="B914" s="2" t="n"/>
      <c r="C914" s="2" t="n"/>
      <c r="D914" s="2" t="n"/>
      <c r="E914" s="2" t="n"/>
      <c r="F914" s="2" t="n"/>
    </row>
    <row r="915" ht="15.75" customHeight="1" s="125">
      <c r="A915" s="2" t="n"/>
      <c r="B915" s="2" t="n"/>
      <c r="C915" s="2" t="n"/>
      <c r="D915" s="2" t="n"/>
      <c r="E915" s="2" t="n"/>
      <c r="F915" s="2" t="n"/>
    </row>
    <row r="916" ht="15.75" customHeight="1" s="125">
      <c r="A916" s="2" t="n"/>
      <c r="B916" s="2" t="n"/>
      <c r="C916" s="2" t="n"/>
      <c r="D916" s="2" t="n"/>
      <c r="E916" s="2" t="n"/>
      <c r="F916" s="2" t="n"/>
    </row>
    <row r="917" ht="15.75" customHeight="1" s="125">
      <c r="A917" s="2" t="n"/>
      <c r="B917" s="2" t="n"/>
      <c r="C917" s="2" t="n"/>
      <c r="D917" s="2" t="n"/>
      <c r="E917" s="2" t="n"/>
      <c r="F917" s="2" t="n"/>
    </row>
    <row r="918" ht="15.75" customHeight="1" s="125">
      <c r="A918" s="2" t="n"/>
      <c r="B918" s="2" t="n"/>
      <c r="C918" s="2" t="n"/>
      <c r="D918" s="2" t="n"/>
      <c r="E918" s="2" t="n"/>
      <c r="F918" s="2" t="n"/>
    </row>
    <row r="919" ht="15.75" customHeight="1" s="125">
      <c r="A919" s="2" t="n"/>
      <c r="B919" s="2" t="n"/>
      <c r="C919" s="2" t="n"/>
      <c r="D919" s="2" t="n"/>
      <c r="E919" s="2" t="n"/>
      <c r="F919" s="2" t="n"/>
    </row>
    <row r="920" ht="15.75" customHeight="1" s="125">
      <c r="A920" s="2" t="n"/>
      <c r="B920" s="2" t="n"/>
      <c r="C920" s="2" t="n"/>
      <c r="D920" s="2" t="n"/>
      <c r="E920" s="2" t="n"/>
      <c r="F920" s="2" t="n"/>
    </row>
    <row r="921" ht="15.75" customHeight="1" s="125">
      <c r="A921" s="2" t="n"/>
      <c r="B921" s="2" t="n"/>
      <c r="C921" s="2" t="n"/>
      <c r="D921" s="2" t="n"/>
      <c r="E921" s="2" t="n"/>
      <c r="F921" s="2" t="n"/>
    </row>
    <row r="922" ht="15.75" customHeight="1" s="125">
      <c r="A922" s="2" t="n"/>
      <c r="B922" s="2" t="n"/>
      <c r="C922" s="2" t="n"/>
      <c r="D922" s="2" t="n"/>
      <c r="E922" s="2" t="n"/>
      <c r="F922" s="2" t="n"/>
    </row>
    <row r="923" ht="15.75" customHeight="1" s="125">
      <c r="A923" s="2" t="n"/>
      <c r="B923" s="2" t="n"/>
      <c r="C923" s="2" t="n"/>
      <c r="D923" s="2" t="n"/>
      <c r="E923" s="2" t="n"/>
      <c r="F923" s="2" t="n"/>
    </row>
    <row r="924" ht="15.75" customHeight="1" s="125">
      <c r="A924" s="2" t="n"/>
      <c r="B924" s="2" t="n"/>
      <c r="C924" s="2" t="n"/>
      <c r="D924" s="2" t="n"/>
      <c r="E924" s="2" t="n"/>
      <c r="F924" s="2" t="n"/>
    </row>
    <row r="925" ht="15.75" customHeight="1" s="125">
      <c r="A925" s="2" t="n"/>
      <c r="B925" s="2" t="n"/>
      <c r="C925" s="2" t="n"/>
      <c r="D925" s="2" t="n"/>
      <c r="E925" s="2" t="n"/>
      <c r="F925" s="2" t="n"/>
    </row>
    <row r="926" ht="15.75" customHeight="1" s="125">
      <c r="A926" s="2" t="n"/>
      <c r="B926" s="2" t="n"/>
      <c r="C926" s="2" t="n"/>
      <c r="D926" s="2" t="n"/>
      <c r="E926" s="2" t="n"/>
      <c r="F926" s="2" t="n"/>
    </row>
    <row r="927" ht="15.75" customHeight="1" s="125">
      <c r="A927" s="2" t="n"/>
      <c r="B927" s="2" t="n"/>
      <c r="C927" s="2" t="n"/>
      <c r="D927" s="2" t="n"/>
      <c r="E927" s="2" t="n"/>
      <c r="F927" s="2" t="n"/>
    </row>
    <row r="928" ht="15.75" customHeight="1" s="125">
      <c r="A928" s="2" t="n"/>
      <c r="B928" s="2" t="n"/>
      <c r="C928" s="2" t="n"/>
      <c r="D928" s="2" t="n"/>
      <c r="E928" s="2" t="n"/>
      <c r="F928" s="2" t="n"/>
    </row>
    <row r="929" ht="15.75" customHeight="1" s="125">
      <c r="A929" s="2" t="n"/>
      <c r="B929" s="2" t="n"/>
      <c r="C929" s="2" t="n"/>
      <c r="D929" s="2" t="n"/>
      <c r="E929" s="2" t="n"/>
      <c r="F929" s="2" t="n"/>
    </row>
    <row r="930" ht="15.75" customHeight="1" s="125">
      <c r="A930" s="2" t="n"/>
      <c r="B930" s="2" t="n"/>
      <c r="C930" s="2" t="n"/>
      <c r="D930" s="2" t="n"/>
      <c r="E930" s="2" t="n"/>
      <c r="F930" s="2" t="n"/>
    </row>
    <row r="931" ht="15.75" customHeight="1" s="125">
      <c r="A931" s="2" t="n"/>
      <c r="B931" s="2" t="n"/>
      <c r="C931" s="2" t="n"/>
      <c r="D931" s="2" t="n"/>
      <c r="E931" s="2" t="n"/>
      <c r="F931" s="2" t="n"/>
    </row>
    <row r="932" ht="15.75" customHeight="1" s="125">
      <c r="A932" s="2" t="n"/>
      <c r="B932" s="2" t="n"/>
      <c r="C932" s="2" t="n"/>
      <c r="D932" s="2" t="n"/>
      <c r="E932" s="2" t="n"/>
      <c r="F932" s="2" t="n"/>
    </row>
    <row r="933" ht="15.75" customHeight="1" s="125">
      <c r="A933" s="2" t="n"/>
      <c r="B933" s="2" t="n"/>
      <c r="C933" s="2" t="n"/>
      <c r="D933" s="2" t="n"/>
      <c r="E933" s="2" t="n"/>
      <c r="F933" s="2" t="n"/>
    </row>
    <row r="934" ht="15.75" customHeight="1" s="125">
      <c r="A934" s="2" t="n"/>
      <c r="B934" s="2" t="n"/>
      <c r="C934" s="2" t="n"/>
      <c r="D934" s="2" t="n"/>
      <c r="E934" s="2" t="n"/>
      <c r="F934" s="2" t="n"/>
    </row>
    <row r="935" ht="15.75" customHeight="1" s="125">
      <c r="A935" s="2" t="n"/>
      <c r="B935" s="2" t="n"/>
      <c r="C935" s="2" t="n"/>
      <c r="D935" s="2" t="n"/>
      <c r="E935" s="2" t="n"/>
      <c r="F935" s="2" t="n"/>
    </row>
    <row r="936" ht="15.75" customHeight="1" s="125">
      <c r="A936" s="2" t="n"/>
      <c r="B936" s="2" t="n"/>
      <c r="C936" s="2" t="n"/>
      <c r="D936" s="2" t="n"/>
      <c r="E936" s="2" t="n"/>
      <c r="F936" s="2" t="n"/>
    </row>
    <row r="937" ht="15.75" customHeight="1" s="125">
      <c r="A937" s="2" t="n"/>
      <c r="B937" s="2" t="n"/>
      <c r="C937" s="2" t="n"/>
      <c r="D937" s="2" t="n"/>
      <c r="E937" s="2" t="n"/>
      <c r="F937" s="2" t="n"/>
    </row>
    <row r="938" ht="15.75" customHeight="1" s="125">
      <c r="A938" s="2" t="n"/>
      <c r="B938" s="2" t="n"/>
      <c r="C938" s="2" t="n"/>
      <c r="D938" s="2" t="n"/>
      <c r="E938" s="2" t="n"/>
      <c r="F938" s="2" t="n"/>
    </row>
    <row r="939" ht="15.75" customHeight="1" s="125">
      <c r="A939" s="2" t="n"/>
      <c r="B939" s="2" t="n"/>
      <c r="C939" s="2" t="n"/>
      <c r="D939" s="2" t="n"/>
      <c r="E939" s="2" t="n"/>
      <c r="F939" s="2" t="n"/>
    </row>
    <row r="940" ht="15.75" customHeight="1" s="125">
      <c r="A940" s="2" t="n"/>
      <c r="B940" s="2" t="n"/>
      <c r="C940" s="2" t="n"/>
      <c r="D940" s="2" t="n"/>
      <c r="E940" s="2" t="n"/>
      <c r="F940" s="2" t="n"/>
    </row>
    <row r="941" ht="15.75" customHeight="1" s="125">
      <c r="A941" s="2" t="n"/>
      <c r="B941" s="2" t="n"/>
      <c r="C941" s="2" t="n"/>
      <c r="D941" s="2" t="n"/>
      <c r="E941" s="2" t="n"/>
      <c r="F941" s="2" t="n"/>
    </row>
    <row r="942" ht="15.75" customHeight="1" s="125">
      <c r="A942" s="2" t="n"/>
      <c r="B942" s="2" t="n"/>
      <c r="C942" s="2" t="n"/>
      <c r="D942" s="2" t="n"/>
      <c r="E942" s="2" t="n"/>
      <c r="F942" s="2" t="n"/>
    </row>
    <row r="943" ht="15.75" customHeight="1" s="125">
      <c r="A943" s="2" t="n"/>
      <c r="B943" s="2" t="n"/>
      <c r="C943" s="2" t="n"/>
      <c r="D943" s="2" t="n"/>
      <c r="E943" s="2" t="n"/>
      <c r="F943" s="2" t="n"/>
    </row>
    <row r="944" ht="15.75" customHeight="1" s="125">
      <c r="A944" s="2" t="n"/>
      <c r="B944" s="2" t="n"/>
      <c r="C944" s="2" t="n"/>
      <c r="D944" s="2" t="n"/>
      <c r="E944" s="2" t="n"/>
      <c r="F944" s="2" t="n"/>
    </row>
    <row r="945" ht="15.75" customHeight="1" s="125">
      <c r="A945" s="2" t="n"/>
      <c r="B945" s="2" t="n"/>
      <c r="C945" s="2" t="n"/>
      <c r="D945" s="2" t="n"/>
      <c r="E945" s="2" t="n"/>
      <c r="F945" s="2" t="n"/>
    </row>
    <row r="946" ht="15.75" customHeight="1" s="125">
      <c r="A946" s="2" t="n"/>
      <c r="B946" s="2" t="n"/>
      <c r="C946" s="2" t="n"/>
      <c r="D946" s="2" t="n"/>
      <c r="E946" s="2" t="n"/>
      <c r="F946" s="2" t="n"/>
    </row>
    <row r="947" ht="15.75" customHeight="1" s="125">
      <c r="A947" s="2" t="n"/>
      <c r="B947" s="2" t="n"/>
      <c r="C947" s="2" t="n"/>
      <c r="D947" s="2" t="n"/>
      <c r="E947" s="2" t="n"/>
      <c r="F947" s="2" t="n"/>
    </row>
    <row r="948" ht="15.75" customHeight="1" s="125">
      <c r="A948" s="2" t="n"/>
      <c r="B948" s="2" t="n"/>
      <c r="C948" s="2" t="n"/>
      <c r="D948" s="2" t="n"/>
      <c r="E948" s="2" t="n"/>
      <c r="F948" s="2" t="n"/>
    </row>
    <row r="949" ht="15.75" customHeight="1" s="125">
      <c r="A949" s="2" t="n"/>
      <c r="B949" s="2" t="n"/>
      <c r="C949" s="2" t="n"/>
      <c r="D949" s="2" t="n"/>
      <c r="E949" s="2" t="n"/>
      <c r="F949" s="2" t="n"/>
    </row>
    <row r="950" ht="15.75" customHeight="1" s="125">
      <c r="A950" s="2" t="n"/>
      <c r="B950" s="2" t="n"/>
      <c r="C950" s="2" t="n"/>
      <c r="D950" s="2" t="n"/>
      <c r="E950" s="2" t="n"/>
      <c r="F950" s="2" t="n"/>
    </row>
    <row r="951" ht="15.75" customHeight="1" s="125">
      <c r="A951" s="2" t="n"/>
      <c r="B951" s="2" t="n"/>
      <c r="C951" s="2" t="n"/>
      <c r="D951" s="2" t="n"/>
      <c r="E951" s="2" t="n"/>
      <c r="F951" s="2" t="n"/>
    </row>
    <row r="952" ht="15.75" customHeight="1" s="125">
      <c r="A952" s="2" t="n"/>
      <c r="B952" s="2" t="n"/>
      <c r="C952" s="2" t="n"/>
      <c r="D952" s="2" t="n"/>
      <c r="E952" s="2" t="n"/>
      <c r="F952" s="2" t="n"/>
    </row>
    <row r="953" ht="15.75" customHeight="1" s="125">
      <c r="A953" s="2" t="n"/>
      <c r="B953" s="2" t="n"/>
      <c r="C953" s="2" t="n"/>
      <c r="D953" s="2" t="n"/>
      <c r="E953" s="2" t="n"/>
      <c r="F953" s="2" t="n"/>
    </row>
    <row r="954" ht="15.75" customHeight="1" s="125">
      <c r="A954" s="2" t="n"/>
      <c r="B954" s="2" t="n"/>
      <c r="C954" s="2" t="n"/>
      <c r="D954" s="2" t="n"/>
      <c r="E954" s="2" t="n"/>
      <c r="F954" s="2" t="n"/>
    </row>
    <row r="955" ht="15.75" customHeight="1" s="125">
      <c r="A955" s="2" t="n"/>
      <c r="B955" s="2" t="n"/>
      <c r="C955" s="2" t="n"/>
      <c r="D955" s="2" t="n"/>
      <c r="E955" s="2" t="n"/>
      <c r="F955" s="2" t="n"/>
    </row>
    <row r="956" ht="15.75" customHeight="1" s="125">
      <c r="A956" s="2" t="n"/>
      <c r="B956" s="2" t="n"/>
      <c r="C956" s="2" t="n"/>
      <c r="D956" s="2" t="n"/>
      <c r="E956" s="2" t="n"/>
      <c r="F956" s="2" t="n"/>
    </row>
    <row r="957" ht="15.75" customHeight="1" s="125">
      <c r="A957" s="2" t="n"/>
      <c r="B957" s="2" t="n"/>
      <c r="C957" s="2" t="n"/>
      <c r="D957" s="2" t="n"/>
      <c r="E957" s="2" t="n"/>
      <c r="F957" s="2" t="n"/>
    </row>
    <row r="958" ht="15.75" customHeight="1" s="125">
      <c r="A958" s="2" t="n"/>
      <c r="B958" s="2" t="n"/>
      <c r="C958" s="2" t="n"/>
      <c r="D958" s="2" t="n"/>
      <c r="E958" s="2" t="n"/>
      <c r="F958" s="2" t="n"/>
    </row>
    <row r="959" ht="15.75" customHeight="1" s="125">
      <c r="A959" s="2" t="n"/>
      <c r="B959" s="2" t="n"/>
      <c r="C959" s="2" t="n"/>
      <c r="D959" s="2" t="n"/>
      <c r="E959" s="2" t="n"/>
      <c r="F959" s="2" t="n"/>
    </row>
    <row r="960" ht="15.75" customHeight="1" s="125">
      <c r="A960" s="2" t="n"/>
      <c r="B960" s="2" t="n"/>
      <c r="C960" s="2" t="n"/>
      <c r="D960" s="2" t="n"/>
      <c r="E960" s="2" t="n"/>
      <c r="F960" s="2" t="n"/>
    </row>
    <row r="961" ht="15.75" customHeight="1" s="125">
      <c r="A961" s="2" t="n"/>
      <c r="B961" s="2" t="n"/>
      <c r="C961" s="2" t="n"/>
      <c r="D961" s="2" t="n"/>
      <c r="E961" s="2" t="n"/>
      <c r="F961" s="2" t="n"/>
    </row>
    <row r="962" ht="15.75" customHeight="1" s="125">
      <c r="A962" s="2" t="n"/>
      <c r="B962" s="2" t="n"/>
      <c r="C962" s="2" t="n"/>
      <c r="D962" s="2" t="n"/>
      <c r="E962" s="2" t="n"/>
      <c r="F962" s="2" t="n"/>
    </row>
    <row r="963" ht="15.75" customHeight="1" s="125">
      <c r="A963" s="2" t="n"/>
      <c r="B963" s="2" t="n"/>
      <c r="C963" s="2" t="n"/>
      <c r="D963" s="2" t="n"/>
      <c r="E963" s="2" t="n"/>
      <c r="F963" s="2" t="n"/>
    </row>
    <row r="964" ht="15.75" customHeight="1" s="125">
      <c r="A964" s="2" t="n"/>
      <c r="B964" s="2" t="n"/>
      <c r="C964" s="2" t="n"/>
      <c r="D964" s="2" t="n"/>
      <c r="E964" s="2" t="n"/>
      <c r="F964" s="2" t="n"/>
    </row>
    <row r="965" ht="15.75" customHeight="1" s="125">
      <c r="A965" s="2" t="n"/>
      <c r="B965" s="2" t="n"/>
      <c r="C965" s="2" t="n"/>
      <c r="D965" s="2" t="n"/>
      <c r="E965" s="2" t="n"/>
      <c r="F965" s="2" t="n"/>
    </row>
    <row r="966" ht="15.75" customHeight="1" s="125">
      <c r="A966" s="2" t="n"/>
      <c r="B966" s="2" t="n"/>
      <c r="C966" s="2" t="n"/>
      <c r="D966" s="2" t="n"/>
      <c r="E966" s="2" t="n"/>
      <c r="F966" s="2" t="n"/>
    </row>
    <row r="967" ht="15.75" customHeight="1" s="125">
      <c r="A967" s="2" t="n"/>
      <c r="B967" s="2" t="n"/>
      <c r="C967" s="2" t="n"/>
      <c r="D967" s="2" t="n"/>
      <c r="E967" s="2" t="n"/>
      <c r="F967" s="2" t="n"/>
    </row>
    <row r="968" ht="15.75" customHeight="1" s="125">
      <c r="A968" s="2" t="n"/>
      <c r="B968" s="2" t="n"/>
      <c r="C968" s="2" t="n"/>
      <c r="D968" s="2" t="n"/>
      <c r="E968" s="2" t="n"/>
      <c r="F968" s="2" t="n"/>
    </row>
    <row r="969" ht="15.75" customHeight="1" s="125">
      <c r="A969" s="2" t="n"/>
      <c r="B969" s="2" t="n"/>
      <c r="C969" s="2" t="n"/>
      <c r="D969" s="2" t="n"/>
      <c r="E969" s="2" t="n"/>
      <c r="F969" s="2" t="n"/>
    </row>
    <row r="970" ht="15.75" customHeight="1" s="125">
      <c r="A970" s="2" t="n"/>
      <c r="B970" s="2" t="n"/>
      <c r="C970" s="2" t="n"/>
      <c r="D970" s="2" t="n"/>
      <c r="E970" s="2" t="n"/>
      <c r="F970" s="2" t="n"/>
    </row>
    <row r="971" ht="15.75" customHeight="1" s="125">
      <c r="A971" s="2" t="n"/>
      <c r="B971" s="2" t="n"/>
      <c r="C971" s="2" t="n"/>
      <c r="D971" s="2" t="n"/>
      <c r="E971" s="2" t="n"/>
      <c r="F971" s="2" t="n"/>
    </row>
    <row r="972" ht="15.75" customHeight="1" s="125">
      <c r="A972" s="2" t="n"/>
      <c r="B972" s="2" t="n"/>
      <c r="C972" s="2" t="n"/>
      <c r="D972" s="2" t="n"/>
      <c r="E972" s="2" t="n"/>
      <c r="F972" s="2" t="n"/>
    </row>
    <row r="973" ht="15.75" customHeight="1" s="125">
      <c r="A973" s="2" t="n"/>
      <c r="B973" s="2" t="n"/>
      <c r="C973" s="2" t="n"/>
      <c r="D973" s="2" t="n"/>
      <c r="E973" s="2" t="n"/>
      <c r="F973" s="2" t="n"/>
    </row>
    <row r="974" ht="15.75" customHeight="1" s="125">
      <c r="A974" s="2" t="n"/>
      <c r="B974" s="2" t="n"/>
      <c r="C974" s="2" t="n"/>
      <c r="D974" s="2" t="n"/>
      <c r="E974" s="2" t="n"/>
      <c r="F974" s="2" t="n"/>
    </row>
    <row r="975" ht="15.75" customHeight="1" s="125">
      <c r="A975" s="2" t="n"/>
      <c r="B975" s="2" t="n"/>
      <c r="C975" s="2" t="n"/>
      <c r="D975" s="2" t="n"/>
      <c r="E975" s="2" t="n"/>
      <c r="F975" s="2" t="n"/>
    </row>
    <row r="976" ht="15.75" customHeight="1" s="125">
      <c r="A976" s="2" t="n"/>
      <c r="B976" s="2" t="n"/>
      <c r="C976" s="2" t="n"/>
      <c r="D976" s="2" t="n"/>
      <c r="E976" s="2" t="n"/>
      <c r="F976" s="2" t="n"/>
    </row>
    <row r="977" ht="15.75" customHeight="1" s="125">
      <c r="A977" s="2" t="n"/>
      <c r="B977" s="2" t="n"/>
      <c r="C977" s="2" t="n"/>
      <c r="D977" s="2" t="n"/>
      <c r="E977" s="2" t="n"/>
      <c r="F977" s="2" t="n"/>
    </row>
    <row r="978" ht="15.75" customHeight="1" s="125">
      <c r="A978" s="2" t="n"/>
      <c r="B978" s="2" t="n"/>
      <c r="C978" s="2" t="n"/>
      <c r="D978" s="2" t="n"/>
      <c r="E978" s="2" t="n"/>
      <c r="F978" s="2" t="n"/>
    </row>
    <row r="979" ht="15.75" customHeight="1" s="125">
      <c r="A979" s="2" t="n"/>
      <c r="B979" s="2" t="n"/>
      <c r="C979" s="2" t="n"/>
      <c r="D979" s="2" t="n"/>
      <c r="E979" s="2" t="n"/>
      <c r="F979" s="2" t="n"/>
    </row>
    <row r="980" ht="15.75" customHeight="1" s="125">
      <c r="A980" s="2" t="n"/>
      <c r="B980" s="2" t="n"/>
      <c r="C980" s="2" t="n"/>
      <c r="D980" s="2" t="n"/>
      <c r="E980" s="2" t="n"/>
      <c r="F980" s="2" t="n"/>
    </row>
    <row r="981" ht="15.75" customHeight="1" s="125">
      <c r="A981" s="2" t="n"/>
      <c r="B981" s="2" t="n"/>
      <c r="C981" s="2" t="n"/>
      <c r="D981" s="2" t="n"/>
      <c r="E981" s="2" t="n"/>
      <c r="F981" s="2" t="n"/>
    </row>
    <row r="982" ht="15.75" customHeight="1" s="125">
      <c r="A982" s="2" t="n"/>
      <c r="B982" s="2" t="n"/>
      <c r="C982" s="2" t="n"/>
      <c r="D982" s="2" t="n"/>
      <c r="E982" s="2" t="n"/>
      <c r="F982" s="2" t="n"/>
    </row>
    <row r="983" ht="15.75" customHeight="1" s="125">
      <c r="A983" s="2" t="n"/>
      <c r="B983" s="2" t="n"/>
      <c r="C983" s="2" t="n"/>
      <c r="D983" s="2" t="n"/>
      <c r="E983" s="2" t="n"/>
      <c r="F983" s="2" t="n"/>
    </row>
    <row r="984" ht="15.75" customHeight="1" s="125">
      <c r="A984" s="2" t="n"/>
      <c r="B984" s="2" t="n"/>
      <c r="C984" s="2" t="n"/>
      <c r="D984" s="2" t="n"/>
      <c r="E984" s="2" t="n"/>
      <c r="F984" s="2" t="n"/>
    </row>
    <row r="985" ht="15.75" customHeight="1" s="125">
      <c r="A985" s="2" t="n"/>
      <c r="B985" s="2" t="n"/>
      <c r="C985" s="2" t="n"/>
      <c r="D985" s="2" t="n"/>
      <c r="E985" s="2" t="n"/>
      <c r="F985" s="2" t="n"/>
    </row>
    <row r="986" ht="15.75" customHeight="1" s="125">
      <c r="A986" s="2" t="n"/>
      <c r="B986" s="2" t="n"/>
      <c r="C986" s="2" t="n"/>
      <c r="D986" s="2" t="n"/>
      <c r="E986" s="2" t="n"/>
      <c r="F986" s="2" t="n"/>
    </row>
    <row r="987" ht="15.75" customHeight="1" s="125">
      <c r="A987" s="2" t="n"/>
      <c r="B987" s="2" t="n"/>
      <c r="C987" s="2" t="n"/>
      <c r="D987" s="2" t="n"/>
      <c r="E987" s="2" t="n"/>
      <c r="F987" s="2" t="n"/>
    </row>
    <row r="988" ht="15.75" customHeight="1" s="125">
      <c r="A988" s="2" t="n"/>
      <c r="B988" s="2" t="n"/>
      <c r="C988" s="2" t="n"/>
      <c r="D988" s="2" t="n"/>
      <c r="E988" s="2" t="n"/>
      <c r="F988" s="2" t="n"/>
    </row>
    <row r="989" ht="15.75" customHeight="1" s="125">
      <c r="A989" s="2" t="n"/>
      <c r="B989" s="2" t="n"/>
      <c r="C989" s="2" t="n"/>
      <c r="D989" s="2" t="n"/>
      <c r="E989" s="2" t="n"/>
      <c r="F989" s="2" t="n"/>
    </row>
    <row r="990" ht="15.75" customHeight="1" s="125">
      <c r="A990" s="2" t="n"/>
      <c r="B990" s="2" t="n"/>
      <c r="C990" s="2" t="n"/>
      <c r="D990" s="2" t="n"/>
      <c r="E990" s="2" t="n"/>
      <c r="F990" s="2" t="n"/>
    </row>
    <row r="991" ht="15.75" customHeight="1" s="125">
      <c r="A991" s="2" t="n"/>
      <c r="B991" s="2" t="n"/>
      <c r="C991" s="2" t="n"/>
      <c r="D991" s="2" t="n"/>
      <c r="E991" s="2" t="n"/>
      <c r="F991" s="2" t="n"/>
    </row>
    <row r="992" ht="15.75" customHeight="1" s="125">
      <c r="A992" s="2" t="n"/>
      <c r="B992" s="2" t="n"/>
      <c r="C992" s="2" t="n"/>
      <c r="D992" s="2" t="n"/>
      <c r="E992" s="2" t="n"/>
      <c r="F992" s="2" t="n"/>
    </row>
    <row r="993" ht="15.75" customHeight="1" s="125">
      <c r="A993" s="2" t="n"/>
      <c r="B993" s="2" t="n"/>
      <c r="C993" s="2" t="n"/>
      <c r="D993" s="2" t="n"/>
      <c r="E993" s="2" t="n"/>
      <c r="F993" s="2" t="n"/>
    </row>
    <row r="994" ht="15.75" customHeight="1" s="125">
      <c r="A994" s="2" t="n"/>
      <c r="B994" s="2" t="n"/>
      <c r="C994" s="2" t="n"/>
      <c r="D994" s="2" t="n"/>
      <c r="E994" s="2" t="n"/>
      <c r="F994" s="2" t="n"/>
    </row>
    <row r="995" ht="15.75" customHeight="1" s="125">
      <c r="A995" s="2" t="n"/>
      <c r="B995" s="2" t="n"/>
      <c r="C995" s="2" t="n"/>
      <c r="D995" s="2" t="n"/>
      <c r="E995" s="2" t="n"/>
      <c r="F995" s="2" t="n"/>
    </row>
    <row r="996" ht="15.75" customHeight="1" s="125">
      <c r="A996" s="2" t="n"/>
      <c r="B996" s="2" t="n"/>
      <c r="C996" s="2" t="n"/>
      <c r="D996" s="2" t="n"/>
      <c r="E996" s="2" t="n"/>
      <c r="F996" s="2" t="n"/>
    </row>
    <row r="997" ht="15.75" customHeight="1" s="125">
      <c r="A997" s="2" t="n"/>
      <c r="B997" s="2" t="n"/>
      <c r="C997" s="2" t="n"/>
      <c r="D997" s="2" t="n"/>
      <c r="E997" s="2" t="n"/>
      <c r="F997" s="2" t="n"/>
    </row>
    <row r="998" ht="15.75" customHeight="1" s="125">
      <c r="A998" s="2" t="n"/>
      <c r="B998" s="2" t="n"/>
      <c r="C998" s="2" t="n"/>
      <c r="D998" s="2" t="n"/>
      <c r="E998" s="2" t="n"/>
      <c r="F998" s="2" t="n"/>
    </row>
    <row r="999" ht="15.75" customHeight="1" s="125">
      <c r="A999" s="2" t="n"/>
      <c r="B999" s="2" t="n"/>
      <c r="C999" s="2" t="n"/>
      <c r="D999" s="2" t="n"/>
      <c r="E999" s="2" t="n"/>
      <c r="F999" s="2" t="n"/>
    </row>
    <row r="1000" ht="15.75" customHeight="1" s="125">
      <c r="A1000" s="2" t="n"/>
      <c r="B1000" s="2" t="n"/>
      <c r="C1000" s="2" t="n"/>
      <c r="D1000" s="2" t="n"/>
      <c r="E1000" s="2" t="n"/>
      <c r="F1000" s="2" t="n"/>
    </row>
  </sheetData>
  <dataValidations count="4">
    <dataValidation sqref="B4" showDropDown="0" showInputMessage="0" showErrorMessage="1" allowBlank="1" errorTitle="Moneda" error="Selecciona USD o EUR" promptTitle="MONEDA" prompt="Selecciona moneda" type="list">
      <formula1>"USD,EUR"</formula1>
    </dataValidation>
    <dataValidation sqref="B5" showDropDown="0" showInputMessage="0" showErrorMessage="1" allowBlank="1" errorTitle="Incoterm" error="Selecciona EXW, FOB o CIF" promptTitle="INCOTERM" prompt="Selecciona incoterm" type="list">
      <formula1>"EXW,FOB,CIF"</formula1>
    </dataValidation>
    <dataValidation sqref="B4" showDropDown="0" showInputMessage="0" showErrorMessage="0" allowBlank="1" type="list">
      <formula1>"USD,EUR"</formula1>
    </dataValidation>
    <dataValidation sqref="B5" showDropDown="0" showInputMessage="0" showErrorMessage="0" allowBlank="1" type="list">
      <formula1>"EXW,FOB,CIF"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2"/>
  <sheetViews>
    <sheetView workbookViewId="0">
      <selection activeCell="A1" sqref="A1"/>
    </sheetView>
  </sheetViews>
  <sheetFormatPr baseColWidth="8" defaultRowHeight="15"/>
  <cols>
    <col width="12" customWidth="1" style="125" min="1" max="1"/>
    <col width="14" customWidth="1" style="125" min="2" max="2"/>
    <col width="40" customWidth="1" style="125" min="3" max="3"/>
    <col width="14" customWidth="1" style="125" min="4" max="4"/>
    <col width="10" customWidth="1" style="125" min="5" max="5"/>
    <col width="10" customWidth="1" style="125" min="6" max="6"/>
    <col width="10" customWidth="1" style="125" min="7" max="7"/>
    <col width="10" customWidth="1" style="125" min="8" max="8"/>
    <col width="10" customWidth="1" style="125" min="9" max="9"/>
    <col width="10" customWidth="1" style="125" min="10" max="10"/>
    <col width="10" customWidth="1" style="125" min="11" max="11"/>
    <col width="8" customWidth="1" style="125" min="12" max="12"/>
    <col width="10" customWidth="1" style="125" min="13" max="13"/>
    <col width="10" customWidth="1" style="125" min="14" max="14"/>
    <col width="10" customWidth="1" style="125" min="15" max="15"/>
    <col width="10" customWidth="1" style="125" min="16" max="16"/>
    <col width="10" customWidth="1" style="125" min="17" max="17"/>
    <col width="10" customWidth="1" style="125" min="18" max="18"/>
    <col width="8" customWidth="1" style="125" min="19" max="19"/>
    <col width="10" customWidth="1" style="125" min="20" max="20"/>
    <col width="12" customWidth="1" style="125" min="21" max="21"/>
    <col width="12" customWidth="1" style="125" min="22" max="22"/>
    <col width="50" customWidth="1" style="125" min="23" max="23"/>
    <col width="8" customWidth="1" style="125" min="24" max="24"/>
    <col width="14" customWidth="1" style="125" min="25" max="25"/>
    <col width="45" customWidth="1" style="125" min="26" max="26"/>
  </cols>
  <sheetData>
    <row r="1">
      <c r="A1" s="144" t="inlineStr">
        <is>
          <t>ARIAS GROUP CARIBE — MAESTRO DE PRODUCTOS GYPSOTECH · Tarifa Abril 2026 · EXW Tarancón</t>
        </is>
      </c>
    </row>
    <row r="2">
      <c r="A2" s="145" t="inlineStr">
        <is>
          <t>FAMILIA</t>
        </is>
      </c>
      <c r="B2" s="145" t="inlineStr">
        <is>
          <t>SUBFAMILIA</t>
        </is>
      </c>
      <c r="C2" s="145" t="inlineStr">
        <is>
          <t>NOMBRE</t>
        </is>
      </c>
      <c r="D2" s="145" t="inlineStr">
        <is>
          <t>CÓDIGO</t>
        </is>
      </c>
      <c r="E2" s="145" t="inlineStr">
        <is>
          <t>NORMA</t>
        </is>
      </c>
      <c r="F2" s="145" t="inlineStr">
        <is>
          <t>ANCHO
MM</t>
        </is>
      </c>
      <c r="G2" s="145" t="inlineStr">
        <is>
          <t>ESPESOR
MM</t>
        </is>
      </c>
      <c r="H2" s="145" t="inlineStr">
        <is>
          <t>LONGITUD
MM</t>
        </is>
      </c>
      <c r="I2" s="145" t="inlineStr">
        <is>
          <t>M2
PLACA</t>
        </is>
      </c>
      <c r="J2" s="145" t="inlineStr">
        <is>
          <t>PESO
KG
M2</t>
        </is>
      </c>
      <c r="K2" s="145" t="inlineStr">
        <is>
          <t>PESO
PLACA
KG</t>
        </is>
      </c>
      <c r="L2" s="145" t="inlineStr">
        <is>
          <t>UD
PALE</t>
        </is>
      </c>
      <c r="M2" s="145" t="inlineStr">
        <is>
          <t>M2
PALE</t>
        </is>
      </c>
      <c r="N2" s="145" t="inlineStr">
        <is>
          <t>PESO
PALE
KG</t>
        </is>
      </c>
      <c r="O2" s="145" t="inlineStr">
        <is>
          <t>UD
VENTA</t>
        </is>
      </c>
      <c r="P2" s="145" t="inlineStr">
        <is>
          <t>UD
LOGISTICA</t>
        </is>
      </c>
      <c r="Q2" s="145" t="inlineStr">
        <is>
          <t>PVP
ORIGEN
EUR</t>
        </is>
      </c>
      <c r="R2" s="145" t="inlineStr">
        <is>
          <t>UNIDAD
PRECIO</t>
        </is>
      </c>
      <c r="S2" s="145" t="inlineStr">
        <is>
          <t>DESCUENTO
DISTRIBUIDOR</t>
        </is>
      </c>
      <c r="T2" s="145" t="inlineStr">
        <is>
          <t>PRECIO
ARIAS
EUR</t>
        </is>
      </c>
      <c r="U2" s="145" t="inlineStr">
        <is>
          <t>HS
CODE</t>
        </is>
      </c>
      <c r="V2" s="145" t="inlineStr">
        <is>
          <t>RENDIMIENTO_M2
(solo cotización
por sistemas)</t>
        </is>
      </c>
      <c r="W2" s="145" t="inlineStr">
        <is>
          <t>USO</t>
        </is>
      </c>
      <c r="X2" s="145" t="inlineStr">
        <is>
          <t>ACTIVO</t>
        </is>
      </c>
      <c r="Y2" s="145" t="inlineStr">
        <is>
          <t>DISPO
TARANCON</t>
        </is>
      </c>
      <c r="Z2" s="145" t="inlineStr">
        <is>
          <t>NOTAS</t>
        </is>
      </c>
    </row>
    <row r="3">
      <c r="A3" t="inlineStr">
        <is>
          <t>PLACAS</t>
        </is>
      </c>
      <c r="B3" t="inlineStr">
        <is>
          <t>STD</t>
        </is>
      </c>
      <c r="C3" t="inlineStr">
        <is>
          <t>STD BA 6mm 1200×2500</t>
        </is>
      </c>
      <c r="D3" t="inlineStr">
        <is>
          <t>P00A006250AI</t>
        </is>
      </c>
      <c r="E3" t="inlineStr">
        <is>
          <t>EN 520</t>
        </is>
      </c>
      <c r="F3" t="n">
        <v>1200</v>
      </c>
      <c r="G3" t="n">
        <v>6</v>
      </c>
      <c r="H3" t="n">
        <v>2500</v>
      </c>
      <c r="I3">
        <f>F3*H3/1000000</f>
        <v/>
      </c>
      <c r="J3" t="n">
        <v>5.3</v>
      </c>
      <c r="K3">
        <f>I3*J3</f>
        <v/>
      </c>
      <c r="O3" t="inlineStr">
        <is>
          <t>Placa</t>
        </is>
      </c>
      <c r="P3" t="inlineStr">
        <is>
          <t>Palé</t>
        </is>
      </c>
      <c r="Q3" t="n">
        <v>5.99</v>
      </c>
      <c r="R3" t="inlineStr">
        <is>
          <t>€/m²</t>
        </is>
      </c>
      <c r="S3" t="n">
        <v>0.5</v>
      </c>
      <c r="T3">
        <f>Q3*S3</f>
        <v/>
      </c>
      <c r="U3" t="inlineStr">
        <is>
          <t>6809.11.00</t>
        </is>
      </c>
      <c r="W3" t="inlineStr">
        <is>
          <t>Tabiques, trasdosados y techos continuos interiores</t>
        </is>
      </c>
      <c r="X3" t="inlineStr">
        <is>
          <t>SI</t>
        </is>
      </c>
      <c r="Y3" t="inlineStr">
        <is>
          <t>Solo Calliano</t>
        </is>
      </c>
      <c r="Z3" t="inlineStr">
        <is>
          <t>Solo disponible desde Calliano — no en Tarancón</t>
        </is>
      </c>
    </row>
    <row r="4">
      <c r="A4" t="inlineStr">
        <is>
          <t>PLACAS</t>
        </is>
      </c>
      <c r="B4" t="inlineStr">
        <is>
          <t>STD</t>
        </is>
      </c>
      <c r="C4" t="inlineStr">
        <is>
          <t>STD BA 6mm 1200×3000</t>
        </is>
      </c>
      <c r="D4" t="inlineStr">
        <is>
          <t>P00A006300A1</t>
        </is>
      </c>
      <c r="E4" t="inlineStr">
        <is>
          <t>EN 520</t>
        </is>
      </c>
      <c r="F4" t="n">
        <v>1200</v>
      </c>
      <c r="G4" t="n">
        <v>6</v>
      </c>
      <c r="H4" t="n">
        <v>3000</v>
      </c>
      <c r="I4">
        <f>F4*H4/1000000</f>
        <v/>
      </c>
      <c r="J4" t="n">
        <v>5.3</v>
      </c>
      <c r="K4">
        <f>I4*J4</f>
        <v/>
      </c>
      <c r="O4" t="inlineStr">
        <is>
          <t>Placa</t>
        </is>
      </c>
      <c r="P4" t="inlineStr">
        <is>
          <t>Palé</t>
        </is>
      </c>
      <c r="Q4" t="n">
        <v>5.99</v>
      </c>
      <c r="R4" t="inlineStr">
        <is>
          <t>€/m²</t>
        </is>
      </c>
      <c r="S4" t="n">
        <v>0.5</v>
      </c>
      <c r="T4">
        <f>Q4*S4</f>
        <v/>
      </c>
      <c r="U4" t="inlineStr">
        <is>
          <t>6809.11.00</t>
        </is>
      </c>
      <c r="W4" t="inlineStr">
        <is>
          <t>Tabiques, trasdosados y techos continuos interiores</t>
        </is>
      </c>
      <c r="X4" t="inlineStr">
        <is>
          <t>SI</t>
        </is>
      </c>
      <c r="Y4" t="inlineStr">
        <is>
          <t>Solo Calliano</t>
        </is>
      </c>
      <c r="Z4" t="inlineStr">
        <is>
          <t>Solo disponible desde Calliano — no en Tarancón</t>
        </is>
      </c>
    </row>
    <row r="5">
      <c r="A5" t="inlineStr">
        <is>
          <t>PLACAS</t>
        </is>
      </c>
      <c r="B5" t="inlineStr">
        <is>
          <t>STD</t>
        </is>
      </c>
      <c r="C5" t="inlineStr">
        <is>
          <t>STD BA 10mm 1200×2000</t>
        </is>
      </c>
      <c r="D5" t="inlineStr">
        <is>
          <t>P00A000200A0</t>
        </is>
      </c>
      <c r="E5" t="inlineStr">
        <is>
          <t>EN 520</t>
        </is>
      </c>
      <c r="F5" t="n">
        <v>1200</v>
      </c>
      <c r="G5" t="n">
        <v>9.5</v>
      </c>
      <c r="H5" t="n">
        <v>2000</v>
      </c>
      <c r="I5">
        <f>F5*H5/1000000</f>
        <v/>
      </c>
      <c r="J5" t="n">
        <v>7.7</v>
      </c>
      <c r="K5">
        <f>I5*J5</f>
        <v/>
      </c>
      <c r="L5" t="n">
        <v>60</v>
      </c>
      <c r="M5">
        <f>I5*L5</f>
        <v/>
      </c>
      <c r="N5">
        <f>K5*L5+32</f>
        <v/>
      </c>
      <c r="O5" t="inlineStr">
        <is>
          <t>Placa</t>
        </is>
      </c>
      <c r="P5" t="inlineStr">
        <is>
          <t>Palé</t>
        </is>
      </c>
      <c r="Q5" t="n">
        <v>4.96</v>
      </c>
      <c r="R5" t="inlineStr">
        <is>
          <t>€/m²</t>
        </is>
      </c>
      <c r="S5" t="n">
        <v>0.5</v>
      </c>
      <c r="T5">
        <f>Q5*S5</f>
        <v/>
      </c>
      <c r="U5" t="inlineStr">
        <is>
          <t>6809.11.00</t>
        </is>
      </c>
      <c r="W5" t="inlineStr">
        <is>
          <t>Tabiques, trasdosados y techos continuos interiores</t>
        </is>
      </c>
      <c r="X5" t="inlineStr">
        <is>
          <t>SI</t>
        </is>
      </c>
      <c r="Y5" t="inlineStr">
        <is>
          <t>SI</t>
        </is>
      </c>
    </row>
    <row r="6">
      <c r="A6" t="inlineStr">
        <is>
          <t>PLACAS</t>
        </is>
      </c>
      <c r="B6" t="inlineStr">
        <is>
          <t>STD</t>
        </is>
      </c>
      <c r="C6" t="inlineStr">
        <is>
          <t>STD BA 10mm 1200×2500</t>
        </is>
      </c>
      <c r="D6" t="inlineStr">
        <is>
          <t>P00A000250A0</t>
        </is>
      </c>
      <c r="E6" t="inlineStr">
        <is>
          <t>EN 520</t>
        </is>
      </c>
      <c r="F6" t="n">
        <v>1200</v>
      </c>
      <c r="G6" t="n">
        <v>9.5</v>
      </c>
      <c r="H6" t="n">
        <v>2500</v>
      </c>
      <c r="I6">
        <f>F6*H6/1000000</f>
        <v/>
      </c>
      <c r="J6" t="n">
        <v>7.7</v>
      </c>
      <c r="K6">
        <f>I6*J6</f>
        <v/>
      </c>
      <c r="L6" t="n">
        <v>48</v>
      </c>
      <c r="M6">
        <f>I6*L6</f>
        <v/>
      </c>
      <c r="N6">
        <f>K6*L6+32</f>
        <v/>
      </c>
      <c r="O6" t="inlineStr">
        <is>
          <t>Placa</t>
        </is>
      </c>
      <c r="P6" t="inlineStr">
        <is>
          <t>Palé</t>
        </is>
      </c>
      <c r="Q6" t="n">
        <v>4.96</v>
      </c>
      <c r="R6" t="inlineStr">
        <is>
          <t>€/m²</t>
        </is>
      </c>
      <c r="S6" t="n">
        <v>0.5</v>
      </c>
      <c r="T6">
        <f>Q6*S6</f>
        <v/>
      </c>
      <c r="U6" t="inlineStr">
        <is>
          <t>6809.11.00</t>
        </is>
      </c>
      <c r="W6" t="inlineStr">
        <is>
          <t>Tabiques, trasdosados y techos continuos interiores</t>
        </is>
      </c>
      <c r="X6" t="inlineStr">
        <is>
          <t>SI</t>
        </is>
      </c>
      <c r="Y6" t="inlineStr">
        <is>
          <t>SI</t>
        </is>
      </c>
    </row>
    <row r="7">
      <c r="A7" t="inlineStr">
        <is>
          <t>PLACAS</t>
        </is>
      </c>
      <c r="B7" t="inlineStr">
        <is>
          <t>STD</t>
        </is>
      </c>
      <c r="C7" t="inlineStr">
        <is>
          <t>STD BA 10mm 1200×2600</t>
        </is>
      </c>
      <c r="D7" t="inlineStr">
        <is>
          <t>P00A000260A0</t>
        </is>
      </c>
      <c r="E7" t="inlineStr">
        <is>
          <t>EN 520</t>
        </is>
      </c>
      <c r="F7" t="n">
        <v>1200</v>
      </c>
      <c r="G7" t="n">
        <v>9.5</v>
      </c>
      <c r="H7" t="n">
        <v>2600</v>
      </c>
      <c r="I7">
        <f>F7*H7/1000000</f>
        <v/>
      </c>
      <c r="J7" t="n">
        <v>7.7</v>
      </c>
      <c r="K7">
        <f>I7*J7</f>
        <v/>
      </c>
      <c r="L7" t="n">
        <v>48</v>
      </c>
      <c r="M7">
        <f>I7*L7</f>
        <v/>
      </c>
      <c r="N7">
        <f>K7*L7+32</f>
        <v/>
      </c>
      <c r="O7" t="inlineStr">
        <is>
          <t>Placa</t>
        </is>
      </c>
      <c r="P7" t="inlineStr">
        <is>
          <t>Palé</t>
        </is>
      </c>
      <c r="Q7" t="n">
        <v>4.96</v>
      </c>
      <c r="R7" t="inlineStr">
        <is>
          <t>€/m²</t>
        </is>
      </c>
      <c r="S7" t="n">
        <v>0.5</v>
      </c>
      <c r="T7">
        <f>Q7*S7</f>
        <v/>
      </c>
      <c r="U7" t="inlineStr">
        <is>
          <t>6809.11.00</t>
        </is>
      </c>
      <c r="W7" t="inlineStr">
        <is>
          <t>Tabiques, trasdosados y techos continuos interiores</t>
        </is>
      </c>
      <c r="X7" t="inlineStr">
        <is>
          <t>SI</t>
        </is>
      </c>
      <c r="Y7" t="inlineStr">
        <is>
          <t>SI</t>
        </is>
      </c>
    </row>
    <row r="8">
      <c r="A8" t="inlineStr">
        <is>
          <t>PLACAS</t>
        </is>
      </c>
      <c r="B8" t="inlineStr">
        <is>
          <t>STD</t>
        </is>
      </c>
      <c r="C8" t="inlineStr">
        <is>
          <t>STD BA 10mm 1200×2700</t>
        </is>
      </c>
      <c r="D8" t="inlineStr">
        <is>
          <t>P00A000270A0</t>
        </is>
      </c>
      <c r="E8" t="inlineStr">
        <is>
          <t>EN 520</t>
        </is>
      </c>
      <c r="F8" t="n">
        <v>1200</v>
      </c>
      <c r="G8" t="n">
        <v>9.5</v>
      </c>
      <c r="H8" t="n">
        <v>2700</v>
      </c>
      <c r="I8">
        <f>F8*H8/1000000</f>
        <v/>
      </c>
      <c r="J8" t="n">
        <v>7.7</v>
      </c>
      <c r="K8">
        <f>I8*J8</f>
        <v/>
      </c>
      <c r="L8" t="n">
        <v>48</v>
      </c>
      <c r="M8">
        <f>I8*L8</f>
        <v/>
      </c>
      <c r="N8">
        <f>K8*L8+32</f>
        <v/>
      </c>
      <c r="O8" t="inlineStr">
        <is>
          <t>Placa</t>
        </is>
      </c>
      <c r="P8" t="inlineStr">
        <is>
          <t>Palé</t>
        </is>
      </c>
      <c r="Q8" t="n">
        <v>4.96</v>
      </c>
      <c r="R8" t="inlineStr">
        <is>
          <t>€/m²</t>
        </is>
      </c>
      <c r="S8" t="n">
        <v>0.5</v>
      </c>
      <c r="T8">
        <f>Q8*S8</f>
        <v/>
      </c>
      <c r="U8" t="inlineStr">
        <is>
          <t>6809.11.00</t>
        </is>
      </c>
      <c r="W8" t="inlineStr">
        <is>
          <t>Tabiques, trasdosados y techos continuos interiores</t>
        </is>
      </c>
      <c r="X8" t="inlineStr">
        <is>
          <t>SI</t>
        </is>
      </c>
      <c r="Y8" t="inlineStr">
        <is>
          <t>SI</t>
        </is>
      </c>
    </row>
    <row r="9">
      <c r="A9" t="inlineStr">
        <is>
          <t>PLACAS</t>
        </is>
      </c>
      <c r="B9" t="inlineStr">
        <is>
          <t>STD</t>
        </is>
      </c>
      <c r="C9" t="inlineStr">
        <is>
          <t>STD BA 10mm 1200×3000</t>
        </is>
      </c>
      <c r="D9" t="inlineStr">
        <is>
          <t>P00A000300A0</t>
        </is>
      </c>
      <c r="E9" t="inlineStr">
        <is>
          <t>EN 520</t>
        </is>
      </c>
      <c r="F9" t="n">
        <v>1200</v>
      </c>
      <c r="G9" t="n">
        <v>9.5</v>
      </c>
      <c r="H9" t="n">
        <v>3000</v>
      </c>
      <c r="I9">
        <f>F9*H9/1000000</f>
        <v/>
      </c>
      <c r="J9" t="n">
        <v>7.7</v>
      </c>
      <c r="K9">
        <f>I9*J9</f>
        <v/>
      </c>
      <c r="L9" t="n">
        <v>48</v>
      </c>
      <c r="M9">
        <f>I9*L9</f>
        <v/>
      </c>
      <c r="N9">
        <f>K9*L9+32</f>
        <v/>
      </c>
      <c r="O9" t="inlineStr">
        <is>
          <t>Placa</t>
        </is>
      </c>
      <c r="P9" t="inlineStr">
        <is>
          <t>Palé</t>
        </is>
      </c>
      <c r="Q9" t="n">
        <v>4.96</v>
      </c>
      <c r="R9" t="inlineStr">
        <is>
          <t>€/m²</t>
        </is>
      </c>
      <c r="S9" t="n">
        <v>0.5</v>
      </c>
      <c r="T9">
        <f>Q9*S9</f>
        <v/>
      </c>
      <c r="U9" t="inlineStr">
        <is>
          <t>6809.11.00</t>
        </is>
      </c>
      <c r="W9" t="inlineStr">
        <is>
          <t>Tabiques, trasdosados y techos continuos interiores</t>
        </is>
      </c>
      <c r="X9" t="inlineStr">
        <is>
          <t>SI</t>
        </is>
      </c>
      <c r="Y9" t="inlineStr">
        <is>
          <t>SI</t>
        </is>
      </c>
    </row>
    <row r="10">
      <c r="A10" t="inlineStr">
        <is>
          <t>PLACAS</t>
        </is>
      </c>
      <c r="B10" t="inlineStr">
        <is>
          <t>STD</t>
        </is>
      </c>
      <c r="C10" t="inlineStr">
        <is>
          <t>STD BA 13mm 1200×2000</t>
        </is>
      </c>
      <c r="D10" t="inlineStr">
        <is>
          <t>P00A003200A0</t>
        </is>
      </c>
      <c r="E10" t="inlineStr">
        <is>
          <t>EN 520</t>
        </is>
      </c>
      <c r="F10" t="n">
        <v>1200</v>
      </c>
      <c r="G10" t="n">
        <v>12.5</v>
      </c>
      <c r="H10" t="n">
        <v>2000</v>
      </c>
      <c r="I10">
        <f>F10*H10/1000000</f>
        <v/>
      </c>
      <c r="J10" t="n">
        <v>8.699999999999999</v>
      </c>
      <c r="K10">
        <f>I10*J10</f>
        <v/>
      </c>
      <c r="L10" t="n">
        <v>60</v>
      </c>
      <c r="M10">
        <f>I10*L10</f>
        <v/>
      </c>
      <c r="N10">
        <f>K10*L10+32</f>
        <v/>
      </c>
      <c r="O10" t="inlineStr">
        <is>
          <t>Placa</t>
        </is>
      </c>
      <c r="P10" t="inlineStr">
        <is>
          <t>Palé</t>
        </is>
      </c>
      <c r="Q10" t="n">
        <v>4.03</v>
      </c>
      <c r="R10" t="inlineStr">
        <is>
          <t>€/m²</t>
        </is>
      </c>
      <c r="S10" t="n">
        <v>0.5</v>
      </c>
      <c r="T10">
        <f>Q10*S10</f>
        <v/>
      </c>
      <c r="U10" t="inlineStr">
        <is>
          <t>6809.11.00</t>
        </is>
      </c>
      <c r="W10" t="inlineStr">
        <is>
          <t>Tabiques, trasdosados y techos continuos interiores</t>
        </is>
      </c>
      <c r="X10" t="inlineStr">
        <is>
          <t>SI</t>
        </is>
      </c>
      <c r="Y10" t="inlineStr">
        <is>
          <t>SI</t>
        </is>
      </c>
    </row>
    <row r="11">
      <c r="A11" t="inlineStr">
        <is>
          <t>PLACAS</t>
        </is>
      </c>
      <c r="B11" t="inlineStr">
        <is>
          <t>STD</t>
        </is>
      </c>
      <c r="C11" t="inlineStr">
        <is>
          <t>STD BA 13mm 1200×2400</t>
        </is>
      </c>
      <c r="D11" t="inlineStr">
        <is>
          <t>P00A003240A0</t>
        </is>
      </c>
      <c r="E11" t="inlineStr">
        <is>
          <t>EN 520</t>
        </is>
      </c>
      <c r="F11" t="n">
        <v>1200</v>
      </c>
      <c r="G11" t="n">
        <v>12.5</v>
      </c>
      <c r="H11" t="n">
        <v>2400</v>
      </c>
      <c r="I11">
        <f>F11*H11/1000000</f>
        <v/>
      </c>
      <c r="J11" t="n">
        <v>8.699999999999999</v>
      </c>
      <c r="K11">
        <f>I11*J11</f>
        <v/>
      </c>
      <c r="L11" t="n">
        <v>48</v>
      </c>
      <c r="M11">
        <f>I11*L11</f>
        <v/>
      </c>
      <c r="N11">
        <f>K11*L11+32</f>
        <v/>
      </c>
      <c r="O11" t="inlineStr">
        <is>
          <t>Placa</t>
        </is>
      </c>
      <c r="P11" t="inlineStr">
        <is>
          <t>Palé</t>
        </is>
      </c>
      <c r="Q11" t="n">
        <v>4.03</v>
      </c>
      <c r="R11" t="inlineStr">
        <is>
          <t>€/m²</t>
        </is>
      </c>
      <c r="S11" t="n">
        <v>0.5</v>
      </c>
      <c r="T11">
        <f>Q11*S11</f>
        <v/>
      </c>
      <c r="U11" t="inlineStr">
        <is>
          <t>6809.11.00</t>
        </is>
      </c>
      <c r="W11" t="inlineStr">
        <is>
          <t>Tabiques, trasdosados y techos continuos interiores</t>
        </is>
      </c>
      <c r="X11" t="inlineStr">
        <is>
          <t>SI</t>
        </is>
      </c>
      <c r="Y11" t="inlineStr">
        <is>
          <t>SI</t>
        </is>
      </c>
    </row>
    <row r="12">
      <c r="A12" t="inlineStr">
        <is>
          <t>PLACAS</t>
        </is>
      </c>
      <c r="B12" t="inlineStr">
        <is>
          <t>STD</t>
        </is>
      </c>
      <c r="C12" t="inlineStr">
        <is>
          <t>STD BA 13mm 1200×2500</t>
        </is>
      </c>
      <c r="D12" t="inlineStr">
        <is>
          <t>P00A003250A0</t>
        </is>
      </c>
      <c r="E12" t="inlineStr">
        <is>
          <t>EN 520</t>
        </is>
      </c>
      <c r="F12" t="n">
        <v>1200</v>
      </c>
      <c r="G12" t="n">
        <v>12.5</v>
      </c>
      <c r="H12" t="n">
        <v>2500</v>
      </c>
      <c r="I12">
        <f>F12*H12/1000000</f>
        <v/>
      </c>
      <c r="J12" t="n">
        <v>8.699999999999999</v>
      </c>
      <c r="K12">
        <f>I12*J12</f>
        <v/>
      </c>
      <c r="L12" t="n">
        <v>48</v>
      </c>
      <c r="M12">
        <f>I12*L12</f>
        <v/>
      </c>
      <c r="N12">
        <f>K12*L12+32</f>
        <v/>
      </c>
      <c r="O12" t="inlineStr">
        <is>
          <t>Placa</t>
        </is>
      </c>
      <c r="P12" t="inlineStr">
        <is>
          <t>Palé</t>
        </is>
      </c>
      <c r="Q12" t="n">
        <v>4.03</v>
      </c>
      <c r="R12" t="inlineStr">
        <is>
          <t>€/m²</t>
        </is>
      </c>
      <c r="S12" t="n">
        <v>0.5</v>
      </c>
      <c r="T12">
        <f>Q12*S12</f>
        <v/>
      </c>
      <c r="U12" t="inlineStr">
        <is>
          <t>6809.11.00</t>
        </is>
      </c>
      <c r="W12" t="inlineStr">
        <is>
          <t>Tabiques, trasdosados y techos continuos interiores</t>
        </is>
      </c>
      <c r="X12" t="inlineStr">
        <is>
          <t>SI</t>
        </is>
      </c>
      <c r="Y12" t="inlineStr">
        <is>
          <t>SI</t>
        </is>
      </c>
    </row>
    <row r="13">
      <c r="A13" t="inlineStr">
        <is>
          <t>PLACAS</t>
        </is>
      </c>
      <c r="B13" t="inlineStr">
        <is>
          <t>STD</t>
        </is>
      </c>
      <c r="C13" t="inlineStr">
        <is>
          <t>STD BA 13mm 1200×2600</t>
        </is>
      </c>
      <c r="D13" t="inlineStr">
        <is>
          <t>P00A003260A0</t>
        </is>
      </c>
      <c r="E13" t="inlineStr">
        <is>
          <t>EN 520</t>
        </is>
      </c>
      <c r="F13" t="n">
        <v>1200</v>
      </c>
      <c r="G13" t="n">
        <v>12.5</v>
      </c>
      <c r="H13" t="n">
        <v>2600</v>
      </c>
      <c r="I13">
        <f>F13*H13/1000000</f>
        <v/>
      </c>
      <c r="J13" t="n">
        <v>8.699999999999999</v>
      </c>
      <c r="K13">
        <f>I13*J13</f>
        <v/>
      </c>
      <c r="L13" t="n">
        <v>48</v>
      </c>
      <c r="M13">
        <f>I13*L13</f>
        <v/>
      </c>
      <c r="N13">
        <f>K13*L13+32</f>
        <v/>
      </c>
      <c r="O13" t="inlineStr">
        <is>
          <t>Placa</t>
        </is>
      </c>
      <c r="P13" t="inlineStr">
        <is>
          <t>Palé</t>
        </is>
      </c>
      <c r="Q13" t="n">
        <v>4.03</v>
      </c>
      <c r="R13" t="inlineStr">
        <is>
          <t>€/m²</t>
        </is>
      </c>
      <c r="S13" t="n">
        <v>0.5</v>
      </c>
      <c r="T13">
        <f>Q13*S13</f>
        <v/>
      </c>
      <c r="U13" t="inlineStr">
        <is>
          <t>6809.11.00</t>
        </is>
      </c>
      <c r="W13" t="inlineStr">
        <is>
          <t>Tabiques, trasdosados y techos continuos interiores</t>
        </is>
      </c>
      <c r="X13" t="inlineStr">
        <is>
          <t>SI</t>
        </is>
      </c>
      <c r="Y13" t="inlineStr">
        <is>
          <t>SI</t>
        </is>
      </c>
    </row>
    <row r="14">
      <c r="A14" t="inlineStr">
        <is>
          <t>PLACAS</t>
        </is>
      </c>
      <c r="B14" t="inlineStr">
        <is>
          <t>STD</t>
        </is>
      </c>
      <c r="C14" t="inlineStr">
        <is>
          <t>STD BA 13mm 1200×2700</t>
        </is>
      </c>
      <c r="D14" t="inlineStr">
        <is>
          <t>P00A003270A0</t>
        </is>
      </c>
      <c r="E14" t="inlineStr">
        <is>
          <t>EN 520</t>
        </is>
      </c>
      <c r="F14" t="n">
        <v>1200</v>
      </c>
      <c r="G14" t="n">
        <v>12.5</v>
      </c>
      <c r="H14" t="n">
        <v>2700</v>
      </c>
      <c r="I14">
        <f>F14*H14/1000000</f>
        <v/>
      </c>
      <c r="J14" t="n">
        <v>8.699999999999999</v>
      </c>
      <c r="K14">
        <f>I14*J14</f>
        <v/>
      </c>
      <c r="L14" t="n">
        <v>48</v>
      </c>
      <c r="M14">
        <f>I14*L14</f>
        <v/>
      </c>
      <c r="N14">
        <f>K14*L14+32</f>
        <v/>
      </c>
      <c r="O14" t="inlineStr">
        <is>
          <t>Placa</t>
        </is>
      </c>
      <c r="P14" t="inlineStr">
        <is>
          <t>Palé</t>
        </is>
      </c>
      <c r="Q14" t="n">
        <v>4.03</v>
      </c>
      <c r="R14" t="inlineStr">
        <is>
          <t>€/m²</t>
        </is>
      </c>
      <c r="S14" t="n">
        <v>0.5</v>
      </c>
      <c r="T14">
        <f>Q14*S14</f>
        <v/>
      </c>
      <c r="U14" t="inlineStr">
        <is>
          <t>6809.11.00</t>
        </is>
      </c>
      <c r="W14" t="inlineStr">
        <is>
          <t>Tabiques, trasdosados y techos continuos interiores</t>
        </is>
      </c>
      <c r="X14" t="inlineStr">
        <is>
          <t>SI</t>
        </is>
      </c>
      <c r="Y14" t="inlineStr">
        <is>
          <t>SI</t>
        </is>
      </c>
    </row>
    <row r="15">
      <c r="A15" t="inlineStr">
        <is>
          <t>PLACAS</t>
        </is>
      </c>
      <c r="B15" t="inlineStr">
        <is>
          <t>STD</t>
        </is>
      </c>
      <c r="C15" t="inlineStr">
        <is>
          <t>STD BA 13mm 1200×2800</t>
        </is>
      </c>
      <c r="D15" t="inlineStr">
        <is>
          <t>P00A003280A0</t>
        </is>
      </c>
      <c r="E15" t="inlineStr">
        <is>
          <t>EN 520</t>
        </is>
      </c>
      <c r="F15" t="n">
        <v>1200</v>
      </c>
      <c r="G15" t="n">
        <v>12.5</v>
      </c>
      <c r="H15" t="n">
        <v>2800</v>
      </c>
      <c r="I15">
        <f>F15*H15/1000000</f>
        <v/>
      </c>
      <c r="J15" t="n">
        <v>8.699999999999999</v>
      </c>
      <c r="K15">
        <f>I15*J15</f>
        <v/>
      </c>
      <c r="L15" t="n">
        <v>48</v>
      </c>
      <c r="M15">
        <f>I15*L15</f>
        <v/>
      </c>
      <c r="N15">
        <f>K15*L15+32</f>
        <v/>
      </c>
      <c r="O15" t="inlineStr">
        <is>
          <t>Placa</t>
        </is>
      </c>
      <c r="P15" t="inlineStr">
        <is>
          <t>Palé</t>
        </is>
      </c>
      <c r="Q15" t="n">
        <v>4.03</v>
      </c>
      <c r="R15" t="inlineStr">
        <is>
          <t>€/m²</t>
        </is>
      </c>
      <c r="S15" t="n">
        <v>0.5</v>
      </c>
      <c r="T15">
        <f>Q15*S15</f>
        <v/>
      </c>
      <c r="U15" t="inlineStr">
        <is>
          <t>6809.11.00</t>
        </is>
      </c>
      <c r="W15" t="inlineStr">
        <is>
          <t>Tabiques, trasdosados y techos continuos interiores</t>
        </is>
      </c>
      <c r="X15" t="inlineStr">
        <is>
          <t>SI</t>
        </is>
      </c>
      <c r="Y15" t="inlineStr">
        <is>
          <t>SI</t>
        </is>
      </c>
    </row>
    <row r="16">
      <c r="A16" t="inlineStr">
        <is>
          <t>PLACAS</t>
        </is>
      </c>
      <c r="B16" t="inlineStr">
        <is>
          <t>STD</t>
        </is>
      </c>
      <c r="C16" t="inlineStr">
        <is>
          <t>STD BA 13mm 1200×3000</t>
        </is>
      </c>
      <c r="D16" t="inlineStr">
        <is>
          <t>P00A003300A0</t>
        </is>
      </c>
      <c r="E16" t="inlineStr">
        <is>
          <t>EN 520</t>
        </is>
      </c>
      <c r="F16" t="n">
        <v>1200</v>
      </c>
      <c r="G16" t="n">
        <v>12.5</v>
      </c>
      <c r="H16" t="n">
        <v>3000</v>
      </c>
      <c r="I16">
        <f>F16*H16/1000000</f>
        <v/>
      </c>
      <c r="J16" t="n">
        <v>8.699999999999999</v>
      </c>
      <c r="K16">
        <f>I16*J16</f>
        <v/>
      </c>
      <c r="L16" t="n">
        <v>36</v>
      </c>
      <c r="M16">
        <f>I16*L16</f>
        <v/>
      </c>
      <c r="N16">
        <f>K16*L16+32</f>
        <v/>
      </c>
      <c r="O16" t="inlineStr">
        <is>
          <t>Placa</t>
        </is>
      </c>
      <c r="P16" t="inlineStr">
        <is>
          <t>Palé</t>
        </is>
      </c>
      <c r="Q16" t="n">
        <v>4.03</v>
      </c>
      <c r="R16" t="inlineStr">
        <is>
          <t>€/m²</t>
        </is>
      </c>
      <c r="S16" t="n">
        <v>0.5</v>
      </c>
      <c r="T16">
        <f>Q16*S16</f>
        <v/>
      </c>
      <c r="U16" t="inlineStr">
        <is>
          <t>6809.11.00</t>
        </is>
      </c>
      <c r="W16" t="inlineStr">
        <is>
          <t>Tabiques, trasdosados y techos continuos interiores</t>
        </is>
      </c>
      <c r="X16" t="inlineStr">
        <is>
          <t>SI</t>
        </is>
      </c>
      <c r="Y16" t="inlineStr">
        <is>
          <t>SI</t>
        </is>
      </c>
    </row>
    <row r="17">
      <c r="A17" t="inlineStr">
        <is>
          <t>PLACAS</t>
        </is>
      </c>
      <c r="B17" t="inlineStr">
        <is>
          <t>STD</t>
        </is>
      </c>
      <c r="C17" t="inlineStr">
        <is>
          <t>STD BA 13mm 1200×3200</t>
        </is>
      </c>
      <c r="D17" t="inlineStr">
        <is>
          <t>P00A003320A0</t>
        </is>
      </c>
      <c r="E17" t="inlineStr">
        <is>
          <t>EN 520</t>
        </is>
      </c>
      <c r="F17" t="n">
        <v>1200</v>
      </c>
      <c r="G17" t="n">
        <v>12.5</v>
      </c>
      <c r="H17" t="n">
        <v>3200</v>
      </c>
      <c r="I17">
        <f>F17*H17/1000000</f>
        <v/>
      </c>
      <c r="J17" t="n">
        <v>8.699999999999999</v>
      </c>
      <c r="K17">
        <f>I17*J17</f>
        <v/>
      </c>
      <c r="L17" t="n">
        <v>36</v>
      </c>
      <c r="M17">
        <f>I17*L17</f>
        <v/>
      </c>
      <c r="N17">
        <f>K17*L17+32</f>
        <v/>
      </c>
      <c r="O17" t="inlineStr">
        <is>
          <t>Placa</t>
        </is>
      </c>
      <c r="P17" t="inlineStr">
        <is>
          <t>Palé</t>
        </is>
      </c>
      <c r="Q17" t="n">
        <v>4.03</v>
      </c>
      <c r="R17" t="inlineStr">
        <is>
          <t>€/m²</t>
        </is>
      </c>
      <c r="S17" t="n">
        <v>0.5</v>
      </c>
      <c r="T17">
        <f>Q17*S17</f>
        <v/>
      </c>
      <c r="U17" t="inlineStr">
        <is>
          <t>6809.11.00</t>
        </is>
      </c>
      <c r="W17" t="inlineStr">
        <is>
          <t>Tabiques, trasdosados y techos continuos interiores</t>
        </is>
      </c>
      <c r="X17" t="inlineStr">
        <is>
          <t>SI</t>
        </is>
      </c>
      <c r="Y17" t="inlineStr">
        <is>
          <t>SI</t>
        </is>
      </c>
    </row>
    <row r="18">
      <c r="A18" t="inlineStr">
        <is>
          <t>PLACAS</t>
        </is>
      </c>
      <c r="B18" t="inlineStr">
        <is>
          <t>STD</t>
        </is>
      </c>
      <c r="C18" t="inlineStr">
        <is>
          <t>STD BA 13mm 1200×3600</t>
        </is>
      </c>
      <c r="D18" t="inlineStr">
        <is>
          <t>P00A003360A0</t>
        </is>
      </c>
      <c r="E18" t="inlineStr">
        <is>
          <t>EN 520</t>
        </is>
      </c>
      <c r="F18" t="n">
        <v>1200</v>
      </c>
      <c r="G18" t="n">
        <v>12.5</v>
      </c>
      <c r="H18" t="n">
        <v>3600</v>
      </c>
      <c r="I18">
        <f>F18*H18/1000000</f>
        <v/>
      </c>
      <c r="J18" t="n">
        <v>8.699999999999999</v>
      </c>
      <c r="K18">
        <f>I18*J18</f>
        <v/>
      </c>
      <c r="L18" t="n">
        <v>36</v>
      </c>
      <c r="M18">
        <f>I18*L18</f>
        <v/>
      </c>
      <c r="N18">
        <f>K18*L18+32</f>
        <v/>
      </c>
      <c r="O18" t="inlineStr">
        <is>
          <t>Placa</t>
        </is>
      </c>
      <c r="P18" t="inlineStr">
        <is>
          <t>Palé</t>
        </is>
      </c>
      <c r="Q18" t="n">
        <v>4.03</v>
      </c>
      <c r="R18" t="inlineStr">
        <is>
          <t>€/m²</t>
        </is>
      </c>
      <c r="S18" t="n">
        <v>0.5</v>
      </c>
      <c r="T18">
        <f>Q18*S18</f>
        <v/>
      </c>
      <c r="U18" t="inlineStr">
        <is>
          <t>6809.11.00</t>
        </is>
      </c>
      <c r="W18" t="inlineStr">
        <is>
          <t>Tabiques, trasdosados y techos continuos interiores</t>
        </is>
      </c>
      <c r="X18" t="inlineStr">
        <is>
          <t>SI</t>
        </is>
      </c>
      <c r="Y18" t="inlineStr">
        <is>
          <t>SI</t>
        </is>
      </c>
    </row>
    <row r="19">
      <c r="A19" t="inlineStr">
        <is>
          <t>PLACAS</t>
        </is>
      </c>
      <c r="B19" t="inlineStr">
        <is>
          <t>STD</t>
        </is>
      </c>
      <c r="C19" t="inlineStr">
        <is>
          <t>STD BA 15mm 1200×2000</t>
        </is>
      </c>
      <c r="D19" t="inlineStr">
        <is>
          <t>P00A005200A0</t>
        </is>
      </c>
      <c r="E19" t="inlineStr">
        <is>
          <t>EN 520</t>
        </is>
      </c>
      <c r="F19" t="n">
        <v>1200</v>
      </c>
      <c r="G19" t="n">
        <v>15</v>
      </c>
      <c r="H19" t="n">
        <v>2000</v>
      </c>
      <c r="I19">
        <f>F19*H19/1000000</f>
        <v/>
      </c>
      <c r="J19" t="n">
        <v>11.6</v>
      </c>
      <c r="K19">
        <f>I19*J19</f>
        <v/>
      </c>
      <c r="L19" t="n">
        <v>48</v>
      </c>
      <c r="M19">
        <f>I19*L19</f>
        <v/>
      </c>
      <c r="N19">
        <f>K19*L19+32</f>
        <v/>
      </c>
      <c r="O19" t="inlineStr">
        <is>
          <t>Placa</t>
        </is>
      </c>
      <c r="P19" t="inlineStr">
        <is>
          <t>Palé</t>
        </is>
      </c>
      <c r="Q19" t="n">
        <v>4.71</v>
      </c>
      <c r="R19" t="inlineStr">
        <is>
          <t>€/m²</t>
        </is>
      </c>
      <c r="S19" t="n">
        <v>0.5</v>
      </c>
      <c r="T19">
        <f>Q19*S19</f>
        <v/>
      </c>
      <c r="U19" t="inlineStr">
        <is>
          <t>6809.11.00</t>
        </is>
      </c>
      <c r="W19" t="inlineStr">
        <is>
          <t>Tabiques, trasdosados y techos continuos interiores</t>
        </is>
      </c>
      <c r="X19" t="inlineStr">
        <is>
          <t>SI</t>
        </is>
      </c>
      <c r="Y19" t="inlineStr">
        <is>
          <t>SI</t>
        </is>
      </c>
    </row>
    <row r="20">
      <c r="A20" t="inlineStr">
        <is>
          <t>PLACAS</t>
        </is>
      </c>
      <c r="B20" t="inlineStr">
        <is>
          <t>STD</t>
        </is>
      </c>
      <c r="C20" t="inlineStr">
        <is>
          <t>STD BA 15mm 1200×2500</t>
        </is>
      </c>
      <c r="D20" t="inlineStr">
        <is>
          <t>P00A005250A0</t>
        </is>
      </c>
      <c r="E20" t="inlineStr">
        <is>
          <t>EN 520</t>
        </is>
      </c>
      <c r="F20" t="n">
        <v>1200</v>
      </c>
      <c r="G20" t="n">
        <v>15</v>
      </c>
      <c r="H20" t="n">
        <v>2500</v>
      </c>
      <c r="I20">
        <f>F20*H20/1000000</f>
        <v/>
      </c>
      <c r="J20" t="n">
        <v>11.6</v>
      </c>
      <c r="K20">
        <f>I20*J20</f>
        <v/>
      </c>
      <c r="L20" t="n">
        <v>36</v>
      </c>
      <c r="M20">
        <f>I20*L20</f>
        <v/>
      </c>
      <c r="N20">
        <f>K20*L20+32</f>
        <v/>
      </c>
      <c r="O20" t="inlineStr">
        <is>
          <t>Placa</t>
        </is>
      </c>
      <c r="P20" t="inlineStr">
        <is>
          <t>Palé</t>
        </is>
      </c>
      <c r="Q20" t="n">
        <v>4.71</v>
      </c>
      <c r="R20" t="inlineStr">
        <is>
          <t>€/m²</t>
        </is>
      </c>
      <c r="S20" t="n">
        <v>0.5</v>
      </c>
      <c r="T20">
        <f>Q20*S20</f>
        <v/>
      </c>
      <c r="U20" t="inlineStr">
        <is>
          <t>6809.11.00</t>
        </is>
      </c>
      <c r="W20" t="inlineStr">
        <is>
          <t>Tabiques, trasdosados y techos continuos interiores</t>
        </is>
      </c>
      <c r="X20" t="inlineStr">
        <is>
          <t>SI</t>
        </is>
      </c>
      <c r="Y20" t="inlineStr">
        <is>
          <t>SI</t>
        </is>
      </c>
    </row>
    <row r="21">
      <c r="A21" t="inlineStr">
        <is>
          <t>PLACAS</t>
        </is>
      </c>
      <c r="B21" t="inlineStr">
        <is>
          <t>STD</t>
        </is>
      </c>
      <c r="C21" t="inlineStr">
        <is>
          <t>STD BA 15mm 1200×2600</t>
        </is>
      </c>
      <c r="D21" t="inlineStr">
        <is>
          <t>P00A005260A0</t>
        </is>
      </c>
      <c r="E21" t="inlineStr">
        <is>
          <t>EN 520</t>
        </is>
      </c>
      <c r="F21" t="n">
        <v>1200</v>
      </c>
      <c r="G21" t="n">
        <v>15</v>
      </c>
      <c r="H21" t="n">
        <v>2600</v>
      </c>
      <c r="I21">
        <f>F21*H21/1000000</f>
        <v/>
      </c>
      <c r="J21" t="n">
        <v>11.6</v>
      </c>
      <c r="K21">
        <f>I21*J21</f>
        <v/>
      </c>
      <c r="L21" t="n">
        <v>36</v>
      </c>
      <c r="M21">
        <f>I21*L21</f>
        <v/>
      </c>
      <c r="N21">
        <f>K21*L21+32</f>
        <v/>
      </c>
      <c r="O21" t="inlineStr">
        <is>
          <t>Placa</t>
        </is>
      </c>
      <c r="P21" t="inlineStr">
        <is>
          <t>Palé</t>
        </is>
      </c>
      <c r="Q21" t="n">
        <v>4.71</v>
      </c>
      <c r="R21" t="inlineStr">
        <is>
          <t>€/m²</t>
        </is>
      </c>
      <c r="S21" t="n">
        <v>0.5</v>
      </c>
      <c r="T21">
        <f>Q21*S21</f>
        <v/>
      </c>
      <c r="U21" t="inlineStr">
        <is>
          <t>6809.11.00</t>
        </is>
      </c>
      <c r="W21" t="inlineStr">
        <is>
          <t>Tabiques, trasdosados y techos continuos interiores</t>
        </is>
      </c>
      <c r="X21" t="inlineStr">
        <is>
          <t>SI</t>
        </is>
      </c>
      <c r="Y21" t="inlineStr">
        <is>
          <t>SI</t>
        </is>
      </c>
    </row>
    <row r="22">
      <c r="A22" t="inlineStr">
        <is>
          <t>PLACAS</t>
        </is>
      </c>
      <c r="B22" t="inlineStr">
        <is>
          <t>STD</t>
        </is>
      </c>
      <c r="C22" t="inlineStr">
        <is>
          <t>STD BA 15mm 1200×3000</t>
        </is>
      </c>
      <c r="D22" t="inlineStr">
        <is>
          <t>P00A005300A0</t>
        </is>
      </c>
      <c r="E22" t="inlineStr">
        <is>
          <t>EN 520</t>
        </is>
      </c>
      <c r="F22" t="n">
        <v>1200</v>
      </c>
      <c r="G22" t="n">
        <v>15</v>
      </c>
      <c r="H22" t="n">
        <v>3000</v>
      </c>
      <c r="I22">
        <f>F22*H22/1000000</f>
        <v/>
      </c>
      <c r="J22" t="n">
        <v>11.6</v>
      </c>
      <c r="K22">
        <f>I22*J22</f>
        <v/>
      </c>
      <c r="L22" t="n">
        <v>24</v>
      </c>
      <c r="M22">
        <f>I22*L22</f>
        <v/>
      </c>
      <c r="N22">
        <f>K22*L22+32</f>
        <v/>
      </c>
      <c r="O22" t="inlineStr">
        <is>
          <t>Placa</t>
        </is>
      </c>
      <c r="P22" t="inlineStr">
        <is>
          <t>Palé</t>
        </is>
      </c>
      <c r="Q22" t="n">
        <v>4.71</v>
      </c>
      <c r="R22" t="inlineStr">
        <is>
          <t>€/m²</t>
        </is>
      </c>
      <c r="S22" t="n">
        <v>0.5</v>
      </c>
      <c r="T22">
        <f>Q22*S22</f>
        <v/>
      </c>
      <c r="U22" t="inlineStr">
        <is>
          <t>6809.11.00</t>
        </is>
      </c>
      <c r="W22" t="inlineStr">
        <is>
          <t>Tabiques, trasdosados y techos continuos interiores</t>
        </is>
      </c>
      <c r="X22" t="inlineStr">
        <is>
          <t>SI</t>
        </is>
      </c>
      <c r="Y22" t="inlineStr">
        <is>
          <t>SI</t>
        </is>
      </c>
    </row>
    <row r="23">
      <c r="A23" t="inlineStr">
        <is>
          <t>PLACAS</t>
        </is>
      </c>
      <c r="B23" t="inlineStr">
        <is>
          <t>STD</t>
        </is>
      </c>
      <c r="C23" t="inlineStr">
        <is>
          <t>STD BA 18mm 1200×2500</t>
        </is>
      </c>
      <c r="D23" t="inlineStr">
        <is>
          <t>P00A008250A0</t>
        </is>
      </c>
      <c r="E23" t="inlineStr">
        <is>
          <t>EN 520</t>
        </is>
      </c>
      <c r="F23" t="n">
        <v>1200</v>
      </c>
      <c r="G23" t="n">
        <v>18</v>
      </c>
      <c r="H23" t="n">
        <v>2500</v>
      </c>
      <c r="I23">
        <f>F23*H23/1000000</f>
        <v/>
      </c>
      <c r="J23" t="n">
        <v>14.2</v>
      </c>
      <c r="K23">
        <f>I23*J23</f>
        <v/>
      </c>
      <c r="L23" t="n">
        <v>24</v>
      </c>
      <c r="M23">
        <f>I23*L23</f>
        <v/>
      </c>
      <c r="N23">
        <f>K23*L23+32</f>
        <v/>
      </c>
      <c r="O23" t="inlineStr">
        <is>
          <t>Placa</t>
        </is>
      </c>
      <c r="P23" t="inlineStr">
        <is>
          <t>Palé</t>
        </is>
      </c>
      <c r="Q23" t="n">
        <v>5.99</v>
      </c>
      <c r="R23" t="inlineStr">
        <is>
          <t>€/m²</t>
        </is>
      </c>
      <c r="S23" t="n">
        <v>0.5</v>
      </c>
      <c r="T23">
        <f>Q23*S23</f>
        <v/>
      </c>
      <c r="U23" t="inlineStr">
        <is>
          <t>6809.11.00</t>
        </is>
      </c>
      <c r="W23" t="inlineStr">
        <is>
          <t>Tabiques, trasdosados y techos continuos interiores</t>
        </is>
      </c>
      <c r="X23" t="inlineStr">
        <is>
          <t>SI</t>
        </is>
      </c>
      <c r="Y23" t="inlineStr">
        <is>
          <t>SI</t>
        </is>
      </c>
    </row>
    <row r="24">
      <c r="A24" t="inlineStr">
        <is>
          <t>PLACAS</t>
        </is>
      </c>
      <c r="B24" t="inlineStr">
        <is>
          <t>STD</t>
        </is>
      </c>
      <c r="C24" t="inlineStr">
        <is>
          <t>STD BA 18mm 1200×2600</t>
        </is>
      </c>
      <c r="D24" t="inlineStr">
        <is>
          <t>P00A008260A0</t>
        </is>
      </c>
      <c r="E24" t="inlineStr">
        <is>
          <t>EN 520</t>
        </is>
      </c>
      <c r="F24" t="n">
        <v>1200</v>
      </c>
      <c r="G24" t="n">
        <v>18</v>
      </c>
      <c r="H24" t="n">
        <v>2600</v>
      </c>
      <c r="I24">
        <f>F24*H24/1000000</f>
        <v/>
      </c>
      <c r="J24" t="n">
        <v>14.2</v>
      </c>
      <c r="K24">
        <f>I24*J24</f>
        <v/>
      </c>
      <c r="L24" t="n">
        <v>24</v>
      </c>
      <c r="M24">
        <f>I24*L24</f>
        <v/>
      </c>
      <c r="N24">
        <f>K24*L24+32</f>
        <v/>
      </c>
      <c r="O24" t="inlineStr">
        <is>
          <t>Placa</t>
        </is>
      </c>
      <c r="P24" t="inlineStr">
        <is>
          <t>Palé</t>
        </is>
      </c>
      <c r="Q24" t="n">
        <v>5.99</v>
      </c>
      <c r="R24" t="inlineStr">
        <is>
          <t>€/m²</t>
        </is>
      </c>
      <c r="S24" t="n">
        <v>0.5</v>
      </c>
      <c r="T24">
        <f>Q24*S24</f>
        <v/>
      </c>
      <c r="U24" t="inlineStr">
        <is>
          <t>6809.11.00</t>
        </is>
      </c>
      <c r="W24" t="inlineStr">
        <is>
          <t>Tabiques, trasdosados y techos continuos interiores</t>
        </is>
      </c>
      <c r="X24" t="inlineStr">
        <is>
          <t>SI</t>
        </is>
      </c>
      <c r="Y24" t="inlineStr">
        <is>
          <t>SI</t>
        </is>
      </c>
    </row>
    <row r="25">
      <c r="A25" t="inlineStr">
        <is>
          <t>PLACAS</t>
        </is>
      </c>
      <c r="B25" t="inlineStr">
        <is>
          <t>STD</t>
        </is>
      </c>
      <c r="C25" t="inlineStr">
        <is>
          <t>STD BA 18mm 1200×3000</t>
        </is>
      </c>
      <c r="D25" t="inlineStr">
        <is>
          <t>P00A008300A0</t>
        </is>
      </c>
      <c r="E25" t="inlineStr">
        <is>
          <t>EN 520</t>
        </is>
      </c>
      <c r="F25" t="n">
        <v>1200</v>
      </c>
      <c r="G25" t="n">
        <v>18</v>
      </c>
      <c r="H25" t="n">
        <v>3000</v>
      </c>
      <c r="I25">
        <f>F25*H25/1000000</f>
        <v/>
      </c>
      <c r="J25" t="n">
        <v>14.2</v>
      </c>
      <c r="K25">
        <f>I25*J25</f>
        <v/>
      </c>
      <c r="L25" t="n">
        <v>24</v>
      </c>
      <c r="M25">
        <f>I25*L25</f>
        <v/>
      </c>
      <c r="N25">
        <f>K25*L25+32</f>
        <v/>
      </c>
      <c r="O25" t="inlineStr">
        <is>
          <t>Placa</t>
        </is>
      </c>
      <c r="P25" t="inlineStr">
        <is>
          <t>Palé</t>
        </is>
      </c>
      <c r="Q25" t="n">
        <v>5.99</v>
      </c>
      <c r="R25" t="inlineStr">
        <is>
          <t>€/m²</t>
        </is>
      </c>
      <c r="S25" t="n">
        <v>0.5</v>
      </c>
      <c r="T25">
        <f>Q25*S25</f>
        <v/>
      </c>
      <c r="U25" t="inlineStr">
        <is>
          <t>6809.11.00</t>
        </is>
      </c>
      <c r="W25" t="inlineStr">
        <is>
          <t>Tabiques, trasdosados y techos continuos interiores</t>
        </is>
      </c>
      <c r="X25" t="inlineStr">
        <is>
          <t>SI</t>
        </is>
      </c>
      <c r="Y25" t="inlineStr">
        <is>
          <t>SI</t>
        </is>
      </c>
    </row>
    <row r="26">
      <c r="A26" t="inlineStr">
        <is>
          <t>PLACAS</t>
        </is>
      </c>
      <c r="B26" t="inlineStr">
        <is>
          <t>STD Zero</t>
        </is>
      </c>
      <c r="C26" t="inlineStr">
        <is>
          <t>STD Zero BA 13mm 1200×2000</t>
        </is>
      </c>
      <c r="D26" t="inlineStr">
        <is>
          <t>P00AZ03200A0</t>
        </is>
      </c>
      <c r="E26" t="inlineStr">
        <is>
          <t>EN 520</t>
        </is>
      </c>
      <c r="F26" t="n">
        <v>1200</v>
      </c>
      <c r="G26" t="n">
        <v>12.5</v>
      </c>
      <c r="H26" t="n">
        <v>2000</v>
      </c>
      <c r="I26">
        <f>F26*H26/1000000</f>
        <v/>
      </c>
      <c r="J26" t="n">
        <v>8.699999999999999</v>
      </c>
      <c r="K26">
        <f>I26*J26</f>
        <v/>
      </c>
      <c r="O26" t="inlineStr">
        <is>
          <t>Placa</t>
        </is>
      </c>
      <c r="P26" t="inlineStr">
        <is>
          <t>Palé</t>
        </is>
      </c>
      <c r="Q26" t="n">
        <v>17.6</v>
      </c>
      <c r="R26" t="inlineStr">
        <is>
          <t>€/m²</t>
        </is>
      </c>
      <c r="S26" t="n">
        <v>0.5</v>
      </c>
      <c r="T26">
        <f>Q26*S26</f>
        <v/>
      </c>
      <c r="U26" t="inlineStr">
        <is>
          <t>6809.11.00</t>
        </is>
      </c>
      <c r="W26" t="inlineStr">
        <is>
          <t>Tabiques trasdosados techos — Euroclase A1 reacción al fuego</t>
        </is>
      </c>
      <c r="X26" t="inlineStr">
        <is>
          <t>SI</t>
        </is>
      </c>
      <c r="Y26" t="inlineStr">
        <is>
          <t>Solo Calliano</t>
        </is>
      </c>
      <c r="Z26" t="inlineStr">
        <is>
          <t>Solo disponible desde Calliano — no en Tarancón</t>
        </is>
      </c>
    </row>
    <row r="27">
      <c r="A27" t="inlineStr">
        <is>
          <t>PLACAS</t>
        </is>
      </c>
      <c r="B27" t="inlineStr">
        <is>
          <t>STD Zero</t>
        </is>
      </c>
      <c r="C27" t="inlineStr">
        <is>
          <t>STD Zero BA 13mm 1200×3000</t>
        </is>
      </c>
      <c r="D27" t="inlineStr">
        <is>
          <t>P00AZ03300A2</t>
        </is>
      </c>
      <c r="E27" t="inlineStr">
        <is>
          <t>EN 520</t>
        </is>
      </c>
      <c r="F27" t="n">
        <v>1200</v>
      </c>
      <c r="G27" t="n">
        <v>12.5</v>
      </c>
      <c r="H27" t="n">
        <v>3000</v>
      </c>
      <c r="I27">
        <f>F27*H27/1000000</f>
        <v/>
      </c>
      <c r="J27" t="n">
        <v>8.699999999999999</v>
      </c>
      <c r="K27">
        <f>I27*J27</f>
        <v/>
      </c>
      <c r="O27" t="inlineStr">
        <is>
          <t>Placa</t>
        </is>
      </c>
      <c r="P27" t="inlineStr">
        <is>
          <t>Palé</t>
        </is>
      </c>
      <c r="Q27" t="n">
        <v>17.6</v>
      </c>
      <c r="R27" t="inlineStr">
        <is>
          <t>€/m²</t>
        </is>
      </c>
      <c r="S27" t="n">
        <v>0.5</v>
      </c>
      <c r="T27">
        <f>Q27*S27</f>
        <v/>
      </c>
      <c r="U27" t="inlineStr">
        <is>
          <t>6809.11.00</t>
        </is>
      </c>
      <c r="W27" t="inlineStr">
        <is>
          <t>Tabiques trasdosados techos — Euroclase A1 reacción al fuego</t>
        </is>
      </c>
      <c r="X27" t="inlineStr">
        <is>
          <t>SI</t>
        </is>
      </c>
      <c r="Y27" t="inlineStr">
        <is>
          <t>Solo Calliano</t>
        </is>
      </c>
      <c r="Z27" t="inlineStr">
        <is>
          <t>Solo disponible desde Calliano — no en Tarancón</t>
        </is>
      </c>
    </row>
    <row r="28">
      <c r="A28" t="inlineStr">
        <is>
          <t>PLACAS</t>
        </is>
      </c>
      <c r="B28" t="inlineStr">
        <is>
          <t>STD Zero</t>
        </is>
      </c>
      <c r="C28" t="inlineStr">
        <is>
          <t>STD Zero BA 15mm 1200×3000</t>
        </is>
      </c>
      <c r="D28" t="inlineStr">
        <is>
          <t>P00AZ05300A2</t>
        </is>
      </c>
      <c r="E28" t="inlineStr">
        <is>
          <t>EN 520</t>
        </is>
      </c>
      <c r="F28" t="n">
        <v>1200</v>
      </c>
      <c r="G28" t="n">
        <v>15</v>
      </c>
      <c r="H28" t="n">
        <v>3000</v>
      </c>
      <c r="I28">
        <f>F28*H28/1000000</f>
        <v/>
      </c>
      <c r="J28" t="n">
        <v>11.6</v>
      </c>
      <c r="K28">
        <f>I28*J28</f>
        <v/>
      </c>
      <c r="O28" t="inlineStr">
        <is>
          <t>Placa</t>
        </is>
      </c>
      <c r="P28" t="inlineStr">
        <is>
          <t>Palé</t>
        </is>
      </c>
      <c r="Q28" t="n">
        <v>20.5</v>
      </c>
      <c r="R28" t="inlineStr">
        <is>
          <t>€/m²</t>
        </is>
      </c>
      <c r="S28" t="n">
        <v>0.5</v>
      </c>
      <c r="T28">
        <f>Q28*S28</f>
        <v/>
      </c>
      <c r="U28" t="inlineStr">
        <is>
          <t>6809.11.00</t>
        </is>
      </c>
      <c r="W28" t="inlineStr">
        <is>
          <t>Tabiques trasdosados techos — Euroclase A1 reacción al fuego</t>
        </is>
      </c>
      <c r="X28" t="inlineStr">
        <is>
          <t>SI</t>
        </is>
      </c>
      <c r="Y28" t="inlineStr">
        <is>
          <t>Solo Calliano</t>
        </is>
      </c>
      <c r="Z28" t="inlineStr">
        <is>
          <t>Solo disponible desde Calliano — no en Tarancón</t>
        </is>
      </c>
    </row>
    <row r="29">
      <c r="A29" t="inlineStr">
        <is>
          <t>PLACAS</t>
        </is>
      </c>
      <c r="B29" t="inlineStr">
        <is>
          <t>SIMPLY</t>
        </is>
      </c>
      <c r="C29" t="inlineStr">
        <is>
          <t>GypsoSIMPLY BA 13mm 1200×2000</t>
        </is>
      </c>
      <c r="D29" t="inlineStr">
        <is>
          <t>P00Y003200A0</t>
        </is>
      </c>
      <c r="E29" t="inlineStr">
        <is>
          <t>EN 520</t>
        </is>
      </c>
      <c r="F29" t="n">
        <v>1200</v>
      </c>
      <c r="G29" t="n">
        <v>12.5</v>
      </c>
      <c r="H29" t="n">
        <v>2000</v>
      </c>
      <c r="I29">
        <f>F29*H29/1000000</f>
        <v/>
      </c>
      <c r="J29" t="n">
        <v>7.8</v>
      </c>
      <c r="K29">
        <f>I29*J29</f>
        <v/>
      </c>
      <c r="L29" t="n">
        <v>72</v>
      </c>
      <c r="M29">
        <f>I29*L29</f>
        <v/>
      </c>
      <c r="N29">
        <f>K29*L29+32</f>
        <v/>
      </c>
      <c r="O29" t="inlineStr">
        <is>
          <t>Placa</t>
        </is>
      </c>
      <c r="P29" t="inlineStr">
        <is>
          <t>Palé</t>
        </is>
      </c>
      <c r="Q29" t="n">
        <v>4.63</v>
      </c>
      <c r="R29" t="inlineStr">
        <is>
          <t>€/m²</t>
        </is>
      </c>
      <c r="S29" t="n">
        <v>0.5</v>
      </c>
      <c r="T29">
        <f>Q29*S29</f>
        <v/>
      </c>
      <c r="U29" t="inlineStr">
        <is>
          <t>6809.11.00</t>
        </is>
      </c>
      <c r="W29" t="inlineStr">
        <is>
          <t>Placa aligerada — mismas prestaciones que STD con menor peso</t>
        </is>
      </c>
      <c r="X29" t="inlineStr">
        <is>
          <t>SI</t>
        </is>
      </c>
      <c r="Y29" t="inlineStr">
        <is>
          <t>SI</t>
        </is>
      </c>
    </row>
    <row r="30">
      <c r="A30" t="inlineStr">
        <is>
          <t>PLACAS</t>
        </is>
      </c>
      <c r="B30" t="inlineStr">
        <is>
          <t>SIMPLY</t>
        </is>
      </c>
      <c r="C30" t="inlineStr">
        <is>
          <t>GypsoSIMPLY BA 13mm 1200×2500</t>
        </is>
      </c>
      <c r="D30" t="inlineStr">
        <is>
          <t>P00Y003250A0</t>
        </is>
      </c>
      <c r="E30" t="inlineStr">
        <is>
          <t>EN 520</t>
        </is>
      </c>
      <c r="F30" t="n">
        <v>1200</v>
      </c>
      <c r="G30" t="n">
        <v>12.5</v>
      </c>
      <c r="H30" t="n">
        <v>2500</v>
      </c>
      <c r="I30">
        <f>F30*H30/1000000</f>
        <v/>
      </c>
      <c r="J30" t="n">
        <v>7.8</v>
      </c>
      <c r="K30">
        <f>I30*J30</f>
        <v/>
      </c>
      <c r="L30" t="n">
        <v>48</v>
      </c>
      <c r="M30">
        <f>I30*L30</f>
        <v/>
      </c>
      <c r="N30">
        <f>K30*L30+32</f>
        <v/>
      </c>
      <c r="O30" t="inlineStr">
        <is>
          <t>Placa</t>
        </is>
      </c>
      <c r="P30" t="inlineStr">
        <is>
          <t>Palé</t>
        </is>
      </c>
      <c r="Q30" t="n">
        <v>4.63</v>
      </c>
      <c r="R30" t="inlineStr">
        <is>
          <t>€/m²</t>
        </is>
      </c>
      <c r="S30" t="n">
        <v>0.5</v>
      </c>
      <c r="T30">
        <f>Q30*S30</f>
        <v/>
      </c>
      <c r="U30" t="inlineStr">
        <is>
          <t>6809.11.00</t>
        </is>
      </c>
      <c r="W30" t="inlineStr">
        <is>
          <t>Placa aligerada — mismas prestaciones que STD con menor peso</t>
        </is>
      </c>
      <c r="X30" t="inlineStr">
        <is>
          <t>SI</t>
        </is>
      </c>
      <c r="Y30" t="inlineStr">
        <is>
          <t>SI</t>
        </is>
      </c>
    </row>
    <row r="31">
      <c r="A31" t="inlineStr">
        <is>
          <t>PLACAS</t>
        </is>
      </c>
      <c r="B31" t="inlineStr">
        <is>
          <t>SIMPLY</t>
        </is>
      </c>
      <c r="C31" t="inlineStr">
        <is>
          <t>GypsoSIMPLY BA 13mm 1200×2800</t>
        </is>
      </c>
      <c r="D31" t="inlineStr">
        <is>
          <t>P00Y003280A0</t>
        </is>
      </c>
      <c r="E31" t="inlineStr">
        <is>
          <t>EN 520</t>
        </is>
      </c>
      <c r="F31" t="n">
        <v>1200</v>
      </c>
      <c r="G31" t="n">
        <v>12.5</v>
      </c>
      <c r="H31" t="n">
        <v>2800</v>
      </c>
      <c r="I31">
        <f>F31*H31/1000000</f>
        <v/>
      </c>
      <c r="J31" t="n">
        <v>7.8</v>
      </c>
      <c r="K31">
        <f>I31*J31</f>
        <v/>
      </c>
      <c r="L31" t="n">
        <v>48</v>
      </c>
      <c r="M31">
        <f>I31*L31</f>
        <v/>
      </c>
      <c r="N31">
        <f>K31*L31+32</f>
        <v/>
      </c>
      <c r="O31" t="inlineStr">
        <is>
          <t>Placa</t>
        </is>
      </c>
      <c r="P31" t="inlineStr">
        <is>
          <t>Palé</t>
        </is>
      </c>
      <c r="Q31" t="n">
        <v>4.63</v>
      </c>
      <c r="R31" t="inlineStr">
        <is>
          <t>€/m²</t>
        </is>
      </c>
      <c r="S31" t="n">
        <v>0.5</v>
      </c>
      <c r="T31">
        <f>Q31*S31</f>
        <v/>
      </c>
      <c r="U31" t="inlineStr">
        <is>
          <t>6809.11.00</t>
        </is>
      </c>
      <c r="W31" t="inlineStr">
        <is>
          <t>Placa aligerada — mismas prestaciones que STD con menor peso</t>
        </is>
      </c>
      <c r="X31" t="inlineStr">
        <is>
          <t>SI</t>
        </is>
      </c>
      <c r="Y31" t="inlineStr">
        <is>
          <t>SI</t>
        </is>
      </c>
    </row>
    <row r="32">
      <c r="A32" t="inlineStr">
        <is>
          <t>PLACAS</t>
        </is>
      </c>
      <c r="B32" t="inlineStr">
        <is>
          <t>SIMPLY</t>
        </is>
      </c>
      <c r="C32" t="inlineStr">
        <is>
          <t>GypsoSIMPLY BA 13mm 1200×3000</t>
        </is>
      </c>
      <c r="D32" t="inlineStr">
        <is>
          <t>P00Y003300A0</t>
        </is>
      </c>
      <c r="E32" t="inlineStr">
        <is>
          <t>EN 520</t>
        </is>
      </c>
      <c r="F32" t="n">
        <v>1200</v>
      </c>
      <c r="G32" t="n">
        <v>12.5</v>
      </c>
      <c r="H32" t="n">
        <v>3000</v>
      </c>
      <c r="I32">
        <f>F32*H32/1000000</f>
        <v/>
      </c>
      <c r="J32" t="n">
        <v>7.8</v>
      </c>
      <c r="K32">
        <f>I32*J32</f>
        <v/>
      </c>
      <c r="L32" t="n">
        <v>48</v>
      </c>
      <c r="M32">
        <f>I32*L32</f>
        <v/>
      </c>
      <c r="N32">
        <f>K32*L32+32</f>
        <v/>
      </c>
      <c r="O32" t="inlineStr">
        <is>
          <t>Placa</t>
        </is>
      </c>
      <c r="P32" t="inlineStr">
        <is>
          <t>Palé</t>
        </is>
      </c>
      <c r="Q32" t="n">
        <v>4.63</v>
      </c>
      <c r="R32" t="inlineStr">
        <is>
          <t>€/m²</t>
        </is>
      </c>
      <c r="S32" t="n">
        <v>0.5</v>
      </c>
      <c r="T32">
        <f>Q32*S32</f>
        <v/>
      </c>
      <c r="U32" t="inlineStr">
        <is>
          <t>6809.11.00</t>
        </is>
      </c>
      <c r="W32" t="inlineStr">
        <is>
          <t>Placa aligerada — mismas prestaciones que STD con menor peso</t>
        </is>
      </c>
      <c r="X32" t="inlineStr">
        <is>
          <t>SI</t>
        </is>
      </c>
      <c r="Y32" t="inlineStr">
        <is>
          <t>SI</t>
        </is>
      </c>
    </row>
    <row r="33">
      <c r="A33" t="inlineStr">
        <is>
          <t>PLACAS</t>
        </is>
      </c>
      <c r="B33" t="inlineStr">
        <is>
          <t>AQUA H2</t>
        </is>
      </c>
      <c r="C33" t="inlineStr">
        <is>
          <t>AQUA H2 BA 13mm 1200×2000</t>
        </is>
      </c>
      <c r="D33" t="inlineStr">
        <is>
          <t>P00H003200A0</t>
        </is>
      </c>
      <c r="E33" t="inlineStr">
        <is>
          <t>EN 520</t>
        </is>
      </c>
      <c r="F33" t="n">
        <v>1200</v>
      </c>
      <c r="G33" t="n">
        <v>12.5</v>
      </c>
      <c r="H33" t="n">
        <v>2000</v>
      </c>
      <c r="I33">
        <f>F33*H33/1000000</f>
        <v/>
      </c>
      <c r="J33" t="n">
        <v>8.699999999999999</v>
      </c>
      <c r="K33">
        <f>I33*J33</f>
        <v/>
      </c>
      <c r="L33" t="n">
        <v>60</v>
      </c>
      <c r="M33">
        <f>I33*L33</f>
        <v/>
      </c>
      <c r="N33">
        <f>K33*L33+32</f>
        <v/>
      </c>
      <c r="O33" t="inlineStr">
        <is>
          <t>Placa</t>
        </is>
      </c>
      <c r="P33" t="inlineStr">
        <is>
          <t>Palé</t>
        </is>
      </c>
      <c r="Q33" t="n">
        <v>6.71</v>
      </c>
      <c r="R33" t="inlineStr">
        <is>
          <t>€/m²</t>
        </is>
      </c>
      <c r="S33" t="n">
        <v>0.5</v>
      </c>
      <c r="T33">
        <f>Q33*S33</f>
        <v/>
      </c>
      <c r="U33" t="inlineStr">
        <is>
          <t>6809.11.00</t>
        </is>
      </c>
      <c r="W33" t="inlineStr">
        <is>
          <t>Humedad &lt;10% — zonas húmedas interiores</t>
        </is>
      </c>
      <c r="X33" t="inlineStr">
        <is>
          <t>SI</t>
        </is>
      </c>
      <c r="Y33" t="inlineStr">
        <is>
          <t>SI</t>
        </is>
      </c>
    </row>
    <row r="34">
      <c r="A34" t="inlineStr">
        <is>
          <t>PLACAS</t>
        </is>
      </c>
      <c r="B34" t="inlineStr">
        <is>
          <t>AQUA H2</t>
        </is>
      </c>
      <c r="C34" t="inlineStr">
        <is>
          <t>AQUA H2 BA 13mm 1200×2500</t>
        </is>
      </c>
      <c r="D34" t="inlineStr">
        <is>
          <t>P00H003250A0</t>
        </is>
      </c>
      <c r="E34" t="inlineStr">
        <is>
          <t>EN 520</t>
        </is>
      </c>
      <c r="F34" t="n">
        <v>1200</v>
      </c>
      <c r="G34" t="n">
        <v>12.5</v>
      </c>
      <c r="H34" t="n">
        <v>2500</v>
      </c>
      <c r="I34">
        <f>F34*H34/1000000</f>
        <v/>
      </c>
      <c r="J34" t="n">
        <v>8.699999999999999</v>
      </c>
      <c r="K34">
        <f>I34*J34</f>
        <v/>
      </c>
      <c r="L34" t="n">
        <v>48</v>
      </c>
      <c r="M34">
        <f>I34*L34</f>
        <v/>
      </c>
      <c r="N34">
        <f>K34*L34+32</f>
        <v/>
      </c>
      <c r="O34" t="inlineStr">
        <is>
          <t>Placa</t>
        </is>
      </c>
      <c r="P34" t="inlineStr">
        <is>
          <t>Palé</t>
        </is>
      </c>
      <c r="Q34" t="n">
        <v>6.71</v>
      </c>
      <c r="R34" t="inlineStr">
        <is>
          <t>€/m²</t>
        </is>
      </c>
      <c r="S34" t="n">
        <v>0.5</v>
      </c>
      <c r="T34">
        <f>Q34*S34</f>
        <v/>
      </c>
      <c r="U34" t="inlineStr">
        <is>
          <t>6809.11.00</t>
        </is>
      </c>
      <c r="W34" t="inlineStr">
        <is>
          <t>Humedad &lt;10% — zonas húmedas interiores</t>
        </is>
      </c>
      <c r="X34" t="inlineStr">
        <is>
          <t>SI</t>
        </is>
      </c>
      <c r="Y34" t="inlineStr">
        <is>
          <t>SI</t>
        </is>
      </c>
    </row>
    <row r="35">
      <c r="A35" t="inlineStr">
        <is>
          <t>PLACAS</t>
        </is>
      </c>
      <c r="B35" t="inlineStr">
        <is>
          <t>AQUA H2</t>
        </is>
      </c>
      <c r="C35" t="inlineStr">
        <is>
          <t>AQUA H2 BA 13mm 1200×2600</t>
        </is>
      </c>
      <c r="D35" t="inlineStr">
        <is>
          <t>P00H003260A0</t>
        </is>
      </c>
      <c r="E35" t="inlineStr">
        <is>
          <t>EN 520</t>
        </is>
      </c>
      <c r="F35" t="n">
        <v>1200</v>
      </c>
      <c r="G35" t="n">
        <v>12.5</v>
      </c>
      <c r="H35" t="n">
        <v>2600</v>
      </c>
      <c r="I35">
        <f>F35*H35/1000000</f>
        <v/>
      </c>
      <c r="J35" t="n">
        <v>8.699999999999999</v>
      </c>
      <c r="K35">
        <f>I35*J35</f>
        <v/>
      </c>
      <c r="L35" t="n">
        <v>48</v>
      </c>
      <c r="M35">
        <f>I35*L35</f>
        <v/>
      </c>
      <c r="N35">
        <f>K35*L35+32</f>
        <v/>
      </c>
      <c r="O35" t="inlineStr">
        <is>
          <t>Placa</t>
        </is>
      </c>
      <c r="P35" t="inlineStr">
        <is>
          <t>Palé</t>
        </is>
      </c>
      <c r="Q35" t="n">
        <v>6.71</v>
      </c>
      <c r="R35" t="inlineStr">
        <is>
          <t>€/m²</t>
        </is>
      </c>
      <c r="S35" t="n">
        <v>0.5</v>
      </c>
      <c r="T35">
        <f>Q35*S35</f>
        <v/>
      </c>
      <c r="U35" t="inlineStr">
        <is>
          <t>6809.11.00</t>
        </is>
      </c>
      <c r="W35" t="inlineStr">
        <is>
          <t>Humedad &lt;10% — zonas húmedas interiores</t>
        </is>
      </c>
      <c r="X35" t="inlineStr">
        <is>
          <t>SI</t>
        </is>
      </c>
      <c r="Y35" t="inlineStr">
        <is>
          <t>SI</t>
        </is>
      </c>
    </row>
    <row r="36">
      <c r="A36" t="inlineStr">
        <is>
          <t>PLACAS</t>
        </is>
      </c>
      <c r="B36" t="inlineStr">
        <is>
          <t>AQUA H2</t>
        </is>
      </c>
      <c r="C36" t="inlineStr">
        <is>
          <t>AQUA H2 BA 13mm 1200×2800</t>
        </is>
      </c>
      <c r="D36" t="inlineStr">
        <is>
          <t>P00H003280A0</t>
        </is>
      </c>
      <c r="E36" t="inlineStr">
        <is>
          <t>EN 520</t>
        </is>
      </c>
      <c r="F36" t="n">
        <v>1200</v>
      </c>
      <c r="G36" t="n">
        <v>12.5</v>
      </c>
      <c r="H36" t="n">
        <v>2800</v>
      </c>
      <c r="I36">
        <f>F36*H36/1000000</f>
        <v/>
      </c>
      <c r="J36" t="n">
        <v>8.699999999999999</v>
      </c>
      <c r="K36">
        <f>I36*J36</f>
        <v/>
      </c>
      <c r="L36" t="n">
        <v>36</v>
      </c>
      <c r="M36">
        <f>I36*L36</f>
        <v/>
      </c>
      <c r="N36">
        <f>K36*L36+32</f>
        <v/>
      </c>
      <c r="O36" t="inlineStr">
        <is>
          <t>Placa</t>
        </is>
      </c>
      <c r="P36" t="inlineStr">
        <is>
          <t>Palé</t>
        </is>
      </c>
      <c r="Q36" t="n">
        <v>6.71</v>
      </c>
      <c r="R36" t="inlineStr">
        <is>
          <t>€/m²</t>
        </is>
      </c>
      <c r="S36" t="n">
        <v>0.5</v>
      </c>
      <c r="T36">
        <f>Q36*S36</f>
        <v/>
      </c>
      <c r="U36" t="inlineStr">
        <is>
          <t>6809.11.00</t>
        </is>
      </c>
      <c r="W36" t="inlineStr">
        <is>
          <t>Humedad &lt;10% — zonas húmedas interiores</t>
        </is>
      </c>
      <c r="X36" t="inlineStr">
        <is>
          <t>SI</t>
        </is>
      </c>
      <c r="Y36" t="inlineStr">
        <is>
          <t>SI</t>
        </is>
      </c>
    </row>
    <row r="37">
      <c r="A37" t="inlineStr">
        <is>
          <t>PLACAS</t>
        </is>
      </c>
      <c r="B37" t="inlineStr">
        <is>
          <t>AQUA H2</t>
        </is>
      </c>
      <c r="C37" t="inlineStr">
        <is>
          <t>AQUA H2 BA 13mm 1200×3000</t>
        </is>
      </c>
      <c r="D37" t="inlineStr">
        <is>
          <t>P00H003300A0</t>
        </is>
      </c>
      <c r="E37" t="inlineStr">
        <is>
          <t>EN 520</t>
        </is>
      </c>
      <c r="F37" t="n">
        <v>1200</v>
      </c>
      <c r="G37" t="n">
        <v>12.5</v>
      </c>
      <c r="H37" t="n">
        <v>3000</v>
      </c>
      <c r="I37">
        <f>F37*H37/1000000</f>
        <v/>
      </c>
      <c r="J37" t="n">
        <v>8.699999999999999</v>
      </c>
      <c r="K37">
        <f>I37*J37</f>
        <v/>
      </c>
      <c r="L37" t="n">
        <v>36</v>
      </c>
      <c r="M37">
        <f>I37*L37</f>
        <v/>
      </c>
      <c r="N37">
        <f>K37*L37+32</f>
        <v/>
      </c>
      <c r="O37" t="inlineStr">
        <is>
          <t>Placa</t>
        </is>
      </c>
      <c r="P37" t="inlineStr">
        <is>
          <t>Palé</t>
        </is>
      </c>
      <c r="Q37" t="n">
        <v>6.71</v>
      </c>
      <c r="R37" t="inlineStr">
        <is>
          <t>€/m²</t>
        </is>
      </c>
      <c r="S37" t="n">
        <v>0.5</v>
      </c>
      <c r="T37">
        <f>Q37*S37</f>
        <v/>
      </c>
      <c r="U37" t="inlineStr">
        <is>
          <t>6809.11.00</t>
        </is>
      </c>
      <c r="W37" t="inlineStr">
        <is>
          <t>Humedad &lt;10% — zonas húmedas interiores</t>
        </is>
      </c>
      <c r="X37" t="inlineStr">
        <is>
          <t>SI</t>
        </is>
      </c>
      <c r="Y37" t="inlineStr">
        <is>
          <t>SI</t>
        </is>
      </c>
    </row>
    <row r="38">
      <c r="A38" t="inlineStr">
        <is>
          <t>PLACAS</t>
        </is>
      </c>
      <c r="B38" t="inlineStr">
        <is>
          <t>AQUA H2</t>
        </is>
      </c>
      <c r="C38" t="inlineStr">
        <is>
          <t>AQUA H2 BA 15mm 1200×2000</t>
        </is>
      </c>
      <c r="D38" t="inlineStr">
        <is>
          <t>P00H005200A0</t>
        </is>
      </c>
      <c r="E38" t="inlineStr">
        <is>
          <t>EN 520</t>
        </is>
      </c>
      <c r="F38" t="n">
        <v>1200</v>
      </c>
      <c r="G38" t="n">
        <v>15</v>
      </c>
      <c r="H38" t="n">
        <v>2000</v>
      </c>
      <c r="I38">
        <f>F38*H38/1000000</f>
        <v/>
      </c>
      <c r="J38" t="n">
        <v>8.699999999999999</v>
      </c>
      <c r="K38">
        <f>I38*J38</f>
        <v/>
      </c>
      <c r="L38" t="n">
        <v>36</v>
      </c>
      <c r="M38">
        <f>I38*L38</f>
        <v/>
      </c>
      <c r="N38">
        <f>K38*L38+32</f>
        <v/>
      </c>
      <c r="O38" t="inlineStr">
        <is>
          <t>Placa</t>
        </is>
      </c>
      <c r="P38" t="inlineStr">
        <is>
          <t>Palé</t>
        </is>
      </c>
      <c r="Q38" t="n">
        <v>7.73</v>
      </c>
      <c r="R38" t="inlineStr">
        <is>
          <t>€/m²</t>
        </is>
      </c>
      <c r="S38" t="n">
        <v>0.5</v>
      </c>
      <c r="T38">
        <f>Q38*S38</f>
        <v/>
      </c>
      <c r="U38" t="inlineStr">
        <is>
          <t>6809.11.00</t>
        </is>
      </c>
      <c r="W38" t="inlineStr">
        <is>
          <t>Humedad &lt;10% — zonas húmedas interiores</t>
        </is>
      </c>
      <c r="X38" t="inlineStr">
        <is>
          <t>SI</t>
        </is>
      </c>
      <c r="Y38" t="inlineStr">
        <is>
          <t>SI</t>
        </is>
      </c>
    </row>
    <row r="39">
      <c r="A39" t="inlineStr">
        <is>
          <t>PLACAS</t>
        </is>
      </c>
      <c r="B39" t="inlineStr">
        <is>
          <t>AQUA H2</t>
        </is>
      </c>
      <c r="C39" t="inlineStr">
        <is>
          <t>AQUA H2 BA 15mm 1200×2600</t>
        </is>
      </c>
      <c r="D39" t="inlineStr">
        <is>
          <t>P00H005260A0</t>
        </is>
      </c>
      <c r="E39" t="inlineStr">
        <is>
          <t>EN 520</t>
        </is>
      </c>
      <c r="F39" t="n">
        <v>1200</v>
      </c>
      <c r="G39" t="n">
        <v>15</v>
      </c>
      <c r="H39" t="n">
        <v>2600</v>
      </c>
      <c r="I39">
        <f>F39*H39/1000000</f>
        <v/>
      </c>
      <c r="J39" t="n">
        <v>8.699999999999999</v>
      </c>
      <c r="K39">
        <f>I39*J39</f>
        <v/>
      </c>
      <c r="L39" t="n">
        <v>24</v>
      </c>
      <c r="M39">
        <f>I39*L39</f>
        <v/>
      </c>
      <c r="N39">
        <f>K39*L39+32</f>
        <v/>
      </c>
      <c r="O39" t="inlineStr">
        <is>
          <t>Placa</t>
        </is>
      </c>
      <c r="P39" t="inlineStr">
        <is>
          <t>Palé</t>
        </is>
      </c>
      <c r="Q39" t="n">
        <v>7.73</v>
      </c>
      <c r="R39" t="inlineStr">
        <is>
          <t>€/m²</t>
        </is>
      </c>
      <c r="S39" t="n">
        <v>0.5</v>
      </c>
      <c r="T39">
        <f>Q39*S39</f>
        <v/>
      </c>
      <c r="U39" t="inlineStr">
        <is>
          <t>6809.11.00</t>
        </is>
      </c>
      <c r="W39" t="inlineStr">
        <is>
          <t>Humedad &lt;10% — zonas húmedas interiores</t>
        </is>
      </c>
      <c r="X39" t="inlineStr">
        <is>
          <t>SI</t>
        </is>
      </c>
      <c r="Y39" t="inlineStr">
        <is>
          <t>SI</t>
        </is>
      </c>
    </row>
    <row r="40">
      <c r="A40" t="inlineStr">
        <is>
          <t>PLACAS</t>
        </is>
      </c>
      <c r="B40" t="inlineStr">
        <is>
          <t>AQUA H2</t>
        </is>
      </c>
      <c r="C40" t="inlineStr">
        <is>
          <t>AQUA H2 BA 15mm 1200×3000</t>
        </is>
      </c>
      <c r="D40" t="inlineStr">
        <is>
          <t>P00H005300A0</t>
        </is>
      </c>
      <c r="E40" t="inlineStr">
        <is>
          <t>EN 520</t>
        </is>
      </c>
      <c r="F40" t="n">
        <v>1200</v>
      </c>
      <c r="G40" t="n">
        <v>15</v>
      </c>
      <c r="H40" t="n">
        <v>3000</v>
      </c>
      <c r="I40">
        <f>F40*H40/1000000</f>
        <v/>
      </c>
      <c r="J40" t="n">
        <v>8.699999999999999</v>
      </c>
      <c r="K40">
        <f>I40*J40</f>
        <v/>
      </c>
      <c r="L40" t="n">
        <v>24</v>
      </c>
      <c r="M40">
        <f>I40*L40</f>
        <v/>
      </c>
      <c r="N40">
        <f>K40*L40+32</f>
        <v/>
      </c>
      <c r="O40" t="inlineStr">
        <is>
          <t>Placa</t>
        </is>
      </c>
      <c r="P40" t="inlineStr">
        <is>
          <t>Palé</t>
        </is>
      </c>
      <c r="Q40" t="n">
        <v>7.73</v>
      </c>
      <c r="R40" t="inlineStr">
        <is>
          <t>€/m²</t>
        </is>
      </c>
      <c r="S40" t="n">
        <v>0.5</v>
      </c>
      <c r="T40">
        <f>Q40*S40</f>
        <v/>
      </c>
      <c r="U40" t="inlineStr">
        <is>
          <t>6809.11.00</t>
        </is>
      </c>
      <c r="W40" t="inlineStr">
        <is>
          <t>Humedad &lt;10% — zonas húmedas interiores</t>
        </is>
      </c>
      <c r="X40" t="inlineStr">
        <is>
          <t>SI</t>
        </is>
      </c>
      <c r="Y40" t="inlineStr">
        <is>
          <t>SI</t>
        </is>
      </c>
    </row>
    <row r="41">
      <c r="A41" t="inlineStr">
        <is>
          <t>PLACAS</t>
        </is>
      </c>
      <c r="B41" t="inlineStr">
        <is>
          <t>AQUASUPER</t>
        </is>
      </c>
      <c r="C41" t="inlineStr">
        <is>
          <t>AQUASUPER BA 13mm 1200×2000</t>
        </is>
      </c>
      <c r="D41" t="inlineStr">
        <is>
          <t>P00W003200A0</t>
        </is>
      </c>
      <c r="E41" t="inlineStr">
        <is>
          <t>EN 520</t>
        </is>
      </c>
      <c r="F41" t="n">
        <v>1200</v>
      </c>
      <c r="G41" t="n">
        <v>12.5</v>
      </c>
      <c r="H41" t="n">
        <v>2000</v>
      </c>
      <c r="I41">
        <f>F41*H41/1000000</f>
        <v/>
      </c>
      <c r="J41" t="n">
        <v>8.699999999999999</v>
      </c>
      <c r="K41">
        <f>I41*J41</f>
        <v/>
      </c>
      <c r="L41" t="n">
        <v>60</v>
      </c>
      <c r="M41">
        <f>I41*L41</f>
        <v/>
      </c>
      <c r="N41">
        <f>K41*L41+32</f>
        <v/>
      </c>
      <c r="O41" t="inlineStr">
        <is>
          <t>Placa</t>
        </is>
      </c>
      <c r="P41" t="inlineStr">
        <is>
          <t>Palé</t>
        </is>
      </c>
      <c r="Q41" t="n">
        <v>7.16</v>
      </c>
      <c r="R41" t="inlineStr">
        <is>
          <t>€/m²</t>
        </is>
      </c>
      <c r="S41" t="n">
        <v>0.5</v>
      </c>
      <c r="T41">
        <f>Q41*S41</f>
        <v/>
      </c>
      <c r="U41" t="inlineStr">
        <is>
          <t>6809.11.00</t>
        </is>
      </c>
      <c r="W41" t="inlineStr">
        <is>
          <t>Humedad &lt;5% — locales muy húmedos</t>
        </is>
      </c>
      <c r="X41" t="inlineStr">
        <is>
          <t>SI</t>
        </is>
      </c>
      <c r="Y41" t="inlineStr">
        <is>
          <t>SI</t>
        </is>
      </c>
    </row>
    <row r="42">
      <c r="A42" t="inlineStr">
        <is>
          <t>PLACAS</t>
        </is>
      </c>
      <c r="B42" t="inlineStr">
        <is>
          <t>AQUASUPER</t>
        </is>
      </c>
      <c r="C42" t="inlineStr">
        <is>
          <t>AQUASUPER BA 13mm 1200×2500</t>
        </is>
      </c>
      <c r="D42" t="inlineStr">
        <is>
          <t>P00W003250A0</t>
        </is>
      </c>
      <c r="E42" t="inlineStr">
        <is>
          <t>EN 520</t>
        </is>
      </c>
      <c r="F42" t="n">
        <v>1200</v>
      </c>
      <c r="G42" t="n">
        <v>12.5</v>
      </c>
      <c r="H42" t="n">
        <v>2500</v>
      </c>
      <c r="I42">
        <f>F42*H42/1000000</f>
        <v/>
      </c>
      <c r="J42" t="n">
        <v>8.699999999999999</v>
      </c>
      <c r="K42">
        <f>I42*J42</f>
        <v/>
      </c>
      <c r="L42" t="n">
        <v>48</v>
      </c>
      <c r="M42">
        <f>I42*L42</f>
        <v/>
      </c>
      <c r="N42">
        <f>K42*L42+32</f>
        <v/>
      </c>
      <c r="O42" t="inlineStr">
        <is>
          <t>Placa</t>
        </is>
      </c>
      <c r="P42" t="inlineStr">
        <is>
          <t>Palé</t>
        </is>
      </c>
      <c r="Q42" t="n">
        <v>7.16</v>
      </c>
      <c r="R42" t="inlineStr">
        <is>
          <t>€/m²</t>
        </is>
      </c>
      <c r="S42" t="n">
        <v>0.5</v>
      </c>
      <c r="T42">
        <f>Q42*S42</f>
        <v/>
      </c>
      <c r="U42" t="inlineStr">
        <is>
          <t>6809.11.00</t>
        </is>
      </c>
      <c r="W42" t="inlineStr">
        <is>
          <t>Humedad &lt;5% — locales muy húmedos</t>
        </is>
      </c>
      <c r="X42" t="inlineStr">
        <is>
          <t>SI</t>
        </is>
      </c>
      <c r="Y42" t="inlineStr">
        <is>
          <t>SI</t>
        </is>
      </c>
    </row>
    <row r="43">
      <c r="A43" t="inlineStr">
        <is>
          <t>PLACAS</t>
        </is>
      </c>
      <c r="B43" t="inlineStr">
        <is>
          <t>AQUASUPER</t>
        </is>
      </c>
      <c r="C43" t="inlineStr">
        <is>
          <t>AQUASUPER BA 13mm 1200×2600</t>
        </is>
      </c>
      <c r="D43" t="inlineStr">
        <is>
          <t>P00W003260A0</t>
        </is>
      </c>
      <c r="E43" t="inlineStr">
        <is>
          <t>EN 520</t>
        </is>
      </c>
      <c r="F43" t="n">
        <v>1200</v>
      </c>
      <c r="G43" t="n">
        <v>12.5</v>
      </c>
      <c r="H43" t="n">
        <v>2600</v>
      </c>
      <c r="I43">
        <f>F43*H43/1000000</f>
        <v/>
      </c>
      <c r="J43" t="n">
        <v>8.699999999999999</v>
      </c>
      <c r="K43">
        <f>I43*J43</f>
        <v/>
      </c>
      <c r="L43" t="n">
        <v>48</v>
      </c>
      <c r="M43">
        <f>I43*L43</f>
        <v/>
      </c>
      <c r="N43">
        <f>K43*L43+32</f>
        <v/>
      </c>
      <c r="O43" t="inlineStr">
        <is>
          <t>Placa</t>
        </is>
      </c>
      <c r="P43" t="inlineStr">
        <is>
          <t>Palé</t>
        </is>
      </c>
      <c r="Q43" t="n">
        <v>7.16</v>
      </c>
      <c r="R43" t="inlineStr">
        <is>
          <t>€/m²</t>
        </is>
      </c>
      <c r="S43" t="n">
        <v>0.5</v>
      </c>
      <c r="T43">
        <f>Q43*S43</f>
        <v/>
      </c>
      <c r="U43" t="inlineStr">
        <is>
          <t>6809.11.00</t>
        </is>
      </c>
      <c r="W43" t="inlineStr">
        <is>
          <t>Humedad &lt;5% — locales muy húmedos</t>
        </is>
      </c>
      <c r="X43" t="inlineStr">
        <is>
          <t>SI</t>
        </is>
      </c>
      <c r="Y43" t="inlineStr">
        <is>
          <t>SI</t>
        </is>
      </c>
    </row>
    <row r="44">
      <c r="A44" t="inlineStr">
        <is>
          <t>PLACAS</t>
        </is>
      </c>
      <c r="B44" t="inlineStr">
        <is>
          <t>AQUASUPER</t>
        </is>
      </c>
      <c r="C44" t="inlineStr">
        <is>
          <t>AQUASUPER BA 13mm 1200×2700</t>
        </is>
      </c>
      <c r="D44" t="inlineStr">
        <is>
          <t>P00W003270A0</t>
        </is>
      </c>
      <c r="E44" t="inlineStr">
        <is>
          <t>EN 520</t>
        </is>
      </c>
      <c r="F44" t="n">
        <v>1200</v>
      </c>
      <c r="G44" t="n">
        <v>12.5</v>
      </c>
      <c r="H44" t="n">
        <v>2700</v>
      </c>
      <c r="I44">
        <f>F44*H44/1000000</f>
        <v/>
      </c>
      <c r="J44" t="n">
        <v>8.699999999999999</v>
      </c>
      <c r="K44">
        <f>I44*J44</f>
        <v/>
      </c>
      <c r="L44" t="n">
        <v>36</v>
      </c>
      <c r="M44">
        <f>I44*L44</f>
        <v/>
      </c>
      <c r="N44">
        <f>K44*L44+32</f>
        <v/>
      </c>
      <c r="O44" t="inlineStr">
        <is>
          <t>Placa</t>
        </is>
      </c>
      <c r="P44" t="inlineStr">
        <is>
          <t>Palé</t>
        </is>
      </c>
      <c r="Q44" t="n">
        <v>7.16</v>
      </c>
      <c r="R44" t="inlineStr">
        <is>
          <t>€/m²</t>
        </is>
      </c>
      <c r="S44" t="n">
        <v>0.5</v>
      </c>
      <c r="T44">
        <f>Q44*S44</f>
        <v/>
      </c>
      <c r="U44" t="inlineStr">
        <is>
          <t>6809.11.00</t>
        </is>
      </c>
      <c r="W44" t="inlineStr">
        <is>
          <t>Humedad &lt;5% — locales muy húmedos</t>
        </is>
      </c>
      <c r="X44" t="inlineStr">
        <is>
          <t>SI</t>
        </is>
      </c>
      <c r="Y44" t="inlineStr">
        <is>
          <t>SI</t>
        </is>
      </c>
    </row>
    <row r="45">
      <c r="A45" t="inlineStr">
        <is>
          <t>PLACAS</t>
        </is>
      </c>
      <c r="B45" t="inlineStr">
        <is>
          <t>AQUASUPER</t>
        </is>
      </c>
      <c r="C45" t="inlineStr">
        <is>
          <t>AQUASUPER BA 13mm 1200×2800</t>
        </is>
      </c>
      <c r="D45" t="inlineStr">
        <is>
          <t>P00W003280A0</t>
        </is>
      </c>
      <c r="E45" t="inlineStr">
        <is>
          <t>EN 520</t>
        </is>
      </c>
      <c r="F45" t="n">
        <v>1200</v>
      </c>
      <c r="G45" t="n">
        <v>12.5</v>
      </c>
      <c r="H45" t="n">
        <v>2800</v>
      </c>
      <c r="I45">
        <f>F45*H45/1000000</f>
        <v/>
      </c>
      <c r="J45" t="n">
        <v>8.699999999999999</v>
      </c>
      <c r="K45">
        <f>I45*J45</f>
        <v/>
      </c>
      <c r="L45" t="n">
        <v>36</v>
      </c>
      <c r="M45">
        <f>I45*L45</f>
        <v/>
      </c>
      <c r="N45">
        <f>K45*L45+32</f>
        <v/>
      </c>
      <c r="O45" t="inlineStr">
        <is>
          <t>Placa</t>
        </is>
      </c>
      <c r="P45" t="inlineStr">
        <is>
          <t>Palé</t>
        </is>
      </c>
      <c r="Q45" t="n">
        <v>7.16</v>
      </c>
      <c r="R45" t="inlineStr">
        <is>
          <t>€/m²</t>
        </is>
      </c>
      <c r="S45" t="n">
        <v>0.5</v>
      </c>
      <c r="T45">
        <f>Q45*S45</f>
        <v/>
      </c>
      <c r="U45" t="inlineStr">
        <is>
          <t>6809.11.00</t>
        </is>
      </c>
      <c r="W45" t="inlineStr">
        <is>
          <t>Humedad &lt;5% — locales muy húmedos</t>
        </is>
      </c>
      <c r="X45" t="inlineStr">
        <is>
          <t>SI</t>
        </is>
      </c>
      <c r="Y45" t="inlineStr">
        <is>
          <t>SI</t>
        </is>
      </c>
    </row>
    <row r="46">
      <c r="A46" t="inlineStr">
        <is>
          <t>PLACAS</t>
        </is>
      </c>
      <c r="B46" t="inlineStr">
        <is>
          <t>AQUASUPER</t>
        </is>
      </c>
      <c r="C46" t="inlineStr">
        <is>
          <t>AQUASUPER BA 13mm 1200×3000</t>
        </is>
      </c>
      <c r="D46" t="inlineStr">
        <is>
          <t>P00W003300A0</t>
        </is>
      </c>
      <c r="E46" t="inlineStr">
        <is>
          <t>EN 520</t>
        </is>
      </c>
      <c r="F46" t="n">
        <v>1200</v>
      </c>
      <c r="G46" t="n">
        <v>12.5</v>
      </c>
      <c r="H46" t="n">
        <v>3000</v>
      </c>
      <c r="I46">
        <f>F46*H46/1000000</f>
        <v/>
      </c>
      <c r="J46" t="n">
        <v>8.699999999999999</v>
      </c>
      <c r="K46">
        <f>I46*J46</f>
        <v/>
      </c>
      <c r="L46" t="n">
        <v>36</v>
      </c>
      <c r="M46">
        <f>I46*L46</f>
        <v/>
      </c>
      <c r="N46">
        <f>K46*L46+32</f>
        <v/>
      </c>
      <c r="O46" t="inlineStr">
        <is>
          <t>Placa</t>
        </is>
      </c>
      <c r="P46" t="inlineStr">
        <is>
          <t>Palé</t>
        </is>
      </c>
      <c r="Q46" t="n">
        <v>7.16</v>
      </c>
      <c r="R46" t="inlineStr">
        <is>
          <t>€/m²</t>
        </is>
      </c>
      <c r="S46" t="n">
        <v>0.5</v>
      </c>
      <c r="T46">
        <f>Q46*S46</f>
        <v/>
      </c>
      <c r="U46" t="inlineStr">
        <is>
          <t>6809.11.00</t>
        </is>
      </c>
      <c r="W46" t="inlineStr">
        <is>
          <t>Humedad &lt;5% — locales muy húmedos</t>
        </is>
      </c>
      <c r="X46" t="inlineStr">
        <is>
          <t>SI</t>
        </is>
      </c>
      <c r="Y46" t="inlineStr">
        <is>
          <t>SI</t>
        </is>
      </c>
    </row>
    <row r="47">
      <c r="A47" t="inlineStr">
        <is>
          <t>PLACAS</t>
        </is>
      </c>
      <c r="B47" t="inlineStr">
        <is>
          <t>AQUASUPER</t>
        </is>
      </c>
      <c r="C47" t="inlineStr">
        <is>
          <t>AQUASUPER BA 15mm 1200×2600</t>
        </is>
      </c>
      <c r="D47" t="inlineStr">
        <is>
          <t>P00W005260A0</t>
        </is>
      </c>
      <c r="E47" t="inlineStr">
        <is>
          <t>EN 520</t>
        </is>
      </c>
      <c r="F47" t="n">
        <v>1200</v>
      </c>
      <c r="G47" t="n">
        <v>15</v>
      </c>
      <c r="H47" t="n">
        <v>2600</v>
      </c>
      <c r="I47">
        <f>F47*H47/1000000</f>
        <v/>
      </c>
      <c r="J47" t="n">
        <v>12.6</v>
      </c>
      <c r="K47">
        <f>I47*J47</f>
        <v/>
      </c>
      <c r="L47" t="n">
        <v>24</v>
      </c>
      <c r="M47">
        <f>I47*L47</f>
        <v/>
      </c>
      <c r="N47">
        <f>K47*L47+32</f>
        <v/>
      </c>
      <c r="O47" t="inlineStr">
        <is>
          <t>Placa</t>
        </is>
      </c>
      <c r="P47" t="inlineStr">
        <is>
          <t>Palé</t>
        </is>
      </c>
      <c r="Q47" t="n">
        <v>8.02</v>
      </c>
      <c r="R47" t="inlineStr">
        <is>
          <t>€/m²</t>
        </is>
      </c>
      <c r="S47" t="n">
        <v>0.5</v>
      </c>
      <c r="T47">
        <f>Q47*S47</f>
        <v/>
      </c>
      <c r="U47" t="inlineStr">
        <is>
          <t>6809.11.00</t>
        </is>
      </c>
      <c r="W47" t="inlineStr">
        <is>
          <t>Humedad &lt;5% — locales muy húmedos</t>
        </is>
      </c>
      <c r="X47" t="inlineStr">
        <is>
          <t>SI</t>
        </is>
      </c>
      <c r="Y47" t="inlineStr">
        <is>
          <t>SI</t>
        </is>
      </c>
    </row>
    <row r="48">
      <c r="A48" t="inlineStr">
        <is>
          <t>PLACAS</t>
        </is>
      </c>
      <c r="B48" t="inlineStr">
        <is>
          <t>AQUASUPER</t>
        </is>
      </c>
      <c r="C48" t="inlineStr">
        <is>
          <t>AQUASUPER BA 15mm 1200×3000</t>
        </is>
      </c>
      <c r="D48" t="inlineStr">
        <is>
          <t>P00W005300A0</t>
        </is>
      </c>
      <c r="E48" t="inlineStr">
        <is>
          <t>EN 520</t>
        </is>
      </c>
      <c r="F48" t="n">
        <v>1200</v>
      </c>
      <c r="G48" t="n">
        <v>15</v>
      </c>
      <c r="H48" t="n">
        <v>3000</v>
      </c>
      <c r="I48">
        <f>F48*H48/1000000</f>
        <v/>
      </c>
      <c r="J48" t="n">
        <v>12.6</v>
      </c>
      <c r="K48">
        <f>I48*J48</f>
        <v/>
      </c>
      <c r="L48" t="n">
        <v>24</v>
      </c>
      <c r="M48">
        <f>I48*L48</f>
        <v/>
      </c>
      <c r="N48">
        <f>K48*L48+32</f>
        <v/>
      </c>
      <c r="O48" t="inlineStr">
        <is>
          <t>Placa</t>
        </is>
      </c>
      <c r="P48" t="inlineStr">
        <is>
          <t>Palé</t>
        </is>
      </c>
      <c r="Q48" t="n">
        <v>8.02</v>
      </c>
      <c r="R48" t="inlineStr">
        <is>
          <t>€/m²</t>
        </is>
      </c>
      <c r="S48" t="n">
        <v>0.5</v>
      </c>
      <c r="T48">
        <f>Q48*S48</f>
        <v/>
      </c>
      <c r="U48" t="inlineStr">
        <is>
          <t>6809.11.00</t>
        </is>
      </c>
      <c r="W48" t="inlineStr">
        <is>
          <t>Humedad &lt;5% — locales muy húmedos</t>
        </is>
      </c>
      <c r="X48" t="inlineStr">
        <is>
          <t>SI</t>
        </is>
      </c>
      <c r="Y48" t="inlineStr">
        <is>
          <t>SI</t>
        </is>
      </c>
    </row>
    <row r="49">
      <c r="A49" t="inlineStr">
        <is>
          <t>PLACAS</t>
        </is>
      </c>
      <c r="B49" t="inlineStr">
        <is>
          <t>AQUASUPER</t>
        </is>
      </c>
      <c r="C49" t="inlineStr">
        <is>
          <t>AQUASUPER BA 18mm 1200×2600</t>
        </is>
      </c>
      <c r="D49" t="inlineStr">
        <is>
          <t>P00W008260A0</t>
        </is>
      </c>
      <c r="E49" t="inlineStr">
        <is>
          <t>EN 520</t>
        </is>
      </c>
      <c r="F49" t="n">
        <v>1200</v>
      </c>
      <c r="G49" t="n">
        <v>18</v>
      </c>
      <c r="H49" t="n">
        <v>2600</v>
      </c>
      <c r="I49">
        <f>F49*H49/1000000</f>
        <v/>
      </c>
      <c r="J49" t="n">
        <v>15.5</v>
      </c>
      <c r="K49">
        <f>I49*J49</f>
        <v/>
      </c>
      <c r="L49" t="n">
        <v>24</v>
      </c>
      <c r="M49">
        <f>I49*L49</f>
        <v/>
      </c>
      <c r="N49">
        <f>K49*L49+32</f>
        <v/>
      </c>
      <c r="O49" t="inlineStr">
        <is>
          <t>Placa</t>
        </is>
      </c>
      <c r="P49" t="inlineStr">
        <is>
          <t>Palé</t>
        </is>
      </c>
      <c r="Q49" t="n">
        <v>13.29</v>
      </c>
      <c r="R49" t="inlineStr">
        <is>
          <t>€/m²</t>
        </is>
      </c>
      <c r="S49" t="n">
        <v>0.5</v>
      </c>
      <c r="T49">
        <f>Q49*S49</f>
        <v/>
      </c>
      <c r="U49" t="inlineStr">
        <is>
          <t>6809.11.00</t>
        </is>
      </c>
      <c r="W49" t="inlineStr">
        <is>
          <t>Humedad &lt;5% — locales muy húmedos</t>
        </is>
      </c>
      <c r="X49" t="inlineStr">
        <is>
          <t>SI</t>
        </is>
      </c>
      <c r="Y49" t="inlineStr">
        <is>
          <t>SI</t>
        </is>
      </c>
    </row>
    <row r="50">
      <c r="A50" t="inlineStr">
        <is>
          <t>PLACAS</t>
        </is>
      </c>
      <c r="B50" t="inlineStr">
        <is>
          <t>AQUASUPER</t>
        </is>
      </c>
      <c r="C50" t="inlineStr">
        <is>
          <t>AQUASUPER BA 18mm 1200×3000</t>
        </is>
      </c>
      <c r="D50" t="inlineStr">
        <is>
          <t>P00W008300A0</t>
        </is>
      </c>
      <c r="E50" t="inlineStr">
        <is>
          <t>EN 520</t>
        </is>
      </c>
      <c r="F50" t="n">
        <v>1200</v>
      </c>
      <c r="G50" t="n">
        <v>18</v>
      </c>
      <c r="H50" t="n">
        <v>3000</v>
      </c>
      <c r="I50">
        <f>F50*H50/1000000</f>
        <v/>
      </c>
      <c r="J50" t="n">
        <v>15.5</v>
      </c>
      <c r="K50">
        <f>I50*J50</f>
        <v/>
      </c>
      <c r="L50" t="n">
        <v>24</v>
      </c>
      <c r="M50">
        <f>I50*L50</f>
        <v/>
      </c>
      <c r="N50">
        <f>K50*L50+32</f>
        <v/>
      </c>
      <c r="O50" t="inlineStr">
        <is>
          <t>Placa</t>
        </is>
      </c>
      <c r="P50" t="inlineStr">
        <is>
          <t>Palé</t>
        </is>
      </c>
      <c r="Q50" t="n">
        <v>13.29</v>
      </c>
      <c r="R50" t="inlineStr">
        <is>
          <t>€/m²</t>
        </is>
      </c>
      <c r="S50" t="n">
        <v>0.5</v>
      </c>
      <c r="T50">
        <f>Q50*S50</f>
        <v/>
      </c>
      <c r="U50" t="inlineStr">
        <is>
          <t>6809.11.00</t>
        </is>
      </c>
      <c r="W50" t="inlineStr">
        <is>
          <t>Humedad &lt;5% — locales muy húmedos</t>
        </is>
      </c>
      <c r="X50" t="inlineStr">
        <is>
          <t>SI</t>
        </is>
      </c>
      <c r="Y50" t="inlineStr">
        <is>
          <t>SI</t>
        </is>
      </c>
    </row>
    <row r="51">
      <c r="A51" t="inlineStr">
        <is>
          <t>PLACAS</t>
        </is>
      </c>
      <c r="B51" t="inlineStr">
        <is>
          <t>FOCUS</t>
        </is>
      </c>
      <c r="C51" t="inlineStr">
        <is>
          <t>FOCUS BA 13mm 1200×2000</t>
        </is>
      </c>
      <c r="D51" t="inlineStr">
        <is>
          <t>P00F003200A0</t>
        </is>
      </c>
      <c r="E51" t="inlineStr">
        <is>
          <t>EN 520</t>
        </is>
      </c>
      <c r="F51" t="n">
        <v>1200</v>
      </c>
      <c r="G51" t="n">
        <v>12.5</v>
      </c>
      <c r="H51" t="n">
        <v>2000</v>
      </c>
      <c r="I51">
        <f>F51*H51/1000000</f>
        <v/>
      </c>
      <c r="J51" t="n">
        <v>10.8</v>
      </c>
      <c r="K51">
        <f>I51*J51</f>
        <v/>
      </c>
      <c r="L51" t="n">
        <v>48</v>
      </c>
      <c r="M51">
        <f>I51*L51</f>
        <v/>
      </c>
      <c r="N51">
        <f>K51*L51+32</f>
        <v/>
      </c>
      <c r="O51" t="inlineStr">
        <is>
          <t>Placa</t>
        </is>
      </c>
      <c r="P51" t="inlineStr">
        <is>
          <t>Palé</t>
        </is>
      </c>
      <c r="Q51" t="n">
        <v>6.8</v>
      </c>
      <c r="R51" t="inlineStr">
        <is>
          <t>€/m²</t>
        </is>
      </c>
      <c r="S51" t="n">
        <v>0.5</v>
      </c>
      <c r="T51">
        <f>Q51*S51</f>
        <v/>
      </c>
      <c r="U51" t="inlineStr">
        <is>
          <t>6809.11.00</t>
        </is>
      </c>
      <c r="W51" t="inlineStr">
        <is>
          <t>Protección pasiva al fuego — fibra de vidrio y vermiculita</t>
        </is>
      </c>
      <c r="X51" t="inlineStr">
        <is>
          <t>SI</t>
        </is>
      </c>
      <c r="Y51" t="inlineStr">
        <is>
          <t>SI</t>
        </is>
      </c>
    </row>
    <row r="52">
      <c r="A52" t="inlineStr">
        <is>
          <t>PLACAS</t>
        </is>
      </c>
      <c r="B52" t="inlineStr">
        <is>
          <t>FOCUS</t>
        </is>
      </c>
      <c r="C52" t="inlineStr">
        <is>
          <t>FOCUS BA 13mm 1200×2500</t>
        </is>
      </c>
      <c r="D52" t="inlineStr">
        <is>
          <t>P00F003250A0</t>
        </is>
      </c>
      <c r="E52" t="inlineStr">
        <is>
          <t>EN 520</t>
        </is>
      </c>
      <c r="F52" t="n">
        <v>1200</v>
      </c>
      <c r="G52" t="n">
        <v>12.5</v>
      </c>
      <c r="H52" t="n">
        <v>2500</v>
      </c>
      <c r="I52">
        <f>F52*H52/1000000</f>
        <v/>
      </c>
      <c r="J52" t="n">
        <v>10.8</v>
      </c>
      <c r="K52">
        <f>I52*J52</f>
        <v/>
      </c>
      <c r="L52" t="n">
        <v>36</v>
      </c>
      <c r="M52">
        <f>I52*L52</f>
        <v/>
      </c>
      <c r="N52">
        <f>K52*L52+32</f>
        <v/>
      </c>
      <c r="O52" t="inlineStr">
        <is>
          <t>Placa</t>
        </is>
      </c>
      <c r="P52" t="inlineStr">
        <is>
          <t>Palé</t>
        </is>
      </c>
      <c r="Q52" t="n">
        <v>6.8</v>
      </c>
      <c r="R52" t="inlineStr">
        <is>
          <t>€/m²</t>
        </is>
      </c>
      <c r="S52" t="n">
        <v>0.5</v>
      </c>
      <c r="T52">
        <f>Q52*S52</f>
        <v/>
      </c>
      <c r="U52" t="inlineStr">
        <is>
          <t>6809.11.00</t>
        </is>
      </c>
      <c r="W52" t="inlineStr">
        <is>
          <t>Protección pasiva al fuego — fibra de vidrio y vermiculita</t>
        </is>
      </c>
      <c r="X52" t="inlineStr">
        <is>
          <t>SI</t>
        </is>
      </c>
      <c r="Y52" t="inlineStr">
        <is>
          <t>SI</t>
        </is>
      </c>
    </row>
    <row r="53">
      <c r="A53" t="inlineStr">
        <is>
          <t>PLACAS</t>
        </is>
      </c>
      <c r="B53" t="inlineStr">
        <is>
          <t>FOCUS</t>
        </is>
      </c>
      <c r="C53" t="inlineStr">
        <is>
          <t>FOCUS BA 13mm 1200×2600</t>
        </is>
      </c>
      <c r="D53" t="inlineStr">
        <is>
          <t>P00F003260A0</t>
        </is>
      </c>
      <c r="E53" t="inlineStr">
        <is>
          <t>EN 520</t>
        </is>
      </c>
      <c r="F53" t="n">
        <v>1200</v>
      </c>
      <c r="G53" t="n">
        <v>12.5</v>
      </c>
      <c r="H53" t="n">
        <v>2600</v>
      </c>
      <c r="I53">
        <f>F53*H53/1000000</f>
        <v/>
      </c>
      <c r="J53" t="n">
        <v>10.8</v>
      </c>
      <c r="K53">
        <f>I53*J53</f>
        <v/>
      </c>
      <c r="L53" t="n">
        <v>36</v>
      </c>
      <c r="M53">
        <f>I53*L53</f>
        <v/>
      </c>
      <c r="N53">
        <f>K53*L53+32</f>
        <v/>
      </c>
      <c r="O53" t="inlineStr">
        <is>
          <t>Placa</t>
        </is>
      </c>
      <c r="P53" t="inlineStr">
        <is>
          <t>Palé</t>
        </is>
      </c>
      <c r="Q53" t="n">
        <v>6.8</v>
      </c>
      <c r="R53" t="inlineStr">
        <is>
          <t>€/m²</t>
        </is>
      </c>
      <c r="S53" t="n">
        <v>0.5</v>
      </c>
      <c r="T53">
        <f>Q53*S53</f>
        <v/>
      </c>
      <c r="U53" t="inlineStr">
        <is>
          <t>6809.11.00</t>
        </is>
      </c>
      <c r="W53" t="inlineStr">
        <is>
          <t>Protección pasiva al fuego — fibra de vidrio y vermiculita</t>
        </is>
      </c>
      <c r="X53" t="inlineStr">
        <is>
          <t>SI</t>
        </is>
      </c>
      <c r="Y53" t="inlineStr">
        <is>
          <t>SI</t>
        </is>
      </c>
    </row>
    <row r="54">
      <c r="A54" t="inlineStr">
        <is>
          <t>PLACAS</t>
        </is>
      </c>
      <c r="B54" t="inlineStr">
        <is>
          <t>FOCUS</t>
        </is>
      </c>
      <c r="C54" t="inlineStr">
        <is>
          <t>FOCUS BA 13mm 1200×3000</t>
        </is>
      </c>
      <c r="D54" t="inlineStr">
        <is>
          <t>P00F003300A0</t>
        </is>
      </c>
      <c r="E54" t="inlineStr">
        <is>
          <t>EN 520</t>
        </is>
      </c>
      <c r="F54" t="n">
        <v>1200</v>
      </c>
      <c r="G54" t="n">
        <v>12.5</v>
      </c>
      <c r="H54" t="n">
        <v>3000</v>
      </c>
      <c r="I54">
        <f>F54*H54/1000000</f>
        <v/>
      </c>
      <c r="J54" t="n">
        <v>10.8</v>
      </c>
      <c r="K54">
        <f>I54*J54</f>
        <v/>
      </c>
      <c r="L54" t="n">
        <v>36</v>
      </c>
      <c r="M54">
        <f>I54*L54</f>
        <v/>
      </c>
      <c r="N54">
        <f>K54*L54+32</f>
        <v/>
      </c>
      <c r="O54" t="inlineStr">
        <is>
          <t>Placa</t>
        </is>
      </c>
      <c r="P54" t="inlineStr">
        <is>
          <t>Palé</t>
        </is>
      </c>
      <c r="Q54" t="n">
        <v>6.8</v>
      </c>
      <c r="R54" t="inlineStr">
        <is>
          <t>€/m²</t>
        </is>
      </c>
      <c r="S54" t="n">
        <v>0.5</v>
      </c>
      <c r="T54">
        <f>Q54*S54</f>
        <v/>
      </c>
      <c r="U54" t="inlineStr">
        <is>
          <t>6809.11.00</t>
        </is>
      </c>
      <c r="W54" t="inlineStr">
        <is>
          <t>Protección pasiva al fuego — fibra de vidrio y vermiculita</t>
        </is>
      </c>
      <c r="X54" t="inlineStr">
        <is>
          <t>SI</t>
        </is>
      </c>
      <c r="Y54" t="inlineStr">
        <is>
          <t>SI</t>
        </is>
      </c>
    </row>
    <row r="55">
      <c r="A55" t="inlineStr">
        <is>
          <t>PLACAS</t>
        </is>
      </c>
      <c r="B55" t="inlineStr">
        <is>
          <t>FOCUS</t>
        </is>
      </c>
      <c r="C55" t="inlineStr">
        <is>
          <t>FOCUS BA 15mm 1200×2000</t>
        </is>
      </c>
      <c r="D55" t="inlineStr">
        <is>
          <t>P00F005200A0</t>
        </is>
      </c>
      <c r="E55" t="inlineStr">
        <is>
          <t>EN 520</t>
        </is>
      </c>
      <c r="F55" t="n">
        <v>1200</v>
      </c>
      <c r="G55" t="n">
        <v>15</v>
      </c>
      <c r="H55" t="n">
        <v>2000</v>
      </c>
      <c r="I55">
        <f>F55*H55/1000000</f>
        <v/>
      </c>
      <c r="J55" t="n">
        <v>13.6</v>
      </c>
      <c r="K55">
        <f>I55*J55</f>
        <v/>
      </c>
      <c r="L55" t="n">
        <v>36</v>
      </c>
      <c r="M55">
        <f>I55*L55</f>
        <v/>
      </c>
      <c r="N55">
        <f>K55*L55+32</f>
        <v/>
      </c>
      <c r="O55" t="inlineStr">
        <is>
          <t>Placa</t>
        </is>
      </c>
      <c r="P55" t="inlineStr">
        <is>
          <t>Palé</t>
        </is>
      </c>
      <c r="Q55" t="n">
        <v>8.01</v>
      </c>
      <c r="R55" t="inlineStr">
        <is>
          <t>€/m²</t>
        </is>
      </c>
      <c r="S55" t="n">
        <v>0.5</v>
      </c>
      <c r="T55">
        <f>Q55*S55</f>
        <v/>
      </c>
      <c r="U55" t="inlineStr">
        <is>
          <t>6809.11.00</t>
        </is>
      </c>
      <c r="W55" t="inlineStr">
        <is>
          <t>Protección pasiva al fuego — fibra de vidrio y vermiculita</t>
        </is>
      </c>
      <c r="X55" t="inlineStr">
        <is>
          <t>SI</t>
        </is>
      </c>
      <c r="Y55" t="inlineStr">
        <is>
          <t>SI</t>
        </is>
      </c>
    </row>
    <row r="56">
      <c r="A56" t="inlineStr">
        <is>
          <t>PLACAS</t>
        </is>
      </c>
      <c r="B56" t="inlineStr">
        <is>
          <t>FOCUS</t>
        </is>
      </c>
      <c r="C56" t="inlineStr">
        <is>
          <t>FOCUS BA 15mm 1200×2500</t>
        </is>
      </c>
      <c r="D56" t="inlineStr">
        <is>
          <t>P00F005250A0</t>
        </is>
      </c>
      <c r="E56" t="inlineStr">
        <is>
          <t>EN 520</t>
        </is>
      </c>
      <c r="F56" t="n">
        <v>1200</v>
      </c>
      <c r="G56" t="n">
        <v>15</v>
      </c>
      <c r="H56" t="n">
        <v>2500</v>
      </c>
      <c r="I56">
        <f>F56*H56/1000000</f>
        <v/>
      </c>
      <c r="J56" t="n">
        <v>13.6</v>
      </c>
      <c r="K56">
        <f>I56*J56</f>
        <v/>
      </c>
      <c r="L56" t="n">
        <v>24</v>
      </c>
      <c r="M56">
        <f>I56*L56</f>
        <v/>
      </c>
      <c r="N56">
        <f>K56*L56+32</f>
        <v/>
      </c>
      <c r="O56" t="inlineStr">
        <is>
          <t>Placa</t>
        </is>
      </c>
      <c r="P56" t="inlineStr">
        <is>
          <t>Palé</t>
        </is>
      </c>
      <c r="Q56" t="n">
        <v>8.01</v>
      </c>
      <c r="R56" t="inlineStr">
        <is>
          <t>€/m²</t>
        </is>
      </c>
      <c r="S56" t="n">
        <v>0.5</v>
      </c>
      <c r="T56">
        <f>Q56*S56</f>
        <v/>
      </c>
      <c r="U56" t="inlineStr">
        <is>
          <t>6809.11.00</t>
        </is>
      </c>
      <c r="W56" t="inlineStr">
        <is>
          <t>Protección pasiva al fuego — fibra de vidrio y vermiculita</t>
        </is>
      </c>
      <c r="X56" t="inlineStr">
        <is>
          <t>SI</t>
        </is>
      </c>
      <c r="Y56" t="inlineStr">
        <is>
          <t>SI</t>
        </is>
      </c>
    </row>
    <row r="57">
      <c r="A57" t="inlineStr">
        <is>
          <t>PLACAS</t>
        </is>
      </c>
      <c r="B57" t="inlineStr">
        <is>
          <t>FOCUS</t>
        </is>
      </c>
      <c r="C57" t="inlineStr">
        <is>
          <t>FOCUS BA 15mm 1200×2800</t>
        </is>
      </c>
      <c r="D57" t="inlineStr">
        <is>
          <t>P00F005280A0</t>
        </is>
      </c>
      <c r="E57" t="inlineStr">
        <is>
          <t>EN 520</t>
        </is>
      </c>
      <c r="F57" t="n">
        <v>1200</v>
      </c>
      <c r="G57" t="n">
        <v>15</v>
      </c>
      <c r="H57" t="n">
        <v>2800</v>
      </c>
      <c r="I57">
        <f>F57*H57/1000000</f>
        <v/>
      </c>
      <c r="J57" t="n">
        <v>13.6</v>
      </c>
      <c r="K57">
        <f>I57*J57</f>
        <v/>
      </c>
      <c r="L57" t="n">
        <v>36</v>
      </c>
      <c r="M57">
        <f>I57*L57</f>
        <v/>
      </c>
      <c r="N57">
        <f>K57*L57+32</f>
        <v/>
      </c>
      <c r="O57" t="inlineStr">
        <is>
          <t>Placa</t>
        </is>
      </c>
      <c r="P57" t="inlineStr">
        <is>
          <t>Palé</t>
        </is>
      </c>
      <c r="Q57" t="n">
        <v>8.01</v>
      </c>
      <c r="R57" t="inlineStr">
        <is>
          <t>€/m²</t>
        </is>
      </c>
      <c r="S57" t="n">
        <v>0.5</v>
      </c>
      <c r="T57">
        <f>Q57*S57</f>
        <v/>
      </c>
      <c r="U57" t="inlineStr">
        <is>
          <t>6809.11.00</t>
        </is>
      </c>
      <c r="W57" t="inlineStr">
        <is>
          <t>Protección pasiva al fuego — fibra de vidrio y vermiculita</t>
        </is>
      </c>
      <c r="X57" t="inlineStr">
        <is>
          <t>SI</t>
        </is>
      </c>
      <c r="Y57" t="inlineStr">
        <is>
          <t>SI</t>
        </is>
      </c>
    </row>
    <row r="58">
      <c r="A58" t="inlineStr">
        <is>
          <t>PLACAS</t>
        </is>
      </c>
      <c r="B58" t="inlineStr">
        <is>
          <t>FOCUS</t>
        </is>
      </c>
      <c r="C58" t="inlineStr">
        <is>
          <t>FOCUS BA 15mm 1200×3000</t>
        </is>
      </c>
      <c r="D58" t="inlineStr">
        <is>
          <t>P00F005300A2</t>
        </is>
      </c>
      <c r="E58" t="inlineStr">
        <is>
          <t>EN 520</t>
        </is>
      </c>
      <c r="F58" t="n">
        <v>1200</v>
      </c>
      <c r="G58" t="n">
        <v>15</v>
      </c>
      <c r="H58" t="n">
        <v>3000</v>
      </c>
      <c r="I58">
        <f>F58*H58/1000000</f>
        <v/>
      </c>
      <c r="J58" t="n">
        <v>13.6</v>
      </c>
      <c r="K58">
        <f>I58*J58</f>
        <v/>
      </c>
      <c r="L58" t="n">
        <v>24</v>
      </c>
      <c r="M58">
        <f>I58*L58</f>
        <v/>
      </c>
      <c r="N58">
        <f>K58*L58+32</f>
        <v/>
      </c>
      <c r="O58" t="inlineStr">
        <is>
          <t>Placa</t>
        </is>
      </c>
      <c r="P58" t="inlineStr">
        <is>
          <t>Palé</t>
        </is>
      </c>
      <c r="Q58" t="n">
        <v>8.01</v>
      </c>
      <c r="R58" t="inlineStr">
        <is>
          <t>€/m²</t>
        </is>
      </c>
      <c r="S58" t="n">
        <v>0.5</v>
      </c>
      <c r="T58">
        <f>Q58*S58</f>
        <v/>
      </c>
      <c r="U58" t="inlineStr">
        <is>
          <t>6809.11.00</t>
        </is>
      </c>
      <c r="W58" t="inlineStr">
        <is>
          <t>Protección pasiva al fuego — fibra de vidrio y vermiculita</t>
        </is>
      </c>
      <c r="X58" t="inlineStr">
        <is>
          <t>SI</t>
        </is>
      </c>
      <c r="Y58" t="inlineStr">
        <is>
          <t>SI</t>
        </is>
      </c>
    </row>
    <row r="59">
      <c r="A59" t="inlineStr">
        <is>
          <t>PLACAS</t>
        </is>
      </c>
      <c r="B59" t="inlineStr">
        <is>
          <t>FOCUS</t>
        </is>
      </c>
      <c r="C59" t="inlineStr">
        <is>
          <t>FOCUS BA 20mm 1200×2000</t>
        </is>
      </c>
      <c r="D59" t="inlineStr">
        <is>
          <t>P00F002200A0</t>
        </is>
      </c>
      <c r="E59" t="inlineStr">
        <is>
          <t>EN 520</t>
        </is>
      </c>
      <c r="F59" t="n">
        <v>1200</v>
      </c>
      <c r="G59" t="n">
        <v>20</v>
      </c>
      <c r="H59" t="n">
        <v>2000</v>
      </c>
      <c r="I59">
        <f>F59*H59/1000000</f>
        <v/>
      </c>
      <c r="J59" t="n">
        <v>18.6</v>
      </c>
      <c r="K59">
        <f>I59*J59</f>
        <v/>
      </c>
      <c r="L59" t="n">
        <v>24</v>
      </c>
      <c r="M59">
        <f>I59*L59</f>
        <v/>
      </c>
      <c r="N59">
        <f>K59*L59+32</f>
        <v/>
      </c>
      <c r="O59" t="inlineStr">
        <is>
          <t>Placa</t>
        </is>
      </c>
      <c r="P59" t="inlineStr">
        <is>
          <t>Palé</t>
        </is>
      </c>
      <c r="Q59" t="n">
        <v>10.43</v>
      </c>
      <c r="R59" t="inlineStr">
        <is>
          <t>€/m²</t>
        </is>
      </c>
      <c r="S59" t="n">
        <v>0.5</v>
      </c>
      <c r="T59">
        <f>Q59*S59</f>
        <v/>
      </c>
      <c r="U59" t="inlineStr">
        <is>
          <t>6809.11.00</t>
        </is>
      </c>
      <c r="W59" t="inlineStr">
        <is>
          <t>Protección pasiva al fuego — fibra de vidrio y vermiculita</t>
        </is>
      </c>
      <c r="X59" t="inlineStr">
        <is>
          <t>SI</t>
        </is>
      </c>
      <c r="Y59" t="inlineStr">
        <is>
          <t>SI</t>
        </is>
      </c>
    </row>
    <row r="60">
      <c r="A60" t="inlineStr">
        <is>
          <t>PLACAS</t>
        </is>
      </c>
      <c r="B60" t="inlineStr">
        <is>
          <t>FOCUS Ultra</t>
        </is>
      </c>
      <c r="C60" t="inlineStr">
        <is>
          <t>FOCUS ULTRA BA 25mm 1200×2000</t>
        </is>
      </c>
      <c r="D60" t="inlineStr">
        <is>
          <t>P00F004200A0</t>
        </is>
      </c>
      <c r="E60" t="inlineStr">
        <is>
          <t>EN 520</t>
        </is>
      </c>
      <c r="F60" t="n">
        <v>1200</v>
      </c>
      <c r="G60" t="n">
        <v>25</v>
      </c>
      <c r="H60" t="n">
        <v>2000</v>
      </c>
      <c r="I60">
        <f>F60*H60/1000000</f>
        <v/>
      </c>
      <c r="J60" t="n">
        <v>22</v>
      </c>
      <c r="K60">
        <f>I60*J60</f>
        <v/>
      </c>
      <c r="L60" t="n">
        <v>24</v>
      </c>
      <c r="M60">
        <f>I60*L60</f>
        <v/>
      </c>
      <c r="N60">
        <f>K60*L60+32</f>
        <v/>
      </c>
      <c r="O60" t="inlineStr">
        <is>
          <t>Placa</t>
        </is>
      </c>
      <c r="P60" t="inlineStr">
        <is>
          <t>Palé</t>
        </is>
      </c>
      <c r="Q60" t="n">
        <v>13.57</v>
      </c>
      <c r="R60" t="inlineStr">
        <is>
          <t>€/m²</t>
        </is>
      </c>
      <c r="S60" t="n">
        <v>0.5</v>
      </c>
      <c r="T60">
        <f>Q60*S60</f>
        <v/>
      </c>
      <c r="U60" t="inlineStr">
        <is>
          <t>6809.11.00</t>
        </is>
      </c>
      <c r="W60" t="inlineStr">
        <is>
          <t>Protección pasiva al fuego — fibra de vidrio y vermiculita</t>
        </is>
      </c>
      <c r="X60" t="inlineStr">
        <is>
          <t>SI</t>
        </is>
      </c>
      <c r="Y60" t="inlineStr">
        <is>
          <t>SI</t>
        </is>
      </c>
    </row>
    <row r="61">
      <c r="A61" t="inlineStr">
        <is>
          <t>PLACAS</t>
        </is>
      </c>
      <c r="B61" t="inlineStr">
        <is>
          <t>FOCUS Zero</t>
        </is>
      </c>
      <c r="C61" t="inlineStr">
        <is>
          <t>FOCUS ZERO BA 13mm 1200×2500</t>
        </is>
      </c>
      <c r="D61" t="inlineStr">
        <is>
          <t>P00FZ03250A0</t>
        </is>
      </c>
      <c r="E61" t="inlineStr">
        <is>
          <t>EN 520</t>
        </is>
      </c>
      <c r="F61" t="n">
        <v>1200</v>
      </c>
      <c r="G61" t="n">
        <v>12.5</v>
      </c>
      <c r="H61" t="n">
        <v>2500</v>
      </c>
      <c r="I61">
        <f>F61*H61/1000000</f>
        <v/>
      </c>
      <c r="J61" t="n">
        <v>10.8</v>
      </c>
      <c r="K61">
        <f>I61*J61</f>
        <v/>
      </c>
      <c r="O61" t="inlineStr">
        <is>
          <t>Placa</t>
        </is>
      </c>
      <c r="P61" t="inlineStr">
        <is>
          <t>Palé</t>
        </is>
      </c>
      <c r="Q61" t="n">
        <v>22.05</v>
      </c>
      <c r="R61" t="inlineStr">
        <is>
          <t>€/m²</t>
        </is>
      </c>
      <c r="S61" t="n">
        <v>0.5</v>
      </c>
      <c r="T61">
        <f>Q61*S61</f>
        <v/>
      </c>
      <c r="U61" t="inlineStr">
        <is>
          <t>6809.11.00</t>
        </is>
      </c>
      <c r="W61" t="inlineStr">
        <is>
          <t>Protección pasiva al fuego — fibra de vidrio y vermiculita</t>
        </is>
      </c>
      <c r="X61" t="inlineStr">
        <is>
          <t>SI</t>
        </is>
      </c>
      <c r="Y61" t="inlineStr">
        <is>
          <t>Solo Calliano</t>
        </is>
      </c>
      <c r="Z61" t="inlineStr">
        <is>
          <t>Solo disponible desde Calliano — no en Tarancón</t>
        </is>
      </c>
    </row>
    <row r="62">
      <c r="A62" t="inlineStr">
        <is>
          <t>PLACAS</t>
        </is>
      </c>
      <c r="B62" t="inlineStr">
        <is>
          <t>FOCUS Zero</t>
        </is>
      </c>
      <c r="C62" t="inlineStr">
        <is>
          <t>FOCUS ZERO BA 13mm 1200×3000</t>
        </is>
      </c>
      <c r="D62" t="inlineStr">
        <is>
          <t>P00FZ03300A2</t>
        </is>
      </c>
      <c r="E62" t="inlineStr">
        <is>
          <t>EN 520</t>
        </is>
      </c>
      <c r="F62" t="n">
        <v>1200</v>
      </c>
      <c r="G62" t="n">
        <v>12.5</v>
      </c>
      <c r="H62" t="n">
        <v>3000</v>
      </c>
      <c r="I62">
        <f>F62*H62/1000000</f>
        <v/>
      </c>
      <c r="J62" t="n">
        <v>10.8</v>
      </c>
      <c r="K62">
        <f>I62*J62</f>
        <v/>
      </c>
      <c r="O62" t="inlineStr">
        <is>
          <t>Placa</t>
        </is>
      </c>
      <c r="P62" t="inlineStr">
        <is>
          <t>Palé</t>
        </is>
      </c>
      <c r="Q62" t="n">
        <v>22.05</v>
      </c>
      <c r="R62" t="inlineStr">
        <is>
          <t>€/m²</t>
        </is>
      </c>
      <c r="S62" t="n">
        <v>0.5</v>
      </c>
      <c r="T62">
        <f>Q62*S62</f>
        <v/>
      </c>
      <c r="U62" t="inlineStr">
        <is>
          <t>6809.11.00</t>
        </is>
      </c>
      <c r="W62" t="inlineStr">
        <is>
          <t>Protección pasiva al fuego — fibra de vidrio y vermiculita</t>
        </is>
      </c>
      <c r="X62" t="inlineStr">
        <is>
          <t>SI</t>
        </is>
      </c>
      <c r="Y62" t="inlineStr">
        <is>
          <t>Solo Calliano</t>
        </is>
      </c>
      <c r="Z62" t="inlineStr">
        <is>
          <t>Solo disponible desde Calliano — no en Tarancón</t>
        </is>
      </c>
    </row>
    <row r="63">
      <c r="A63" t="inlineStr">
        <is>
          <t>PLACAS</t>
        </is>
      </c>
      <c r="B63" t="inlineStr">
        <is>
          <t>FOCUS Zero</t>
        </is>
      </c>
      <c r="C63" t="inlineStr">
        <is>
          <t>FOCUS ZERO BA 15mm 1200×3000</t>
        </is>
      </c>
      <c r="D63" t="inlineStr">
        <is>
          <t>P00FZ05300A2</t>
        </is>
      </c>
      <c r="E63" t="inlineStr">
        <is>
          <t>EN 520</t>
        </is>
      </c>
      <c r="F63" t="n">
        <v>1200</v>
      </c>
      <c r="G63" t="n">
        <v>15</v>
      </c>
      <c r="H63" t="n">
        <v>3000</v>
      </c>
      <c r="I63">
        <f>F63*H63/1000000</f>
        <v/>
      </c>
      <c r="J63" t="n">
        <v>13.6</v>
      </c>
      <c r="K63">
        <f>I63*J63</f>
        <v/>
      </c>
      <c r="O63" t="inlineStr">
        <is>
          <t>Placa</t>
        </is>
      </c>
      <c r="P63" t="inlineStr">
        <is>
          <t>Palé</t>
        </is>
      </c>
      <c r="Q63" t="n">
        <v>23.88</v>
      </c>
      <c r="R63" t="inlineStr">
        <is>
          <t>€/m²</t>
        </is>
      </c>
      <c r="S63" t="n">
        <v>0.5</v>
      </c>
      <c r="T63">
        <f>Q63*S63</f>
        <v/>
      </c>
      <c r="U63" t="inlineStr">
        <is>
          <t>6809.11.00</t>
        </is>
      </c>
      <c r="W63" t="inlineStr">
        <is>
          <t>Protección pasiva al fuego — fibra de vidrio y vermiculita</t>
        </is>
      </c>
      <c r="X63" t="inlineStr">
        <is>
          <t>SI</t>
        </is>
      </c>
      <c r="Y63" t="inlineStr">
        <is>
          <t>Solo Calliano</t>
        </is>
      </c>
      <c r="Z63" t="inlineStr">
        <is>
          <t>Solo disponible desde Calliano — no en Tarancón</t>
        </is>
      </c>
    </row>
    <row r="64">
      <c r="A64" t="inlineStr">
        <is>
          <t>PLACAS</t>
        </is>
      </c>
      <c r="B64" t="inlineStr">
        <is>
          <t>SILENS</t>
        </is>
      </c>
      <c r="C64" t="inlineStr">
        <is>
          <t>GypsoSILENS BA 13mm 1200×2500</t>
        </is>
      </c>
      <c r="D64" t="inlineStr">
        <is>
          <t>P00GS03250A0</t>
        </is>
      </c>
      <c r="E64" t="inlineStr">
        <is>
          <t>EN 520</t>
        </is>
      </c>
      <c r="F64" t="n">
        <v>1200</v>
      </c>
      <c r="G64" t="n">
        <v>13</v>
      </c>
      <c r="H64" t="n">
        <v>2500</v>
      </c>
      <c r="I64">
        <f>F64*H64/1000000</f>
        <v/>
      </c>
      <c r="J64" t="n">
        <v>11.9</v>
      </c>
      <c r="K64">
        <f>I64*J64</f>
        <v/>
      </c>
      <c r="L64" t="n">
        <v>36</v>
      </c>
      <c r="M64">
        <f>I64*L64</f>
        <v/>
      </c>
      <c r="N64">
        <f>K64*L64+32</f>
        <v/>
      </c>
      <c r="O64" t="inlineStr">
        <is>
          <t>Placa</t>
        </is>
      </c>
      <c r="P64" t="inlineStr">
        <is>
          <t>Palé</t>
        </is>
      </c>
      <c r="Q64" t="n">
        <v>7.42</v>
      </c>
      <c r="R64" t="inlineStr">
        <is>
          <t>€/m²</t>
        </is>
      </c>
      <c r="S64" t="n">
        <v>0.5</v>
      </c>
      <c r="T64">
        <f>Q64*S64</f>
        <v/>
      </c>
      <c r="U64" t="inlineStr">
        <is>
          <t>6809.11.00</t>
        </is>
      </c>
      <c r="W64" t="inlineStr">
        <is>
          <t>Densidad &gt;800 kg/m³ — alto aislamiento acústico</t>
        </is>
      </c>
      <c r="X64" t="inlineStr">
        <is>
          <t>SI</t>
        </is>
      </c>
      <c r="Y64" t="inlineStr">
        <is>
          <t>SI</t>
        </is>
      </c>
    </row>
    <row r="65">
      <c r="A65" t="inlineStr">
        <is>
          <t>PLACAS</t>
        </is>
      </c>
      <c r="B65" t="inlineStr">
        <is>
          <t>SILENS</t>
        </is>
      </c>
      <c r="C65" t="inlineStr">
        <is>
          <t>GypsoSILENS BA 13mm 1200×2600</t>
        </is>
      </c>
      <c r="D65" t="inlineStr">
        <is>
          <t>P00GS03260A0</t>
        </is>
      </c>
      <c r="E65" t="inlineStr">
        <is>
          <t>EN 520</t>
        </is>
      </c>
      <c r="F65" t="n">
        <v>1200</v>
      </c>
      <c r="G65" t="n">
        <v>13</v>
      </c>
      <c r="H65" t="n">
        <v>2600</v>
      </c>
      <c r="I65">
        <f>F65*H65/1000000</f>
        <v/>
      </c>
      <c r="J65" t="n">
        <v>11.9</v>
      </c>
      <c r="K65">
        <f>I65*J65</f>
        <v/>
      </c>
      <c r="L65" t="n">
        <v>36</v>
      </c>
      <c r="M65">
        <f>I65*L65</f>
        <v/>
      </c>
      <c r="N65">
        <f>K65*L65+32</f>
        <v/>
      </c>
      <c r="O65" t="inlineStr">
        <is>
          <t>Placa</t>
        </is>
      </c>
      <c r="P65" t="inlineStr">
        <is>
          <t>Palé</t>
        </is>
      </c>
      <c r="Q65" t="n">
        <v>7.42</v>
      </c>
      <c r="R65" t="inlineStr">
        <is>
          <t>€/m²</t>
        </is>
      </c>
      <c r="S65" t="n">
        <v>0.5</v>
      </c>
      <c r="T65">
        <f>Q65*S65</f>
        <v/>
      </c>
      <c r="U65" t="inlineStr">
        <is>
          <t>6809.11.00</t>
        </is>
      </c>
      <c r="W65" t="inlineStr">
        <is>
          <t>Densidad &gt;800 kg/m³ — alto aislamiento acústico</t>
        </is>
      </c>
      <c r="X65" t="inlineStr">
        <is>
          <t>SI</t>
        </is>
      </c>
      <c r="Y65" t="inlineStr">
        <is>
          <t>SI</t>
        </is>
      </c>
    </row>
    <row r="66">
      <c r="A66" t="inlineStr">
        <is>
          <t>PLACAS</t>
        </is>
      </c>
      <c r="B66" t="inlineStr">
        <is>
          <t>SILENS</t>
        </is>
      </c>
      <c r="C66" t="inlineStr">
        <is>
          <t>GypsoSILENS BA 13mm 1200×3000</t>
        </is>
      </c>
      <c r="D66" t="inlineStr">
        <is>
          <t>P00GS03300A0</t>
        </is>
      </c>
      <c r="E66" t="inlineStr">
        <is>
          <t>EN 520</t>
        </is>
      </c>
      <c r="F66" t="n">
        <v>1200</v>
      </c>
      <c r="G66" t="n">
        <v>13</v>
      </c>
      <c r="H66" t="n">
        <v>3000</v>
      </c>
      <c r="I66">
        <f>F66*H66/1000000</f>
        <v/>
      </c>
      <c r="J66" t="n">
        <v>11.9</v>
      </c>
      <c r="K66">
        <f>I66*J66</f>
        <v/>
      </c>
      <c r="L66" t="n">
        <v>24</v>
      </c>
      <c r="M66">
        <f>I66*L66</f>
        <v/>
      </c>
      <c r="N66">
        <f>K66*L66+32</f>
        <v/>
      </c>
      <c r="O66" t="inlineStr">
        <is>
          <t>Placa</t>
        </is>
      </c>
      <c r="P66" t="inlineStr">
        <is>
          <t>Palé</t>
        </is>
      </c>
      <c r="Q66" t="n">
        <v>7.42</v>
      </c>
      <c r="R66" t="inlineStr">
        <is>
          <t>€/m²</t>
        </is>
      </c>
      <c r="S66" t="n">
        <v>0.5</v>
      </c>
      <c r="T66">
        <f>Q66*S66</f>
        <v/>
      </c>
      <c r="U66" t="inlineStr">
        <is>
          <t>6809.11.00</t>
        </is>
      </c>
      <c r="W66" t="inlineStr">
        <is>
          <t>Densidad &gt;800 kg/m³ — alto aislamiento acústico</t>
        </is>
      </c>
      <c r="X66" t="inlineStr">
        <is>
          <t>SI</t>
        </is>
      </c>
      <c r="Y66" t="inlineStr">
        <is>
          <t>SI</t>
        </is>
      </c>
    </row>
    <row r="67">
      <c r="A67" t="inlineStr">
        <is>
          <t>PLACAS</t>
        </is>
      </c>
      <c r="B67" t="inlineStr">
        <is>
          <t>LIGNUM</t>
        </is>
      </c>
      <c r="C67" t="inlineStr">
        <is>
          <t>GypsoLIGNUM BA 13mm 1200×2000</t>
        </is>
      </c>
      <c r="D67" t="inlineStr">
        <is>
          <t>P00LB03200AC</t>
        </is>
      </c>
      <c r="E67" t="inlineStr">
        <is>
          <t>EN 520</t>
        </is>
      </c>
      <c r="F67" t="n">
        <v>1200</v>
      </c>
      <c r="G67" t="n">
        <v>12.5</v>
      </c>
      <c r="H67" t="n">
        <v>2000</v>
      </c>
      <c r="I67">
        <f>F67*H67/1000000</f>
        <v/>
      </c>
      <c r="J67" t="n">
        <v>12.8</v>
      </c>
      <c r="K67">
        <f>I67*J67</f>
        <v/>
      </c>
      <c r="L67" t="n">
        <v>36</v>
      </c>
      <c r="M67">
        <f>I67*L67</f>
        <v/>
      </c>
      <c r="N67">
        <f>K67*L67+32</f>
        <v/>
      </c>
      <c r="O67" t="inlineStr">
        <is>
          <t>Placa</t>
        </is>
      </c>
      <c r="P67" t="inlineStr">
        <is>
          <t>Palé</t>
        </is>
      </c>
      <c r="Q67" t="n">
        <v>11.73</v>
      </c>
      <c r="R67" t="inlineStr">
        <is>
          <t>€/m²</t>
        </is>
      </c>
      <c r="S67" t="n">
        <v>0.5</v>
      </c>
      <c r="T67">
        <f>Q67*S67</f>
        <v/>
      </c>
      <c r="U67" t="inlineStr">
        <is>
          <t>6809.11.00</t>
        </is>
      </c>
      <c r="W67" t="inlineStr">
        <is>
          <t>Densidad &gt;1000 kg/m³ — fuego impacto humedad prestaciones acústicas</t>
        </is>
      </c>
      <c r="X67" t="inlineStr">
        <is>
          <t>SI</t>
        </is>
      </c>
      <c r="Y67" t="inlineStr">
        <is>
          <t>SI</t>
        </is>
      </c>
    </row>
    <row r="68">
      <c r="A68" t="inlineStr">
        <is>
          <t>PLACAS</t>
        </is>
      </c>
      <c r="B68" t="inlineStr">
        <is>
          <t>LIGNUM</t>
        </is>
      </c>
      <c r="C68" t="inlineStr">
        <is>
          <t>GypsoLIGNUM BA 13mm 1200×2500</t>
        </is>
      </c>
      <c r="D68" t="inlineStr">
        <is>
          <t>P00LB03250AC</t>
        </is>
      </c>
      <c r="E68" t="inlineStr">
        <is>
          <t>EN 520</t>
        </is>
      </c>
      <c r="F68" t="n">
        <v>1200</v>
      </c>
      <c r="G68" t="n">
        <v>12.5</v>
      </c>
      <c r="H68" t="n">
        <v>2500</v>
      </c>
      <c r="I68">
        <f>F68*H68/1000000</f>
        <v/>
      </c>
      <c r="J68" t="n">
        <v>12.8</v>
      </c>
      <c r="K68">
        <f>I68*J68</f>
        <v/>
      </c>
      <c r="L68" t="n">
        <v>24</v>
      </c>
      <c r="M68">
        <f>I68*L68</f>
        <v/>
      </c>
      <c r="N68">
        <f>K68*L68+32</f>
        <v/>
      </c>
      <c r="O68" t="inlineStr">
        <is>
          <t>Placa</t>
        </is>
      </c>
      <c r="P68" t="inlineStr">
        <is>
          <t>Palé</t>
        </is>
      </c>
      <c r="Q68" t="n">
        <v>11.73</v>
      </c>
      <c r="R68" t="inlineStr">
        <is>
          <t>€/m²</t>
        </is>
      </c>
      <c r="S68" t="n">
        <v>0.5</v>
      </c>
      <c r="T68">
        <f>Q68*S68</f>
        <v/>
      </c>
      <c r="U68" t="inlineStr">
        <is>
          <t>6809.11.00</t>
        </is>
      </c>
      <c r="W68" t="inlineStr">
        <is>
          <t>Densidad &gt;1000 kg/m³ — fuego impacto humedad prestaciones acústicas</t>
        </is>
      </c>
      <c r="X68" t="inlineStr">
        <is>
          <t>SI</t>
        </is>
      </c>
      <c r="Y68" t="inlineStr">
        <is>
          <t>SI</t>
        </is>
      </c>
    </row>
    <row r="69">
      <c r="A69" t="inlineStr">
        <is>
          <t>PLACAS</t>
        </is>
      </c>
      <c r="B69" t="inlineStr">
        <is>
          <t>LIGNUM</t>
        </is>
      </c>
      <c r="C69" t="inlineStr">
        <is>
          <t>GypsoLIGNUM BA 13mm 1200×2600</t>
        </is>
      </c>
      <c r="D69" t="inlineStr">
        <is>
          <t>P00LB03260AC</t>
        </is>
      </c>
      <c r="E69" t="inlineStr">
        <is>
          <t>EN 520</t>
        </is>
      </c>
      <c r="F69" t="n">
        <v>1200</v>
      </c>
      <c r="G69" t="n">
        <v>12.5</v>
      </c>
      <c r="H69" t="n">
        <v>2600</v>
      </c>
      <c r="I69">
        <f>F69*H69/1000000</f>
        <v/>
      </c>
      <c r="J69" t="n">
        <v>12.8</v>
      </c>
      <c r="K69">
        <f>I69*J69</f>
        <v/>
      </c>
      <c r="L69" t="n">
        <v>24</v>
      </c>
      <c r="M69">
        <f>I69*L69</f>
        <v/>
      </c>
      <c r="N69">
        <f>K69*L69+32</f>
        <v/>
      </c>
      <c r="O69" t="inlineStr">
        <is>
          <t>Placa</t>
        </is>
      </c>
      <c r="P69" t="inlineStr">
        <is>
          <t>Palé</t>
        </is>
      </c>
      <c r="Q69" t="n">
        <v>11.73</v>
      </c>
      <c r="R69" t="inlineStr">
        <is>
          <t>€/m²</t>
        </is>
      </c>
      <c r="S69" t="n">
        <v>0.5</v>
      </c>
      <c r="T69">
        <f>Q69*S69</f>
        <v/>
      </c>
      <c r="U69" t="inlineStr">
        <is>
          <t>6809.11.00</t>
        </is>
      </c>
      <c r="W69" t="inlineStr">
        <is>
          <t>Densidad &gt;1000 kg/m³ — fuego impacto humedad prestaciones acústicas</t>
        </is>
      </c>
      <c r="X69" t="inlineStr">
        <is>
          <t>SI</t>
        </is>
      </c>
      <c r="Y69" t="inlineStr">
        <is>
          <t>SI</t>
        </is>
      </c>
    </row>
    <row r="70">
      <c r="A70" t="inlineStr">
        <is>
          <t>PLACAS</t>
        </is>
      </c>
      <c r="B70" t="inlineStr">
        <is>
          <t>LIGNUM</t>
        </is>
      </c>
      <c r="C70" t="inlineStr">
        <is>
          <t>GypsoLIGNUM BA 13mm 1200×3000</t>
        </is>
      </c>
      <c r="D70" t="inlineStr">
        <is>
          <t>P00LB03300AC</t>
        </is>
      </c>
      <c r="E70" t="inlineStr">
        <is>
          <t>EN 520</t>
        </is>
      </c>
      <c r="F70" t="n">
        <v>1200</v>
      </c>
      <c r="G70" t="n">
        <v>12.5</v>
      </c>
      <c r="H70" t="n">
        <v>3000</v>
      </c>
      <c r="I70">
        <f>F70*H70/1000000</f>
        <v/>
      </c>
      <c r="J70" t="n">
        <v>12.8</v>
      </c>
      <c r="K70">
        <f>I70*J70</f>
        <v/>
      </c>
      <c r="L70" t="n">
        <v>24</v>
      </c>
      <c r="M70">
        <f>I70*L70</f>
        <v/>
      </c>
      <c r="N70">
        <f>K70*L70+32</f>
        <v/>
      </c>
      <c r="O70" t="inlineStr">
        <is>
          <t>Placa</t>
        </is>
      </c>
      <c r="P70" t="inlineStr">
        <is>
          <t>Palé</t>
        </is>
      </c>
      <c r="Q70" t="n">
        <v>11.73</v>
      </c>
      <c r="R70" t="inlineStr">
        <is>
          <t>€/m²</t>
        </is>
      </c>
      <c r="S70" t="n">
        <v>0.5</v>
      </c>
      <c r="T70">
        <f>Q70*S70</f>
        <v/>
      </c>
      <c r="U70" t="inlineStr">
        <is>
          <t>6809.11.00</t>
        </is>
      </c>
      <c r="W70" t="inlineStr">
        <is>
          <t>Densidad &gt;1000 kg/m³ — fuego impacto humedad prestaciones acústicas</t>
        </is>
      </c>
      <c r="X70" t="inlineStr">
        <is>
          <t>SI</t>
        </is>
      </c>
      <c r="Y70" t="inlineStr">
        <is>
          <t>SI</t>
        </is>
      </c>
    </row>
    <row r="71">
      <c r="A71" t="inlineStr">
        <is>
          <t>PLACAS</t>
        </is>
      </c>
      <c r="B71" t="inlineStr">
        <is>
          <t>LIGNUM</t>
        </is>
      </c>
      <c r="C71" t="inlineStr">
        <is>
          <t>GypsoLIGNUM BA 15mm 1200×2000</t>
        </is>
      </c>
      <c r="D71" t="inlineStr">
        <is>
          <t>P00LB05200AC</t>
        </is>
      </c>
      <c r="E71" t="inlineStr">
        <is>
          <t>EN 520</t>
        </is>
      </c>
      <c r="F71" t="n">
        <v>1200</v>
      </c>
      <c r="G71" t="n">
        <v>15</v>
      </c>
      <c r="H71" t="n">
        <v>2000</v>
      </c>
      <c r="I71">
        <f>F71*H71/1000000</f>
        <v/>
      </c>
      <c r="J71" t="n">
        <v>15.4</v>
      </c>
      <c r="K71">
        <f>I71*J71</f>
        <v/>
      </c>
      <c r="L71" t="n">
        <v>36</v>
      </c>
      <c r="M71">
        <f>I71*L71</f>
        <v/>
      </c>
      <c r="N71">
        <f>K71*L71+32</f>
        <v/>
      </c>
      <c r="O71" t="inlineStr">
        <is>
          <t>Placa</t>
        </is>
      </c>
      <c r="P71" t="inlineStr">
        <is>
          <t>Palé</t>
        </is>
      </c>
      <c r="Q71" t="n">
        <v>13.98</v>
      </c>
      <c r="R71" t="inlineStr">
        <is>
          <t>€/m²</t>
        </is>
      </c>
      <c r="S71" t="n">
        <v>0.5</v>
      </c>
      <c r="T71">
        <f>Q71*S71</f>
        <v/>
      </c>
      <c r="U71" t="inlineStr">
        <is>
          <t>6809.11.00</t>
        </is>
      </c>
      <c r="W71" t="inlineStr">
        <is>
          <t>Densidad &gt;1000 kg/m³ — fuego impacto humedad prestaciones acústicas</t>
        </is>
      </c>
      <c r="X71" t="inlineStr">
        <is>
          <t>SI</t>
        </is>
      </c>
      <c r="Y71" t="inlineStr">
        <is>
          <t>SI</t>
        </is>
      </c>
    </row>
    <row r="72">
      <c r="A72" t="inlineStr">
        <is>
          <t>PLACAS</t>
        </is>
      </c>
      <c r="B72" t="inlineStr">
        <is>
          <t>LIGNUM Zero</t>
        </is>
      </c>
      <c r="C72" t="inlineStr">
        <is>
          <t>GypsoLIGNUM Zero BA 13mm 1200×3000</t>
        </is>
      </c>
      <c r="D72" t="inlineStr">
        <is>
          <t>P00GZ03300AC</t>
        </is>
      </c>
      <c r="E72" t="inlineStr">
        <is>
          <t>EN 520</t>
        </is>
      </c>
      <c r="F72" t="n">
        <v>1200</v>
      </c>
      <c r="G72" t="n">
        <v>12.5</v>
      </c>
      <c r="H72" t="n">
        <v>3000</v>
      </c>
      <c r="I72">
        <f>F72*H72/1000000</f>
        <v/>
      </c>
      <c r="J72" t="n">
        <v>12.8</v>
      </c>
      <c r="K72">
        <f>I72*J72</f>
        <v/>
      </c>
      <c r="O72" t="inlineStr">
        <is>
          <t>Placa</t>
        </is>
      </c>
      <c r="P72" t="inlineStr">
        <is>
          <t>Palé</t>
        </is>
      </c>
      <c r="Q72" t="n">
        <v>31.89</v>
      </c>
      <c r="R72" t="inlineStr">
        <is>
          <t>€/m²</t>
        </is>
      </c>
      <c r="S72" t="n">
        <v>0.5</v>
      </c>
      <c r="T72">
        <f>Q72*S72</f>
        <v/>
      </c>
      <c r="U72" t="inlineStr">
        <is>
          <t>6809.11.00</t>
        </is>
      </c>
      <c r="W72" t="inlineStr">
        <is>
          <t>Densidad &gt;1000 kg/m³ — fuego impacto humedad prestaciones acústicas</t>
        </is>
      </c>
      <c r="X72" t="inlineStr">
        <is>
          <t>SI</t>
        </is>
      </c>
      <c r="Y72" t="inlineStr">
        <is>
          <t>Solo Calliano</t>
        </is>
      </c>
      <c r="Z72" t="inlineStr">
        <is>
          <t>Solo disponible desde Calliano — no en Tarancón</t>
        </is>
      </c>
    </row>
    <row r="73">
      <c r="A73" t="inlineStr">
        <is>
          <t>PLACAS</t>
        </is>
      </c>
      <c r="B73" t="inlineStr">
        <is>
          <t>EXTERNA</t>
        </is>
      </c>
      <c r="C73" t="inlineStr">
        <is>
          <t>EXTERNA LIGHT BR 13mm 1200×2000</t>
        </is>
      </c>
      <c r="D73" t="inlineStr">
        <is>
          <t>P00XL03200EI</t>
        </is>
      </c>
      <c r="E73" t="inlineStr">
        <is>
          <t>EN 520</t>
        </is>
      </c>
      <c r="F73" t="n">
        <v>1200</v>
      </c>
      <c r="G73" t="n">
        <v>12.5</v>
      </c>
      <c r="H73" t="n">
        <v>2000</v>
      </c>
      <c r="I73">
        <f>F73*H73/1000000</f>
        <v/>
      </c>
      <c r="J73" t="n">
        <v>12</v>
      </c>
      <c r="K73">
        <f>I73*J73</f>
        <v/>
      </c>
      <c r="O73" t="inlineStr">
        <is>
          <t>Placa</t>
        </is>
      </c>
      <c r="P73" t="inlineStr">
        <is>
          <t>Palé</t>
        </is>
      </c>
      <c r="Q73" t="n">
        <v>25.57</v>
      </c>
      <c r="R73" t="inlineStr">
        <is>
          <t>€/m²</t>
        </is>
      </c>
      <c r="S73" t="n">
        <v>0.5</v>
      </c>
      <c r="T73">
        <f>Q73*S73</f>
        <v/>
      </c>
      <c r="U73" t="inlineStr">
        <is>
          <t>6809.11.00</t>
        </is>
      </c>
      <c r="W73" t="inlineStr">
        <is>
          <t>Placa cementosa interior/exterior — alta humedad y semiintemperie</t>
        </is>
      </c>
      <c r="X73" t="inlineStr">
        <is>
          <t>SI</t>
        </is>
      </c>
      <c r="Y73" t="inlineStr">
        <is>
          <t>Solo Calliano</t>
        </is>
      </c>
      <c r="Z73" t="inlineStr">
        <is>
          <t>Solo disponible desde Calliano — no en Tarancón</t>
        </is>
      </c>
    </row>
    <row r="74">
      <c r="A74" t="inlineStr">
        <is>
          <t>PLACAS</t>
        </is>
      </c>
      <c r="B74" t="inlineStr">
        <is>
          <t>VAPOR</t>
        </is>
      </c>
      <c r="C74" t="inlineStr">
        <is>
          <t>VAPOR BA 13mm 1200×3000</t>
        </is>
      </c>
      <c r="D74" t="inlineStr">
        <is>
          <t>P00V003300AI</t>
        </is>
      </c>
      <c r="E74" t="inlineStr">
        <is>
          <t>EN 520</t>
        </is>
      </c>
      <c r="F74" t="n">
        <v>1200</v>
      </c>
      <c r="G74" t="n">
        <v>12.5</v>
      </c>
      <c r="H74" t="n">
        <v>3000</v>
      </c>
      <c r="I74">
        <f>F74*H74/1000000</f>
        <v/>
      </c>
      <c r="J74" t="n">
        <v>8.699999999999999</v>
      </c>
      <c r="K74">
        <f>I74*J74</f>
        <v/>
      </c>
      <c r="O74" t="inlineStr">
        <is>
          <t>Placa</t>
        </is>
      </c>
      <c r="P74" t="inlineStr">
        <is>
          <t>Palé</t>
        </is>
      </c>
      <c r="Q74" t="n">
        <v>9.779999999999999</v>
      </c>
      <c r="R74" t="inlineStr">
        <is>
          <t>€/m²</t>
        </is>
      </c>
      <c r="S74" t="n">
        <v>0.5</v>
      </c>
      <c r="T74">
        <f>Q74*S74</f>
        <v/>
      </c>
      <c r="U74" t="inlineStr">
        <is>
          <t>6809.11.00</t>
        </is>
      </c>
      <c r="W74" t="inlineStr">
        <is>
          <t>Barrera de vapor — lámina aluminio 15μm en cara posterior</t>
        </is>
      </c>
      <c r="X74" t="inlineStr">
        <is>
          <t>SI</t>
        </is>
      </c>
      <c r="Y74" t="inlineStr">
        <is>
          <t>Solo Calliano</t>
        </is>
      </c>
      <c r="Z74" t="inlineStr">
        <is>
          <t>Solo disponible desde Calliano — no en Tarancón</t>
        </is>
      </c>
    </row>
    <row r="75">
      <c r="A75" t="inlineStr">
        <is>
          <t>PLACAS</t>
        </is>
      </c>
      <c r="B75" t="inlineStr">
        <is>
          <t>POCKET STD</t>
        </is>
      </c>
      <c r="C75" t="inlineStr">
        <is>
          <t>GypsoPOCKET STD BA 13mm 1200×900</t>
        </is>
      </c>
      <c r="D75" t="inlineStr">
        <is>
          <t>P00A003090A0</t>
        </is>
      </c>
      <c r="E75" t="inlineStr">
        <is>
          <t>EN 520</t>
        </is>
      </c>
      <c r="F75" t="n">
        <v>1200</v>
      </c>
      <c r="G75" t="n">
        <v>12.5</v>
      </c>
      <c r="H75" t="n">
        <v>900</v>
      </c>
      <c r="I75">
        <f>F75*H75/1000000</f>
        <v/>
      </c>
      <c r="J75" t="n">
        <v>8.699999999999999</v>
      </c>
      <c r="K75">
        <f>I75*J75</f>
        <v/>
      </c>
      <c r="O75" t="inlineStr">
        <is>
          <t>Placa</t>
        </is>
      </c>
      <c r="P75" t="inlineStr">
        <is>
          <t>Palé</t>
        </is>
      </c>
      <c r="Q75" t="n">
        <v>6.49</v>
      </c>
      <c r="R75" t="inlineStr">
        <is>
          <t>€/m²</t>
        </is>
      </c>
      <c r="S75" t="n">
        <v>0.5</v>
      </c>
      <c r="T75">
        <f>Q75*S75</f>
        <v/>
      </c>
      <c r="U75" t="inlineStr">
        <is>
          <t>6809.11.00</t>
        </is>
      </c>
      <c r="W75" t="inlineStr">
        <is>
          <t>Placa reforma — fácil transporte 900mm longitud</t>
        </is>
      </c>
      <c r="X75" t="inlineStr">
        <is>
          <t>SI</t>
        </is>
      </c>
      <c r="Y75" t="inlineStr">
        <is>
          <t>Solo Calliano</t>
        </is>
      </c>
      <c r="Z75" t="inlineStr">
        <is>
          <t>Solo disponible desde Calliano — no en Tarancón</t>
        </is>
      </c>
    </row>
    <row r="76">
      <c r="A76" t="inlineStr">
        <is>
          <t>PLACAS</t>
        </is>
      </c>
      <c r="B76" t="inlineStr">
        <is>
          <t>POCKET AQUA H2</t>
        </is>
      </c>
      <c r="C76" t="inlineStr">
        <is>
          <t>GypsoPOCKET AQUA H2 BA 13mm 1200×900</t>
        </is>
      </c>
      <c r="D76" t="inlineStr">
        <is>
          <t>P00H003090A0</t>
        </is>
      </c>
      <c r="E76" t="inlineStr">
        <is>
          <t>EN 520</t>
        </is>
      </c>
      <c r="F76" t="n">
        <v>1200</v>
      </c>
      <c r="G76" t="n">
        <v>12.5</v>
      </c>
      <c r="H76" t="n">
        <v>900</v>
      </c>
      <c r="I76">
        <f>F76*H76/1000000</f>
        <v/>
      </c>
      <c r="J76" t="n">
        <v>8.699999999999999</v>
      </c>
      <c r="K76">
        <f>I76*J76</f>
        <v/>
      </c>
      <c r="O76" t="inlineStr">
        <is>
          <t>Placa</t>
        </is>
      </c>
      <c r="P76" t="inlineStr">
        <is>
          <t>Palé</t>
        </is>
      </c>
      <c r="Q76" t="n">
        <v>10.16</v>
      </c>
      <c r="R76" t="inlineStr">
        <is>
          <t>€/m²</t>
        </is>
      </c>
      <c r="S76" t="n">
        <v>0.5</v>
      </c>
      <c r="T76">
        <f>Q76*S76</f>
        <v/>
      </c>
      <c r="U76" t="inlineStr">
        <is>
          <t>6809.11.00</t>
        </is>
      </c>
      <c r="W76" t="inlineStr">
        <is>
          <t>Placa reforma — fácil transporte 900mm longitud</t>
        </is>
      </c>
      <c r="X76" t="inlineStr">
        <is>
          <t>SI</t>
        </is>
      </c>
      <c r="Y76" t="inlineStr">
        <is>
          <t>Solo Calliano</t>
        </is>
      </c>
      <c r="Z76" t="inlineStr">
        <is>
          <t>Solo disponible desde Calliano — no en Tarancón</t>
        </is>
      </c>
    </row>
    <row r="77">
      <c r="A77" t="inlineStr">
        <is>
          <t>PLACAS</t>
        </is>
      </c>
      <c r="B77" t="inlineStr">
        <is>
          <t>POCKET AQUASUPER</t>
        </is>
      </c>
      <c r="C77" t="inlineStr">
        <is>
          <t>GypsoPOCKET AQUASUPER BA 13mm 1200×900</t>
        </is>
      </c>
      <c r="D77" t="inlineStr">
        <is>
          <t>P00W003090A0</t>
        </is>
      </c>
      <c r="E77" t="inlineStr">
        <is>
          <t>EN 520</t>
        </is>
      </c>
      <c r="F77" t="n">
        <v>1200</v>
      </c>
      <c r="G77" t="n">
        <v>12.5</v>
      </c>
      <c r="H77" t="n">
        <v>900</v>
      </c>
      <c r="I77">
        <f>F77*H77/1000000</f>
        <v/>
      </c>
      <c r="J77" t="n">
        <v>8.699999999999999</v>
      </c>
      <c r="K77">
        <f>I77*J77</f>
        <v/>
      </c>
      <c r="O77" t="inlineStr">
        <is>
          <t>Placa</t>
        </is>
      </c>
      <c r="P77" t="inlineStr">
        <is>
          <t>Palé</t>
        </is>
      </c>
      <c r="Q77" t="n">
        <v>10.71</v>
      </c>
      <c r="R77" t="inlineStr">
        <is>
          <t>€/m²</t>
        </is>
      </c>
      <c r="S77" t="n">
        <v>0.5</v>
      </c>
      <c r="T77">
        <f>Q77*S77</f>
        <v/>
      </c>
      <c r="U77" t="inlineStr">
        <is>
          <t>6809.11.00</t>
        </is>
      </c>
      <c r="W77" t="inlineStr">
        <is>
          <t>Placa reforma — fácil transporte 900mm longitud</t>
        </is>
      </c>
      <c r="X77" t="inlineStr">
        <is>
          <t>SI</t>
        </is>
      </c>
      <c r="Y77" t="inlineStr">
        <is>
          <t>Solo Calliano</t>
        </is>
      </c>
      <c r="Z77" t="inlineStr">
        <is>
          <t>Solo disponible desde Calliano — no en Tarancón</t>
        </is>
      </c>
    </row>
    <row r="78">
      <c r="A78" t="inlineStr">
        <is>
          <t>PERFILES</t>
        </is>
      </c>
      <c r="B78" t="inlineStr">
        <is>
          <t>Montante</t>
        </is>
      </c>
      <c r="C78" t="inlineStr">
        <is>
          <t>Montante 48/35 Z1</t>
        </is>
      </c>
      <c r="D78" t="inlineStr">
        <is>
          <t>C344836299A</t>
        </is>
      </c>
      <c r="E78" t="inlineStr">
        <is>
          <t>EN 14195</t>
        </is>
      </c>
      <c r="F78" t="n">
        <v>48</v>
      </c>
      <c r="G78" t="n">
        <v>35</v>
      </c>
      <c r="H78" t="n">
        <v>2990</v>
      </c>
      <c r="I78">
        <f>F78*H78/1000000</f>
        <v/>
      </c>
      <c r="J78" t="n">
        <v>0.57</v>
      </c>
      <c r="K78">
        <f>I78*J78</f>
        <v/>
      </c>
      <c r="L78" t="n">
        <v>480</v>
      </c>
      <c r="M78">
        <f>I78*L78</f>
        <v/>
      </c>
      <c r="N78">
        <f>K78*L78+32</f>
        <v/>
      </c>
      <c r="O78" t="inlineStr">
        <is>
          <t>ml</t>
        </is>
      </c>
      <c r="P78" t="inlineStr">
        <is>
          <t>Palé</t>
        </is>
      </c>
      <c r="Q78" t="n">
        <v>1.4</v>
      </c>
      <c r="R78" t="inlineStr">
        <is>
          <t>€/ml</t>
        </is>
      </c>
      <c r="S78" t="n">
        <v>0.5</v>
      </c>
      <c r="T78">
        <f>Q78*S78</f>
        <v/>
      </c>
      <c r="U78" t="inlineStr">
        <is>
          <t>7216.61.10</t>
        </is>
      </c>
      <c r="W78" t="inlineStr">
        <is>
          <t>Estructura tabiques trasdosados techos — interior</t>
        </is>
      </c>
      <c r="X78" t="inlineStr">
        <is>
          <t>SI</t>
        </is>
      </c>
      <c r="Y78" t="inlineStr">
        <is>
          <t>SI</t>
        </is>
      </c>
      <c r="Z78" t="inlineStr">
        <is>
          <t>UD mín venta: 10 barras</t>
        </is>
      </c>
    </row>
    <row r="79">
      <c r="A79" t="inlineStr">
        <is>
          <t>PERFILES</t>
        </is>
      </c>
      <c r="B79" t="inlineStr">
        <is>
          <t>Montante</t>
        </is>
      </c>
      <c r="C79" t="inlineStr">
        <is>
          <t>Montante 70/37 Z1</t>
        </is>
      </c>
      <c r="D79" t="inlineStr">
        <is>
          <t>C367038269A</t>
        </is>
      </c>
      <c r="E79" t="inlineStr">
        <is>
          <t>EN 14195</t>
        </is>
      </c>
      <c r="F79" t="n">
        <v>70</v>
      </c>
      <c r="G79" t="n">
        <v>37</v>
      </c>
      <c r="H79" t="n">
        <v>2690</v>
      </c>
      <c r="I79">
        <f>F79*H79/1000000</f>
        <v/>
      </c>
      <c r="J79" t="n">
        <v>0.7</v>
      </c>
      <c r="K79">
        <f>I79*J79</f>
        <v/>
      </c>
      <c r="L79" t="n">
        <v>250</v>
      </c>
      <c r="M79">
        <f>I79*L79</f>
        <v/>
      </c>
      <c r="N79">
        <f>K79*L79+32</f>
        <v/>
      </c>
      <c r="O79" t="inlineStr">
        <is>
          <t>ml</t>
        </is>
      </c>
      <c r="P79" t="inlineStr">
        <is>
          <t>Palé</t>
        </is>
      </c>
      <c r="Q79" t="n">
        <v>1.78</v>
      </c>
      <c r="R79" t="inlineStr">
        <is>
          <t>€/ml</t>
        </is>
      </c>
      <c r="S79" t="n">
        <v>0.5</v>
      </c>
      <c r="T79">
        <f>Q79*S79</f>
        <v/>
      </c>
      <c r="U79" t="inlineStr">
        <is>
          <t>7216.61.10</t>
        </is>
      </c>
      <c r="W79" t="inlineStr">
        <is>
          <t>Estructura tabiques trasdosados techos — interior</t>
        </is>
      </c>
      <c r="X79" t="inlineStr">
        <is>
          <t>SI</t>
        </is>
      </c>
      <c r="Y79" t="inlineStr">
        <is>
          <t>SI</t>
        </is>
      </c>
      <c r="Z79" t="inlineStr">
        <is>
          <t>UD mín venta: 10 barras</t>
        </is>
      </c>
    </row>
    <row r="80">
      <c r="A80" t="inlineStr">
        <is>
          <t>PERFILES</t>
        </is>
      </c>
      <c r="B80" t="inlineStr">
        <is>
          <t>Montante</t>
        </is>
      </c>
      <c r="C80" t="inlineStr">
        <is>
          <t>Montante 90/40 Z1</t>
        </is>
      </c>
      <c r="D80" t="inlineStr">
        <is>
          <t>C399041299A</t>
        </is>
      </c>
      <c r="E80" t="inlineStr">
        <is>
          <t>EN 14195</t>
        </is>
      </c>
      <c r="F80" t="n">
        <v>90</v>
      </c>
      <c r="G80" t="n">
        <v>40</v>
      </c>
      <c r="H80" t="n">
        <v>2990</v>
      </c>
      <c r="I80">
        <f>F80*H80/1000000</f>
        <v/>
      </c>
      <c r="J80" t="n">
        <v>0.82</v>
      </c>
      <c r="K80">
        <f>I80*J80</f>
        <v/>
      </c>
      <c r="L80" t="n">
        <v>200</v>
      </c>
      <c r="M80">
        <f>I80*L80</f>
        <v/>
      </c>
      <c r="N80">
        <f>K80*L80+32</f>
        <v/>
      </c>
      <c r="O80" t="inlineStr">
        <is>
          <t>ml</t>
        </is>
      </c>
      <c r="P80" t="inlineStr">
        <is>
          <t>Palé</t>
        </is>
      </c>
      <c r="Q80" t="n">
        <v>2.23</v>
      </c>
      <c r="R80" t="inlineStr">
        <is>
          <t>€/ml</t>
        </is>
      </c>
      <c r="S80" t="n">
        <v>0.5</v>
      </c>
      <c r="T80">
        <f>Q80*S80</f>
        <v/>
      </c>
      <c r="U80" t="inlineStr">
        <is>
          <t>7216.61.10</t>
        </is>
      </c>
      <c r="W80" t="inlineStr">
        <is>
          <t>Estructura tabiques trasdosados techos — interior</t>
        </is>
      </c>
      <c r="X80" t="inlineStr">
        <is>
          <t>SI</t>
        </is>
      </c>
      <c r="Y80" t="inlineStr">
        <is>
          <t>SI</t>
        </is>
      </c>
      <c r="Z80" t="inlineStr">
        <is>
          <t>UD mín venta: 10 barras</t>
        </is>
      </c>
    </row>
    <row r="81">
      <c r="A81" t="inlineStr">
        <is>
          <t>PERFILES</t>
        </is>
      </c>
      <c r="B81" t="inlineStr">
        <is>
          <t>Montante</t>
        </is>
      </c>
      <c r="C81" t="inlineStr">
        <is>
          <t>Montante 100/40 Z1</t>
        </is>
      </c>
      <c r="D81" t="inlineStr">
        <is>
          <t>C3910041299A</t>
        </is>
      </c>
      <c r="E81" t="inlineStr">
        <is>
          <t>EN 14195</t>
        </is>
      </c>
      <c r="F81" t="n">
        <v>100</v>
      </c>
      <c r="G81" t="n">
        <v>40</v>
      </c>
      <c r="H81" t="n">
        <v>2990</v>
      </c>
      <c r="I81">
        <f>F81*H81/1000000</f>
        <v/>
      </c>
      <c r="J81" t="n">
        <v>0.87</v>
      </c>
      <c r="K81">
        <f>I81*J81</f>
        <v/>
      </c>
      <c r="L81" t="n">
        <v>160</v>
      </c>
      <c r="M81">
        <f>I81*L81</f>
        <v/>
      </c>
      <c r="N81">
        <f>K81*L81+32</f>
        <v/>
      </c>
      <c r="O81" t="inlineStr">
        <is>
          <t>ml</t>
        </is>
      </c>
      <c r="P81" t="inlineStr">
        <is>
          <t>Palé</t>
        </is>
      </c>
      <c r="Q81" t="n">
        <v>2.5</v>
      </c>
      <c r="R81" t="inlineStr">
        <is>
          <t>€/ml</t>
        </is>
      </c>
      <c r="S81" t="n">
        <v>0.5</v>
      </c>
      <c r="T81">
        <f>Q81*S81</f>
        <v/>
      </c>
      <c r="U81" t="inlineStr">
        <is>
          <t>7216.61.10</t>
        </is>
      </c>
      <c r="W81" t="inlineStr">
        <is>
          <t>Estructura tabiques trasdosados techos — interior</t>
        </is>
      </c>
      <c r="X81" t="inlineStr">
        <is>
          <t>SI</t>
        </is>
      </c>
      <c r="Y81" t="inlineStr">
        <is>
          <t>SI</t>
        </is>
      </c>
      <c r="Z81" t="inlineStr">
        <is>
          <t>UD mín venta: 8 barras</t>
        </is>
      </c>
    </row>
    <row r="82">
      <c r="A82" t="inlineStr">
        <is>
          <t>PERFILES</t>
        </is>
      </c>
      <c r="B82" t="inlineStr">
        <is>
          <t>Montante</t>
        </is>
      </c>
      <c r="C82" t="inlineStr">
        <is>
          <t>Montante 125/47 Z1</t>
        </is>
      </c>
      <c r="D82" t="inlineStr">
        <is>
          <t>C4612548399A</t>
        </is>
      </c>
      <c r="E82" t="inlineStr">
        <is>
          <t>EN 14195</t>
        </is>
      </c>
      <c r="F82" t="n">
        <v>125</v>
      </c>
      <c r="G82" t="n">
        <v>47</v>
      </c>
      <c r="H82" t="n">
        <v>3990</v>
      </c>
      <c r="I82">
        <f>F82*H82/1000000</f>
        <v/>
      </c>
      <c r="J82" t="n">
        <v>0.98</v>
      </c>
      <c r="K82">
        <f>I82*J82</f>
        <v/>
      </c>
      <c r="L82" t="n">
        <v>120</v>
      </c>
      <c r="M82">
        <f>I82*L82</f>
        <v/>
      </c>
      <c r="N82">
        <f>K82*L82+32</f>
        <v/>
      </c>
      <c r="O82" t="inlineStr">
        <is>
          <t>ml</t>
        </is>
      </c>
      <c r="P82" t="inlineStr">
        <is>
          <t>Palé</t>
        </is>
      </c>
      <c r="Q82" t="n">
        <v>3.13</v>
      </c>
      <c r="R82" t="inlineStr">
        <is>
          <t>€/ml</t>
        </is>
      </c>
      <c r="S82" t="n">
        <v>0.5</v>
      </c>
      <c r="T82">
        <f>Q82*S82</f>
        <v/>
      </c>
      <c r="U82" t="inlineStr">
        <is>
          <t>7216.61.10</t>
        </is>
      </c>
      <c r="W82" t="inlineStr">
        <is>
          <t>Estructura tabiques trasdosados techos — interior</t>
        </is>
      </c>
      <c r="X82" t="inlineStr">
        <is>
          <t>SI</t>
        </is>
      </c>
      <c r="Y82" t="inlineStr">
        <is>
          <t>SI</t>
        </is>
      </c>
      <c r="Z82" t="inlineStr">
        <is>
          <t>UD mín venta: 4 barras</t>
        </is>
      </c>
    </row>
    <row r="83">
      <c r="A83" t="inlineStr">
        <is>
          <t>PERFILES</t>
        </is>
      </c>
      <c r="B83" t="inlineStr">
        <is>
          <t>Montante</t>
        </is>
      </c>
      <c r="C83" t="inlineStr">
        <is>
          <t>Montante 150/47 Z1</t>
        </is>
      </c>
      <c r="D83" t="inlineStr">
        <is>
          <t>C4615048399A</t>
        </is>
      </c>
      <c r="E83" t="inlineStr">
        <is>
          <t>EN 14195</t>
        </is>
      </c>
      <c r="F83" t="n">
        <v>150</v>
      </c>
      <c r="G83" t="n">
        <v>47</v>
      </c>
      <c r="H83" t="n">
        <v>3990</v>
      </c>
      <c r="I83">
        <f>F83*H83/1000000</f>
        <v/>
      </c>
      <c r="J83" t="n">
        <v>1.1</v>
      </c>
      <c r="K83">
        <f>I83*J83</f>
        <v/>
      </c>
      <c r="L83" t="n">
        <v>120</v>
      </c>
      <c r="M83">
        <f>I83*L83</f>
        <v/>
      </c>
      <c r="N83">
        <f>K83*L83+32</f>
        <v/>
      </c>
      <c r="O83" t="inlineStr">
        <is>
          <t>ml</t>
        </is>
      </c>
      <c r="P83" t="inlineStr">
        <is>
          <t>Palé</t>
        </is>
      </c>
      <c r="Q83" t="n">
        <v>3.69</v>
      </c>
      <c r="R83" t="inlineStr">
        <is>
          <t>€/ml</t>
        </is>
      </c>
      <c r="S83" t="n">
        <v>0.5</v>
      </c>
      <c r="T83">
        <f>Q83*S83</f>
        <v/>
      </c>
      <c r="U83" t="inlineStr">
        <is>
          <t>7216.61.10</t>
        </is>
      </c>
      <c r="W83" t="inlineStr">
        <is>
          <t>Estructura tabiques trasdosados techos — interior</t>
        </is>
      </c>
      <c r="X83" t="inlineStr">
        <is>
          <t>SI</t>
        </is>
      </c>
      <c r="Y83" t="inlineStr">
        <is>
          <t>SI</t>
        </is>
      </c>
      <c r="Z83" t="inlineStr">
        <is>
          <t>UD mín venta: 4 barras</t>
        </is>
      </c>
    </row>
    <row r="84">
      <c r="A84" t="inlineStr">
        <is>
          <t>PERFILES</t>
        </is>
      </c>
      <c r="B84" t="inlineStr">
        <is>
          <t>Rail</t>
        </is>
      </c>
      <c r="C84" t="inlineStr">
        <is>
          <t>Rail 48 Z1</t>
        </is>
      </c>
      <c r="D84" t="inlineStr">
        <is>
          <t>U304830300A</t>
        </is>
      </c>
      <c r="E84" t="inlineStr">
        <is>
          <t>EN 14195</t>
        </is>
      </c>
      <c r="F84" t="n">
        <v>48</v>
      </c>
      <c r="G84" t="n">
        <v>30</v>
      </c>
      <c r="H84" t="n">
        <v>3000</v>
      </c>
      <c r="I84">
        <f>F84*H84/1000000</f>
        <v/>
      </c>
      <c r="J84" t="n">
        <v>0.45</v>
      </c>
      <c r="K84">
        <f>I84*J84</f>
        <v/>
      </c>
      <c r="L84" t="n">
        <v>560</v>
      </c>
      <c r="M84">
        <f>I84*L84</f>
        <v/>
      </c>
      <c r="N84">
        <f>K84*L84+32</f>
        <v/>
      </c>
      <c r="O84" t="inlineStr">
        <is>
          <t>ml</t>
        </is>
      </c>
      <c r="P84" t="inlineStr">
        <is>
          <t>Palé</t>
        </is>
      </c>
      <c r="Q84" t="n">
        <v>1.18</v>
      </c>
      <c r="R84" t="inlineStr">
        <is>
          <t>€/ml</t>
        </is>
      </c>
      <c r="S84" t="n">
        <v>0.5</v>
      </c>
      <c r="T84">
        <f>Q84*S84</f>
        <v/>
      </c>
      <c r="U84" t="inlineStr">
        <is>
          <t>7216.61.10</t>
        </is>
      </c>
      <c r="W84" t="inlineStr">
        <is>
          <t>Guía perimetral para montantes — interior</t>
        </is>
      </c>
      <c r="X84" t="inlineStr">
        <is>
          <t>SI</t>
        </is>
      </c>
      <c r="Y84" t="inlineStr">
        <is>
          <t>SI</t>
        </is>
      </c>
      <c r="Z84" t="inlineStr">
        <is>
          <t>UD mín venta: 10 barras</t>
        </is>
      </c>
    </row>
    <row r="85">
      <c r="A85" t="inlineStr">
        <is>
          <t>PERFILES</t>
        </is>
      </c>
      <c r="B85" t="inlineStr">
        <is>
          <t>Rail</t>
        </is>
      </c>
      <c r="C85" t="inlineStr">
        <is>
          <t>Rail 70 Z1</t>
        </is>
      </c>
      <c r="D85" t="inlineStr">
        <is>
          <t>U307030300A</t>
        </is>
      </c>
      <c r="E85" t="inlineStr">
        <is>
          <t>EN 14195</t>
        </is>
      </c>
      <c r="F85" t="n">
        <v>70</v>
      </c>
      <c r="G85" t="n">
        <v>30</v>
      </c>
      <c r="H85" t="n">
        <v>3000</v>
      </c>
      <c r="I85">
        <f>F85*H85/1000000</f>
        <v/>
      </c>
      <c r="J85" t="n">
        <v>0.55</v>
      </c>
      <c r="K85">
        <f>I85*J85</f>
        <v/>
      </c>
      <c r="L85" t="n">
        <v>350</v>
      </c>
      <c r="M85">
        <f>I85*L85</f>
        <v/>
      </c>
      <c r="N85">
        <f>K85*L85+32</f>
        <v/>
      </c>
      <c r="O85" t="inlineStr">
        <is>
          <t>ml</t>
        </is>
      </c>
      <c r="P85" t="inlineStr">
        <is>
          <t>Palé</t>
        </is>
      </c>
      <c r="Q85" t="n">
        <v>1.43</v>
      </c>
      <c r="R85" t="inlineStr">
        <is>
          <t>€/ml</t>
        </is>
      </c>
      <c r="S85" t="n">
        <v>0.5</v>
      </c>
      <c r="T85">
        <f>Q85*S85</f>
        <v/>
      </c>
      <c r="U85" t="inlineStr">
        <is>
          <t>7216.61.10</t>
        </is>
      </c>
      <c r="W85" t="inlineStr">
        <is>
          <t>Guía perimetral para montantes — interior</t>
        </is>
      </c>
      <c r="X85" t="inlineStr">
        <is>
          <t>SI</t>
        </is>
      </c>
      <c r="Y85" t="inlineStr">
        <is>
          <t>SI</t>
        </is>
      </c>
      <c r="Z85" t="inlineStr">
        <is>
          <t>UD mín venta: 10 barras</t>
        </is>
      </c>
    </row>
    <row r="86">
      <c r="A86" t="inlineStr">
        <is>
          <t>PERFILES</t>
        </is>
      </c>
      <c r="B86" t="inlineStr">
        <is>
          <t>Rail</t>
        </is>
      </c>
      <c r="C86" t="inlineStr">
        <is>
          <t>Rail 90 Z1</t>
        </is>
      </c>
      <c r="D86" t="inlineStr">
        <is>
          <t>U309030300A</t>
        </is>
      </c>
      <c r="E86" t="inlineStr">
        <is>
          <t>EN 14195</t>
        </is>
      </c>
      <c r="F86" t="n">
        <v>90</v>
      </c>
      <c r="G86" t="n">
        <v>30</v>
      </c>
      <c r="H86" t="n">
        <v>3000</v>
      </c>
      <c r="I86">
        <f>F86*H86/1000000</f>
        <v/>
      </c>
      <c r="J86" t="n">
        <v>0.64</v>
      </c>
      <c r="K86">
        <f>I86*J86</f>
        <v/>
      </c>
      <c r="L86" t="n">
        <v>280</v>
      </c>
      <c r="M86">
        <f>I86*L86</f>
        <v/>
      </c>
      <c r="N86">
        <f>K86*L86+32</f>
        <v/>
      </c>
      <c r="O86" t="inlineStr">
        <is>
          <t>ml</t>
        </is>
      </c>
      <c r="P86" t="inlineStr">
        <is>
          <t>Palé</t>
        </is>
      </c>
      <c r="Q86" t="n">
        <v>1.75</v>
      </c>
      <c r="R86" t="inlineStr">
        <is>
          <t>€/ml</t>
        </is>
      </c>
      <c r="S86" t="n">
        <v>0.5</v>
      </c>
      <c r="T86">
        <f>Q86*S86</f>
        <v/>
      </c>
      <c r="U86" t="inlineStr">
        <is>
          <t>7216.61.10</t>
        </is>
      </c>
      <c r="W86" t="inlineStr">
        <is>
          <t>Guía perimetral para montantes — interior</t>
        </is>
      </c>
      <c r="X86" t="inlineStr">
        <is>
          <t>SI</t>
        </is>
      </c>
      <c r="Y86" t="inlineStr">
        <is>
          <t>SI</t>
        </is>
      </c>
      <c r="Z86" t="inlineStr">
        <is>
          <t>UD mín venta: 10 barras</t>
        </is>
      </c>
    </row>
    <row r="87">
      <c r="A87" t="inlineStr">
        <is>
          <t>PERFILES</t>
        </is>
      </c>
      <c r="B87" t="inlineStr">
        <is>
          <t>Rail</t>
        </is>
      </c>
      <c r="C87" t="inlineStr">
        <is>
          <t>Rail 100 Z1</t>
        </is>
      </c>
      <c r="D87" t="inlineStr">
        <is>
          <t>U3010030300A</t>
        </is>
      </c>
      <c r="E87" t="inlineStr">
        <is>
          <t>EN 14195</t>
        </is>
      </c>
      <c r="F87" t="n">
        <v>100</v>
      </c>
      <c r="G87" t="n">
        <v>30</v>
      </c>
      <c r="H87" t="n">
        <v>3000</v>
      </c>
      <c r="I87">
        <f>F87*H87/1000000</f>
        <v/>
      </c>
      <c r="J87" t="n">
        <v>0.7</v>
      </c>
      <c r="K87">
        <f>I87*J87</f>
        <v/>
      </c>
      <c r="L87" t="n">
        <v>160</v>
      </c>
      <c r="M87">
        <f>I87*L87</f>
        <v/>
      </c>
      <c r="N87">
        <f>K87*L87+32</f>
        <v/>
      </c>
      <c r="O87" t="inlineStr">
        <is>
          <t>ml</t>
        </is>
      </c>
      <c r="P87" t="inlineStr">
        <is>
          <t>Palé</t>
        </is>
      </c>
      <c r="Q87" t="n">
        <v>2.13</v>
      </c>
      <c r="R87" t="inlineStr">
        <is>
          <t>€/ml</t>
        </is>
      </c>
      <c r="S87" t="n">
        <v>0.5</v>
      </c>
      <c r="T87">
        <f>Q87*S87</f>
        <v/>
      </c>
      <c r="U87" t="inlineStr">
        <is>
          <t>7216.61.10</t>
        </is>
      </c>
      <c r="W87" t="inlineStr">
        <is>
          <t>Guía perimetral para montantes — interior</t>
        </is>
      </c>
      <c r="X87" t="inlineStr">
        <is>
          <t>SI</t>
        </is>
      </c>
      <c r="Y87" t="inlineStr">
        <is>
          <t>SI</t>
        </is>
      </c>
      <c r="Z87" t="inlineStr">
        <is>
          <t>UD mín venta: 8 barras</t>
        </is>
      </c>
    </row>
    <row r="88">
      <c r="A88" t="inlineStr">
        <is>
          <t>PERFILES</t>
        </is>
      </c>
      <c r="B88" t="inlineStr">
        <is>
          <t>Rail</t>
        </is>
      </c>
      <c r="C88" t="inlineStr">
        <is>
          <t>Rail 125 Z1</t>
        </is>
      </c>
      <c r="D88" t="inlineStr">
        <is>
          <t>U3512535300A</t>
        </is>
      </c>
      <c r="E88" t="inlineStr">
        <is>
          <t>EN 14195</t>
        </is>
      </c>
      <c r="F88" t="n">
        <v>125</v>
      </c>
      <c r="G88" t="n">
        <v>35</v>
      </c>
      <c r="H88" t="n">
        <v>3000</v>
      </c>
      <c r="I88">
        <f>F88*H88/1000000</f>
        <v/>
      </c>
      <c r="J88" t="n">
        <v>0.8100000000000001</v>
      </c>
      <c r="K88">
        <f>I88*J88</f>
        <v/>
      </c>
      <c r="L88" t="n">
        <v>120</v>
      </c>
      <c r="M88">
        <f>I88*L88</f>
        <v/>
      </c>
      <c r="N88">
        <f>K88*L88+32</f>
        <v/>
      </c>
      <c r="O88" t="inlineStr">
        <is>
          <t>ml</t>
        </is>
      </c>
      <c r="P88" t="inlineStr">
        <is>
          <t>Palé</t>
        </is>
      </c>
      <c r="Q88" t="n">
        <v>2.75</v>
      </c>
      <c r="R88" t="inlineStr">
        <is>
          <t>€/ml</t>
        </is>
      </c>
      <c r="S88" t="n">
        <v>0.5</v>
      </c>
      <c r="T88">
        <f>Q88*S88</f>
        <v/>
      </c>
      <c r="U88" t="inlineStr">
        <is>
          <t>7216.61.10</t>
        </is>
      </c>
      <c r="W88" t="inlineStr">
        <is>
          <t>Guía perimetral para montantes — interior</t>
        </is>
      </c>
      <c r="X88" t="inlineStr">
        <is>
          <t>SI</t>
        </is>
      </c>
      <c r="Y88" t="inlineStr">
        <is>
          <t>SI</t>
        </is>
      </c>
      <c r="Z88" t="inlineStr">
        <is>
          <t>UD mín venta: 4 barras</t>
        </is>
      </c>
    </row>
    <row r="89">
      <c r="A89" t="inlineStr">
        <is>
          <t>PERFILES</t>
        </is>
      </c>
      <c r="B89" t="inlineStr">
        <is>
          <t>Rail</t>
        </is>
      </c>
      <c r="C89" t="inlineStr">
        <is>
          <t>Rail 150 Z1</t>
        </is>
      </c>
      <c r="D89" t="inlineStr">
        <is>
          <t>U4015040300A</t>
        </is>
      </c>
      <c r="E89" t="inlineStr">
        <is>
          <t>EN 14195</t>
        </is>
      </c>
      <c r="F89" t="n">
        <v>150</v>
      </c>
      <c r="G89" t="n">
        <v>40</v>
      </c>
      <c r="H89" t="n">
        <v>3000</v>
      </c>
      <c r="I89">
        <f>F89*H89/1000000</f>
        <v/>
      </c>
      <c r="J89" t="n">
        <v>0.91</v>
      </c>
      <c r="K89">
        <f>I89*J89</f>
        <v/>
      </c>
      <c r="L89" t="n">
        <v>120</v>
      </c>
      <c r="M89">
        <f>I89*L89</f>
        <v/>
      </c>
      <c r="N89">
        <f>K89*L89+32</f>
        <v/>
      </c>
      <c r="O89" t="inlineStr">
        <is>
          <t>ml</t>
        </is>
      </c>
      <c r="P89" t="inlineStr">
        <is>
          <t>Palé</t>
        </is>
      </c>
      <c r="Q89" t="n">
        <v>3</v>
      </c>
      <c r="R89" t="inlineStr">
        <is>
          <t>€/ml</t>
        </is>
      </c>
      <c r="S89" t="n">
        <v>0.5</v>
      </c>
      <c r="T89">
        <f>Q89*S89</f>
        <v/>
      </c>
      <c r="U89" t="inlineStr">
        <is>
          <t>7216.61.10</t>
        </is>
      </c>
      <c r="W89" t="inlineStr">
        <is>
          <t>Guía perimetral para montantes — interior</t>
        </is>
      </c>
      <c r="X89" t="inlineStr">
        <is>
          <t>SI</t>
        </is>
      </c>
      <c r="Y89" t="inlineStr">
        <is>
          <t>SI</t>
        </is>
      </c>
      <c r="Z89" t="inlineStr">
        <is>
          <t>UD mín venta: 4 barras</t>
        </is>
      </c>
    </row>
    <row r="90">
      <c r="A90" t="inlineStr">
        <is>
          <t>PERFILES</t>
        </is>
      </c>
      <c r="B90" t="inlineStr">
        <is>
          <t>Techo</t>
        </is>
      </c>
      <c r="C90" t="inlineStr">
        <is>
          <t>Perfil TC 47 Z1</t>
        </is>
      </c>
      <c r="D90" t="inlineStr">
        <is>
          <t>C174717300A</t>
        </is>
      </c>
      <c r="E90" t="inlineStr">
        <is>
          <t>EN 14195</t>
        </is>
      </c>
      <c r="F90" t="n">
        <v>47</v>
      </c>
      <c r="G90" t="n">
        <v>18</v>
      </c>
      <c r="H90" t="n">
        <v>3000</v>
      </c>
      <c r="I90">
        <f>F90*H90/1000000</f>
        <v/>
      </c>
      <c r="J90" t="n">
        <v>0.44</v>
      </c>
      <c r="K90">
        <f>I90*J90</f>
        <v/>
      </c>
      <c r="L90" t="n">
        <v>1440</v>
      </c>
      <c r="M90">
        <f>I90*L90</f>
        <v/>
      </c>
      <c r="N90">
        <f>K90*L90+32</f>
        <v/>
      </c>
      <c r="O90" t="inlineStr">
        <is>
          <t>ml</t>
        </is>
      </c>
      <c r="P90" t="inlineStr">
        <is>
          <t>Palé</t>
        </is>
      </c>
      <c r="Q90" t="n">
        <v>1.13</v>
      </c>
      <c r="R90" t="inlineStr">
        <is>
          <t>€/ml</t>
        </is>
      </c>
      <c r="S90" t="n">
        <v>0.5</v>
      </c>
      <c r="T90">
        <f>Q90*S90</f>
        <v/>
      </c>
      <c r="U90" t="inlineStr">
        <is>
          <t>7216.61.10</t>
        </is>
      </c>
      <c r="W90" t="inlineStr">
        <is>
          <t>Techo continuo suspendido</t>
        </is>
      </c>
      <c r="X90" t="inlineStr">
        <is>
          <t>SI</t>
        </is>
      </c>
      <c r="Y90" t="inlineStr">
        <is>
          <t>SI</t>
        </is>
      </c>
      <c r="Z90" t="inlineStr">
        <is>
          <t>UD mín venta: 10 barras</t>
        </is>
      </c>
    </row>
    <row r="91">
      <c r="A91" t="inlineStr">
        <is>
          <t>PERFILES</t>
        </is>
      </c>
      <c r="B91" t="inlineStr">
        <is>
          <t>Techo</t>
        </is>
      </c>
      <c r="C91" t="inlineStr">
        <is>
          <t>Perfil TC 48 Z1</t>
        </is>
      </c>
      <c r="D91" t="inlineStr">
        <is>
          <t>C1548300BA</t>
        </is>
      </c>
      <c r="E91" t="inlineStr">
        <is>
          <t>EN 14195</t>
        </is>
      </c>
      <c r="F91" t="n">
        <v>48</v>
      </c>
      <c r="G91" t="n">
        <v>15</v>
      </c>
      <c r="H91" t="n">
        <v>3000</v>
      </c>
      <c r="I91">
        <f>F91*H91/1000000</f>
        <v/>
      </c>
      <c r="J91" t="n">
        <v>0.45</v>
      </c>
      <c r="K91">
        <f>I91*J91</f>
        <v/>
      </c>
      <c r="L91" t="n">
        <v>1440</v>
      </c>
      <c r="M91">
        <f>I91*L91</f>
        <v/>
      </c>
      <c r="N91">
        <f>K91*L91+32</f>
        <v/>
      </c>
      <c r="O91" t="inlineStr">
        <is>
          <t>ml</t>
        </is>
      </c>
      <c r="P91" t="inlineStr">
        <is>
          <t>Palé</t>
        </is>
      </c>
      <c r="Q91" t="n">
        <v>2.5</v>
      </c>
      <c r="R91" t="inlineStr">
        <is>
          <t>€/ml</t>
        </is>
      </c>
      <c r="S91" t="n">
        <v>0.5</v>
      </c>
      <c r="T91">
        <f>Q91*S91</f>
        <v/>
      </c>
      <c r="U91" t="inlineStr">
        <is>
          <t>7216.61.10</t>
        </is>
      </c>
      <c r="W91" t="inlineStr">
        <is>
          <t>Techo continuo suspendido</t>
        </is>
      </c>
      <c r="X91" t="inlineStr">
        <is>
          <t>SI</t>
        </is>
      </c>
      <c r="Y91" t="inlineStr">
        <is>
          <t>SI</t>
        </is>
      </c>
      <c r="Z91" t="inlineStr">
        <is>
          <t>UD mín venta: 10 barras</t>
        </is>
      </c>
    </row>
    <row r="92">
      <c r="A92" t="inlineStr">
        <is>
          <t>PERFILES</t>
        </is>
      </c>
      <c r="B92" t="inlineStr">
        <is>
          <t>Techo</t>
        </is>
      </c>
      <c r="C92" t="inlineStr">
        <is>
          <t>Perfil TC 60 Z1</t>
        </is>
      </c>
      <c r="D92" t="inlineStr">
        <is>
          <t>C286028300A</t>
        </is>
      </c>
      <c r="E92" t="inlineStr">
        <is>
          <t>EN 14195</t>
        </is>
      </c>
      <c r="F92" t="n">
        <v>60</v>
      </c>
      <c r="G92" t="n">
        <v>28</v>
      </c>
      <c r="H92" t="n">
        <v>3000</v>
      </c>
      <c r="I92">
        <f>F92*H92/1000000</f>
        <v/>
      </c>
      <c r="J92" t="n">
        <v>0.6</v>
      </c>
      <c r="K92">
        <f>I92*J92</f>
        <v/>
      </c>
      <c r="L92" t="n">
        <v>480</v>
      </c>
      <c r="M92">
        <f>I92*L92</f>
        <v/>
      </c>
      <c r="N92">
        <f>K92*L92+32</f>
        <v/>
      </c>
      <c r="O92" t="inlineStr">
        <is>
          <t>ml</t>
        </is>
      </c>
      <c r="P92" t="inlineStr">
        <is>
          <t>Palé</t>
        </is>
      </c>
      <c r="Q92" t="n">
        <v>1.7</v>
      </c>
      <c r="R92" t="inlineStr">
        <is>
          <t>€/ml</t>
        </is>
      </c>
      <c r="S92" t="n">
        <v>0.5</v>
      </c>
      <c r="T92">
        <f>Q92*S92</f>
        <v/>
      </c>
      <c r="U92" t="inlineStr">
        <is>
          <t>7216.61.10</t>
        </is>
      </c>
      <c r="W92" t="inlineStr">
        <is>
          <t>Techo continuo suspendido</t>
        </is>
      </c>
      <c r="X92" t="inlineStr">
        <is>
          <t>SI</t>
        </is>
      </c>
      <c r="Y92" t="inlineStr">
        <is>
          <t>SI</t>
        </is>
      </c>
      <c r="Z92" t="inlineStr">
        <is>
          <t>UD mín venta: 10 barras</t>
        </is>
      </c>
    </row>
    <row r="93">
      <c r="A93" t="inlineStr">
        <is>
          <t>PERFILES</t>
        </is>
      </c>
      <c r="B93" t="inlineStr">
        <is>
          <t>Sierra</t>
        </is>
      </c>
      <c r="C93" t="inlineStr">
        <is>
          <t>Perfil Sierra TC 47/48/60 Z1</t>
        </is>
      </c>
      <c r="D93" t="inlineStr">
        <is>
          <t>U472447300A</t>
        </is>
      </c>
      <c r="E93" t="inlineStr">
        <is>
          <t>EN 14195</t>
        </is>
      </c>
      <c r="F93" t="n">
        <v>47</v>
      </c>
      <c r="G93" t="n">
        <v>17</v>
      </c>
      <c r="H93" t="n">
        <v>3000</v>
      </c>
      <c r="I93">
        <f>F93*H93/1000000</f>
        <v/>
      </c>
      <c r="J93" t="n">
        <v>0.53</v>
      </c>
      <c r="K93">
        <f>I93*J93</f>
        <v/>
      </c>
      <c r="L93" t="n">
        <v>600</v>
      </c>
      <c r="M93">
        <f>I93*L93</f>
        <v/>
      </c>
      <c r="N93">
        <f>K93*L93+32</f>
        <v/>
      </c>
      <c r="O93" t="inlineStr">
        <is>
          <t>ml</t>
        </is>
      </c>
      <c r="P93" t="inlineStr">
        <is>
          <t>Palé</t>
        </is>
      </c>
      <c r="Q93" t="n">
        <v>2.23</v>
      </c>
      <c r="R93" t="inlineStr">
        <is>
          <t>€/ml</t>
        </is>
      </c>
      <c r="S93" t="n">
        <v>0.5</v>
      </c>
      <c r="T93">
        <f>Q93*S93</f>
        <v/>
      </c>
      <c r="U93" t="inlineStr">
        <is>
          <t>7216.61.10</t>
        </is>
      </c>
      <c r="W93" t="inlineStr">
        <is>
          <t>Primario techo continuo</t>
        </is>
      </c>
      <c r="X93" t="inlineStr">
        <is>
          <t>SI</t>
        </is>
      </c>
      <c r="Y93" t="inlineStr">
        <is>
          <t>SI</t>
        </is>
      </c>
      <c r="Z93" t="inlineStr">
        <is>
          <t>UD mín venta: 10 barras</t>
        </is>
      </c>
    </row>
    <row r="94">
      <c r="A94" t="inlineStr">
        <is>
          <t>PERFILES</t>
        </is>
      </c>
      <c r="B94" t="inlineStr">
        <is>
          <t>Angular</t>
        </is>
      </c>
      <c r="C94" t="inlineStr">
        <is>
          <t>Perfil Angular Z1</t>
        </is>
      </c>
      <c r="D94" t="inlineStr">
        <is>
          <t>L2334300A</t>
        </is>
      </c>
      <c r="E94" t="inlineStr">
        <is>
          <t>EN 14195</t>
        </is>
      </c>
      <c r="F94" t="n">
        <v>34</v>
      </c>
      <c r="G94" t="n">
        <v>23</v>
      </c>
      <c r="H94" t="n">
        <v>3000</v>
      </c>
      <c r="I94">
        <f>F94*H94/1000000</f>
        <v/>
      </c>
      <c r="J94" t="n">
        <v>0.25</v>
      </c>
      <c r="K94">
        <f>I94*J94</f>
        <v/>
      </c>
      <c r="L94" t="n">
        <v>1080</v>
      </c>
      <c r="M94">
        <f>I94*L94</f>
        <v/>
      </c>
      <c r="N94">
        <f>K94*L94+32</f>
        <v/>
      </c>
      <c r="O94" t="inlineStr">
        <is>
          <t>ml</t>
        </is>
      </c>
      <c r="P94" t="inlineStr">
        <is>
          <t>Palé</t>
        </is>
      </c>
      <c r="Q94" t="n">
        <v>0.84</v>
      </c>
      <c r="R94" t="inlineStr">
        <is>
          <t>€/ml</t>
        </is>
      </c>
      <c r="S94" t="n">
        <v>0.5</v>
      </c>
      <c r="T94">
        <f>Q94*S94</f>
        <v/>
      </c>
      <c r="U94" t="inlineStr">
        <is>
          <t>7216.61.10</t>
        </is>
      </c>
      <c r="W94" t="inlineStr">
        <is>
          <t>Perimetral techo continuo</t>
        </is>
      </c>
      <c r="X94" t="inlineStr">
        <is>
          <t>SI</t>
        </is>
      </c>
      <c r="Y94" t="inlineStr">
        <is>
          <t>SI</t>
        </is>
      </c>
      <c r="Z94" t="inlineStr">
        <is>
          <t>UD mín venta: 30 barras</t>
        </is>
      </c>
    </row>
    <row r="95">
      <c r="A95" t="inlineStr">
        <is>
          <t>PERFILES</t>
        </is>
      </c>
      <c r="B95" t="inlineStr">
        <is>
          <t>Clip</t>
        </is>
      </c>
      <c r="C95" t="inlineStr">
        <is>
          <t>Perfil Clip Z1</t>
        </is>
      </c>
      <c r="D95" t="inlineStr">
        <is>
          <t>U201928300A</t>
        </is>
      </c>
      <c r="E95" t="inlineStr">
        <is>
          <t>EN 14195</t>
        </is>
      </c>
      <c r="F95" t="n">
        <v>19</v>
      </c>
      <c r="G95" t="n">
        <v>28</v>
      </c>
      <c r="H95" t="n">
        <v>3000</v>
      </c>
      <c r="I95">
        <f>F95*H95/1000000</f>
        <v/>
      </c>
      <c r="J95" t="n">
        <v>0.24</v>
      </c>
      <c r="K95">
        <f>I95*J95</f>
        <v/>
      </c>
      <c r="L95" t="n">
        <v>420</v>
      </c>
      <c r="M95">
        <f>I95*L95</f>
        <v/>
      </c>
      <c r="N95">
        <f>K95*L95+32</f>
        <v/>
      </c>
      <c r="O95" t="inlineStr">
        <is>
          <t>ml</t>
        </is>
      </c>
      <c r="P95" t="inlineStr">
        <is>
          <t>Palé</t>
        </is>
      </c>
      <c r="Q95" t="n">
        <v>0.85</v>
      </c>
      <c r="R95" t="inlineStr">
        <is>
          <t>€/ml</t>
        </is>
      </c>
      <c r="S95" t="n">
        <v>0.5</v>
      </c>
      <c r="T95">
        <f>Q95*S95</f>
        <v/>
      </c>
      <c r="U95" t="inlineStr">
        <is>
          <t>7216.61.10</t>
        </is>
      </c>
      <c r="W95" t="inlineStr">
        <is>
          <t>Apoyo montantes TC 47</t>
        </is>
      </c>
      <c r="X95" t="inlineStr">
        <is>
          <t>SI</t>
        </is>
      </c>
      <c r="Y95" t="inlineStr">
        <is>
          <t>SI</t>
        </is>
      </c>
      <c r="Z95" t="inlineStr">
        <is>
          <t>UD mín venta: 10 barras</t>
        </is>
      </c>
    </row>
    <row r="96">
      <c r="A96" t="inlineStr">
        <is>
          <t>PERFILES</t>
        </is>
      </c>
      <c r="B96" t="inlineStr">
        <is>
          <t>U</t>
        </is>
      </c>
      <c r="C96" t="inlineStr">
        <is>
          <t>Perfil U 30 Z1</t>
        </is>
      </c>
      <c r="D96" t="inlineStr">
        <is>
          <t>U193019300A</t>
        </is>
      </c>
      <c r="E96" t="inlineStr">
        <is>
          <t>EN 14195</t>
        </is>
      </c>
      <c r="F96" t="n">
        <v>30</v>
      </c>
      <c r="G96" t="n">
        <v>19</v>
      </c>
      <c r="H96" t="n">
        <v>3000</v>
      </c>
      <c r="I96">
        <f>F96*H96/1000000</f>
        <v/>
      </c>
      <c r="J96" t="n">
        <v>0.33</v>
      </c>
      <c r="K96">
        <f>I96*J96</f>
        <v/>
      </c>
      <c r="L96" t="n">
        <v>1280</v>
      </c>
      <c r="M96">
        <f>I96*L96</f>
        <v/>
      </c>
      <c r="N96">
        <f>K96*L96+32</f>
        <v/>
      </c>
      <c r="O96" t="inlineStr">
        <is>
          <t>ml</t>
        </is>
      </c>
      <c r="P96" t="inlineStr">
        <is>
          <t>Palé</t>
        </is>
      </c>
      <c r="Q96" t="n">
        <v>1.1</v>
      </c>
      <c r="R96" t="inlineStr">
        <is>
          <t>€/ml</t>
        </is>
      </c>
      <c r="S96" t="n">
        <v>0.5</v>
      </c>
      <c r="T96">
        <f>Q96*S96</f>
        <v/>
      </c>
      <c r="U96" t="inlineStr">
        <is>
          <t>7216.61.10</t>
        </is>
      </c>
      <c r="W96" t="inlineStr">
        <is>
          <t>Perimetral techos suspendidos</t>
        </is>
      </c>
      <c r="X96" t="inlineStr">
        <is>
          <t>SI</t>
        </is>
      </c>
      <c r="Y96" t="inlineStr">
        <is>
          <t>SI</t>
        </is>
      </c>
      <c r="Z96" t="inlineStr">
        <is>
          <t>UD mín venta: 10 barras</t>
        </is>
      </c>
    </row>
    <row r="97">
      <c r="A97" t="inlineStr">
        <is>
          <t>PERFILES</t>
        </is>
      </c>
      <c r="B97" t="inlineStr">
        <is>
          <t>Omega</t>
        </is>
      </c>
      <c r="C97" t="inlineStr">
        <is>
          <t>Omega</t>
        </is>
      </c>
      <c r="D97" t="inlineStr">
        <is>
          <t>E168218300Z1</t>
        </is>
      </c>
      <c r="E97" t="inlineStr">
        <is>
          <t>EN 14195</t>
        </is>
      </c>
      <c r="F97" t="n">
        <v>82</v>
      </c>
      <c r="G97" t="n">
        <v>18</v>
      </c>
      <c r="L97" t="n">
        <v>720</v>
      </c>
      <c r="M97">
        <f>I97*L97</f>
        <v/>
      </c>
      <c r="N97">
        <f>K97*L97+32</f>
        <v/>
      </c>
      <c r="O97" t="inlineStr">
        <is>
          <t>ml</t>
        </is>
      </c>
      <c r="P97" t="inlineStr">
        <is>
          <t>Palé</t>
        </is>
      </c>
      <c r="R97" t="inlineStr">
        <is>
          <t>€/ml</t>
        </is>
      </c>
      <c r="S97" t="n">
        <v>0.5</v>
      </c>
      <c r="U97" t="inlineStr">
        <is>
          <t>7216.61.10</t>
        </is>
      </c>
      <c r="W97" t="inlineStr">
        <is>
          <t>Trasdosados y techos continuos</t>
        </is>
      </c>
      <c r="X97" t="inlineStr">
        <is>
          <t>SI</t>
        </is>
      </c>
      <c r="Y97" t="inlineStr">
        <is>
          <t>SI</t>
        </is>
      </c>
      <c r="Z97" t="inlineStr">
        <is>
          <t>UD mín venta: 10 barras</t>
        </is>
      </c>
    </row>
    <row r="98">
      <c r="A98" t="inlineStr">
        <is>
          <t>TORNILLOS</t>
        </is>
      </c>
      <c r="B98" t="inlineStr">
        <is>
          <t>PM PC</t>
        </is>
      </c>
      <c r="C98" t="inlineStr">
        <is>
          <t>Tornillo PM Punta Clavo Ø3,5×25 — 500ud</t>
        </is>
      </c>
      <c r="D98" t="inlineStr">
        <is>
          <t>304100</t>
        </is>
      </c>
      <c r="E98" t="inlineStr">
        <is>
          <t>EN 14566</t>
        </is>
      </c>
      <c r="O98" t="inlineStr">
        <is>
          <t>Caja</t>
        </is>
      </c>
      <c r="P98" t="inlineStr">
        <is>
          <t>Caja</t>
        </is>
      </c>
      <c r="Q98" t="n">
        <v>9.210000000000001</v>
      </c>
      <c r="R98" t="inlineStr">
        <is>
          <t>€/caja</t>
        </is>
      </c>
      <c r="S98" t="n">
        <v>0.5</v>
      </c>
      <c r="T98">
        <f>Q98*S98</f>
        <v/>
      </c>
      <c r="U98" t="inlineStr">
        <is>
          <t>6907.90.20</t>
        </is>
      </c>
      <c r="W98" t="inlineStr">
        <is>
          <t>Fijación placa de yeso a estructura metálica</t>
        </is>
      </c>
      <c r="X98" t="inlineStr">
        <is>
          <t>SI</t>
        </is>
      </c>
      <c r="Y98" t="inlineStr">
        <is>
          <t>SI</t>
        </is>
      </c>
      <c r="Z98" t="inlineStr">
        <is>
          <t>Ø3,5×25 — 500 ud/caja</t>
        </is>
      </c>
    </row>
    <row r="99">
      <c r="A99" t="inlineStr">
        <is>
          <t>TORNILLOS</t>
        </is>
      </c>
      <c r="B99" t="inlineStr">
        <is>
          <t>PM PC</t>
        </is>
      </c>
      <c r="C99" t="inlineStr">
        <is>
          <t>Tornillo PM Punta Clavo Ø3,5×25 — 1.000ud</t>
        </is>
      </c>
      <c r="D99" t="inlineStr">
        <is>
          <t>304101</t>
        </is>
      </c>
      <c r="E99" t="inlineStr">
        <is>
          <t>EN 14566</t>
        </is>
      </c>
      <c r="O99" t="inlineStr">
        <is>
          <t>Caja</t>
        </is>
      </c>
      <c r="P99" t="inlineStr">
        <is>
          <t>Caja</t>
        </is>
      </c>
      <c r="Q99" t="n">
        <v>14</v>
      </c>
      <c r="R99" t="inlineStr">
        <is>
          <t>€/caja</t>
        </is>
      </c>
      <c r="S99" t="n">
        <v>0.5</v>
      </c>
      <c r="T99">
        <f>Q99*S99</f>
        <v/>
      </c>
      <c r="U99" t="inlineStr">
        <is>
          <t>6907.90.20</t>
        </is>
      </c>
      <c r="W99" t="inlineStr">
        <is>
          <t>Fijación placa de yeso a estructura metálica</t>
        </is>
      </c>
      <c r="X99" t="inlineStr">
        <is>
          <t>SI</t>
        </is>
      </c>
      <c r="Y99" t="inlineStr">
        <is>
          <t>SI</t>
        </is>
      </c>
      <c r="Z99" t="inlineStr">
        <is>
          <t>Ø3,5×25 — 1000 ud/caja</t>
        </is>
      </c>
    </row>
    <row r="100">
      <c r="A100" t="inlineStr">
        <is>
          <t>TORNILLOS</t>
        </is>
      </c>
      <c r="B100" t="inlineStr">
        <is>
          <t>PM PC</t>
        </is>
      </c>
      <c r="C100" t="inlineStr">
        <is>
          <t>Tornillo PM Punta Clavo Ø3,5×25 — 5.000ud</t>
        </is>
      </c>
      <c r="D100" t="inlineStr">
        <is>
          <t>304102</t>
        </is>
      </c>
      <c r="E100" t="inlineStr">
        <is>
          <t>EN 14566</t>
        </is>
      </c>
      <c r="O100" t="inlineStr">
        <is>
          <t>Caja</t>
        </is>
      </c>
      <c r="P100" t="inlineStr">
        <is>
          <t>Caja</t>
        </is>
      </c>
      <c r="Q100" t="n">
        <v>62.5</v>
      </c>
      <c r="R100" t="inlineStr">
        <is>
          <t>€/caja</t>
        </is>
      </c>
      <c r="S100" t="n">
        <v>0.5</v>
      </c>
      <c r="T100">
        <f>Q100*S100</f>
        <v/>
      </c>
      <c r="U100" t="inlineStr">
        <is>
          <t>6907.90.20</t>
        </is>
      </c>
      <c r="W100" t="inlineStr">
        <is>
          <t>Fijación placa de yeso a estructura metálica</t>
        </is>
      </c>
      <c r="X100" t="inlineStr">
        <is>
          <t>SI</t>
        </is>
      </c>
      <c r="Y100" t="inlineStr">
        <is>
          <t>SI</t>
        </is>
      </c>
      <c r="Z100" t="inlineStr">
        <is>
          <t>Ø3,5×25 — 5000 ud/caja</t>
        </is>
      </c>
    </row>
    <row r="101">
      <c r="A101" t="inlineStr">
        <is>
          <t>TORNILLOS</t>
        </is>
      </c>
      <c r="B101" t="inlineStr">
        <is>
          <t>PM PC</t>
        </is>
      </c>
      <c r="C101" t="inlineStr">
        <is>
          <t>Tornillo PM Punta Clavo Ø3,5×35 — 500ud</t>
        </is>
      </c>
      <c r="D101" t="inlineStr">
        <is>
          <t>304103</t>
        </is>
      </c>
      <c r="E101" t="inlineStr">
        <is>
          <t>EN 14566</t>
        </is>
      </c>
      <c r="O101" t="inlineStr">
        <is>
          <t>Caja</t>
        </is>
      </c>
      <c r="P101" t="inlineStr">
        <is>
          <t>Caja</t>
        </is>
      </c>
      <c r="Q101" t="n">
        <v>11.29</v>
      </c>
      <c r="R101" t="inlineStr">
        <is>
          <t>€/caja</t>
        </is>
      </c>
      <c r="S101" t="n">
        <v>0.5</v>
      </c>
      <c r="T101">
        <f>Q101*S101</f>
        <v/>
      </c>
      <c r="U101" t="inlineStr">
        <is>
          <t>6907.90.20</t>
        </is>
      </c>
      <c r="W101" t="inlineStr">
        <is>
          <t>Fijación placa de yeso a estructura metálica</t>
        </is>
      </c>
      <c r="X101" t="inlineStr">
        <is>
          <t>SI</t>
        </is>
      </c>
      <c r="Y101" t="inlineStr">
        <is>
          <t>SI</t>
        </is>
      </c>
      <c r="Z101" t="inlineStr">
        <is>
          <t>Ø3,5×35 — 500 ud/caja</t>
        </is>
      </c>
    </row>
    <row r="102">
      <c r="A102" t="inlineStr">
        <is>
          <t>TORNILLOS</t>
        </is>
      </c>
      <c r="B102" t="inlineStr">
        <is>
          <t>PM PC</t>
        </is>
      </c>
      <c r="C102" t="inlineStr">
        <is>
          <t>Tornillo PM Punta Clavo Ø3,5×35 — 1.000ud</t>
        </is>
      </c>
      <c r="D102" t="inlineStr">
        <is>
          <t>304104</t>
        </is>
      </c>
      <c r="E102" t="inlineStr">
        <is>
          <t>EN 14566</t>
        </is>
      </c>
      <c r="O102" t="inlineStr">
        <is>
          <t>Caja</t>
        </is>
      </c>
      <c r="P102" t="inlineStr">
        <is>
          <t>Caja</t>
        </is>
      </c>
      <c r="Q102" t="n">
        <v>17.28</v>
      </c>
      <c r="R102" t="inlineStr">
        <is>
          <t>€/caja</t>
        </is>
      </c>
      <c r="S102" t="n">
        <v>0.5</v>
      </c>
      <c r="T102">
        <f>Q102*S102</f>
        <v/>
      </c>
      <c r="U102" t="inlineStr">
        <is>
          <t>6907.90.20</t>
        </is>
      </c>
      <c r="W102" t="inlineStr">
        <is>
          <t>Fijación placa de yeso a estructura metálica</t>
        </is>
      </c>
      <c r="X102" t="inlineStr">
        <is>
          <t>SI</t>
        </is>
      </c>
      <c r="Y102" t="inlineStr">
        <is>
          <t>SI</t>
        </is>
      </c>
      <c r="Z102" t="inlineStr">
        <is>
          <t>Ø3,5×35 — 1000 ud/caja</t>
        </is>
      </c>
    </row>
    <row r="103">
      <c r="A103" t="inlineStr">
        <is>
          <t>TORNILLOS</t>
        </is>
      </c>
      <c r="B103" t="inlineStr">
        <is>
          <t>PM PC</t>
        </is>
      </c>
      <c r="C103" t="inlineStr">
        <is>
          <t>Tornillo PM Punta Clavo Ø3,5×35 — 3.000ud</t>
        </is>
      </c>
      <c r="D103" t="inlineStr">
        <is>
          <t>304105</t>
        </is>
      </c>
      <c r="E103" t="inlineStr">
        <is>
          <t>EN 14566</t>
        </is>
      </c>
      <c r="O103" t="inlineStr">
        <is>
          <t>Caja</t>
        </is>
      </c>
      <c r="P103" t="inlineStr">
        <is>
          <t>Caja</t>
        </is>
      </c>
      <c r="Q103" t="n">
        <v>46.23</v>
      </c>
      <c r="R103" t="inlineStr">
        <is>
          <t>€/caja</t>
        </is>
      </c>
      <c r="S103" t="n">
        <v>0.5</v>
      </c>
      <c r="T103">
        <f>Q103*S103</f>
        <v/>
      </c>
      <c r="U103" t="inlineStr">
        <is>
          <t>6907.90.20</t>
        </is>
      </c>
      <c r="W103" t="inlineStr">
        <is>
          <t>Fijación placa de yeso a estructura metálica</t>
        </is>
      </c>
      <c r="X103" t="inlineStr">
        <is>
          <t>SI</t>
        </is>
      </c>
      <c r="Y103" t="inlineStr">
        <is>
          <t>SI</t>
        </is>
      </c>
      <c r="Z103" t="inlineStr">
        <is>
          <t>Ø3,5×35 — 3000 ud/caja</t>
        </is>
      </c>
    </row>
    <row r="104">
      <c r="A104" t="inlineStr">
        <is>
          <t>TORNILLOS</t>
        </is>
      </c>
      <c r="B104" t="inlineStr">
        <is>
          <t>PM PC</t>
        </is>
      </c>
      <c r="C104" t="inlineStr">
        <is>
          <t>Tornillo PM Punta Clavo Ø3,5×45 — 1.000ud</t>
        </is>
      </c>
      <c r="D104" t="inlineStr">
        <is>
          <t>304106</t>
        </is>
      </c>
      <c r="E104" t="inlineStr">
        <is>
          <t>EN 14566</t>
        </is>
      </c>
      <c r="O104" t="inlineStr">
        <is>
          <t>Caja</t>
        </is>
      </c>
      <c r="P104" t="inlineStr">
        <is>
          <t>Caja</t>
        </is>
      </c>
      <c r="Q104" t="n">
        <v>23.08</v>
      </c>
      <c r="R104" t="inlineStr">
        <is>
          <t>€/caja</t>
        </is>
      </c>
      <c r="S104" t="n">
        <v>0.5</v>
      </c>
      <c r="T104">
        <f>Q104*S104</f>
        <v/>
      </c>
      <c r="U104" t="inlineStr">
        <is>
          <t>6907.90.20</t>
        </is>
      </c>
      <c r="W104" t="inlineStr">
        <is>
          <t>Fijación placa de yeso a estructura metálica</t>
        </is>
      </c>
      <c r="X104" t="inlineStr">
        <is>
          <t>SI</t>
        </is>
      </c>
      <c r="Y104" t="inlineStr">
        <is>
          <t>SI</t>
        </is>
      </c>
      <c r="Z104" t="inlineStr">
        <is>
          <t>Ø3,5×45 — 1000 ud/caja</t>
        </is>
      </c>
    </row>
    <row r="105">
      <c r="A105" t="inlineStr">
        <is>
          <t>TORNILLOS</t>
        </is>
      </c>
      <c r="B105" t="inlineStr">
        <is>
          <t>PM PC</t>
        </is>
      </c>
      <c r="C105" t="inlineStr">
        <is>
          <t>Tornillo PM Punta Clavo Ø3,5×55 — 1.000ud</t>
        </is>
      </c>
      <c r="D105" t="inlineStr">
        <is>
          <t>304107</t>
        </is>
      </c>
      <c r="E105" t="inlineStr">
        <is>
          <t>EN 14566</t>
        </is>
      </c>
      <c r="O105" t="inlineStr">
        <is>
          <t>Caja</t>
        </is>
      </c>
      <c r="P105" t="inlineStr">
        <is>
          <t>Caja</t>
        </is>
      </c>
      <c r="Q105" t="n">
        <v>29.35</v>
      </c>
      <c r="R105" t="inlineStr">
        <is>
          <t>€/caja</t>
        </is>
      </c>
      <c r="S105" t="n">
        <v>0.5</v>
      </c>
      <c r="T105">
        <f>Q105*S105</f>
        <v/>
      </c>
      <c r="U105" t="inlineStr">
        <is>
          <t>6907.90.20</t>
        </is>
      </c>
      <c r="W105" t="inlineStr">
        <is>
          <t>Fijación placa de yeso a estructura metálica</t>
        </is>
      </c>
      <c r="X105" t="inlineStr">
        <is>
          <t>SI</t>
        </is>
      </c>
      <c r="Y105" t="inlineStr">
        <is>
          <t>SI</t>
        </is>
      </c>
      <c r="Z105" t="inlineStr">
        <is>
          <t>Ø3,5×55 — 1000 ud/caja</t>
        </is>
      </c>
    </row>
    <row r="106">
      <c r="A106" t="inlineStr">
        <is>
          <t>TORNILLOS</t>
        </is>
      </c>
      <c r="B106" t="inlineStr">
        <is>
          <t>PM PC</t>
        </is>
      </c>
      <c r="C106" t="inlineStr">
        <is>
          <t>Tornillo PM Punta Clavo Ø4,2×70 — 500ud</t>
        </is>
      </c>
      <c r="D106" t="inlineStr">
        <is>
          <t>304108</t>
        </is>
      </c>
      <c r="E106" t="inlineStr">
        <is>
          <t>EN 14566</t>
        </is>
      </c>
      <c r="O106" t="inlineStr">
        <is>
          <t>Caja</t>
        </is>
      </c>
      <c r="P106" t="inlineStr">
        <is>
          <t>Caja</t>
        </is>
      </c>
      <c r="Q106" t="n">
        <v>24.03</v>
      </c>
      <c r="R106" t="inlineStr">
        <is>
          <t>€/caja</t>
        </is>
      </c>
      <c r="S106" t="n">
        <v>0.5</v>
      </c>
      <c r="T106">
        <f>Q106*S106</f>
        <v/>
      </c>
      <c r="U106" t="inlineStr">
        <is>
          <t>6907.90.20</t>
        </is>
      </c>
      <c r="W106" t="inlineStr">
        <is>
          <t>Fijación placa de yeso a estructura metálica</t>
        </is>
      </c>
      <c r="X106" t="inlineStr">
        <is>
          <t>SI</t>
        </is>
      </c>
      <c r="Y106" t="inlineStr">
        <is>
          <t>SI</t>
        </is>
      </c>
      <c r="Z106" t="inlineStr">
        <is>
          <t>Ø4,2×70 — 500 ud/caja</t>
        </is>
      </c>
    </row>
    <row r="107">
      <c r="A107" t="inlineStr">
        <is>
          <t>TORNILLOS</t>
        </is>
      </c>
      <c r="B107" t="inlineStr">
        <is>
          <t>PM PC</t>
        </is>
      </c>
      <c r="C107" t="inlineStr">
        <is>
          <t>Tornillo PM Punta Clavo Ø4,8×90 — 250ud</t>
        </is>
      </c>
      <c r="D107" t="inlineStr">
        <is>
          <t>304109</t>
        </is>
      </c>
      <c r="E107" t="inlineStr">
        <is>
          <t>EN 14566</t>
        </is>
      </c>
      <c r="O107" t="inlineStr">
        <is>
          <t>Caja</t>
        </is>
      </c>
      <c r="P107" t="inlineStr">
        <is>
          <t>Caja</t>
        </is>
      </c>
      <c r="Q107" t="n">
        <v>27.65</v>
      </c>
      <c r="R107" t="inlineStr">
        <is>
          <t>€/caja</t>
        </is>
      </c>
      <c r="S107" t="n">
        <v>0.5</v>
      </c>
      <c r="T107">
        <f>Q107*S107</f>
        <v/>
      </c>
      <c r="U107" t="inlineStr">
        <is>
          <t>6907.90.20</t>
        </is>
      </c>
      <c r="W107" t="inlineStr">
        <is>
          <t>Fijación placa de yeso a estructura metálica</t>
        </is>
      </c>
      <c r="X107" t="inlineStr">
        <is>
          <t>SI</t>
        </is>
      </c>
      <c r="Y107" t="inlineStr">
        <is>
          <t>SI</t>
        </is>
      </c>
      <c r="Z107" t="inlineStr">
        <is>
          <t>Ø4,8×90 — 250 ud/caja</t>
        </is>
      </c>
    </row>
    <row r="108">
      <c r="A108" t="inlineStr">
        <is>
          <t>TORNILLOS</t>
        </is>
      </c>
      <c r="B108" t="inlineStr">
        <is>
          <t>PM PB</t>
        </is>
      </c>
      <c r="C108" t="inlineStr">
        <is>
          <t>Tornillo PM Punta Broca Ø3,5×25 — 1.000ud</t>
        </is>
      </c>
      <c r="D108" t="inlineStr">
        <is>
          <t>304115</t>
        </is>
      </c>
      <c r="E108" t="inlineStr">
        <is>
          <t>EN 14566</t>
        </is>
      </c>
      <c r="O108" t="inlineStr">
        <is>
          <t>Caja</t>
        </is>
      </c>
      <c r="P108" t="inlineStr">
        <is>
          <t>Caja</t>
        </is>
      </c>
      <c r="Q108" t="n">
        <v>22.33</v>
      </c>
      <c r="R108" t="inlineStr">
        <is>
          <t>€/caja</t>
        </is>
      </c>
      <c r="S108" t="n">
        <v>0.5</v>
      </c>
      <c r="T108">
        <f>Q108*S108</f>
        <v/>
      </c>
      <c r="U108" t="inlineStr">
        <is>
          <t>6907.90.20</t>
        </is>
      </c>
      <c r="W108" t="inlineStr">
        <is>
          <t>Fijación placa de yeso a estructura metálica</t>
        </is>
      </c>
      <c r="X108" t="inlineStr">
        <is>
          <t>SI</t>
        </is>
      </c>
      <c r="Y108" t="inlineStr">
        <is>
          <t>SI</t>
        </is>
      </c>
      <c r="Z108" t="inlineStr">
        <is>
          <t>Ø3,5×25 — 1000 ud/caja</t>
        </is>
      </c>
    </row>
    <row r="109">
      <c r="A109" t="inlineStr">
        <is>
          <t>TORNILLOS</t>
        </is>
      </c>
      <c r="B109" t="inlineStr">
        <is>
          <t>PM PB</t>
        </is>
      </c>
      <c r="C109" t="inlineStr">
        <is>
          <t>Tornillo PM Punta Broca Ø3,5×35 — 1.000ud</t>
        </is>
      </c>
      <c r="D109" t="inlineStr">
        <is>
          <t>304116</t>
        </is>
      </c>
      <c r="E109" t="inlineStr">
        <is>
          <t>EN 14566</t>
        </is>
      </c>
      <c r="O109" t="inlineStr">
        <is>
          <t>Caja</t>
        </is>
      </c>
      <c r="P109" t="inlineStr">
        <is>
          <t>Caja</t>
        </is>
      </c>
      <c r="Q109" t="n">
        <v>27.6</v>
      </c>
      <c r="R109" t="inlineStr">
        <is>
          <t>€/caja</t>
        </is>
      </c>
      <c r="S109" t="n">
        <v>0.5</v>
      </c>
      <c r="T109">
        <f>Q109*S109</f>
        <v/>
      </c>
      <c r="U109" t="inlineStr">
        <is>
          <t>6907.90.20</t>
        </is>
      </c>
      <c r="W109" t="inlineStr">
        <is>
          <t>Fijación placa de yeso a estructura metálica</t>
        </is>
      </c>
      <c r="X109" t="inlineStr">
        <is>
          <t>SI</t>
        </is>
      </c>
      <c r="Y109" t="inlineStr">
        <is>
          <t>SI</t>
        </is>
      </c>
      <c r="Z109" t="inlineStr">
        <is>
          <t>Ø3,5×35 — 1000 ud/caja</t>
        </is>
      </c>
    </row>
    <row r="110">
      <c r="A110" t="inlineStr">
        <is>
          <t>TORNILLOS</t>
        </is>
      </c>
      <c r="B110" t="inlineStr">
        <is>
          <t>PM PB</t>
        </is>
      </c>
      <c r="C110" t="inlineStr">
        <is>
          <t>Tornillo PM Punta Broca Ø3,5×45 — 1.000ud</t>
        </is>
      </c>
      <c r="D110" t="inlineStr">
        <is>
          <t>304117</t>
        </is>
      </c>
      <c r="E110" t="inlineStr">
        <is>
          <t>EN 14566</t>
        </is>
      </c>
      <c r="O110" t="inlineStr">
        <is>
          <t>Caja</t>
        </is>
      </c>
      <c r="P110" t="inlineStr">
        <is>
          <t>Caja</t>
        </is>
      </c>
      <c r="Q110" t="n">
        <v>32.08</v>
      </c>
      <c r="R110" t="inlineStr">
        <is>
          <t>€/caja</t>
        </is>
      </c>
      <c r="S110" t="n">
        <v>0.5</v>
      </c>
      <c r="T110">
        <f>Q110*S110</f>
        <v/>
      </c>
      <c r="U110" t="inlineStr">
        <is>
          <t>6907.90.20</t>
        </is>
      </c>
      <c r="W110" t="inlineStr">
        <is>
          <t>Fijación placa de yeso a estructura metálica</t>
        </is>
      </c>
      <c r="X110" t="inlineStr">
        <is>
          <t>SI</t>
        </is>
      </c>
      <c r="Y110" t="inlineStr">
        <is>
          <t>SI</t>
        </is>
      </c>
      <c r="Z110" t="inlineStr">
        <is>
          <t>Ø3,5×45 — 1000 ud/caja</t>
        </is>
      </c>
    </row>
    <row r="111">
      <c r="A111" t="inlineStr">
        <is>
          <t>TORNILLOS</t>
        </is>
      </c>
      <c r="B111" t="inlineStr">
        <is>
          <t>AD PC</t>
        </is>
      </c>
      <c r="C111" t="inlineStr">
        <is>
          <t>Tornillo AD Punta Clavo Ø3,9×25 — 1.000ud</t>
        </is>
      </c>
      <c r="D111" t="inlineStr">
        <is>
          <t>304123</t>
        </is>
      </c>
      <c r="E111" t="inlineStr">
        <is>
          <t>EN 14566</t>
        </is>
      </c>
      <c r="O111" t="inlineStr">
        <is>
          <t>Caja</t>
        </is>
      </c>
      <c r="P111" t="inlineStr">
        <is>
          <t>Caja</t>
        </is>
      </c>
      <c r="Q111" t="n">
        <v>26.07</v>
      </c>
      <c r="R111" t="inlineStr">
        <is>
          <t>€/caja</t>
        </is>
      </c>
      <c r="S111" t="n">
        <v>0.5</v>
      </c>
      <c r="T111">
        <f>Q111*S111</f>
        <v/>
      </c>
      <c r="U111" t="inlineStr">
        <is>
          <t>6907.90.20</t>
        </is>
      </c>
      <c r="W111" t="inlineStr">
        <is>
          <t>Fijación placa de yeso a estructura metálica</t>
        </is>
      </c>
      <c r="X111" t="inlineStr">
        <is>
          <t>SI</t>
        </is>
      </c>
      <c r="Y111" t="inlineStr">
        <is>
          <t>SI</t>
        </is>
      </c>
      <c r="Z111" t="inlineStr">
        <is>
          <t>Ø3,9×25 — 1000 ud/caja</t>
        </is>
      </c>
    </row>
    <row r="112">
      <c r="A112" t="inlineStr">
        <is>
          <t>TORNILLOS</t>
        </is>
      </c>
      <c r="B112" t="inlineStr">
        <is>
          <t>AD PC</t>
        </is>
      </c>
      <c r="C112" t="inlineStr">
        <is>
          <t>Tornillo AD Punta Clavo Ø3,9×35 — 1.000ud</t>
        </is>
      </c>
      <c r="D112" t="inlineStr">
        <is>
          <t>304124</t>
        </is>
      </c>
      <c r="E112" t="inlineStr">
        <is>
          <t>EN 14566</t>
        </is>
      </c>
      <c r="O112" t="inlineStr">
        <is>
          <t>Caja</t>
        </is>
      </c>
      <c r="P112" t="inlineStr">
        <is>
          <t>Caja</t>
        </is>
      </c>
      <c r="Q112" t="n">
        <v>33.46</v>
      </c>
      <c r="R112" t="inlineStr">
        <is>
          <t>€/caja</t>
        </is>
      </c>
      <c r="S112" t="n">
        <v>0.5</v>
      </c>
      <c r="T112">
        <f>Q112*S112</f>
        <v/>
      </c>
      <c r="U112" t="inlineStr">
        <is>
          <t>6907.90.20</t>
        </is>
      </c>
      <c r="W112" t="inlineStr">
        <is>
          <t>Fijación placa de yeso a estructura metálica</t>
        </is>
      </c>
      <c r="X112" t="inlineStr">
        <is>
          <t>SI</t>
        </is>
      </c>
      <c r="Y112" t="inlineStr">
        <is>
          <t>SI</t>
        </is>
      </c>
      <c r="Z112" t="inlineStr">
        <is>
          <t>Ø3,9×35 — 1000 ud/caja</t>
        </is>
      </c>
    </row>
    <row r="113">
      <c r="A113" t="inlineStr">
        <is>
          <t>TORNILLOS</t>
        </is>
      </c>
      <c r="B113" t="inlineStr">
        <is>
          <t>AD PC</t>
        </is>
      </c>
      <c r="C113" t="inlineStr">
        <is>
          <t>Tornillo AD Punta Clavo Ø3,9×45 — 1.000ud</t>
        </is>
      </c>
      <c r="D113" t="inlineStr">
        <is>
          <t>304125</t>
        </is>
      </c>
      <c r="E113" t="inlineStr">
        <is>
          <t>EN 14566</t>
        </is>
      </c>
      <c r="O113" t="inlineStr">
        <is>
          <t>Caja</t>
        </is>
      </c>
      <c r="P113" t="inlineStr">
        <is>
          <t>Caja</t>
        </is>
      </c>
      <c r="Q113" t="n">
        <v>37.68</v>
      </c>
      <c r="R113" t="inlineStr">
        <is>
          <t>€/caja</t>
        </is>
      </c>
      <c r="S113" t="n">
        <v>0.5</v>
      </c>
      <c r="T113">
        <f>Q113*S113</f>
        <v/>
      </c>
      <c r="U113" t="inlineStr">
        <is>
          <t>6907.90.20</t>
        </is>
      </c>
      <c r="W113" t="inlineStr">
        <is>
          <t>Fijación placa de yeso a estructura metálica</t>
        </is>
      </c>
      <c r="X113" t="inlineStr">
        <is>
          <t>SI</t>
        </is>
      </c>
      <c r="Y113" t="inlineStr">
        <is>
          <t>SI</t>
        </is>
      </c>
      <c r="Z113" t="inlineStr">
        <is>
          <t>Ø3,9×45 — 1000 ud/caja</t>
        </is>
      </c>
    </row>
    <row r="114">
      <c r="A114" t="inlineStr">
        <is>
          <t>TORNILLOS</t>
        </is>
      </c>
      <c r="B114" t="inlineStr">
        <is>
          <t>AD PC</t>
        </is>
      </c>
      <c r="C114" t="inlineStr">
        <is>
          <t>Tornillo AD Punta Clavo Ø3,9×55 — 1.000ud</t>
        </is>
      </c>
      <c r="D114" t="inlineStr">
        <is>
          <t>304126</t>
        </is>
      </c>
      <c r="E114" t="inlineStr">
        <is>
          <t>EN 14566</t>
        </is>
      </c>
      <c r="O114" t="inlineStr">
        <is>
          <t>Caja</t>
        </is>
      </c>
      <c r="P114" t="inlineStr">
        <is>
          <t>Caja</t>
        </is>
      </c>
      <c r="Q114" t="n">
        <v>40.44</v>
      </c>
      <c r="R114" t="inlineStr">
        <is>
          <t>€/caja</t>
        </is>
      </c>
      <c r="S114" t="n">
        <v>0.5</v>
      </c>
      <c r="T114">
        <f>Q114*S114</f>
        <v/>
      </c>
      <c r="U114" t="inlineStr">
        <is>
          <t>6907.90.20</t>
        </is>
      </c>
      <c r="W114" t="inlineStr">
        <is>
          <t>Fijación placa de yeso a estructura metálica</t>
        </is>
      </c>
      <c r="X114" t="inlineStr">
        <is>
          <t>SI</t>
        </is>
      </c>
      <c r="Y114" t="inlineStr">
        <is>
          <t>SI</t>
        </is>
      </c>
      <c r="Z114" t="inlineStr">
        <is>
          <t>Ø3,9×55 — 1000 ud/caja</t>
        </is>
      </c>
    </row>
    <row r="115">
      <c r="A115" t="inlineStr">
        <is>
          <t>TORNILLOS</t>
        </is>
      </c>
      <c r="B115" t="inlineStr">
        <is>
          <t>AD PC</t>
        </is>
      </c>
      <c r="C115" t="inlineStr">
        <is>
          <t>Tornillo AD Punta Clavo Ø3,9×70 — 500ud</t>
        </is>
      </c>
      <c r="D115" t="inlineStr">
        <is>
          <t>304128</t>
        </is>
      </c>
      <c r="E115" t="inlineStr">
        <is>
          <t>EN 14566</t>
        </is>
      </c>
      <c r="O115" t="inlineStr">
        <is>
          <t>Caja</t>
        </is>
      </c>
      <c r="P115" t="inlineStr">
        <is>
          <t>Caja</t>
        </is>
      </c>
      <c r="Q115" t="n">
        <v>44.88</v>
      </c>
      <c r="R115" t="inlineStr">
        <is>
          <t>€/caja</t>
        </is>
      </c>
      <c r="S115" t="n">
        <v>0.5</v>
      </c>
      <c r="T115">
        <f>Q115*S115</f>
        <v/>
      </c>
      <c r="U115" t="inlineStr">
        <is>
          <t>6907.90.20</t>
        </is>
      </c>
      <c r="W115" t="inlineStr">
        <is>
          <t>Fijación placa de yeso a estructura metálica</t>
        </is>
      </c>
      <c r="X115" t="inlineStr">
        <is>
          <t>SI</t>
        </is>
      </c>
      <c r="Y115" t="inlineStr">
        <is>
          <t>SI</t>
        </is>
      </c>
      <c r="Z115" t="inlineStr">
        <is>
          <t>Ø3,9×70 — 500 ud/caja</t>
        </is>
      </c>
    </row>
    <row r="116">
      <c r="A116" t="inlineStr">
        <is>
          <t>TORNILLOS</t>
        </is>
      </c>
      <c r="B116" t="inlineStr">
        <is>
          <t>MM PB</t>
        </is>
      </c>
      <c r="C116" t="inlineStr">
        <is>
          <t>Tornillo MM Punta Broca Ø3,5×9,5 — 250ud</t>
        </is>
      </c>
      <c r="D116" t="inlineStr">
        <is>
          <t>304133</t>
        </is>
      </c>
      <c r="E116" t="inlineStr">
        <is>
          <t>EN 14566</t>
        </is>
      </c>
      <c r="O116" t="inlineStr">
        <is>
          <t>Caja</t>
        </is>
      </c>
      <c r="P116" t="inlineStr">
        <is>
          <t>Caja</t>
        </is>
      </c>
      <c r="Q116" t="n">
        <v>4.85</v>
      </c>
      <c r="R116" t="inlineStr">
        <is>
          <t>€/caja</t>
        </is>
      </c>
      <c r="S116" t="n">
        <v>0.5</v>
      </c>
      <c r="T116">
        <f>Q116*S116</f>
        <v/>
      </c>
      <c r="U116" t="inlineStr">
        <is>
          <t>6907.90.20</t>
        </is>
      </c>
      <c r="W116" t="inlineStr">
        <is>
          <t>Fijación placa de yeso a estructura metálica</t>
        </is>
      </c>
      <c r="X116" t="inlineStr">
        <is>
          <t>SI</t>
        </is>
      </c>
      <c r="Y116" t="inlineStr">
        <is>
          <t>SI</t>
        </is>
      </c>
      <c r="Z116" t="inlineStr">
        <is>
          <t>Ø3,5×9,5 — 250 ud/caja</t>
        </is>
      </c>
    </row>
    <row r="117">
      <c r="A117" t="inlineStr">
        <is>
          <t>TORNILLOS</t>
        </is>
      </c>
      <c r="B117" t="inlineStr">
        <is>
          <t>MM PB</t>
        </is>
      </c>
      <c r="C117" t="inlineStr">
        <is>
          <t>Tornillo MM Punta Broca Ø3,5×9,5 — 1.000ud</t>
        </is>
      </c>
      <c r="D117" t="inlineStr">
        <is>
          <t>304134</t>
        </is>
      </c>
      <c r="E117" t="inlineStr">
        <is>
          <t>EN 14566</t>
        </is>
      </c>
      <c r="O117" t="inlineStr">
        <is>
          <t>Caja</t>
        </is>
      </c>
      <c r="P117" t="inlineStr">
        <is>
          <t>Caja</t>
        </is>
      </c>
      <c r="Q117" t="n">
        <v>14.38</v>
      </c>
      <c r="R117" t="inlineStr">
        <is>
          <t>€/caja</t>
        </is>
      </c>
      <c r="S117" t="n">
        <v>0.5</v>
      </c>
      <c r="T117">
        <f>Q117*S117</f>
        <v/>
      </c>
      <c r="U117" t="inlineStr">
        <is>
          <t>6907.90.20</t>
        </is>
      </c>
      <c r="W117" t="inlineStr">
        <is>
          <t>Fijación placa de yeso a estructura metálica</t>
        </is>
      </c>
      <c r="X117" t="inlineStr">
        <is>
          <t>SI</t>
        </is>
      </c>
      <c r="Y117" t="inlineStr">
        <is>
          <t>SI</t>
        </is>
      </c>
      <c r="Z117" t="inlineStr">
        <is>
          <t>Ø3,5×9,5 — 1000 ud/caja</t>
        </is>
      </c>
    </row>
    <row r="118">
      <c r="A118" t="inlineStr">
        <is>
          <t>TORNILLOS</t>
        </is>
      </c>
      <c r="B118" t="inlineStr">
        <is>
          <t>MM PB</t>
        </is>
      </c>
      <c r="C118" t="inlineStr">
        <is>
          <t>Tornillo MM Punta Broca Ø13×9,5 — 1.000ud</t>
        </is>
      </c>
      <c r="D118" t="inlineStr">
        <is>
          <t>304135</t>
        </is>
      </c>
      <c r="E118" t="inlineStr">
        <is>
          <t>EN 14566</t>
        </is>
      </c>
      <c r="O118" t="inlineStr">
        <is>
          <t>Caja</t>
        </is>
      </c>
      <c r="P118" t="inlineStr">
        <is>
          <t>Caja</t>
        </is>
      </c>
      <c r="Q118" t="n">
        <v>18.13</v>
      </c>
      <c r="R118" t="inlineStr">
        <is>
          <t>€/caja</t>
        </is>
      </c>
      <c r="S118" t="n">
        <v>0.5</v>
      </c>
      <c r="T118">
        <f>Q118*S118</f>
        <v/>
      </c>
      <c r="U118" t="inlineStr">
        <is>
          <t>6907.90.20</t>
        </is>
      </c>
      <c r="W118" t="inlineStr">
        <is>
          <t>Fijación placa de yeso a estructura metálica</t>
        </is>
      </c>
      <c r="X118" t="inlineStr">
        <is>
          <t>SI</t>
        </is>
      </c>
      <c r="Y118" t="inlineStr">
        <is>
          <t>SI</t>
        </is>
      </c>
      <c r="Z118" t="inlineStr">
        <is>
          <t>Ø13×9,5 — 1000 ud/caja</t>
        </is>
      </c>
    </row>
    <row r="119">
      <c r="A119" t="inlineStr">
        <is>
          <t>TORNILLOS</t>
        </is>
      </c>
      <c r="B119" t="inlineStr">
        <is>
          <t>EL PB</t>
        </is>
      </c>
      <c r="C119" t="inlineStr">
        <is>
          <t>Tornillo Exterior Ø4,0×42 — 500ud</t>
        </is>
      </c>
      <c r="D119" t="inlineStr">
        <is>
          <t>301244</t>
        </is>
      </c>
      <c r="E119" t="inlineStr">
        <is>
          <t>EN 14566</t>
        </is>
      </c>
      <c r="O119" t="inlineStr">
        <is>
          <t>Caja</t>
        </is>
      </c>
      <c r="P119" t="inlineStr">
        <is>
          <t>Caja</t>
        </is>
      </c>
      <c r="Q119" t="n">
        <v>79.34999999999999</v>
      </c>
      <c r="R119" t="inlineStr">
        <is>
          <t>€/caja</t>
        </is>
      </c>
      <c r="S119" t="n">
        <v>0.5</v>
      </c>
      <c r="T119">
        <f>Q119*S119</f>
        <v/>
      </c>
      <c r="U119" t="inlineStr">
        <is>
          <t>6907.90.20</t>
        </is>
      </c>
      <c r="W119" t="inlineStr">
        <is>
          <t>Fijación placa de yeso a estructura metálica</t>
        </is>
      </c>
      <c r="X119" t="inlineStr">
        <is>
          <t>SI</t>
        </is>
      </c>
      <c r="Y119" t="inlineStr">
        <is>
          <t>SI</t>
        </is>
      </c>
      <c r="Z119" t="inlineStr">
        <is>
          <t>Ø4,0×42 — 500 ud/caja</t>
        </is>
      </c>
    </row>
    <row r="120">
      <c r="A120" t="inlineStr">
        <is>
          <t>TORNILLOS</t>
        </is>
      </c>
      <c r="B120" t="inlineStr">
        <is>
          <t>EL PB</t>
        </is>
      </c>
      <c r="C120" t="inlineStr">
        <is>
          <t>Tornillo Exterior Ø4,0×41 — 500ud</t>
        </is>
      </c>
      <c r="D120" t="inlineStr">
        <is>
          <t>301245</t>
        </is>
      </c>
      <c r="E120" t="inlineStr">
        <is>
          <t>EN 14566</t>
        </is>
      </c>
      <c r="O120" t="inlineStr">
        <is>
          <t>Caja</t>
        </is>
      </c>
      <c r="P120" t="inlineStr">
        <is>
          <t>Caja</t>
        </is>
      </c>
      <c r="Q120" t="n">
        <v>95.53</v>
      </c>
      <c r="R120" t="inlineStr">
        <is>
          <t>€/caja</t>
        </is>
      </c>
      <c r="S120" t="n">
        <v>0.5</v>
      </c>
      <c r="T120">
        <f>Q120*S120</f>
        <v/>
      </c>
      <c r="U120" t="inlineStr">
        <is>
          <t>6907.90.20</t>
        </is>
      </c>
      <c r="W120" t="inlineStr">
        <is>
          <t>Fijación placa de yeso a estructura metálica</t>
        </is>
      </c>
      <c r="X120" t="inlineStr">
        <is>
          <t>SI</t>
        </is>
      </c>
      <c r="Y120" t="inlineStr">
        <is>
          <t>SI</t>
        </is>
      </c>
      <c r="Z120" t="inlineStr">
        <is>
          <t>Ø4,0×41 — 500 ud/caja</t>
        </is>
      </c>
    </row>
    <row r="121">
      <c r="A121" t="inlineStr">
        <is>
          <t>TORNILLOS</t>
        </is>
      </c>
      <c r="B121" t="inlineStr">
        <is>
          <t>EL PB</t>
        </is>
      </c>
      <c r="C121" t="inlineStr">
        <is>
          <t>Tornillo Exterior Ø4,0×42 — 1.000ud</t>
        </is>
      </c>
      <c r="D121" t="inlineStr">
        <is>
          <t>301240</t>
        </is>
      </c>
      <c r="E121" t="inlineStr">
        <is>
          <t>EN 14566</t>
        </is>
      </c>
      <c r="O121" t="inlineStr">
        <is>
          <t>Caja</t>
        </is>
      </c>
      <c r="P121" t="inlineStr">
        <is>
          <t>Caja</t>
        </is>
      </c>
      <c r="Q121" t="n">
        <v>74.45</v>
      </c>
      <c r="R121" t="inlineStr">
        <is>
          <t>€/caja</t>
        </is>
      </c>
      <c r="S121" t="n">
        <v>0.5</v>
      </c>
      <c r="T121">
        <f>Q121*S121</f>
        <v/>
      </c>
      <c r="U121" t="inlineStr">
        <is>
          <t>6907.90.20</t>
        </is>
      </c>
      <c r="W121" t="inlineStr">
        <is>
          <t>Fijación placa de yeso a estructura metálica</t>
        </is>
      </c>
      <c r="X121" t="inlineStr">
        <is>
          <t>SI</t>
        </is>
      </c>
      <c r="Y121" t="inlineStr">
        <is>
          <t>SI</t>
        </is>
      </c>
      <c r="Z121" t="inlineStr">
        <is>
          <t>Ø4,0×42 — 1000 ud/caja</t>
        </is>
      </c>
    </row>
    <row r="122">
      <c r="A122" t="inlineStr">
        <is>
          <t>TORNILLOS</t>
        </is>
      </c>
      <c r="B122" t="inlineStr">
        <is>
          <t>EL PB</t>
        </is>
      </c>
      <c r="C122" t="inlineStr">
        <is>
          <t>Tornillo Exterior Ø4,0×41 — 1.000ud</t>
        </is>
      </c>
      <c r="D122" t="inlineStr">
        <is>
          <t>301241</t>
        </is>
      </c>
      <c r="E122" t="inlineStr">
        <is>
          <t>EN 14566</t>
        </is>
      </c>
      <c r="O122" t="inlineStr">
        <is>
          <t>Caja</t>
        </is>
      </c>
      <c r="P122" t="inlineStr">
        <is>
          <t>Caja</t>
        </is>
      </c>
      <c r="Q122" t="n">
        <v>87.23</v>
      </c>
      <c r="R122" t="inlineStr">
        <is>
          <t>€/caja</t>
        </is>
      </c>
      <c r="S122" t="n">
        <v>0.5</v>
      </c>
      <c r="T122">
        <f>Q122*S122</f>
        <v/>
      </c>
      <c r="U122" t="inlineStr">
        <is>
          <t>6907.90.20</t>
        </is>
      </c>
      <c r="W122" t="inlineStr">
        <is>
          <t>Fijación placa de yeso a estructura metálica</t>
        </is>
      </c>
      <c r="X122" t="inlineStr">
        <is>
          <t>SI</t>
        </is>
      </c>
      <c r="Y122" t="inlineStr">
        <is>
          <t>SI</t>
        </is>
      </c>
      <c r="Z122" t="inlineStr">
        <is>
          <t>Ø4,0×41 — 1000 ud/caja</t>
        </is>
      </c>
    </row>
    <row r="123">
      <c r="A123" t="inlineStr">
        <is>
          <t>PASTAS</t>
        </is>
      </c>
      <c r="B123" t="inlineStr">
        <is>
          <t>Fassajoint 3h</t>
        </is>
      </c>
      <c r="C123" t="inlineStr">
        <is>
          <t>Fassajoint 3h — 25kg</t>
        </is>
      </c>
      <c r="D123" t="inlineStr">
        <is>
          <t>356</t>
        </is>
      </c>
      <c r="E123" t="inlineStr">
        <is>
          <t>EN 13963</t>
        </is>
      </c>
      <c r="L123" t="n">
        <v>50</v>
      </c>
      <c r="O123" t="inlineStr">
        <is>
          <t>Saco/Bote</t>
        </is>
      </c>
      <c r="P123" t="inlineStr">
        <is>
          <t>Palé</t>
        </is>
      </c>
      <c r="Q123" t="n">
        <v>22.06</v>
      </c>
      <c r="R123" t="inlineStr">
        <is>
          <t>€/ud</t>
        </is>
      </c>
      <c r="S123" t="n">
        <v>0.5</v>
      </c>
      <c r="T123">
        <f>Q123*S123</f>
        <v/>
      </c>
      <c r="U123" t="inlineStr">
        <is>
          <t>3214.10.00</t>
        </is>
      </c>
      <c r="W123" t="inlineStr">
        <is>
          <t>Pasta junta placas PYL — trabajabilidad 3h</t>
        </is>
      </c>
      <c r="X123" t="inlineStr">
        <is>
          <t>SI</t>
        </is>
      </c>
      <c r="Y123" t="inlineStr">
        <is>
          <t>SI</t>
        </is>
      </c>
      <c r="Z123" t="inlineStr">
        <is>
          <t>25kg/ud — 50 ud/palé</t>
        </is>
      </c>
    </row>
    <row r="124">
      <c r="A124" t="inlineStr">
        <is>
          <t>PASTAS</t>
        </is>
      </c>
      <c r="B124" t="inlineStr">
        <is>
          <t>Fassajoint 8h</t>
        </is>
      </c>
      <c r="C124" t="inlineStr">
        <is>
          <t>Fassajoint 8h — 25kg</t>
        </is>
      </c>
      <c r="D124" t="inlineStr">
        <is>
          <t>358U3</t>
        </is>
      </c>
      <c r="E124" t="inlineStr">
        <is>
          <t>EN 13963</t>
        </is>
      </c>
      <c r="L124" t="n">
        <v>60</v>
      </c>
      <c r="O124" t="inlineStr">
        <is>
          <t>Saco/Bote</t>
        </is>
      </c>
      <c r="P124" t="inlineStr">
        <is>
          <t>Palé</t>
        </is>
      </c>
      <c r="Q124" t="n">
        <v>22.06</v>
      </c>
      <c r="R124" t="inlineStr">
        <is>
          <t>€/ud</t>
        </is>
      </c>
      <c r="S124" t="n">
        <v>0.5</v>
      </c>
      <c r="T124">
        <f>Q124*S124</f>
        <v/>
      </c>
      <c r="U124" t="inlineStr">
        <is>
          <t>3214.10.00</t>
        </is>
      </c>
      <c r="W124" t="inlineStr">
        <is>
          <t>Pasta junta placas PYL — trabajabilidad 8h</t>
        </is>
      </c>
      <c r="X124" t="inlineStr">
        <is>
          <t>SI</t>
        </is>
      </c>
      <c r="Y124" t="inlineStr">
        <is>
          <t>SI</t>
        </is>
      </c>
      <c r="Z124" t="inlineStr">
        <is>
          <t>25kg/ud — 60 ud/palé</t>
        </is>
      </c>
    </row>
    <row r="125">
      <c r="A125" t="inlineStr">
        <is>
          <t>PASTAS</t>
        </is>
      </c>
      <c r="B125" t="inlineStr">
        <is>
          <t>Fassajoint Ideal</t>
        </is>
      </c>
      <c r="C125" t="inlineStr">
        <is>
          <t>Fassajoint Ideal 3.5 — 25kg</t>
        </is>
      </c>
      <c r="D125" t="inlineStr">
        <is>
          <t>1312T1</t>
        </is>
      </c>
      <c r="E125" t="inlineStr">
        <is>
          <t>EN 13963</t>
        </is>
      </c>
      <c r="L125" t="n">
        <v>50</v>
      </c>
      <c r="O125" t="inlineStr">
        <is>
          <t>Saco/Bote</t>
        </is>
      </c>
      <c r="P125" t="inlineStr">
        <is>
          <t>Palé</t>
        </is>
      </c>
      <c r="Q125" t="n">
        <v>30.9</v>
      </c>
      <c r="R125" t="inlineStr">
        <is>
          <t>€/ud</t>
        </is>
      </c>
      <c r="S125" t="n">
        <v>0.5</v>
      </c>
      <c r="T125">
        <f>Q125*S125</f>
        <v/>
      </c>
      <c r="U125" t="inlineStr">
        <is>
          <t>3214.10.00</t>
        </is>
      </c>
      <c r="W125" t="inlineStr">
        <is>
          <t>Pasta junta placas PYL — trabajabilidad 3h30</t>
        </is>
      </c>
      <c r="X125" t="inlineStr">
        <is>
          <t>SI</t>
        </is>
      </c>
      <c r="Y125" t="inlineStr">
        <is>
          <t>SI</t>
        </is>
      </c>
      <c r="Z125" t="inlineStr">
        <is>
          <t>25kg/ud — 50 ud/palé</t>
        </is>
      </c>
    </row>
    <row r="126">
      <c r="A126" t="inlineStr">
        <is>
          <t>PASTAS</t>
        </is>
      </c>
      <c r="B126" t="inlineStr">
        <is>
          <t>Gypsofiller</t>
        </is>
      </c>
      <c r="C126" t="inlineStr">
        <is>
          <t>Gypsofiller 10kg</t>
        </is>
      </c>
      <c r="D126" t="inlineStr">
        <is>
          <t>372</t>
        </is>
      </c>
      <c r="E126" t="inlineStr">
        <is>
          <t>EN 13963</t>
        </is>
      </c>
      <c r="L126" t="n">
        <v>40</v>
      </c>
      <c r="O126" t="inlineStr">
        <is>
          <t>Saco/Bote</t>
        </is>
      </c>
      <c r="P126" t="inlineStr">
        <is>
          <t>Palé</t>
        </is>
      </c>
      <c r="Q126" t="n">
        <v>23.59</v>
      </c>
      <c r="R126" t="inlineStr">
        <is>
          <t>€/ud</t>
        </is>
      </c>
      <c r="S126" t="n">
        <v>0.5</v>
      </c>
      <c r="T126">
        <f>Q126*S126</f>
        <v/>
      </c>
      <c r="U126" t="inlineStr">
        <is>
          <t>3214.10.00</t>
        </is>
      </c>
      <c r="W126" t="inlineStr">
        <is>
          <t>Pasta acabado y emplastecer placas PYL</t>
        </is>
      </c>
      <c r="X126" t="inlineStr">
        <is>
          <t>SI</t>
        </is>
      </c>
      <c r="Y126" t="inlineStr">
        <is>
          <t>SI</t>
        </is>
      </c>
      <c r="Z126" t="inlineStr">
        <is>
          <t>10kg/ud — 40 ud/palé</t>
        </is>
      </c>
    </row>
    <row r="127">
      <c r="A127" t="inlineStr">
        <is>
          <t>PASTAS</t>
        </is>
      </c>
      <c r="B127" t="inlineStr">
        <is>
          <t>Gypsofiller</t>
        </is>
      </c>
      <c r="C127" t="inlineStr">
        <is>
          <t>Gypsofiller 25kg</t>
        </is>
      </c>
      <c r="D127" t="inlineStr">
        <is>
          <t>370</t>
        </is>
      </c>
      <c r="E127" t="inlineStr">
        <is>
          <t>EN 13963</t>
        </is>
      </c>
      <c r="L127" t="n">
        <v>33</v>
      </c>
      <c r="O127" t="inlineStr">
        <is>
          <t>Saco/Bote</t>
        </is>
      </c>
      <c r="P127" t="inlineStr">
        <is>
          <t>Palé</t>
        </is>
      </c>
      <c r="Q127" t="n">
        <v>47.16</v>
      </c>
      <c r="R127" t="inlineStr">
        <is>
          <t>€/ud</t>
        </is>
      </c>
      <c r="S127" t="n">
        <v>0.5</v>
      </c>
      <c r="T127">
        <f>Q127*S127</f>
        <v/>
      </c>
      <c r="U127" t="inlineStr">
        <is>
          <t>3214.10.00</t>
        </is>
      </c>
      <c r="W127" t="inlineStr">
        <is>
          <t>Pasta acabado y emplastecer placas PYL</t>
        </is>
      </c>
      <c r="X127" t="inlineStr">
        <is>
          <t>SI</t>
        </is>
      </c>
      <c r="Y127" t="inlineStr">
        <is>
          <t>SI</t>
        </is>
      </c>
      <c r="Z127" t="inlineStr">
        <is>
          <t>25kg/ud — 33 ud/palé</t>
        </is>
      </c>
    </row>
    <row r="128">
      <c r="A128" t="inlineStr">
        <is>
          <t>PASTAS</t>
        </is>
      </c>
      <c r="B128" t="inlineStr">
        <is>
          <t>Gypsomaf</t>
        </is>
      </c>
      <c r="C128" t="inlineStr">
        <is>
          <t>Gypsomaf 10kg</t>
        </is>
      </c>
      <c r="D128" t="inlineStr">
        <is>
          <t>360E1</t>
        </is>
      </c>
      <c r="E128" t="inlineStr">
        <is>
          <t>EN 13963</t>
        </is>
      </c>
      <c r="L128" t="n">
        <v>90</v>
      </c>
      <c r="O128" t="inlineStr">
        <is>
          <t>Saco/Bote</t>
        </is>
      </c>
      <c r="P128" t="inlineStr">
        <is>
          <t>Palé</t>
        </is>
      </c>
      <c r="Q128" t="n">
        <v>7.72</v>
      </c>
      <c r="R128" t="inlineStr">
        <is>
          <t>€/ud</t>
        </is>
      </c>
      <c r="S128" t="n">
        <v>0.5</v>
      </c>
      <c r="T128">
        <f>Q128*S128</f>
        <v/>
      </c>
      <c r="U128" t="inlineStr">
        <is>
          <t>3214.10.00</t>
        </is>
      </c>
      <c r="W128" t="inlineStr">
        <is>
          <t>Pasta encolado placas sobre soportes secos</t>
        </is>
      </c>
      <c r="X128" t="inlineStr">
        <is>
          <t>SI</t>
        </is>
      </c>
      <c r="Y128" t="inlineStr">
        <is>
          <t>SI</t>
        </is>
      </c>
      <c r="Z128" t="inlineStr">
        <is>
          <t>10kg/ud — 90 ud/palé</t>
        </is>
      </c>
    </row>
    <row r="129">
      <c r="A129" t="inlineStr">
        <is>
          <t>PASTAS</t>
        </is>
      </c>
      <c r="B129" t="inlineStr">
        <is>
          <t>Gypsomaf</t>
        </is>
      </c>
      <c r="C129" t="inlineStr">
        <is>
          <t>Gypsomaf 25kg</t>
        </is>
      </c>
      <c r="D129" t="inlineStr">
        <is>
          <t>359</t>
        </is>
      </c>
      <c r="E129" t="inlineStr">
        <is>
          <t>EN 13963</t>
        </is>
      </c>
      <c r="L129" t="n">
        <v>50</v>
      </c>
      <c r="O129" t="inlineStr">
        <is>
          <t>Saco/Bote</t>
        </is>
      </c>
      <c r="P129" t="inlineStr">
        <is>
          <t>Palé</t>
        </is>
      </c>
      <c r="Q129" t="n">
        <v>15.44</v>
      </c>
      <c r="R129" t="inlineStr">
        <is>
          <t>€/ud</t>
        </is>
      </c>
      <c r="S129" t="n">
        <v>0.5</v>
      </c>
      <c r="T129">
        <f>Q129*S129</f>
        <v/>
      </c>
      <c r="U129" t="inlineStr">
        <is>
          <t>3214.10.00</t>
        </is>
      </c>
      <c r="W129" t="inlineStr">
        <is>
          <t>Pasta encolado placas sobre soportes secos</t>
        </is>
      </c>
      <c r="X129" t="inlineStr">
        <is>
          <t>SI</t>
        </is>
      </c>
      <c r="Y129" t="inlineStr">
        <is>
          <t>SI</t>
        </is>
      </c>
      <c r="Z129" t="inlineStr">
        <is>
          <t>25kg/ud — 50 ud/palé</t>
        </is>
      </c>
    </row>
    <row r="130">
      <c r="A130" t="inlineStr">
        <is>
          <t>PASTAS</t>
        </is>
      </c>
      <c r="B130" t="inlineStr">
        <is>
          <t>Fast 299</t>
        </is>
      </c>
      <c r="C130" t="inlineStr">
        <is>
          <t>Fast 299 — 20kg</t>
        </is>
      </c>
      <c r="D130" t="inlineStr">
        <is>
          <t>2990NEUTRO0</t>
        </is>
      </c>
      <c r="E130" t="inlineStr">
        <is>
          <t>EN 13963</t>
        </is>
      </c>
      <c r="L130" t="n">
        <v>33</v>
      </c>
      <c r="O130" t="inlineStr">
        <is>
          <t>Saco/Bote</t>
        </is>
      </c>
      <c r="P130" t="inlineStr">
        <is>
          <t>Palé</t>
        </is>
      </c>
      <c r="Q130" t="n">
        <v>62</v>
      </c>
      <c r="R130" t="inlineStr">
        <is>
          <t>€/ud</t>
        </is>
      </c>
      <c r="S130" t="n">
        <v>0.5</v>
      </c>
      <c r="T130">
        <f>Q130*S130</f>
        <v/>
      </c>
      <c r="U130" t="inlineStr">
        <is>
          <t>3214.10.00</t>
        </is>
      </c>
      <c r="W130" t="inlineStr">
        <is>
          <t>Pasta alisado interiores lista para usar</t>
        </is>
      </c>
      <c r="X130" t="inlineStr">
        <is>
          <t>SI</t>
        </is>
      </c>
      <c r="Y130" t="inlineStr">
        <is>
          <t>SI</t>
        </is>
      </c>
      <c r="Z130" t="inlineStr">
        <is>
          <t>20kg/ud — 33 ud/palé</t>
        </is>
      </c>
    </row>
    <row r="131">
      <c r="A131" t="inlineStr">
        <is>
          <t>CINTAS</t>
        </is>
      </c>
      <c r="B131" t="inlineStr">
        <is>
          <t>Juntas</t>
        </is>
      </c>
      <c r="C131" t="inlineStr">
        <is>
          <t>Cinta Juntas 50mm×23m — 24 rollos/caja</t>
        </is>
      </c>
      <c r="D131" t="inlineStr">
        <is>
          <t>304056</t>
        </is>
      </c>
      <c r="E131" t="inlineStr">
        <is>
          <t>EN 13963</t>
        </is>
      </c>
      <c r="L131" t="n">
        <v>24</v>
      </c>
      <c r="O131" t="inlineStr">
        <is>
          <t>Rollo</t>
        </is>
      </c>
      <c r="P131" t="inlineStr">
        <is>
          <t>Caja</t>
        </is>
      </c>
      <c r="Q131" t="n">
        <v>2.48</v>
      </c>
      <c r="R131" t="inlineStr">
        <is>
          <t>€/rollo</t>
        </is>
      </c>
      <c r="S131" t="n">
        <v>0.5</v>
      </c>
      <c r="T131">
        <f>Q131*S131</f>
        <v/>
      </c>
      <c r="U131" t="inlineStr">
        <is>
          <t>4811.59.00</t>
        </is>
      </c>
      <c r="W131" t="inlineStr">
        <is>
          <t>Tratamiento juntas placas de yeso laminado</t>
        </is>
      </c>
      <c r="X131" t="inlineStr">
        <is>
          <t>SI</t>
        </is>
      </c>
      <c r="Y131" t="inlineStr">
        <is>
          <t>SI</t>
        </is>
      </c>
      <c r="Z131" t="inlineStr">
        <is>
          <t>23m×50mm — 24 ud/caja</t>
        </is>
      </c>
    </row>
    <row r="132">
      <c r="A132" t="inlineStr">
        <is>
          <t>CINTAS</t>
        </is>
      </c>
      <c r="B132" t="inlineStr">
        <is>
          <t>Juntas</t>
        </is>
      </c>
      <c r="C132" t="inlineStr">
        <is>
          <t>Cinta Juntas 50mm×75m — 20 rollos/caja</t>
        </is>
      </c>
      <c r="D132" t="inlineStr">
        <is>
          <t>304057</t>
        </is>
      </c>
      <c r="E132" t="inlineStr">
        <is>
          <t>EN 13963</t>
        </is>
      </c>
      <c r="L132" t="n">
        <v>20</v>
      </c>
      <c r="O132" t="inlineStr">
        <is>
          <t>Rollo</t>
        </is>
      </c>
      <c r="P132" t="inlineStr">
        <is>
          <t>Caja</t>
        </is>
      </c>
      <c r="Q132" t="n">
        <v>5.63</v>
      </c>
      <c r="R132" t="inlineStr">
        <is>
          <t>€/rollo</t>
        </is>
      </c>
      <c r="S132" t="n">
        <v>0.5</v>
      </c>
      <c r="T132">
        <f>Q132*S132</f>
        <v/>
      </c>
      <c r="U132" t="inlineStr">
        <is>
          <t>4811.59.00</t>
        </is>
      </c>
      <c r="W132" t="inlineStr">
        <is>
          <t>Tratamiento juntas placas de yeso laminado</t>
        </is>
      </c>
      <c r="X132" t="inlineStr">
        <is>
          <t>SI</t>
        </is>
      </c>
      <c r="Y132" t="inlineStr">
        <is>
          <t>SI</t>
        </is>
      </c>
      <c r="Z132" t="inlineStr">
        <is>
          <t>75m×50mm — 20 ud/caja</t>
        </is>
      </c>
    </row>
    <row r="133">
      <c r="A133" t="inlineStr">
        <is>
          <t>CINTAS</t>
        </is>
      </c>
      <c r="B133" t="inlineStr">
        <is>
          <t>Juntas</t>
        </is>
      </c>
      <c r="C133" t="inlineStr">
        <is>
          <t>Cinta Juntas 50mm×150m — 10 rollos/caja</t>
        </is>
      </c>
      <c r="D133" t="inlineStr">
        <is>
          <t>304058</t>
        </is>
      </c>
      <c r="E133" t="inlineStr">
        <is>
          <t>EN 13963</t>
        </is>
      </c>
      <c r="L133" t="n">
        <v>10</v>
      </c>
      <c r="O133" t="inlineStr">
        <is>
          <t>Rollo</t>
        </is>
      </c>
      <c r="P133" t="inlineStr">
        <is>
          <t>Caja</t>
        </is>
      </c>
      <c r="Q133" t="n">
        <v>8.380000000000001</v>
      </c>
      <c r="R133" t="inlineStr">
        <is>
          <t>€/rollo</t>
        </is>
      </c>
      <c r="S133" t="n">
        <v>0.5</v>
      </c>
      <c r="T133">
        <f>Q133*S133</f>
        <v/>
      </c>
      <c r="U133" t="inlineStr">
        <is>
          <t>4811.59.00</t>
        </is>
      </c>
      <c r="W133" t="inlineStr">
        <is>
          <t>Tratamiento juntas placas de yeso laminado</t>
        </is>
      </c>
      <c r="X133" t="inlineStr">
        <is>
          <t>SI</t>
        </is>
      </c>
      <c r="Y133" t="inlineStr">
        <is>
          <t>SI</t>
        </is>
      </c>
      <c r="Z133" t="inlineStr">
        <is>
          <t>150m×50mm — 10 ud/caja</t>
        </is>
      </c>
    </row>
    <row r="134">
      <c r="A134" t="inlineStr">
        <is>
          <t>CINTAS</t>
        </is>
      </c>
      <c r="B134" t="inlineStr">
        <is>
          <t>FV Autoadhesiva</t>
        </is>
      </c>
      <c r="C134" t="inlineStr">
        <is>
          <t>Malla FV Autoadhesiva 50mm×45m — 54 rollos/caja</t>
        </is>
      </c>
      <c r="D134" t="inlineStr">
        <is>
          <t>304078</t>
        </is>
      </c>
      <c r="E134" t="inlineStr">
        <is>
          <t>EN 15283</t>
        </is>
      </c>
      <c r="L134" t="n">
        <v>54</v>
      </c>
      <c r="O134" t="inlineStr">
        <is>
          <t>Rollo</t>
        </is>
      </c>
      <c r="P134" t="inlineStr">
        <is>
          <t>Caja</t>
        </is>
      </c>
      <c r="Q134" t="n">
        <v>4.75</v>
      </c>
      <c r="R134" t="inlineStr">
        <is>
          <t>€/rollo</t>
        </is>
      </c>
      <c r="S134" t="n">
        <v>0.5</v>
      </c>
      <c r="T134">
        <f>Q134*S134</f>
        <v/>
      </c>
      <c r="U134" t="inlineStr">
        <is>
          <t>7019.39.00</t>
        </is>
      </c>
      <c r="W134" t="inlineStr">
        <is>
          <t>Tratamiento juntas placas de yeso laminado</t>
        </is>
      </c>
      <c r="X134" t="inlineStr">
        <is>
          <t>SI</t>
        </is>
      </c>
      <c r="Y134" t="inlineStr">
        <is>
          <t>SI</t>
        </is>
      </c>
      <c r="Z134" t="inlineStr">
        <is>
          <t>45m×50mm — 54 ud/caja</t>
        </is>
      </c>
    </row>
    <row r="135">
      <c r="A135" t="inlineStr">
        <is>
          <t>CINTAS</t>
        </is>
      </c>
      <c r="B135" t="inlineStr">
        <is>
          <t>FV Autoadhesiva</t>
        </is>
      </c>
      <c r="C135" t="inlineStr">
        <is>
          <t>Malla FV Autoadhesiva 50mm×153m — 12 rollos/caja</t>
        </is>
      </c>
      <c r="D135" t="inlineStr">
        <is>
          <t>304079</t>
        </is>
      </c>
      <c r="E135" t="inlineStr">
        <is>
          <t>EN 15283</t>
        </is>
      </c>
      <c r="L135" t="n">
        <v>12</v>
      </c>
      <c r="O135" t="inlineStr">
        <is>
          <t>Rollo</t>
        </is>
      </c>
      <c r="P135" t="inlineStr">
        <is>
          <t>Caja</t>
        </is>
      </c>
      <c r="Q135" t="n">
        <v>14.38</v>
      </c>
      <c r="R135" t="inlineStr">
        <is>
          <t>€/rollo</t>
        </is>
      </c>
      <c r="S135" t="n">
        <v>0.5</v>
      </c>
      <c r="T135">
        <f>Q135*S135</f>
        <v/>
      </c>
      <c r="U135" t="inlineStr">
        <is>
          <t>7019.39.00</t>
        </is>
      </c>
      <c r="W135" t="inlineStr">
        <is>
          <t>Tratamiento juntas placas de yeso laminado</t>
        </is>
      </c>
      <c r="X135" t="inlineStr">
        <is>
          <t>SI</t>
        </is>
      </c>
      <c r="Y135" t="inlineStr">
        <is>
          <t>SI</t>
        </is>
      </c>
      <c r="Z135" t="inlineStr">
        <is>
          <t>153m×50mm — 12 ud/caja</t>
        </is>
      </c>
    </row>
    <row r="136">
      <c r="A136" t="inlineStr">
        <is>
          <t>CINTAS</t>
        </is>
      </c>
      <c r="B136" t="inlineStr">
        <is>
          <t>Guardavivos</t>
        </is>
      </c>
      <c r="C136" t="inlineStr">
        <is>
          <t>Cinta Guardavivos 50mm×12,5m — 10 rollos/caja</t>
        </is>
      </c>
      <c r="D136" t="inlineStr">
        <is>
          <t>304064</t>
        </is>
      </c>
      <c r="E136" t="inlineStr">
        <is>
          <t>EN 13963</t>
        </is>
      </c>
      <c r="L136" t="n">
        <v>10</v>
      </c>
      <c r="O136" t="inlineStr">
        <is>
          <t>Rollo</t>
        </is>
      </c>
      <c r="P136" t="inlineStr">
        <is>
          <t>Caja</t>
        </is>
      </c>
      <c r="Q136" t="n">
        <v>11.25</v>
      </c>
      <c r="R136" t="inlineStr">
        <is>
          <t>€/rollo</t>
        </is>
      </c>
      <c r="S136" t="n">
        <v>0.5</v>
      </c>
      <c r="T136">
        <f>Q136*S136</f>
        <v/>
      </c>
      <c r="U136" t="inlineStr">
        <is>
          <t>4811.59.00</t>
        </is>
      </c>
      <c r="W136" t="inlineStr">
        <is>
          <t>Tratamiento juntas placas de yeso laminado</t>
        </is>
      </c>
      <c r="X136" t="inlineStr">
        <is>
          <t>SI</t>
        </is>
      </c>
      <c r="Y136" t="inlineStr">
        <is>
          <t>SI</t>
        </is>
      </c>
      <c r="Z136" t="inlineStr">
        <is>
          <t>12,5m×50mm — 10 ud/caja</t>
        </is>
      </c>
    </row>
    <row r="137">
      <c r="A137" t="inlineStr">
        <is>
          <t>CINTAS</t>
        </is>
      </c>
      <c r="B137" t="inlineStr">
        <is>
          <t>Guardavivos</t>
        </is>
      </c>
      <c r="C137" t="inlineStr">
        <is>
          <t>Cinta Guardavivos 50mm×30m — 10 rollos/caja</t>
        </is>
      </c>
      <c r="D137" t="inlineStr">
        <is>
          <t>304065</t>
        </is>
      </c>
      <c r="E137" t="inlineStr">
        <is>
          <t>EN 13963</t>
        </is>
      </c>
      <c r="L137" t="n">
        <v>10</v>
      </c>
      <c r="O137" t="inlineStr">
        <is>
          <t>Rollo</t>
        </is>
      </c>
      <c r="P137" t="inlineStr">
        <is>
          <t>Caja</t>
        </is>
      </c>
      <c r="Q137" t="n">
        <v>17.38</v>
      </c>
      <c r="R137" t="inlineStr">
        <is>
          <t>€/rollo</t>
        </is>
      </c>
      <c r="S137" t="n">
        <v>0.5</v>
      </c>
      <c r="T137">
        <f>Q137*S137</f>
        <v/>
      </c>
      <c r="U137" t="inlineStr">
        <is>
          <t>4811.59.00</t>
        </is>
      </c>
      <c r="W137" t="inlineStr">
        <is>
          <t>Tratamiento juntas placas de yeso laminado</t>
        </is>
      </c>
      <c r="X137" t="inlineStr">
        <is>
          <t>SI</t>
        </is>
      </c>
      <c r="Y137" t="inlineStr">
        <is>
          <t>SI</t>
        </is>
      </c>
      <c r="Z137" t="inlineStr">
        <is>
          <t>30m×50mm — 10 ud/caja</t>
        </is>
      </c>
    </row>
    <row r="138">
      <c r="A138" t="inlineStr">
        <is>
          <t>CINTAS</t>
        </is>
      </c>
      <c r="B138" t="inlineStr">
        <is>
          <t>Bandas Estancas</t>
        </is>
      </c>
      <c r="C138" t="inlineStr">
        <is>
          <t>Banda Estanca 50mm×30m — 22 rollos/caja</t>
        </is>
      </c>
      <c r="D138" t="inlineStr">
        <is>
          <t>304075</t>
        </is>
      </c>
      <c r="E138" t="inlineStr">
        <is>
          <t>—</t>
        </is>
      </c>
      <c r="L138" t="n">
        <v>22</v>
      </c>
      <c r="O138" t="inlineStr">
        <is>
          <t>Rollo</t>
        </is>
      </c>
      <c r="P138" t="inlineStr">
        <is>
          <t>Caja</t>
        </is>
      </c>
      <c r="Q138" t="n">
        <v>11.58</v>
      </c>
      <c r="R138" t="inlineStr">
        <is>
          <t>€/rollo</t>
        </is>
      </c>
      <c r="S138" t="n">
        <v>0.5</v>
      </c>
      <c r="T138">
        <f>Q138*S138</f>
        <v/>
      </c>
      <c r="U138" t="inlineStr">
        <is>
          <t>3919.10.00</t>
        </is>
      </c>
      <c r="W138" t="inlineStr">
        <is>
          <t>Tratamiento juntas placas de yeso laminado</t>
        </is>
      </c>
      <c r="X138" t="inlineStr">
        <is>
          <t>SI</t>
        </is>
      </c>
      <c r="Y138" t="inlineStr">
        <is>
          <t>SI</t>
        </is>
      </c>
      <c r="Z138" t="inlineStr">
        <is>
          <t>30m×50mm — 22 ud/caja</t>
        </is>
      </c>
    </row>
    <row r="139">
      <c r="A139" t="inlineStr">
        <is>
          <t>CINTAS</t>
        </is>
      </c>
      <c r="B139" t="inlineStr">
        <is>
          <t>Bandas Estancas</t>
        </is>
      </c>
      <c r="C139" t="inlineStr">
        <is>
          <t>Banda Estanca 70mm×30m — 15 rollos/caja</t>
        </is>
      </c>
      <c r="D139" t="inlineStr">
        <is>
          <t>304076</t>
        </is>
      </c>
      <c r="E139" t="inlineStr">
        <is>
          <t>—</t>
        </is>
      </c>
      <c r="L139" t="n">
        <v>15</v>
      </c>
      <c r="O139" t="inlineStr">
        <is>
          <t>Rollo</t>
        </is>
      </c>
      <c r="P139" t="inlineStr">
        <is>
          <t>Caja</t>
        </is>
      </c>
      <c r="Q139" t="n">
        <v>17.42</v>
      </c>
      <c r="R139" t="inlineStr">
        <is>
          <t>€/rollo</t>
        </is>
      </c>
      <c r="S139" t="n">
        <v>0.5</v>
      </c>
      <c r="T139">
        <f>Q139*S139</f>
        <v/>
      </c>
      <c r="U139" t="inlineStr">
        <is>
          <t>3919.10.00</t>
        </is>
      </c>
      <c r="W139" t="inlineStr">
        <is>
          <t>Tratamiento juntas placas de yeso laminado</t>
        </is>
      </c>
      <c r="X139" t="inlineStr">
        <is>
          <t>SI</t>
        </is>
      </c>
      <c r="Y139" t="inlineStr">
        <is>
          <t>SI</t>
        </is>
      </c>
      <c r="Z139" t="inlineStr">
        <is>
          <t>30m×70mm — 15 ud/caja</t>
        </is>
      </c>
    </row>
    <row r="140">
      <c r="A140" t="inlineStr">
        <is>
          <t>CINTAS</t>
        </is>
      </c>
      <c r="B140" t="inlineStr">
        <is>
          <t>Externa Light</t>
        </is>
      </c>
      <c r="C140" t="inlineStr">
        <is>
          <t>Malla Externa Light 50m — 6 rollos/caja</t>
        </is>
      </c>
      <c r="D140" t="inlineStr">
        <is>
          <t>301121</t>
        </is>
      </c>
      <c r="E140" t="inlineStr">
        <is>
          <t>EN 15283</t>
        </is>
      </c>
      <c r="L140" t="n">
        <v>6</v>
      </c>
      <c r="O140" t="inlineStr">
        <is>
          <t>Rollo</t>
        </is>
      </c>
      <c r="P140" t="inlineStr">
        <is>
          <t>Caja</t>
        </is>
      </c>
      <c r="Q140" t="n">
        <v>33.6</v>
      </c>
      <c r="R140" t="inlineStr">
        <is>
          <t>€/rollo</t>
        </is>
      </c>
      <c r="S140" t="n">
        <v>0.5</v>
      </c>
      <c r="T140">
        <f>Q140*S140</f>
        <v/>
      </c>
      <c r="U140" t="inlineStr">
        <is>
          <t>7019.39.00</t>
        </is>
      </c>
      <c r="W140" t="inlineStr">
        <is>
          <t>Tratamiento juntas placas de yeso laminado</t>
        </is>
      </c>
      <c r="X140" t="inlineStr">
        <is>
          <t>SI</t>
        </is>
      </c>
      <c r="Y140" t="inlineStr">
        <is>
          <t>SI</t>
        </is>
      </c>
      <c r="Z140" t="inlineStr">
        <is>
          <t>50m — 6 ud/caja</t>
        </is>
      </c>
    </row>
    <row r="141">
      <c r="A141" t="inlineStr">
        <is>
          <t>ACCESORIOS</t>
        </is>
      </c>
      <c r="B141" t="inlineStr">
        <is>
          <t>Suspensión</t>
        </is>
      </c>
      <c r="C141" t="inlineStr">
        <is>
          <t>Suspensión TC 47 90mm — 100ud/caja</t>
        </is>
      </c>
      <c r="D141" t="inlineStr">
        <is>
          <t>304021</t>
        </is>
      </c>
      <c r="E141" t="inlineStr">
        <is>
          <t>—</t>
        </is>
      </c>
      <c r="O141" t="inlineStr">
        <is>
          <t>ud</t>
        </is>
      </c>
      <c r="P141" t="inlineStr">
        <is>
          <t>Caja</t>
        </is>
      </c>
      <c r="Q141" t="n">
        <v>13.63</v>
      </c>
      <c r="R141" t="inlineStr">
        <is>
          <t>€/caja</t>
        </is>
      </c>
      <c r="S141" t="n">
        <v>0.5</v>
      </c>
      <c r="T141">
        <f>Q141*S141</f>
        <v/>
      </c>
      <c r="U141" t="inlineStr">
        <is>
          <t>7318.15.90</t>
        </is>
      </c>
      <c r="W141" t="inlineStr">
        <is>
          <t>Suspensión y anclaje de techos continuos</t>
        </is>
      </c>
      <c r="X141" t="inlineStr">
        <is>
          <t>SI</t>
        </is>
      </c>
      <c r="Y141" t="inlineStr">
        <is>
          <t>SI</t>
        </is>
      </c>
      <c r="Z141" t="inlineStr">
        <is>
          <t>90mm — 100 ud/caja</t>
        </is>
      </c>
    </row>
    <row r="142">
      <c r="A142" t="inlineStr">
        <is>
          <t>ACCESORIOS</t>
        </is>
      </c>
      <c r="B142" t="inlineStr">
        <is>
          <t>Suspensión</t>
        </is>
      </c>
      <c r="C142" t="inlineStr">
        <is>
          <t>Suspensión TC 47 180mm — 100ud/caja</t>
        </is>
      </c>
      <c r="D142" t="inlineStr">
        <is>
          <t>304022</t>
        </is>
      </c>
      <c r="E142" t="inlineStr">
        <is>
          <t>—</t>
        </is>
      </c>
      <c r="O142" t="inlineStr">
        <is>
          <t>ud</t>
        </is>
      </c>
      <c r="P142" t="inlineStr">
        <is>
          <t>Caja</t>
        </is>
      </c>
      <c r="Q142" t="n">
        <v>20.73</v>
      </c>
      <c r="R142" t="inlineStr">
        <is>
          <t>€/caja</t>
        </is>
      </c>
      <c r="S142" t="n">
        <v>0.5</v>
      </c>
      <c r="T142">
        <f>Q142*S142</f>
        <v/>
      </c>
      <c r="U142" t="inlineStr">
        <is>
          <t>7318.15.90</t>
        </is>
      </c>
      <c r="W142" t="inlineStr">
        <is>
          <t>Suspensión y anclaje de techos continuos</t>
        </is>
      </c>
      <c r="X142" t="inlineStr">
        <is>
          <t>SI</t>
        </is>
      </c>
      <c r="Y142" t="inlineStr">
        <is>
          <t>SI</t>
        </is>
      </c>
      <c r="Z142" t="inlineStr">
        <is>
          <t>180mm — 100 ud/caja</t>
        </is>
      </c>
    </row>
    <row r="143">
      <c r="A143" t="inlineStr">
        <is>
          <t>ACCESORIOS</t>
        </is>
      </c>
      <c r="B143" t="inlineStr">
        <is>
          <t>Suspensión</t>
        </is>
      </c>
      <c r="C143" t="inlineStr">
        <is>
          <t>Suspensión TC 47 240mm — 50ud/caja</t>
        </is>
      </c>
      <c r="D143" t="inlineStr">
        <is>
          <t>304023</t>
        </is>
      </c>
      <c r="E143" t="inlineStr">
        <is>
          <t>—</t>
        </is>
      </c>
      <c r="O143" t="inlineStr">
        <is>
          <t>ud</t>
        </is>
      </c>
      <c r="P143" t="inlineStr">
        <is>
          <t>Caja</t>
        </is>
      </c>
      <c r="Q143" t="n">
        <v>24.19</v>
      </c>
      <c r="R143" t="inlineStr">
        <is>
          <t>€/caja</t>
        </is>
      </c>
      <c r="S143" t="n">
        <v>0.5</v>
      </c>
      <c r="T143">
        <f>Q143*S143</f>
        <v/>
      </c>
      <c r="U143" t="inlineStr">
        <is>
          <t>7318.15.90</t>
        </is>
      </c>
      <c r="W143" t="inlineStr">
        <is>
          <t>Suspensión y anclaje de techos continuos</t>
        </is>
      </c>
      <c r="X143" t="inlineStr">
        <is>
          <t>SI</t>
        </is>
      </c>
      <c r="Y143" t="inlineStr">
        <is>
          <t>SI</t>
        </is>
      </c>
      <c r="Z143" t="inlineStr">
        <is>
          <t>240mm — 50 ud/caja</t>
        </is>
      </c>
    </row>
    <row r="144">
      <c r="A144" t="inlineStr">
        <is>
          <t>ACCESORIOS</t>
        </is>
      </c>
      <c r="B144" t="inlineStr">
        <is>
          <t>Anclaje</t>
        </is>
      </c>
      <c r="C144" t="inlineStr">
        <is>
          <t>Anclaje Directo 47×120 — 100ud/caja</t>
        </is>
      </c>
      <c r="D144" t="inlineStr">
        <is>
          <t>304029</t>
        </is>
      </c>
      <c r="E144" t="inlineStr">
        <is>
          <t>—</t>
        </is>
      </c>
      <c r="O144" t="inlineStr">
        <is>
          <t>ud</t>
        </is>
      </c>
      <c r="P144" t="inlineStr">
        <is>
          <t>Caja</t>
        </is>
      </c>
      <c r="Q144" t="n">
        <v>33.95</v>
      </c>
      <c r="R144" t="inlineStr">
        <is>
          <t>€/caja</t>
        </is>
      </c>
      <c r="S144" t="n">
        <v>0.5</v>
      </c>
      <c r="T144">
        <f>Q144*S144</f>
        <v/>
      </c>
      <c r="U144" t="inlineStr">
        <is>
          <t>7318.15.90</t>
        </is>
      </c>
      <c r="W144" t="inlineStr">
        <is>
          <t>Suspensión y anclaje de techos continuos</t>
        </is>
      </c>
      <c r="X144" t="inlineStr">
        <is>
          <t>SI</t>
        </is>
      </c>
      <c r="Y144" t="inlineStr">
        <is>
          <t>SI</t>
        </is>
      </c>
      <c r="Z144" t="inlineStr">
        <is>
          <t>47×120mm — 100 ud/caja</t>
        </is>
      </c>
    </row>
    <row r="145">
      <c r="A145" t="inlineStr">
        <is>
          <t>ACCESORIOS</t>
        </is>
      </c>
      <c r="B145" t="inlineStr">
        <is>
          <t>Anclaje</t>
        </is>
      </c>
      <c r="C145" t="inlineStr">
        <is>
          <t>Anclaje Directo 60×120 — 100ud/caja</t>
        </is>
      </c>
      <c r="D145" t="inlineStr">
        <is>
          <t>304030</t>
        </is>
      </c>
      <c r="E145" t="inlineStr">
        <is>
          <t>—</t>
        </is>
      </c>
      <c r="O145" t="inlineStr">
        <is>
          <t>ud</t>
        </is>
      </c>
      <c r="P145" t="inlineStr">
        <is>
          <t>Caja</t>
        </is>
      </c>
      <c r="Q145" t="n">
        <v>38.6</v>
      </c>
      <c r="R145" t="inlineStr">
        <is>
          <t>€/caja</t>
        </is>
      </c>
      <c r="S145" t="n">
        <v>0.5</v>
      </c>
      <c r="T145">
        <f>Q145*S145</f>
        <v/>
      </c>
      <c r="U145" t="inlineStr">
        <is>
          <t>7318.15.90</t>
        </is>
      </c>
      <c r="W145" t="inlineStr">
        <is>
          <t>Suspensión y anclaje de techos continuos</t>
        </is>
      </c>
      <c r="X145" t="inlineStr">
        <is>
          <t>SI</t>
        </is>
      </c>
      <c r="Y145" t="inlineStr">
        <is>
          <t>SI</t>
        </is>
      </c>
      <c r="Z145" t="inlineStr">
        <is>
          <t>60×120mm — 100 ud/caja</t>
        </is>
      </c>
    </row>
    <row r="146">
      <c r="A146" t="inlineStr">
        <is>
          <t>ACCESORIOS</t>
        </is>
      </c>
      <c r="B146" t="inlineStr">
        <is>
          <t>Anclaje</t>
        </is>
      </c>
      <c r="C146" t="inlineStr">
        <is>
          <t>Anclaje Universal Omega M6 — 100ud/caja</t>
        </is>
      </c>
      <c r="D146" t="inlineStr">
        <is>
          <t>304036</t>
        </is>
      </c>
      <c r="E146" t="inlineStr">
        <is>
          <t>—</t>
        </is>
      </c>
      <c r="O146" t="inlineStr">
        <is>
          <t>ud</t>
        </is>
      </c>
      <c r="P146" t="inlineStr">
        <is>
          <t>Caja</t>
        </is>
      </c>
      <c r="Q146" t="n">
        <v>39.38</v>
      </c>
      <c r="R146" t="inlineStr">
        <is>
          <t>€/caja</t>
        </is>
      </c>
      <c r="S146" t="n">
        <v>0.5</v>
      </c>
      <c r="T146">
        <f>Q146*S146</f>
        <v/>
      </c>
      <c r="U146" t="inlineStr">
        <is>
          <t>7318.15.90</t>
        </is>
      </c>
      <c r="W146" t="inlineStr">
        <is>
          <t>Suspensión y anclaje de techos continuos</t>
        </is>
      </c>
      <c r="X146" t="inlineStr">
        <is>
          <t>SI</t>
        </is>
      </c>
      <c r="Y146" t="inlineStr">
        <is>
          <t>SI</t>
        </is>
      </c>
      <c r="Z146" t="inlineStr">
        <is>
          <t>20mm — 100 ud/caja</t>
        </is>
      </c>
    </row>
    <row r="147">
      <c r="A147" t="inlineStr">
        <is>
          <t>ACCESORIOS</t>
        </is>
      </c>
      <c r="B147" t="inlineStr">
        <is>
          <t>Aislador</t>
        </is>
      </c>
      <c r="C147" t="inlineStr">
        <is>
          <t>Aislador Acústico TC 47 — 20ud/caja</t>
        </is>
      </c>
      <c r="D147" t="inlineStr">
        <is>
          <t>304049</t>
        </is>
      </c>
      <c r="E147" t="inlineStr">
        <is>
          <t>—</t>
        </is>
      </c>
      <c r="O147" t="inlineStr">
        <is>
          <t>ud</t>
        </is>
      </c>
      <c r="P147" t="inlineStr">
        <is>
          <t>Caja</t>
        </is>
      </c>
      <c r="Q147" t="n">
        <v>66.95999999999999</v>
      </c>
      <c r="R147" t="inlineStr">
        <is>
          <t>€/caja</t>
        </is>
      </c>
      <c r="S147" t="n">
        <v>0.5</v>
      </c>
      <c r="T147">
        <f>Q147*S147</f>
        <v/>
      </c>
      <c r="U147" t="inlineStr">
        <is>
          <t>3926.90.97</t>
        </is>
      </c>
      <c r="W147" t="inlineStr">
        <is>
          <t>Aislamiento acústico en estructuras TC 47 y trasdosados</t>
        </is>
      </c>
      <c r="X147" t="inlineStr">
        <is>
          <t>SI</t>
        </is>
      </c>
      <c r="Y147" t="inlineStr">
        <is>
          <t>SI</t>
        </is>
      </c>
      <c r="Z147" t="inlineStr">
        <is>
          <t>47mm — 20 ud/caja</t>
        </is>
      </c>
    </row>
    <row r="148">
      <c r="A148" t="inlineStr">
        <is>
          <t>ACCESORIOS</t>
        </is>
      </c>
      <c r="B148" t="inlineStr">
        <is>
          <t>Aislador</t>
        </is>
      </c>
      <c r="C148" t="inlineStr">
        <is>
          <t>Aislador Acústico Trasdosado — 25ud/caja</t>
        </is>
      </c>
      <c r="D148" t="inlineStr">
        <is>
          <t>304050</t>
        </is>
      </c>
      <c r="E148" t="inlineStr">
        <is>
          <t>—</t>
        </is>
      </c>
      <c r="O148" t="inlineStr">
        <is>
          <t>ud</t>
        </is>
      </c>
      <c r="P148" t="inlineStr">
        <is>
          <t>Caja</t>
        </is>
      </c>
      <c r="Q148" t="n">
        <v>171.43</v>
      </c>
      <c r="R148" t="inlineStr">
        <is>
          <t>€/caja</t>
        </is>
      </c>
      <c r="S148" t="n">
        <v>0.5</v>
      </c>
      <c r="T148">
        <f>Q148*S148</f>
        <v/>
      </c>
      <c r="U148" t="inlineStr">
        <is>
          <t>3926.90.97</t>
        </is>
      </c>
      <c r="W148" t="inlineStr">
        <is>
          <t>Aislamiento acústico en estructuras TC 47 y trasdosados</t>
        </is>
      </c>
      <c r="X148" t="inlineStr">
        <is>
          <t>SI</t>
        </is>
      </c>
      <c r="Y148" t="inlineStr">
        <is>
          <t>SI</t>
        </is>
      </c>
      <c r="Z148" t="inlineStr">
        <is>
          <t>— — 25 ud/caja</t>
        </is>
      </c>
    </row>
    <row r="149">
      <c r="A149" t="inlineStr">
        <is>
          <t>TRAMPILLAS</t>
        </is>
      </c>
      <c r="B149" t="inlineStr">
        <is>
          <t>Metálica</t>
        </is>
      </c>
      <c r="C149" t="inlineStr">
        <is>
          <t>Trampilla Metálica 200×200mm</t>
        </is>
      </c>
      <c r="D149" t="inlineStr">
        <is>
          <t>TM200200</t>
        </is>
      </c>
      <c r="E149" t="inlineStr">
        <is>
          <t>—</t>
        </is>
      </c>
      <c r="O149" t="inlineStr">
        <is>
          <t>ud</t>
        </is>
      </c>
      <c r="P149" t="inlineStr">
        <is>
          <t>ud</t>
        </is>
      </c>
      <c r="Q149" t="n">
        <v>21.45</v>
      </c>
      <c r="R149" t="inlineStr">
        <is>
          <t>€/ud</t>
        </is>
      </c>
      <c r="S149" t="n">
        <v>0.5</v>
      </c>
      <c r="T149">
        <f>Q149*S149</f>
        <v/>
      </c>
      <c r="U149" t="inlineStr">
        <is>
          <t>8308.90.00</t>
        </is>
      </c>
      <c r="W149" t="inlineStr">
        <is>
          <t>Acceso mantenimiento — techos continuos</t>
        </is>
      </c>
      <c r="X149" t="inlineStr">
        <is>
          <t>SI</t>
        </is>
      </c>
      <c r="Y149" t="inlineStr">
        <is>
          <t>SI</t>
        </is>
      </c>
      <c r="Z149" t="inlineStr">
        <is>
          <t>Dimensiones: 200×200mm</t>
        </is>
      </c>
    </row>
    <row r="150">
      <c r="A150" t="inlineStr">
        <is>
          <t>TRAMPILLAS</t>
        </is>
      </c>
      <c r="B150" t="inlineStr">
        <is>
          <t>Metálica</t>
        </is>
      </c>
      <c r="C150" t="inlineStr">
        <is>
          <t>Trampilla Metálica 300×300mm</t>
        </is>
      </c>
      <c r="D150" t="inlineStr">
        <is>
          <t>TM300300</t>
        </is>
      </c>
      <c r="E150" t="inlineStr">
        <is>
          <t>—</t>
        </is>
      </c>
      <c r="O150" t="inlineStr">
        <is>
          <t>ud</t>
        </is>
      </c>
      <c r="P150" t="inlineStr">
        <is>
          <t>ud</t>
        </is>
      </c>
      <c r="Q150" t="n">
        <v>24.7</v>
      </c>
      <c r="R150" t="inlineStr">
        <is>
          <t>€/ud</t>
        </is>
      </c>
      <c r="S150" t="n">
        <v>0.5</v>
      </c>
      <c r="T150">
        <f>Q150*S150</f>
        <v/>
      </c>
      <c r="U150" t="inlineStr">
        <is>
          <t>8308.90.00</t>
        </is>
      </c>
      <c r="W150" t="inlineStr">
        <is>
          <t>Acceso mantenimiento — techos continuos</t>
        </is>
      </c>
      <c r="X150" t="inlineStr">
        <is>
          <t>SI</t>
        </is>
      </c>
      <c r="Y150" t="inlineStr">
        <is>
          <t>SI</t>
        </is>
      </c>
      <c r="Z150" t="inlineStr">
        <is>
          <t>Dimensiones: 300×300mm</t>
        </is>
      </c>
    </row>
    <row r="151">
      <c r="A151" t="inlineStr">
        <is>
          <t>TRAMPILLAS</t>
        </is>
      </c>
      <c r="B151" t="inlineStr">
        <is>
          <t>Metálica</t>
        </is>
      </c>
      <c r="C151" t="inlineStr">
        <is>
          <t>Trampilla Metálica 400×400mm</t>
        </is>
      </c>
      <c r="D151" t="inlineStr">
        <is>
          <t>TM400400</t>
        </is>
      </c>
      <c r="E151" t="inlineStr">
        <is>
          <t>—</t>
        </is>
      </c>
      <c r="O151" t="inlineStr">
        <is>
          <t>ud</t>
        </is>
      </c>
      <c r="P151" t="inlineStr">
        <is>
          <t>ud</t>
        </is>
      </c>
      <c r="Q151" t="n">
        <v>33.02</v>
      </c>
      <c r="R151" t="inlineStr">
        <is>
          <t>€/ud</t>
        </is>
      </c>
      <c r="S151" t="n">
        <v>0.5</v>
      </c>
      <c r="T151">
        <f>Q151*S151</f>
        <v/>
      </c>
      <c r="U151" t="inlineStr">
        <is>
          <t>8308.90.00</t>
        </is>
      </c>
      <c r="W151" t="inlineStr">
        <is>
          <t>Acceso mantenimiento — techos continuos</t>
        </is>
      </c>
      <c r="X151" t="inlineStr">
        <is>
          <t>SI</t>
        </is>
      </c>
      <c r="Y151" t="inlineStr">
        <is>
          <t>SI</t>
        </is>
      </c>
      <c r="Z151" t="inlineStr">
        <is>
          <t>Dimensiones: 400×400mm</t>
        </is>
      </c>
    </row>
    <row r="152">
      <c r="A152" t="inlineStr">
        <is>
          <t>TRAMPILLAS</t>
        </is>
      </c>
      <c r="B152" t="inlineStr">
        <is>
          <t>Metálica</t>
        </is>
      </c>
      <c r="C152" t="inlineStr">
        <is>
          <t>Trampilla Metálica 500×500mm</t>
        </is>
      </c>
      <c r="D152" t="inlineStr">
        <is>
          <t>TM500500</t>
        </is>
      </c>
      <c r="E152" t="inlineStr">
        <is>
          <t>—</t>
        </is>
      </c>
      <c r="O152" t="inlineStr">
        <is>
          <t>ud</t>
        </is>
      </c>
      <c r="P152" t="inlineStr">
        <is>
          <t>ud</t>
        </is>
      </c>
      <c r="Q152" t="n">
        <v>39.33</v>
      </c>
      <c r="R152" t="inlineStr">
        <is>
          <t>€/ud</t>
        </is>
      </c>
      <c r="S152" t="n">
        <v>0.5</v>
      </c>
      <c r="T152">
        <f>Q152*S152</f>
        <v/>
      </c>
      <c r="U152" t="inlineStr">
        <is>
          <t>8308.90.00</t>
        </is>
      </c>
      <c r="W152" t="inlineStr">
        <is>
          <t>Acceso mantenimiento — techos continuos</t>
        </is>
      </c>
      <c r="X152" t="inlineStr">
        <is>
          <t>SI</t>
        </is>
      </c>
      <c r="Y152" t="inlineStr">
        <is>
          <t>SI</t>
        </is>
      </c>
      <c r="Z152" t="inlineStr">
        <is>
          <t>Dimensiones: 500×500mm</t>
        </is>
      </c>
    </row>
    <row r="153">
      <c r="A153" t="inlineStr">
        <is>
          <t>TRAMPILLAS</t>
        </is>
      </c>
      <c r="B153" t="inlineStr">
        <is>
          <t>Metálica</t>
        </is>
      </c>
      <c r="C153" t="inlineStr">
        <is>
          <t>Trampilla Metálica 600×600mm</t>
        </is>
      </c>
      <c r="D153" t="inlineStr">
        <is>
          <t>TM600600</t>
        </is>
      </c>
      <c r="E153" t="inlineStr">
        <is>
          <t>—</t>
        </is>
      </c>
      <c r="O153" t="inlineStr">
        <is>
          <t>ud</t>
        </is>
      </c>
      <c r="P153" t="inlineStr">
        <is>
          <t>ud</t>
        </is>
      </c>
      <c r="Q153" t="n">
        <v>47.68</v>
      </c>
      <c r="R153" t="inlineStr">
        <is>
          <t>€/ud</t>
        </is>
      </c>
      <c r="S153" t="n">
        <v>0.5</v>
      </c>
      <c r="T153">
        <f>Q153*S153</f>
        <v/>
      </c>
      <c r="U153" t="inlineStr">
        <is>
          <t>8308.90.00</t>
        </is>
      </c>
      <c r="W153" t="inlineStr">
        <is>
          <t>Acceso mantenimiento — techos continuos</t>
        </is>
      </c>
      <c r="X153" t="inlineStr">
        <is>
          <t>SI</t>
        </is>
      </c>
      <c r="Y153" t="inlineStr">
        <is>
          <t>SI</t>
        </is>
      </c>
      <c r="Z153" t="inlineStr">
        <is>
          <t>Dimensiones: 600×600mm</t>
        </is>
      </c>
    </row>
    <row r="154">
      <c r="A154" t="inlineStr">
        <is>
          <t>TRAMPILLAS</t>
        </is>
      </c>
      <c r="B154" t="inlineStr">
        <is>
          <t>Aluminio AQUASUPER</t>
        </is>
      </c>
      <c r="C154" t="inlineStr">
        <is>
          <t>Trampilla Aluminio-Aquasuper 200×200mm</t>
        </is>
      </c>
      <c r="D154" t="inlineStr">
        <is>
          <t>TA200200</t>
        </is>
      </c>
      <c r="E154" t="inlineStr">
        <is>
          <t>—</t>
        </is>
      </c>
      <c r="O154" t="inlineStr">
        <is>
          <t>ud</t>
        </is>
      </c>
      <c r="P154" t="inlineStr">
        <is>
          <t>ud</t>
        </is>
      </c>
      <c r="Q154" t="n">
        <v>26.46</v>
      </c>
      <c r="R154" t="inlineStr">
        <is>
          <t>€/ud</t>
        </is>
      </c>
      <c r="S154" t="n">
        <v>0.5</v>
      </c>
      <c r="T154">
        <f>Q154*S154</f>
        <v/>
      </c>
      <c r="U154" t="inlineStr">
        <is>
          <t>8308.90.00</t>
        </is>
      </c>
      <c r="W154" t="inlineStr">
        <is>
          <t>Acceso mantenimiento — techos continuos</t>
        </is>
      </c>
      <c r="X154" t="inlineStr">
        <is>
          <t>SI</t>
        </is>
      </c>
      <c r="Y154" t="inlineStr">
        <is>
          <t>SI</t>
        </is>
      </c>
      <c r="Z154" t="inlineStr">
        <is>
          <t>Dimensiones: 200×200mm</t>
        </is>
      </c>
    </row>
    <row r="155">
      <c r="A155" t="inlineStr">
        <is>
          <t>TRAMPILLAS</t>
        </is>
      </c>
      <c r="B155" t="inlineStr">
        <is>
          <t>Aluminio AQUASUPER</t>
        </is>
      </c>
      <c r="C155" t="inlineStr">
        <is>
          <t>Trampilla Aluminio-Aquasuper 300×300mm</t>
        </is>
      </c>
      <c r="D155" t="inlineStr">
        <is>
          <t>TA300300</t>
        </is>
      </c>
      <c r="E155" t="inlineStr">
        <is>
          <t>—</t>
        </is>
      </c>
      <c r="O155" t="inlineStr">
        <is>
          <t>ud</t>
        </is>
      </c>
      <c r="P155" t="inlineStr">
        <is>
          <t>ud</t>
        </is>
      </c>
      <c r="Q155" t="n">
        <v>29.51</v>
      </c>
      <c r="R155" t="inlineStr">
        <is>
          <t>€/ud</t>
        </is>
      </c>
      <c r="S155" t="n">
        <v>0.5</v>
      </c>
      <c r="T155">
        <f>Q155*S155</f>
        <v/>
      </c>
      <c r="U155" t="inlineStr">
        <is>
          <t>8308.90.00</t>
        </is>
      </c>
      <c r="W155" t="inlineStr">
        <is>
          <t>Acceso mantenimiento — techos continuos</t>
        </is>
      </c>
      <c r="X155" t="inlineStr">
        <is>
          <t>SI</t>
        </is>
      </c>
      <c r="Y155" t="inlineStr">
        <is>
          <t>SI</t>
        </is>
      </c>
      <c r="Z155" t="inlineStr">
        <is>
          <t>Dimensiones: 300×300mm</t>
        </is>
      </c>
    </row>
    <row r="156">
      <c r="A156" t="inlineStr">
        <is>
          <t>TRAMPILLAS</t>
        </is>
      </c>
      <c r="B156" t="inlineStr">
        <is>
          <t>Aluminio AQUASUPER</t>
        </is>
      </c>
      <c r="C156" t="inlineStr">
        <is>
          <t>Trampilla Aluminio-Aquasuper 400×400mm</t>
        </is>
      </c>
      <c r="D156" t="inlineStr">
        <is>
          <t>TA400400</t>
        </is>
      </c>
      <c r="E156" t="inlineStr">
        <is>
          <t>—</t>
        </is>
      </c>
      <c r="O156" t="inlineStr">
        <is>
          <t>ud</t>
        </is>
      </c>
      <c r="P156" t="inlineStr">
        <is>
          <t>ud</t>
        </is>
      </c>
      <c r="Q156" t="n">
        <v>37.38</v>
      </c>
      <c r="R156" t="inlineStr">
        <is>
          <t>€/ud</t>
        </is>
      </c>
      <c r="S156" t="n">
        <v>0.5</v>
      </c>
      <c r="T156">
        <f>Q156*S156</f>
        <v/>
      </c>
      <c r="U156" t="inlineStr">
        <is>
          <t>8308.90.00</t>
        </is>
      </c>
      <c r="W156" t="inlineStr">
        <is>
          <t>Acceso mantenimiento — techos continuos</t>
        </is>
      </c>
      <c r="X156" t="inlineStr">
        <is>
          <t>SI</t>
        </is>
      </c>
      <c r="Y156" t="inlineStr">
        <is>
          <t>SI</t>
        </is>
      </c>
      <c r="Z156" t="inlineStr">
        <is>
          <t>Dimensiones: 400×400mm</t>
        </is>
      </c>
    </row>
    <row r="157">
      <c r="A157" t="inlineStr">
        <is>
          <t>TRAMPILLAS</t>
        </is>
      </c>
      <c r="B157" t="inlineStr">
        <is>
          <t>Aluminio AQUASUPER</t>
        </is>
      </c>
      <c r="C157" t="inlineStr">
        <is>
          <t>Trampilla Aluminio-Aquasuper 500×500mm</t>
        </is>
      </c>
      <c r="D157" t="inlineStr">
        <is>
          <t>TA500500</t>
        </is>
      </c>
      <c r="E157" t="inlineStr">
        <is>
          <t>—</t>
        </is>
      </c>
      <c r="O157" t="inlineStr">
        <is>
          <t>ud</t>
        </is>
      </c>
      <c r="P157" t="inlineStr">
        <is>
          <t>ud</t>
        </is>
      </c>
      <c r="Q157" t="n">
        <v>42.84</v>
      </c>
      <c r="R157" t="inlineStr">
        <is>
          <t>€/ud</t>
        </is>
      </c>
      <c r="S157" t="n">
        <v>0.5</v>
      </c>
      <c r="T157">
        <f>Q157*S157</f>
        <v/>
      </c>
      <c r="U157" t="inlineStr">
        <is>
          <t>8308.90.00</t>
        </is>
      </c>
      <c r="W157" t="inlineStr">
        <is>
          <t>Acceso mantenimiento — techos continuos</t>
        </is>
      </c>
      <c r="X157" t="inlineStr">
        <is>
          <t>SI</t>
        </is>
      </c>
      <c r="Y157" t="inlineStr">
        <is>
          <t>SI</t>
        </is>
      </c>
      <c r="Z157" t="inlineStr">
        <is>
          <t>Dimensiones: 500×500mm</t>
        </is>
      </c>
    </row>
    <row r="158">
      <c r="A158" t="inlineStr">
        <is>
          <t>TRAMPILLAS</t>
        </is>
      </c>
      <c r="B158" t="inlineStr">
        <is>
          <t>Aluminio AQUASUPER</t>
        </is>
      </c>
      <c r="C158" t="inlineStr">
        <is>
          <t>Trampilla Aluminio-Aquasuper 600×600mm</t>
        </is>
      </c>
      <c r="D158" t="inlineStr">
        <is>
          <t>TA600600</t>
        </is>
      </c>
      <c r="E158" t="inlineStr">
        <is>
          <t>—</t>
        </is>
      </c>
      <c r="O158" t="inlineStr">
        <is>
          <t>ud</t>
        </is>
      </c>
      <c r="P158" t="inlineStr">
        <is>
          <t>ud</t>
        </is>
      </c>
      <c r="Q158" t="n">
        <v>49.76</v>
      </c>
      <c r="R158" t="inlineStr">
        <is>
          <t>€/ud</t>
        </is>
      </c>
      <c r="S158" t="n">
        <v>0.5</v>
      </c>
      <c r="T158">
        <f>Q158*S158</f>
        <v/>
      </c>
      <c r="U158" t="inlineStr">
        <is>
          <t>8308.90.00</t>
        </is>
      </c>
      <c r="W158" t="inlineStr">
        <is>
          <t>Acceso mantenimiento — techos continuos</t>
        </is>
      </c>
      <c r="X158" t="inlineStr">
        <is>
          <t>SI</t>
        </is>
      </c>
      <c r="Y158" t="inlineStr">
        <is>
          <t>SI</t>
        </is>
      </c>
      <c r="Z158" t="inlineStr">
        <is>
          <t>Dimensiones: 600×600mm</t>
        </is>
      </c>
    </row>
    <row r="159">
      <c r="A159" t="inlineStr">
        <is>
          <t>TRAMPILLAS</t>
        </is>
      </c>
      <c r="B159" t="inlineStr">
        <is>
          <t>Aluminio AQUASUPER</t>
        </is>
      </c>
      <c r="C159" t="inlineStr">
        <is>
          <t>Trampilla Aluminio-Aquasuper 600×1200mm</t>
        </is>
      </c>
      <c r="D159" t="inlineStr">
        <is>
          <t>TA6001200</t>
        </is>
      </c>
      <c r="E159" t="inlineStr">
        <is>
          <t>—</t>
        </is>
      </c>
      <c r="O159" t="inlineStr">
        <is>
          <t>ud</t>
        </is>
      </c>
      <c r="P159" t="inlineStr">
        <is>
          <t>ud</t>
        </is>
      </c>
      <c r="Q159" t="n">
        <v>125.78</v>
      </c>
      <c r="R159" t="inlineStr">
        <is>
          <t>€/ud</t>
        </is>
      </c>
      <c r="S159" t="n">
        <v>0.5</v>
      </c>
      <c r="T159">
        <f>Q159*S159</f>
        <v/>
      </c>
      <c r="U159" t="inlineStr">
        <is>
          <t>8308.90.00</t>
        </is>
      </c>
      <c r="W159" t="inlineStr">
        <is>
          <t>Acceso mantenimiento — techos continuos</t>
        </is>
      </c>
      <c r="X159" t="inlineStr">
        <is>
          <t>SI</t>
        </is>
      </c>
      <c r="Y159" t="inlineStr">
        <is>
          <t>SI</t>
        </is>
      </c>
      <c r="Z159" t="inlineStr">
        <is>
          <t>Dimensiones: 600×1200mm</t>
        </is>
      </c>
    </row>
    <row r="160">
      <c r="A160" t="inlineStr">
        <is>
          <t>TRAMPILLAS</t>
        </is>
      </c>
      <c r="B160" t="inlineStr">
        <is>
          <t>EI60</t>
        </is>
      </c>
      <c r="C160" t="inlineStr">
        <is>
          <t>Trampilla Resistente Fuego EI60 300×300mm</t>
        </is>
      </c>
      <c r="D160" t="inlineStr">
        <is>
          <t>TEI60300</t>
        </is>
      </c>
      <c r="E160" t="inlineStr">
        <is>
          <t>—</t>
        </is>
      </c>
      <c r="O160" t="inlineStr">
        <is>
          <t>ud</t>
        </is>
      </c>
      <c r="P160" t="inlineStr">
        <is>
          <t>ud</t>
        </is>
      </c>
      <c r="Q160" t="n">
        <v>298.08</v>
      </c>
      <c r="R160" t="inlineStr">
        <is>
          <t>€/ud</t>
        </is>
      </c>
      <c r="S160" t="n">
        <v>0.5</v>
      </c>
      <c r="T160">
        <f>Q160*S160</f>
        <v/>
      </c>
      <c r="U160" t="inlineStr">
        <is>
          <t>8308.90.00</t>
        </is>
      </c>
      <c r="W160" t="inlineStr">
        <is>
          <t>Acceso mantenimiento — techos continuos</t>
        </is>
      </c>
      <c r="X160" t="inlineStr">
        <is>
          <t>SI</t>
        </is>
      </c>
      <c r="Y160" t="inlineStr">
        <is>
          <t>SI</t>
        </is>
      </c>
      <c r="Z160" t="inlineStr">
        <is>
          <t>Dimensiones: 300×300mm</t>
        </is>
      </c>
    </row>
    <row r="161">
      <c r="A161" t="inlineStr">
        <is>
          <t>TRAMPILLAS</t>
        </is>
      </c>
      <c r="B161" t="inlineStr">
        <is>
          <t>EI60</t>
        </is>
      </c>
      <c r="C161" t="inlineStr">
        <is>
          <t>Trampilla Resistente Fuego EI60 400×400mm</t>
        </is>
      </c>
      <c r="D161" t="inlineStr">
        <is>
          <t>TEI60400</t>
        </is>
      </c>
      <c r="E161" t="inlineStr">
        <is>
          <t>—</t>
        </is>
      </c>
      <c r="O161" t="inlineStr">
        <is>
          <t>ud</t>
        </is>
      </c>
      <c r="P161" t="inlineStr">
        <is>
          <t>ud</t>
        </is>
      </c>
      <c r="Q161" t="n">
        <v>321.15</v>
      </c>
      <c r="R161" t="inlineStr">
        <is>
          <t>€/ud</t>
        </is>
      </c>
      <c r="S161" t="n">
        <v>0.5</v>
      </c>
      <c r="T161">
        <f>Q161*S161</f>
        <v/>
      </c>
      <c r="U161" t="inlineStr">
        <is>
          <t>8308.90.00</t>
        </is>
      </c>
      <c r="W161" t="inlineStr">
        <is>
          <t>Acceso mantenimiento — techos continuos</t>
        </is>
      </c>
      <c r="X161" t="inlineStr">
        <is>
          <t>SI</t>
        </is>
      </c>
      <c r="Y161" t="inlineStr">
        <is>
          <t>SI</t>
        </is>
      </c>
      <c r="Z161" t="inlineStr">
        <is>
          <t>Dimensiones: 400×400mm</t>
        </is>
      </c>
    </row>
    <row r="162">
      <c r="A162" t="inlineStr">
        <is>
          <t>TRAMPILLAS</t>
        </is>
      </c>
      <c r="B162" t="inlineStr">
        <is>
          <t>EI60</t>
        </is>
      </c>
      <c r="C162" t="inlineStr">
        <is>
          <t>Trampilla Resistente Fuego EI60 400×500mm</t>
        </is>
      </c>
      <c r="D162" t="inlineStr">
        <is>
          <t>TEI60450</t>
        </is>
      </c>
      <c r="E162" t="inlineStr">
        <is>
          <t>—</t>
        </is>
      </c>
      <c r="O162" t="inlineStr">
        <is>
          <t>ud</t>
        </is>
      </c>
      <c r="P162" t="inlineStr">
        <is>
          <t>ud</t>
        </is>
      </c>
      <c r="Q162" t="n">
        <v>363.46</v>
      </c>
      <c r="R162" t="inlineStr">
        <is>
          <t>€/ud</t>
        </is>
      </c>
      <c r="S162" t="n">
        <v>0.5</v>
      </c>
      <c r="T162">
        <f>Q162*S162</f>
        <v/>
      </c>
      <c r="U162" t="inlineStr">
        <is>
          <t>8308.90.00</t>
        </is>
      </c>
      <c r="W162" t="inlineStr">
        <is>
          <t>Acceso mantenimiento — techos continuos</t>
        </is>
      </c>
      <c r="X162" t="inlineStr">
        <is>
          <t>SI</t>
        </is>
      </c>
      <c r="Y162" t="inlineStr">
        <is>
          <t>SI</t>
        </is>
      </c>
      <c r="Z162" t="inlineStr">
        <is>
          <t>Dimensiones: 400×500mm</t>
        </is>
      </c>
    </row>
    <row r="163">
      <c r="A163" t="inlineStr">
        <is>
          <t>TRAMPILLAS</t>
        </is>
      </c>
      <c r="B163" t="inlineStr">
        <is>
          <t>EI60</t>
        </is>
      </c>
      <c r="C163" t="inlineStr">
        <is>
          <t>Trampilla Resistente Fuego EI60 400×600mm</t>
        </is>
      </c>
      <c r="D163" t="inlineStr">
        <is>
          <t>TEI60460</t>
        </is>
      </c>
      <c r="E163" t="inlineStr">
        <is>
          <t>—</t>
        </is>
      </c>
      <c r="O163" t="inlineStr">
        <is>
          <t>ud</t>
        </is>
      </c>
      <c r="P163" t="inlineStr">
        <is>
          <t>ud</t>
        </is>
      </c>
      <c r="Q163" t="n">
        <v>398.08</v>
      </c>
      <c r="R163" t="inlineStr">
        <is>
          <t>€/ud</t>
        </is>
      </c>
      <c r="S163" t="n">
        <v>0.5</v>
      </c>
      <c r="T163">
        <f>Q163*S163</f>
        <v/>
      </c>
      <c r="U163" t="inlineStr">
        <is>
          <t>8308.90.00</t>
        </is>
      </c>
      <c r="W163" t="inlineStr">
        <is>
          <t>Acceso mantenimiento — techos continuos</t>
        </is>
      </c>
      <c r="X163" t="inlineStr">
        <is>
          <t>SI</t>
        </is>
      </c>
      <c r="Y163" t="inlineStr">
        <is>
          <t>SI</t>
        </is>
      </c>
      <c r="Z163" t="inlineStr">
        <is>
          <t>Dimensiones: 400×600mm</t>
        </is>
      </c>
    </row>
    <row r="164">
      <c r="A164" t="inlineStr">
        <is>
          <t>TRAMPILLAS</t>
        </is>
      </c>
      <c r="B164" t="inlineStr">
        <is>
          <t>EI120</t>
        </is>
      </c>
      <c r="C164" t="inlineStr">
        <is>
          <t>Trampilla Resistente Fuego EI120 300×300mm</t>
        </is>
      </c>
      <c r="D164" t="inlineStr">
        <is>
          <t>TEI120300</t>
        </is>
      </c>
      <c r="E164" t="inlineStr">
        <is>
          <t>—</t>
        </is>
      </c>
      <c r="O164" t="inlineStr">
        <is>
          <t>ud</t>
        </is>
      </c>
      <c r="P164" t="inlineStr">
        <is>
          <t>ud</t>
        </is>
      </c>
      <c r="Q164" t="n">
        <v>332.69</v>
      </c>
      <c r="R164" t="inlineStr">
        <is>
          <t>€/ud</t>
        </is>
      </c>
      <c r="S164" t="n">
        <v>0.5</v>
      </c>
      <c r="T164">
        <f>Q164*S164</f>
        <v/>
      </c>
      <c r="U164" t="inlineStr">
        <is>
          <t>8308.90.00</t>
        </is>
      </c>
      <c r="W164" t="inlineStr">
        <is>
          <t>Acceso mantenimiento — techos continuos</t>
        </is>
      </c>
      <c r="X164" t="inlineStr">
        <is>
          <t>SI</t>
        </is>
      </c>
      <c r="Y164" t="inlineStr">
        <is>
          <t>SI</t>
        </is>
      </c>
      <c r="Z164" t="inlineStr">
        <is>
          <t>Dimensiones: 300×300mm</t>
        </is>
      </c>
    </row>
    <row r="165">
      <c r="A165" t="inlineStr">
        <is>
          <t>TRAMPILLAS</t>
        </is>
      </c>
      <c r="B165" t="inlineStr">
        <is>
          <t>EI120</t>
        </is>
      </c>
      <c r="C165" t="inlineStr">
        <is>
          <t>Trampilla Resistente Fuego EI120 400×400mm</t>
        </is>
      </c>
      <c r="D165" t="inlineStr">
        <is>
          <t>TEI120400</t>
        </is>
      </c>
      <c r="E165" t="inlineStr">
        <is>
          <t>—</t>
        </is>
      </c>
      <c r="O165" t="inlineStr">
        <is>
          <t>ud</t>
        </is>
      </c>
      <c r="P165" t="inlineStr">
        <is>
          <t>ud</t>
        </is>
      </c>
      <c r="Q165" t="n">
        <v>353.85</v>
      </c>
      <c r="R165" t="inlineStr">
        <is>
          <t>€/ud</t>
        </is>
      </c>
      <c r="S165" t="n">
        <v>0.5</v>
      </c>
      <c r="T165">
        <f>Q165*S165</f>
        <v/>
      </c>
      <c r="U165" t="inlineStr">
        <is>
          <t>8308.90.00</t>
        </is>
      </c>
      <c r="W165" t="inlineStr">
        <is>
          <t>Acceso mantenimiento — techos continuos</t>
        </is>
      </c>
      <c r="X165" t="inlineStr">
        <is>
          <t>SI</t>
        </is>
      </c>
      <c r="Y165" t="inlineStr">
        <is>
          <t>SI</t>
        </is>
      </c>
      <c r="Z165" t="inlineStr">
        <is>
          <t>Dimensiones: 400×400mm</t>
        </is>
      </c>
    </row>
    <row r="166">
      <c r="A166" t="inlineStr">
        <is>
          <t>TRAMPILLAS</t>
        </is>
      </c>
      <c r="B166" t="inlineStr">
        <is>
          <t>EI120</t>
        </is>
      </c>
      <c r="C166" t="inlineStr">
        <is>
          <t>Trampilla Resistente Fuego EI120 400×500mm</t>
        </is>
      </c>
      <c r="D166" t="inlineStr">
        <is>
          <t>TEI120450</t>
        </is>
      </c>
      <c r="E166" t="inlineStr">
        <is>
          <t>—</t>
        </is>
      </c>
      <c r="O166" t="inlineStr">
        <is>
          <t>ud</t>
        </is>
      </c>
      <c r="P166" t="inlineStr">
        <is>
          <t>ud</t>
        </is>
      </c>
      <c r="Q166" t="n">
        <v>403.85</v>
      </c>
      <c r="R166" t="inlineStr">
        <is>
          <t>€/ud</t>
        </is>
      </c>
      <c r="S166" t="n">
        <v>0.5</v>
      </c>
      <c r="T166">
        <f>Q166*S166</f>
        <v/>
      </c>
      <c r="U166" t="inlineStr">
        <is>
          <t>8308.90.00</t>
        </is>
      </c>
      <c r="W166" t="inlineStr">
        <is>
          <t>Acceso mantenimiento — techos continuos</t>
        </is>
      </c>
      <c r="X166" t="inlineStr">
        <is>
          <t>SI</t>
        </is>
      </c>
      <c r="Y166" t="inlineStr">
        <is>
          <t>SI</t>
        </is>
      </c>
      <c r="Z166" t="inlineStr">
        <is>
          <t>Dimensiones: 400×500mm</t>
        </is>
      </c>
    </row>
    <row r="167">
      <c r="A167" t="inlineStr">
        <is>
          <t>TRAMPILLAS</t>
        </is>
      </c>
      <c r="B167" t="inlineStr">
        <is>
          <t>EI120</t>
        </is>
      </c>
      <c r="C167" t="inlineStr">
        <is>
          <t>Trampilla Resistente Fuego EI120 400×600mm</t>
        </is>
      </c>
      <c r="D167" t="inlineStr">
        <is>
          <t>TEI120460</t>
        </is>
      </c>
      <c r="E167" t="inlineStr">
        <is>
          <t>—</t>
        </is>
      </c>
      <c r="O167" t="inlineStr">
        <is>
          <t>ud</t>
        </is>
      </c>
      <c r="P167" t="inlineStr">
        <is>
          <t>ud</t>
        </is>
      </c>
      <c r="Q167" t="n">
        <v>444.23</v>
      </c>
      <c r="R167" t="inlineStr">
        <is>
          <t>€/ud</t>
        </is>
      </c>
      <c r="S167" t="n">
        <v>0.5</v>
      </c>
      <c r="T167">
        <f>Q167*S167</f>
        <v/>
      </c>
      <c r="U167" t="inlineStr">
        <is>
          <t>8308.90.00</t>
        </is>
      </c>
      <c r="W167" t="inlineStr">
        <is>
          <t>Acceso mantenimiento — techos continuos</t>
        </is>
      </c>
      <c r="X167" t="inlineStr">
        <is>
          <t>SI</t>
        </is>
      </c>
      <c r="Y167" t="inlineStr">
        <is>
          <t>SI</t>
        </is>
      </c>
      <c r="Z167" t="inlineStr">
        <is>
          <t>Dimensiones: 400×600mm</t>
        </is>
      </c>
    </row>
    <row r="168">
      <c r="A168" t="inlineStr">
        <is>
          <t>GYPSOCOMETE</t>
        </is>
      </c>
      <c r="B168" t="inlineStr">
        <is>
          <t>LINE</t>
        </is>
      </c>
      <c r="C168" t="inlineStr">
        <is>
          <t>GypsoCOMETE LINE 120×2000mm LED 18mm</t>
        </is>
      </c>
      <c r="D168" t="inlineStr">
        <is>
          <t>301605</t>
        </is>
      </c>
      <c r="E168" t="inlineStr">
        <is>
          <t>—</t>
        </is>
      </c>
      <c r="L168" t="n">
        <v>5</v>
      </c>
      <c r="O168" t="inlineStr">
        <is>
          <t>ud</t>
        </is>
      </c>
      <c r="P168" t="inlineStr">
        <is>
          <t>Caja</t>
        </is>
      </c>
      <c r="Q168" t="n">
        <v>51.2</v>
      </c>
      <c r="R168" t="inlineStr">
        <is>
          <t>€/ud</t>
        </is>
      </c>
      <c r="S168" t="n">
        <v>0.5</v>
      </c>
      <c r="T168">
        <f>Q168*S168</f>
        <v/>
      </c>
      <c r="U168" t="inlineStr">
        <is>
          <t>9405.10.00</t>
        </is>
      </c>
      <c r="W168" t="inlineStr">
        <is>
          <t>Iluminación LED integrada en sistemas de techo y trasdosado</t>
        </is>
      </c>
      <c r="X168" t="inlineStr">
        <is>
          <t>NO</t>
        </is>
      </c>
      <c r="Y168" t="inlineStr">
        <is>
          <t>Bajo pedido</t>
        </is>
      </c>
      <c r="Z168" t="inlineStr">
        <is>
          <t>120×2000mm — 5ud/caja — 512.03€/embalaje</t>
        </is>
      </c>
    </row>
    <row r="169">
      <c r="A169" t="inlineStr">
        <is>
          <t>GYPSOCOMETE</t>
        </is>
      </c>
      <c r="B169" t="inlineStr">
        <is>
          <t>ANGLE</t>
        </is>
      </c>
      <c r="C169" t="inlineStr">
        <is>
          <t>GypsoCOMETE ANGLE 240×240mm LED 18mm</t>
        </is>
      </c>
      <c r="D169" t="inlineStr">
        <is>
          <t>301600</t>
        </is>
      </c>
      <c r="E169" t="inlineStr">
        <is>
          <t>—</t>
        </is>
      </c>
      <c r="L169" t="n">
        <v>2</v>
      </c>
      <c r="O169" t="inlineStr">
        <is>
          <t>ud</t>
        </is>
      </c>
      <c r="P169" t="inlineStr">
        <is>
          <t>Caja</t>
        </is>
      </c>
      <c r="Q169" t="n">
        <v>55</v>
      </c>
      <c r="R169" t="inlineStr">
        <is>
          <t>€/ud</t>
        </is>
      </c>
      <c r="S169" t="n">
        <v>0.5</v>
      </c>
      <c r="T169">
        <f>Q169*S169</f>
        <v/>
      </c>
      <c r="U169" t="inlineStr">
        <is>
          <t>9405.10.00</t>
        </is>
      </c>
      <c r="W169" t="inlineStr">
        <is>
          <t>Iluminación LED integrada en sistemas de techo y trasdosado</t>
        </is>
      </c>
      <c r="X169" t="inlineStr">
        <is>
          <t>NO</t>
        </is>
      </c>
      <c r="Y169" t="inlineStr">
        <is>
          <t>Bajo pedido</t>
        </is>
      </c>
      <c r="Z169" t="inlineStr">
        <is>
          <t>240×240mm — 2ud/caja — 109.99€/embalaje</t>
        </is>
      </c>
    </row>
    <row r="170">
      <c r="A170" t="inlineStr">
        <is>
          <t>GYPSOCOMETE</t>
        </is>
      </c>
      <c r="B170" t="inlineStr">
        <is>
          <t>CROSS</t>
        </is>
      </c>
      <c r="C170" t="inlineStr">
        <is>
          <t>GypsoCOMETE CROSS 360×240mm LED 18mm</t>
        </is>
      </c>
      <c r="D170" t="inlineStr">
        <is>
          <t>301601</t>
        </is>
      </c>
      <c r="E170" t="inlineStr">
        <is>
          <t>—</t>
        </is>
      </c>
      <c r="L170" t="n">
        <v>2</v>
      </c>
      <c r="O170" t="inlineStr">
        <is>
          <t>ud</t>
        </is>
      </c>
      <c r="P170" t="inlineStr">
        <is>
          <t>Caja</t>
        </is>
      </c>
      <c r="Q170" t="n">
        <v>81.55</v>
      </c>
      <c r="R170" t="inlineStr">
        <is>
          <t>€/ud</t>
        </is>
      </c>
      <c r="S170" t="n">
        <v>0.5</v>
      </c>
      <c r="T170">
        <f>Q170*S170</f>
        <v/>
      </c>
      <c r="U170" t="inlineStr">
        <is>
          <t>9405.10.00</t>
        </is>
      </c>
      <c r="W170" t="inlineStr">
        <is>
          <t>Iluminación LED integrada en sistemas de techo y trasdosado</t>
        </is>
      </c>
      <c r="X170" t="inlineStr">
        <is>
          <t>NO</t>
        </is>
      </c>
      <c r="Y170" t="inlineStr">
        <is>
          <t>Bajo pedido</t>
        </is>
      </c>
      <c r="Z170" t="inlineStr">
        <is>
          <t>360×240mm — 2ud/caja — 163.09€/embalaje</t>
        </is>
      </c>
    </row>
    <row r="171">
      <c r="A171" t="inlineStr">
        <is>
          <t>GYPSOCOMETE</t>
        </is>
      </c>
      <c r="B171" t="inlineStr">
        <is>
          <t>STAR</t>
        </is>
      </c>
      <c r="C171" t="inlineStr">
        <is>
          <t>GypsoCOMETE STAR 360×360mm LED 18mm</t>
        </is>
      </c>
      <c r="D171" t="inlineStr">
        <is>
          <t>301602</t>
        </is>
      </c>
      <c r="E171" t="inlineStr">
        <is>
          <t>—</t>
        </is>
      </c>
      <c r="L171" t="n">
        <v>2</v>
      </c>
      <c r="O171" t="inlineStr">
        <is>
          <t>ud</t>
        </is>
      </c>
      <c r="P171" t="inlineStr">
        <is>
          <t>Caja</t>
        </is>
      </c>
      <c r="Q171" t="n">
        <v>121.37</v>
      </c>
      <c r="R171" t="inlineStr">
        <is>
          <t>€/ud</t>
        </is>
      </c>
      <c r="S171" t="n">
        <v>0.5</v>
      </c>
      <c r="T171">
        <f>Q171*S171</f>
        <v/>
      </c>
      <c r="U171" t="inlineStr">
        <is>
          <t>9405.10.00</t>
        </is>
      </c>
      <c r="W171" t="inlineStr">
        <is>
          <t>Iluminación LED integrada en sistemas de techo y trasdosado</t>
        </is>
      </c>
      <c r="X171" t="inlineStr">
        <is>
          <t>NO</t>
        </is>
      </c>
      <c r="Y171" t="inlineStr">
        <is>
          <t>Bajo pedido</t>
        </is>
      </c>
      <c r="Z171" t="inlineStr">
        <is>
          <t>360×360mm — 2ud/caja — 242.74€/embalaje</t>
        </is>
      </c>
    </row>
    <row r="172">
      <c r="A172" t="inlineStr">
        <is>
          <t>GYPSOCOMETE</t>
        </is>
      </c>
      <c r="B172" t="inlineStr">
        <is>
          <t>LINE</t>
        </is>
      </c>
      <c r="C172" t="inlineStr">
        <is>
          <t>GypsoCOMETE XL LINE 120×2000mm LED 40mm</t>
        </is>
      </c>
      <c r="D172" t="inlineStr">
        <is>
          <t>301605XL</t>
        </is>
      </c>
      <c r="E172" t="inlineStr">
        <is>
          <t>—</t>
        </is>
      </c>
      <c r="L172" t="n">
        <v>5</v>
      </c>
      <c r="O172" t="inlineStr">
        <is>
          <t>ud</t>
        </is>
      </c>
      <c r="P172" t="inlineStr">
        <is>
          <t>Caja</t>
        </is>
      </c>
      <c r="Q172" t="n">
        <v>89.13</v>
      </c>
      <c r="R172" t="inlineStr">
        <is>
          <t>€/ud</t>
        </is>
      </c>
      <c r="S172" t="n">
        <v>0.5</v>
      </c>
      <c r="T172">
        <f>Q172*S172</f>
        <v/>
      </c>
      <c r="U172" t="inlineStr">
        <is>
          <t>9405.10.00</t>
        </is>
      </c>
      <c r="W172" t="inlineStr">
        <is>
          <t>Iluminación LED integrada en sistemas de techo y trasdosado</t>
        </is>
      </c>
      <c r="X172" t="inlineStr">
        <is>
          <t>NO</t>
        </is>
      </c>
      <c r="Y172" t="inlineStr">
        <is>
          <t>Bajo pedido</t>
        </is>
      </c>
      <c r="Z172" t="inlineStr">
        <is>
          <t>120×2000mm — 5ud/caja — 891.32€/embalaje</t>
        </is>
      </c>
    </row>
    <row r="173">
      <c r="A173" t="inlineStr">
        <is>
          <t>GYPSOCOMETE</t>
        </is>
      </c>
      <c r="B173" t="inlineStr">
        <is>
          <t>ANGLE</t>
        </is>
      </c>
      <c r="C173" t="inlineStr">
        <is>
          <t>GypsoCOMETE XL ANGLE 240×240mm LED 40mm</t>
        </is>
      </c>
      <c r="D173" t="inlineStr">
        <is>
          <t>301600XL</t>
        </is>
      </c>
      <c r="E173" t="inlineStr">
        <is>
          <t>—</t>
        </is>
      </c>
      <c r="L173" t="n">
        <v>2</v>
      </c>
      <c r="O173" t="inlineStr">
        <is>
          <t>ud</t>
        </is>
      </c>
      <c r="P173" t="inlineStr">
        <is>
          <t>Caja</t>
        </is>
      </c>
      <c r="Q173" t="n">
        <v>68.27</v>
      </c>
      <c r="R173" t="inlineStr">
        <is>
          <t>€/ud</t>
        </is>
      </c>
      <c r="S173" t="n">
        <v>0.5</v>
      </c>
      <c r="T173">
        <f>Q173*S173</f>
        <v/>
      </c>
      <c r="U173" t="inlineStr">
        <is>
          <t>9405.10.00</t>
        </is>
      </c>
      <c r="W173" t="inlineStr">
        <is>
          <t>Iluminación LED integrada en sistemas de techo y trasdosado</t>
        </is>
      </c>
      <c r="X173" t="inlineStr">
        <is>
          <t>NO</t>
        </is>
      </c>
      <c r="Y173" t="inlineStr">
        <is>
          <t>Bajo pedido</t>
        </is>
      </c>
      <c r="Z173" t="inlineStr">
        <is>
          <t>240×240mm — 2ud/caja — 136.54€/embalaje</t>
        </is>
      </c>
    </row>
    <row r="174">
      <c r="A174" t="inlineStr">
        <is>
          <t>GYPSOCOMETE</t>
        </is>
      </c>
      <c r="B174" t="inlineStr">
        <is>
          <t>CROSS</t>
        </is>
      </c>
      <c r="C174" t="inlineStr">
        <is>
          <t>GypsoCOMETE XL CROSS 360×240mm LED 40mm</t>
        </is>
      </c>
      <c r="D174" t="inlineStr">
        <is>
          <t>301601XL</t>
        </is>
      </c>
      <c r="E174" t="inlineStr">
        <is>
          <t>—</t>
        </is>
      </c>
      <c r="L174" t="n">
        <v>2</v>
      </c>
      <c r="O174" t="inlineStr">
        <is>
          <t>ud</t>
        </is>
      </c>
      <c r="P174" t="inlineStr">
        <is>
          <t>Caja</t>
        </is>
      </c>
      <c r="Q174" t="n">
        <v>92.92</v>
      </c>
      <c r="R174" t="inlineStr">
        <is>
          <t>€/ud</t>
        </is>
      </c>
      <c r="S174" t="n">
        <v>0.5</v>
      </c>
      <c r="T174">
        <f>Q174*S174</f>
        <v/>
      </c>
      <c r="U174" t="inlineStr">
        <is>
          <t>9405.10.00</t>
        </is>
      </c>
      <c r="W174" t="inlineStr">
        <is>
          <t>Iluminación LED integrada en sistemas de techo y trasdosado</t>
        </is>
      </c>
      <c r="X174" t="inlineStr">
        <is>
          <t>NO</t>
        </is>
      </c>
      <c r="Y174" t="inlineStr">
        <is>
          <t>Bajo pedido</t>
        </is>
      </c>
      <c r="Z174" t="inlineStr">
        <is>
          <t>360×240mm — 2ud/caja — 185.85€/embalaje</t>
        </is>
      </c>
    </row>
    <row r="175">
      <c r="A175" t="inlineStr">
        <is>
          <t>GYPSOCOMETE</t>
        </is>
      </c>
      <c r="B175" t="inlineStr">
        <is>
          <t>STAR</t>
        </is>
      </c>
      <c r="C175" t="inlineStr">
        <is>
          <t>GypsoCOMETE XL STAR 360×360mm LED 40mm</t>
        </is>
      </c>
      <c r="D175" t="inlineStr">
        <is>
          <t>301602XL</t>
        </is>
      </c>
      <c r="E175" t="inlineStr">
        <is>
          <t>—</t>
        </is>
      </c>
      <c r="L175" t="n">
        <v>2</v>
      </c>
      <c r="O175" t="inlineStr">
        <is>
          <t>ud</t>
        </is>
      </c>
      <c r="P175" t="inlineStr">
        <is>
          <t>Caja</t>
        </is>
      </c>
      <c r="Q175" t="n">
        <v>138.44</v>
      </c>
      <c r="R175" t="inlineStr">
        <is>
          <t>€/ud</t>
        </is>
      </c>
      <c r="S175" t="n">
        <v>0.5</v>
      </c>
      <c r="T175">
        <f>Q175*S175</f>
        <v/>
      </c>
      <c r="U175" t="inlineStr">
        <is>
          <t>9405.10.00</t>
        </is>
      </c>
      <c r="W175" t="inlineStr">
        <is>
          <t>Iluminación LED integrada en sistemas de techo y trasdosado</t>
        </is>
      </c>
      <c r="X175" t="inlineStr">
        <is>
          <t>NO</t>
        </is>
      </c>
      <c r="Y175" t="inlineStr">
        <is>
          <t>Bajo pedido</t>
        </is>
      </c>
      <c r="Z175" t="inlineStr">
        <is>
          <t>360×360mm — 2ud/caja — 276.88€/embalaje</t>
        </is>
      </c>
    </row>
    <row r="176">
      <c r="A176" t="inlineStr">
        <is>
          <t>GYPSOCOMETE</t>
        </is>
      </c>
      <c r="B176" t="inlineStr">
        <is>
          <t>Galaxy</t>
        </is>
      </c>
      <c r="C176" t="inlineStr">
        <is>
          <t>GypsoCOMETE GALAXY LINE 120×2000mm LED 24mm</t>
        </is>
      </c>
      <c r="D176" t="inlineStr">
        <is>
          <t>301605GY</t>
        </is>
      </c>
      <c r="E176" t="inlineStr">
        <is>
          <t>—</t>
        </is>
      </c>
      <c r="L176" t="n">
        <v>5</v>
      </c>
      <c r="O176" t="inlineStr">
        <is>
          <t>ud</t>
        </is>
      </c>
      <c r="P176" t="inlineStr">
        <is>
          <t>Caja</t>
        </is>
      </c>
      <c r="Q176" t="n">
        <v>62.58</v>
      </c>
      <c r="R176" t="inlineStr">
        <is>
          <t>€/ud</t>
        </is>
      </c>
      <c r="S176" t="n">
        <v>0.5</v>
      </c>
      <c r="T176">
        <f>Q176*S176</f>
        <v/>
      </c>
      <c r="U176" t="inlineStr">
        <is>
          <t>9405.10.00</t>
        </is>
      </c>
      <c r="W176" t="inlineStr">
        <is>
          <t>Iluminación LED integrada en sistemas de techo y trasdosado</t>
        </is>
      </c>
      <c r="X176" t="inlineStr">
        <is>
          <t>NO</t>
        </is>
      </c>
      <c r="Y176" t="inlineStr">
        <is>
          <t>Bajo pedido</t>
        </is>
      </c>
      <c r="Z176" t="inlineStr">
        <is>
          <t>120×2000mm — 5ud/caja — 625.82€/embalaje</t>
        </is>
      </c>
    </row>
    <row r="177">
      <c r="A177" t="inlineStr">
        <is>
          <t>GYPSOCOMETE</t>
        </is>
      </c>
      <c r="B177" t="inlineStr">
        <is>
          <t>Galaxy</t>
        </is>
      </c>
      <c r="C177" t="inlineStr">
        <is>
          <t>GypsoCOMETE GALAXY ANGLE 240×240mm</t>
        </is>
      </c>
      <c r="D177" t="inlineStr">
        <is>
          <t>301600GY</t>
        </is>
      </c>
      <c r="E177" t="inlineStr">
        <is>
          <t>—</t>
        </is>
      </c>
      <c r="L177" t="n">
        <v>2</v>
      </c>
      <c r="O177" t="inlineStr">
        <is>
          <t>ud</t>
        </is>
      </c>
      <c r="P177" t="inlineStr">
        <is>
          <t>Caja</t>
        </is>
      </c>
      <c r="Q177" t="n">
        <v>53.1</v>
      </c>
      <c r="R177" t="inlineStr">
        <is>
          <t>€/ud</t>
        </is>
      </c>
      <c r="S177" t="n">
        <v>0.5</v>
      </c>
      <c r="T177">
        <f>Q177*S177</f>
        <v/>
      </c>
      <c r="U177" t="inlineStr">
        <is>
          <t>9405.10.00</t>
        </is>
      </c>
      <c r="W177" t="inlineStr">
        <is>
          <t>Iluminación LED integrada en sistemas de techo y trasdosado</t>
        </is>
      </c>
      <c r="X177" t="inlineStr">
        <is>
          <t>NO</t>
        </is>
      </c>
      <c r="Y177" t="inlineStr">
        <is>
          <t>Bajo pedido</t>
        </is>
      </c>
      <c r="Z177" t="inlineStr">
        <is>
          <t>240×240mm — 2ud/caja — 106.20€/embalaje</t>
        </is>
      </c>
    </row>
    <row r="178">
      <c r="A178" t="inlineStr">
        <is>
          <t>GYPSOCOMETE</t>
        </is>
      </c>
      <c r="B178" t="inlineStr">
        <is>
          <t>Galaxy</t>
        </is>
      </c>
      <c r="C178" t="inlineStr">
        <is>
          <t>GypsoCOMETE GALAXY CROSS 360×240mm</t>
        </is>
      </c>
      <c r="D178" t="inlineStr">
        <is>
          <t>301601GY</t>
        </is>
      </c>
      <c r="E178" t="inlineStr">
        <is>
          <t>—</t>
        </is>
      </c>
      <c r="L178" t="n">
        <v>2</v>
      </c>
      <c r="O178" t="inlineStr">
        <is>
          <t>ud</t>
        </is>
      </c>
      <c r="P178" t="inlineStr">
        <is>
          <t>Caja</t>
        </is>
      </c>
      <c r="Q178" t="n">
        <v>75.86</v>
      </c>
      <c r="R178" t="inlineStr">
        <is>
          <t>€/ud</t>
        </is>
      </c>
      <c r="S178" t="n">
        <v>0.5</v>
      </c>
      <c r="T178">
        <f>Q178*S178</f>
        <v/>
      </c>
      <c r="U178" t="inlineStr">
        <is>
          <t>9405.10.00</t>
        </is>
      </c>
      <c r="W178" t="inlineStr">
        <is>
          <t>Iluminación LED integrada en sistemas de techo y trasdosado</t>
        </is>
      </c>
      <c r="X178" t="inlineStr">
        <is>
          <t>NO</t>
        </is>
      </c>
      <c r="Y178" t="inlineStr">
        <is>
          <t>Bajo pedido</t>
        </is>
      </c>
      <c r="Z178" t="inlineStr">
        <is>
          <t>360×240mm — 2ud/caja — 151.71€/embalaje</t>
        </is>
      </c>
    </row>
    <row r="179">
      <c r="A179" t="inlineStr">
        <is>
          <t>GYPSOCOMETE</t>
        </is>
      </c>
      <c r="B179" t="inlineStr">
        <is>
          <t>Galaxy</t>
        </is>
      </c>
      <c r="C179" t="inlineStr">
        <is>
          <t>GypsoCOMETE GALAXY STAR 360×360mm</t>
        </is>
      </c>
      <c r="D179" t="inlineStr">
        <is>
          <t>301602GY</t>
        </is>
      </c>
      <c r="E179" t="inlineStr">
        <is>
          <t>—</t>
        </is>
      </c>
      <c r="L179" t="n">
        <v>2</v>
      </c>
      <c r="O179" t="inlineStr">
        <is>
          <t>ud</t>
        </is>
      </c>
      <c r="P179" t="inlineStr">
        <is>
          <t>Caja</t>
        </is>
      </c>
      <c r="Q179" t="n">
        <v>79.65000000000001</v>
      </c>
      <c r="R179" t="inlineStr">
        <is>
          <t>€/ud</t>
        </is>
      </c>
      <c r="S179" t="n">
        <v>0.5</v>
      </c>
      <c r="T179">
        <f>Q179*S179</f>
        <v/>
      </c>
      <c r="U179" t="inlineStr">
        <is>
          <t>9405.10.00</t>
        </is>
      </c>
      <c r="W179" t="inlineStr">
        <is>
          <t>Iluminación LED integrada en sistemas de techo y trasdosado</t>
        </is>
      </c>
      <c r="X179" t="inlineStr">
        <is>
          <t>NO</t>
        </is>
      </c>
      <c r="Y179" t="inlineStr">
        <is>
          <t>Bajo pedido</t>
        </is>
      </c>
      <c r="Z179" t="inlineStr">
        <is>
          <t>360×360mm — 2ud/caja — 159.30€/embalaje</t>
        </is>
      </c>
    </row>
    <row r="180">
      <c r="A180" t="inlineStr">
        <is>
          <t>GYPSOCOMETE</t>
        </is>
      </c>
      <c r="B180" t="inlineStr">
        <is>
          <t>Mix</t>
        </is>
      </c>
      <c r="C180" t="inlineStr">
        <is>
          <t>GypsoCOMETE MIX 00 ANGLE 240×240mm</t>
        </is>
      </c>
      <c r="D180" t="inlineStr">
        <is>
          <t>301600MX00</t>
        </is>
      </c>
      <c r="E180" t="inlineStr">
        <is>
          <t>—</t>
        </is>
      </c>
      <c r="L180" t="n">
        <v>2</v>
      </c>
      <c r="O180" t="inlineStr">
        <is>
          <t>ud</t>
        </is>
      </c>
      <c r="P180" t="inlineStr">
        <is>
          <t>Caja</t>
        </is>
      </c>
      <c r="Q180" t="n">
        <v>64.48</v>
      </c>
      <c r="R180" t="inlineStr">
        <is>
          <t>€/ud</t>
        </is>
      </c>
      <c r="S180" t="n">
        <v>0.5</v>
      </c>
      <c r="T180">
        <f>Q180*S180</f>
        <v/>
      </c>
      <c r="U180" t="inlineStr">
        <is>
          <t>9405.10.00</t>
        </is>
      </c>
      <c r="W180" t="inlineStr">
        <is>
          <t>Iluminación LED integrada en sistemas de techo y trasdosado</t>
        </is>
      </c>
      <c r="X180" t="inlineStr">
        <is>
          <t>NO</t>
        </is>
      </c>
      <c r="Y180" t="inlineStr">
        <is>
          <t>Bajo pedido</t>
        </is>
      </c>
      <c r="Z180" t="inlineStr">
        <is>
          <t>240×240mm — 2ud/caja — 128.96€/embalaje</t>
        </is>
      </c>
    </row>
    <row r="181">
      <c r="A181" t="inlineStr">
        <is>
          <t>GYPSOCOMETE</t>
        </is>
      </c>
      <c r="B181" t="inlineStr">
        <is>
          <t>Mix</t>
        </is>
      </c>
      <c r="C181" t="inlineStr">
        <is>
          <t>GypsoCOMETE MIX 03 CROSS 360×240mm</t>
        </is>
      </c>
      <c r="D181" t="inlineStr">
        <is>
          <t>301601MX03</t>
        </is>
      </c>
      <c r="E181" t="inlineStr">
        <is>
          <t>—</t>
        </is>
      </c>
      <c r="L181" t="n">
        <v>2</v>
      </c>
      <c r="O181" t="inlineStr">
        <is>
          <t>ud</t>
        </is>
      </c>
      <c r="P181" t="inlineStr">
        <is>
          <t>Caja</t>
        </is>
      </c>
      <c r="Q181" t="n">
        <v>87.23999999999999</v>
      </c>
      <c r="R181" t="inlineStr">
        <is>
          <t>€/ud</t>
        </is>
      </c>
      <c r="S181" t="n">
        <v>0.5</v>
      </c>
      <c r="T181">
        <f>Q181*S181</f>
        <v/>
      </c>
      <c r="U181" t="inlineStr">
        <is>
          <t>9405.10.00</t>
        </is>
      </c>
      <c r="W181" t="inlineStr">
        <is>
          <t>Iluminación LED integrada en sistemas de techo y trasdosado</t>
        </is>
      </c>
      <c r="X181" t="inlineStr">
        <is>
          <t>NO</t>
        </is>
      </c>
      <c r="Y181" t="inlineStr">
        <is>
          <t>Bajo pedido</t>
        </is>
      </c>
      <c r="Z181" t="inlineStr">
        <is>
          <t>360×240mm — 2ud/caja — 174.47€/embalaje</t>
        </is>
      </c>
    </row>
    <row r="182">
      <c r="A182" t="inlineStr">
        <is>
          <t>GYPSOCOMETE</t>
        </is>
      </c>
      <c r="B182" t="inlineStr">
        <is>
          <t>Mix</t>
        </is>
      </c>
      <c r="C182" t="inlineStr">
        <is>
          <t>GypsoCOMETE MIX 04 STAR 360×360mm</t>
        </is>
      </c>
      <c r="D182" t="inlineStr">
        <is>
          <t>301602MX04</t>
        </is>
      </c>
      <c r="E182" t="inlineStr">
        <is>
          <t>—</t>
        </is>
      </c>
      <c r="L182" t="n">
        <v>2</v>
      </c>
      <c r="O182" t="inlineStr">
        <is>
          <t>ud</t>
        </is>
      </c>
      <c r="P182" t="inlineStr">
        <is>
          <t>Caja</t>
        </is>
      </c>
      <c r="Q182" t="n">
        <v>155.51</v>
      </c>
      <c r="R182" t="inlineStr">
        <is>
          <t>€/ud</t>
        </is>
      </c>
      <c r="S182" t="n">
        <v>0.5</v>
      </c>
      <c r="T182">
        <f>Q182*S182</f>
        <v/>
      </c>
      <c r="U182" t="inlineStr">
        <is>
          <t>9405.10.00</t>
        </is>
      </c>
      <c r="W182" t="inlineStr">
        <is>
          <t>Iluminación LED integrada en sistemas de techo y trasdosado</t>
        </is>
      </c>
      <c r="X182" t="inlineStr">
        <is>
          <t>NO</t>
        </is>
      </c>
      <c r="Y182" t="inlineStr">
        <is>
          <t>Bajo pedido</t>
        </is>
      </c>
      <c r="Z182" t="inlineStr">
        <is>
          <t>360×360mm — 2ud/caja — 311.01€/embalaje</t>
        </is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9.75" customWidth="1" style="125" min="2" max="2"/>
  </cols>
  <sheetData>
    <row r="1">
      <c r="A1" s="19" t="inlineStr">
        <is>
          <t>FAM</t>
        </is>
      </c>
      <c r="B1" s="19" t="inlineStr">
        <is>
          <t>PRODUCTO</t>
        </is>
      </c>
      <c r="C1" s="19" t="inlineStr">
        <is>
          <t>CÓDIGO</t>
        </is>
      </c>
      <c r="D1" s="19" t="inlineStr">
        <is>
          <t>CONTENIDO
UNIDAD LOGÍSTICA</t>
        </is>
      </c>
      <c r="E1" s="19" t="inlineStr">
        <is>
          <t>PRECIO ARIAS
€/unidad logística</t>
        </is>
      </c>
      <c r="F1" s="19" t="inlineStr">
        <is>
          <t>PRECIO ARIAS
€/ud o €/ml real</t>
        </is>
      </c>
      <c r="G1" s="19" t="inlineStr">
        <is>
          <t>RENDIMIENTO
/ m² sistema</t>
        </is>
      </c>
      <c r="H1" s="19" t="inlineStr">
        <is>
          <t>UNIDAD
RENDIMIENTO</t>
        </is>
      </c>
      <c r="I1" s="19" t="inlineStr">
        <is>
          <t>COSTE
€/m² sistema</t>
        </is>
      </c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</row>
    <row r="2">
      <c r="A2" s="39" t="inlineStr">
        <is>
          <t xml:space="preserve">  SISTEMA 1 — TRASDOSADO SEMI-DIRECTO STD  | Omega 82/16 · STD BA 12,5 mm - 1200x2500 · Sep. Omega 600 mm</t>
        </is>
      </c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</row>
    <row r="3">
      <c r="A3" s="24" t="inlineStr">
        <is>
          <t>2</t>
        </is>
      </c>
      <c r="B3" s="25" t="inlineStr">
        <is>
          <t>Perfil Omega 82/16 - 3000 mm</t>
        </is>
      </c>
      <c r="C3" s="24" t="inlineStr">
        <is>
          <t>E168218300Z1</t>
        </is>
      </c>
      <c r="D3" s="24" t="inlineStr">
        <is>
          <t>Barra 3000 mm</t>
        </is>
      </c>
      <c r="E3" s="24" t="inlineStr">
        <is>
          <t>2,00 €/barra</t>
        </is>
      </c>
      <c r="F3" s="24" t="inlineStr">
        <is>
          <t>0,665 €/ml</t>
        </is>
      </c>
      <c r="G3" s="26" t="n">
        <v>1.67</v>
      </c>
      <c r="H3" s="24" t="inlineStr">
        <is>
          <t>ml/m²</t>
        </is>
      </c>
      <c r="I3" s="27" t="n">
        <v>1.11</v>
      </c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</row>
    <row r="4">
      <c r="A4" s="28" t="inlineStr">
        <is>
          <t>1</t>
        </is>
      </c>
      <c r="B4" s="29" t="inlineStr">
        <is>
          <t>Gypsotech STD BA 12,5 mm - 1200x2500</t>
        </is>
      </c>
      <c r="C4" s="28" t="inlineStr">
        <is>
          <t>P00A003250A0</t>
        </is>
      </c>
      <c r="D4" s="28" t="inlineStr">
        <is>
          <t>Palé 48 ud / 144 m²</t>
        </is>
      </c>
      <c r="E4" s="28" t="inlineStr">
        <is>
          <t>2,02 €/m²</t>
        </is>
      </c>
      <c r="F4" s="28" t="inlineStr">
        <is>
          <t>2,015 €/m²</t>
        </is>
      </c>
      <c r="G4" s="26" t="n">
        <v>1.05</v>
      </c>
      <c r="H4" s="28" t="inlineStr">
        <is>
          <t>m²/m²</t>
        </is>
      </c>
      <c r="I4" s="27" t="n">
        <v>2.12</v>
      </c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</row>
    <row r="5">
      <c r="A5" s="30" t="inlineStr">
        <is>
          <t>3</t>
        </is>
      </c>
      <c r="B5" s="31" t="inlineStr">
        <is>
          <t>Tornillo Fosfatado PM PC Ø3,5x25 mm - 1000 ud</t>
        </is>
      </c>
      <c r="C5" s="30" t="inlineStr">
        <is>
          <t>304101</t>
        </is>
      </c>
      <c r="D5" s="30" t="inlineStr">
        <is>
          <t>Caja 1000 ud</t>
        </is>
      </c>
      <c r="E5" s="30" t="inlineStr">
        <is>
          <t>7,00 €/caja</t>
        </is>
      </c>
      <c r="F5" s="30" t="inlineStr">
        <is>
          <t>0,007 €/ud</t>
        </is>
      </c>
      <c r="G5" s="26" t="n">
        <v>15</v>
      </c>
      <c r="H5" s="30" t="inlineStr">
        <is>
          <t>ud/m²</t>
        </is>
      </c>
      <c r="I5" s="27" t="n">
        <v>0.1</v>
      </c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</row>
    <row r="6">
      <c r="A6" s="32" t="inlineStr">
        <is>
          <t>4</t>
        </is>
      </c>
      <c r="B6" s="33" t="inlineStr">
        <is>
          <t>Fassajoint 1H - Saco 10 kg</t>
        </is>
      </c>
      <c r="C6" s="32" t="inlineStr">
        <is>
          <t>351E1</t>
        </is>
      </c>
      <c r="D6" s="32" t="inlineStr">
        <is>
          <t>Saco 10 kg</t>
        </is>
      </c>
      <c r="E6" s="32" t="inlineStr">
        <is>
          <t>6,63 €/saco</t>
        </is>
      </c>
      <c r="F6" s="32" t="inlineStr">
        <is>
          <t>0,663 €/kg</t>
        </is>
      </c>
      <c r="G6" s="26" t="n">
        <v>0.35</v>
      </c>
      <c r="H6" s="32" t="inlineStr">
        <is>
          <t>kg/m²</t>
        </is>
      </c>
      <c r="I6" s="27" t="n">
        <v>0.23</v>
      </c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</row>
    <row r="7">
      <c r="A7" s="34" t="inlineStr">
        <is>
          <t>5</t>
        </is>
      </c>
      <c r="B7" s="35" t="inlineStr">
        <is>
          <t>Cinta de Juntas 50 mm - Rollo 150 ml</t>
        </is>
      </c>
      <c r="C7" s="34" t="inlineStr">
        <is>
          <t>304058</t>
        </is>
      </c>
      <c r="D7" s="34" t="inlineStr">
        <is>
          <t>Rollo 150 ml</t>
        </is>
      </c>
      <c r="E7" s="34" t="inlineStr">
        <is>
          <t>4,19 €/rollo</t>
        </is>
      </c>
      <c r="F7" s="34" t="inlineStr">
        <is>
          <t>0,028 €/ml</t>
        </is>
      </c>
      <c r="G7" s="26" t="n">
        <v>1.1</v>
      </c>
      <c r="H7" s="34" t="inlineStr">
        <is>
          <t>ml/m²</t>
        </is>
      </c>
      <c r="I7" s="27" t="n">
        <v>0.03</v>
      </c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</row>
    <row r="8">
      <c r="A8" s="34" t="inlineStr">
        <is>
          <t>5</t>
        </is>
      </c>
      <c r="B8" s="35" t="inlineStr">
        <is>
          <t>Banda Estanca Monoadhesiva 70 mm - Rollo 30 ml</t>
        </is>
      </c>
      <c r="C8" s="34" t="inlineStr">
        <is>
          <t>304076</t>
        </is>
      </c>
      <c r="D8" s="34" t="inlineStr">
        <is>
          <t>Rollo 30 ml</t>
        </is>
      </c>
      <c r="E8" s="34" t="inlineStr">
        <is>
          <t>8,71 €/rollo</t>
        </is>
      </c>
      <c r="F8" s="34" t="inlineStr">
        <is>
          <t>0,290 €/ml</t>
        </is>
      </c>
      <c r="G8" s="26" t="n">
        <v>1.72</v>
      </c>
      <c r="H8" s="34" t="inlineStr">
        <is>
          <t>ml/m²</t>
        </is>
      </c>
      <c r="I8" s="27" t="n">
        <v>0.5</v>
      </c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</row>
    <row r="9">
      <c r="A9" s="36" t="inlineStr">
        <is>
          <t>TOTAL COSTE MATERIAL / m² sistema</t>
        </is>
      </c>
      <c r="B9" s="37" t="n"/>
      <c r="C9" s="37" t="n"/>
      <c r="D9" s="37" t="n"/>
      <c r="E9" s="37" t="n"/>
      <c r="F9" s="37" t="n"/>
      <c r="G9" s="37" t="n"/>
      <c r="H9" s="37" t="n"/>
      <c r="I9" s="38" t="inlineStr">
        <is>
          <t>4.09 €</t>
        </is>
      </c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</row>
    <row r="10">
      <c r="A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  <c r="Z10" s="64" t="n"/>
    </row>
    <row r="11">
      <c r="A11" s="64" t="n"/>
      <c r="B11" s="64" t="n"/>
      <c r="C11" s="64" t="n"/>
      <c r="D11" s="64" t="n"/>
      <c r="E11" s="64" t="n"/>
      <c r="F11" s="64" t="n"/>
      <c r="G11" s="64" t="n"/>
      <c r="H11" s="64" t="n"/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  <c r="Z11" s="64" t="n"/>
    </row>
    <row r="12">
      <c r="A12" s="39" t="inlineStr">
        <is>
          <t xml:space="preserve">  SISTEMA 2 — TRASDOSADO SEMI-DIRECTO AQUA H2  | Omega 82/16 · AQUA H2 BA 12,5 mm - 1200x2500 · Sep. Omega 600 mm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</row>
    <row r="13">
      <c r="A13" s="24" t="inlineStr">
        <is>
          <t>2</t>
        </is>
      </c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</row>
    <row r="14">
      <c r="A14" s="28" t="inlineStr">
        <is>
          <t>1</t>
        </is>
      </c>
      <c r="B14" s="29" t="inlineStr">
        <is>
          <t>Gypsotech AQUA H2 BA 12,5 mm - 1200x2500</t>
        </is>
      </c>
      <c r="C14" s="28" t="inlineStr">
        <is>
          <t>P00H003250A0</t>
        </is>
      </c>
      <c r="D14" s="28" t="inlineStr">
        <is>
          <t>Palé 48 ud / 144 m²</t>
        </is>
      </c>
      <c r="E14" s="28" t="inlineStr">
        <is>
          <t>3,35 €/m²</t>
        </is>
      </c>
      <c r="F14" s="28" t="inlineStr">
        <is>
          <t>3,355 €/m²</t>
        </is>
      </c>
      <c r="G14" s="26" t="n">
        <v>1.05</v>
      </c>
      <c r="H14" s="28" t="inlineStr">
        <is>
          <t>m²/m²</t>
        </is>
      </c>
      <c r="I14" s="27" t="n">
        <v>3.52</v>
      </c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</row>
    <row r="15">
      <c r="A15" s="30" t="inlineStr">
        <is>
          <t>3</t>
        </is>
      </c>
      <c r="B15" s="31" t="inlineStr">
        <is>
          <t>Tornillo Fosfatado PM PC Ø3,5x25 mm - 1000 ud</t>
        </is>
      </c>
      <c r="C15" s="30" t="inlineStr">
        <is>
          <t>304101</t>
        </is>
      </c>
      <c r="D15" s="30" t="inlineStr">
        <is>
          <t>Caja 1000 ud</t>
        </is>
      </c>
      <c r="E15" s="30" t="inlineStr">
        <is>
          <t>7,00 €/caja</t>
        </is>
      </c>
      <c r="F15" s="30" t="inlineStr">
        <is>
          <t>0,007 €/ud</t>
        </is>
      </c>
      <c r="G15" s="26" t="n">
        <v>15</v>
      </c>
      <c r="H15" s="30" t="inlineStr">
        <is>
          <t>ud/m²</t>
        </is>
      </c>
      <c r="I15" s="27" t="n">
        <v>0.1</v>
      </c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  <c r="Z15" s="64" t="n"/>
    </row>
    <row r="16">
      <c r="A16" s="32" t="inlineStr">
        <is>
          <t>4</t>
        </is>
      </c>
      <c r="B16" s="33" t="inlineStr">
        <is>
          <t>Fassajoint 1H - Saco 10 kg</t>
        </is>
      </c>
      <c r="C16" s="32" t="inlineStr">
        <is>
          <t>351E1</t>
        </is>
      </c>
      <c r="D16" s="32" t="inlineStr">
        <is>
          <t>Saco 10 kg</t>
        </is>
      </c>
      <c r="E16" s="32" t="inlineStr">
        <is>
          <t>6,63 €/saco</t>
        </is>
      </c>
      <c r="F16" s="32" t="inlineStr">
        <is>
          <t>0,663 €/kg</t>
        </is>
      </c>
      <c r="G16" s="26" t="n">
        <v>0.35</v>
      </c>
      <c r="H16" s="32" t="inlineStr">
        <is>
          <t>kg/m²</t>
        </is>
      </c>
      <c r="I16" s="27" t="n">
        <v>0.23</v>
      </c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</row>
    <row r="17">
      <c r="A17" s="34" t="inlineStr">
        <is>
          <t>5</t>
        </is>
      </c>
      <c r="B17" s="35" t="inlineStr">
        <is>
          <t>Cinta de Juntas 50 mm - Rollo 150 ml</t>
        </is>
      </c>
      <c r="C17" s="34" t="inlineStr">
        <is>
          <t>304058</t>
        </is>
      </c>
      <c r="D17" s="34" t="inlineStr">
        <is>
          <t>Rollo 150 ml</t>
        </is>
      </c>
      <c r="E17" s="34" t="inlineStr">
        <is>
          <t>4,19 €/rollo</t>
        </is>
      </c>
      <c r="F17" s="34" t="inlineStr">
        <is>
          <t>0,028 €/ml</t>
        </is>
      </c>
      <c r="G17" s="26" t="n">
        <v>1.1</v>
      </c>
      <c r="H17" s="34" t="inlineStr">
        <is>
          <t>ml/m²</t>
        </is>
      </c>
      <c r="I17" s="27" t="n">
        <v>0.03</v>
      </c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  <c r="Z17" s="64" t="n"/>
    </row>
    <row r="18">
      <c r="A18" s="34" t="inlineStr">
        <is>
          <t>5</t>
        </is>
      </c>
      <c r="B18" s="35" t="inlineStr">
        <is>
          <t>Banda Estanca Monoadhesiva 70 mm - Rollo 30 ml</t>
        </is>
      </c>
      <c r="C18" s="34" t="inlineStr">
        <is>
          <t>304076</t>
        </is>
      </c>
      <c r="D18" s="34" t="inlineStr">
        <is>
          <t>Rollo 30 ml</t>
        </is>
      </c>
      <c r="E18" s="34" t="inlineStr">
        <is>
          <t>8,71 €/rollo</t>
        </is>
      </c>
      <c r="F18" s="34" t="inlineStr">
        <is>
          <t>0,290 €/ml</t>
        </is>
      </c>
      <c r="G18" s="26" t="n">
        <v>1.72</v>
      </c>
      <c r="H18" s="34" t="inlineStr">
        <is>
          <t>ml/m²</t>
        </is>
      </c>
      <c r="I18" s="27" t="n">
        <v>0.5</v>
      </c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</row>
    <row r="19">
      <c r="A19" s="36" t="inlineStr">
        <is>
          <t>TOTAL COSTE MATERIAL / m² sistema</t>
        </is>
      </c>
      <c r="B19" s="37" t="n"/>
      <c r="C19" s="37" t="n"/>
      <c r="D19" s="37" t="n"/>
      <c r="E19" s="37" t="n"/>
      <c r="F19" s="37" t="n"/>
      <c r="G19" s="37" t="n"/>
      <c r="H19" s="37" t="n"/>
      <c r="I19" s="38" t="inlineStr">
        <is>
          <t>5.49 €</t>
        </is>
      </c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  <c r="Z19" s="64" t="n"/>
    </row>
    <row r="20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/>
      <c r="V20" s="64" t="n"/>
      <c r="W20" s="64" t="n"/>
      <c r="X20" s="64" t="n"/>
      <c r="Y20" s="64" t="n"/>
      <c r="Z20" s="64" t="n"/>
    </row>
    <row r="21">
      <c r="A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</row>
    <row r="22">
      <c r="A22" s="39" t="inlineStr">
        <is>
          <t xml:space="preserve">  SISTEMA 3A — TRASDOSADO STD  | Mont.48 + Rail 48 · STD BA 12,5 mm - 1200x2500 · Sep. 400 mm</t>
        </is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</row>
    <row r="23">
      <c r="A23" s="24" t="inlineStr">
        <is>
          <t>2</t>
        </is>
      </c>
      <c r="B23" s="25" t="inlineStr">
        <is>
          <t>Montante 48/35 Z1 - 2990 mm</t>
        </is>
      </c>
      <c r="C23" s="24" t="inlineStr">
        <is>
          <t>C344836299A</t>
        </is>
      </c>
      <c r="D23" s="24" t="inlineStr">
        <is>
          <t>Barra 2990 mm</t>
        </is>
      </c>
      <c r="E23" s="24" t="inlineStr">
        <is>
          <t>2,09 €/barra</t>
        </is>
      </c>
      <c r="F23" s="24" t="inlineStr">
        <is>
          <t>0,700 €/ml</t>
        </is>
      </c>
      <c r="G23" s="26" t="n">
        <v>2.5</v>
      </c>
      <c r="H23" s="24" t="inlineStr">
        <is>
          <t>ml/m²</t>
        </is>
      </c>
      <c r="I23" s="27" t="n">
        <v>1.75</v>
      </c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</row>
    <row r="24">
      <c r="A24" s="24" t="inlineStr">
        <is>
          <t>2</t>
        </is>
      </c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</row>
    <row r="25">
      <c r="A25" s="28" t="inlineStr">
        <is>
          <t>1</t>
        </is>
      </c>
      <c r="B25" s="29" t="inlineStr">
        <is>
          <t>Gypsotech STD BA 12,5 mm - 1200x2500</t>
        </is>
      </c>
      <c r="C25" s="28" t="inlineStr">
        <is>
          <t>P00A003250A0</t>
        </is>
      </c>
      <c r="D25" s="28" t="inlineStr">
        <is>
          <t>Palé 48 ud / 144 m²</t>
        </is>
      </c>
      <c r="E25" s="28" t="inlineStr">
        <is>
          <t>2,02 €/m²</t>
        </is>
      </c>
      <c r="F25" s="28" t="inlineStr">
        <is>
          <t>2,015 €/m²</t>
        </is>
      </c>
      <c r="G25" s="26" t="n">
        <v>1.05</v>
      </c>
      <c r="H25" s="28" t="inlineStr">
        <is>
          <t>m²/m²</t>
        </is>
      </c>
      <c r="I25" s="27" t="n">
        <v>2.12</v>
      </c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</row>
    <row r="26">
      <c r="A26" s="30" t="inlineStr">
        <is>
          <t>3</t>
        </is>
      </c>
      <c r="B26" s="31" t="inlineStr">
        <is>
          <t>Tornillo Fosfatado PM PC Ø3,5x25 mm - 1000 ud</t>
        </is>
      </c>
      <c r="C26" s="30" t="inlineStr">
        <is>
          <t>304101</t>
        </is>
      </c>
      <c r="D26" s="30" t="inlineStr">
        <is>
          <t>Caja 1000 ud</t>
        </is>
      </c>
      <c r="E26" s="30" t="inlineStr">
        <is>
          <t>7,00 €/caja</t>
        </is>
      </c>
      <c r="F26" s="30" t="inlineStr">
        <is>
          <t>0,007 €/ud</t>
        </is>
      </c>
      <c r="G26" s="26" t="n">
        <v>15</v>
      </c>
      <c r="H26" s="30" t="inlineStr">
        <is>
          <t>ud/m²</t>
        </is>
      </c>
      <c r="I26" s="27" t="n">
        <v>0.1</v>
      </c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</row>
    <row r="27">
      <c r="A27" s="30" t="inlineStr">
        <is>
          <t>3</t>
        </is>
      </c>
      <c r="B27" s="31" t="inlineStr">
        <is>
          <t>Tornillo Cincado Metal-Metal PB Ø3,5x9,5 mm - 1000 ud</t>
        </is>
      </c>
      <c r="C27" s="30" t="inlineStr">
        <is>
          <t>304134</t>
        </is>
      </c>
      <c r="D27" s="30" t="inlineStr">
        <is>
          <t>Caja 1000 ud</t>
        </is>
      </c>
      <c r="E27" s="30" t="inlineStr">
        <is>
          <t>7,19 €/caja</t>
        </is>
      </c>
      <c r="F27" s="30" t="inlineStr">
        <is>
          <t>0,007 €/ud</t>
        </is>
      </c>
      <c r="G27" s="26" t="n">
        <v>3</v>
      </c>
      <c r="H27" s="30" t="inlineStr">
        <is>
          <t>ud/m²</t>
        </is>
      </c>
      <c r="I27" s="27" t="n">
        <v>0.02</v>
      </c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</row>
    <row r="28">
      <c r="A28" s="32" t="inlineStr">
        <is>
          <t>4</t>
        </is>
      </c>
      <c r="B28" s="33" t="inlineStr">
        <is>
          <t>Fassajoint 1H - Saco 10 kg</t>
        </is>
      </c>
      <c r="C28" s="32" t="inlineStr">
        <is>
          <t>351E1</t>
        </is>
      </c>
      <c r="D28" s="32" t="inlineStr">
        <is>
          <t>Saco 10 kg</t>
        </is>
      </c>
      <c r="E28" s="32" t="inlineStr">
        <is>
          <t>6,63 €/saco</t>
        </is>
      </c>
      <c r="F28" s="32" t="inlineStr">
        <is>
          <t>0,663 €/kg</t>
        </is>
      </c>
      <c r="G28" s="26" t="n">
        <v>0.35</v>
      </c>
      <c r="H28" s="32" t="inlineStr">
        <is>
          <t>kg/m²</t>
        </is>
      </c>
      <c r="I28" s="27" t="n">
        <v>0.23</v>
      </c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</row>
    <row r="29">
      <c r="A29" s="34" t="inlineStr">
        <is>
          <t>5</t>
        </is>
      </c>
      <c r="B29" s="35" t="inlineStr">
        <is>
          <t>Cinta de Juntas 50 mm - Rollo 150 ml</t>
        </is>
      </c>
      <c r="C29" s="34" t="inlineStr">
        <is>
          <t>304058</t>
        </is>
      </c>
      <c r="D29" s="34" t="inlineStr">
        <is>
          <t>Rollo 150 ml</t>
        </is>
      </c>
      <c r="E29" s="34" t="inlineStr">
        <is>
          <t>4,19 €/rollo</t>
        </is>
      </c>
      <c r="F29" s="34" t="inlineStr">
        <is>
          <t>0,028 €/ml</t>
        </is>
      </c>
      <c r="G29" s="26" t="n">
        <v>1.1</v>
      </c>
      <c r="H29" s="34" t="inlineStr">
        <is>
          <t>ml/m²</t>
        </is>
      </c>
      <c r="I29" s="27" t="n">
        <v>0.03</v>
      </c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</row>
    <row r="30">
      <c r="A30" s="34" t="inlineStr">
        <is>
          <t>5</t>
        </is>
      </c>
      <c r="B30" s="35" t="inlineStr">
        <is>
          <t>Banda Estanca Monoadhesiva 50 mm - Rollo 30 ml</t>
        </is>
      </c>
      <c r="C30" s="34" t="inlineStr">
        <is>
          <t>304075</t>
        </is>
      </c>
      <c r="D30" s="34" t="inlineStr">
        <is>
          <t>Rollo 30 ml</t>
        </is>
      </c>
      <c r="E30" s="34" t="inlineStr">
        <is>
          <t>5,79 €/rollo</t>
        </is>
      </c>
      <c r="F30" s="34" t="inlineStr">
        <is>
          <t>0,193 €/ml</t>
        </is>
      </c>
      <c r="G30" s="26" t="n">
        <v>1.72</v>
      </c>
      <c r="H30" s="34" t="inlineStr">
        <is>
          <t>ml/m²</t>
        </is>
      </c>
      <c r="I30" s="27" t="n">
        <v>0.33</v>
      </c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</row>
    <row r="31">
      <c r="A31" s="43" t="n">
        <v>2</v>
      </c>
      <c r="B31" s="25" t="inlineStr">
        <is>
          <t>Perfil Angular Z1 23x34 - 3000 mm</t>
        </is>
      </c>
      <c r="C31" s="24" t="inlineStr">
        <is>
          <t>L2334300A</t>
        </is>
      </c>
      <c r="D31" s="24" t="inlineStr">
        <is>
          <t>Barra 3000 mm</t>
        </is>
      </c>
      <c r="E31" s="24" t="inlineStr">
        <is>
          <t>1,26 €/barra</t>
        </is>
      </c>
      <c r="F31" s="24" t="inlineStr">
        <is>
          <t>0,420 €/ml</t>
        </is>
      </c>
      <c r="G31" s="26" t="n">
        <v>0.4</v>
      </c>
      <c r="H31" s="24" t="inlineStr">
        <is>
          <t>ml/m²</t>
        </is>
      </c>
      <c r="I31" s="27" t="n">
        <v>0.17</v>
      </c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</row>
    <row r="32">
      <c r="A32" s="36" t="inlineStr">
        <is>
          <t>TOTAL COSTE MATERIAL / m² sistema</t>
        </is>
      </c>
      <c r="B32" s="37" t="n"/>
      <c r="C32" s="37" t="n"/>
      <c r="D32" s="37" t="n"/>
      <c r="E32" s="37" t="n"/>
      <c r="F32" s="37" t="n"/>
      <c r="G32" s="37" t="n"/>
      <c r="H32" s="37" t="n"/>
      <c r="I32" s="38" t="inlineStr">
        <is>
          <t>5.31 €</t>
        </is>
      </c>
      <c r="J32" s="64" t="n"/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  <c r="Z32" s="64" t="n"/>
    </row>
    <row r="33">
      <c r="A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</row>
    <row r="35">
      <c r="A35" s="39" t="inlineStr">
        <is>
          <t xml:space="preserve">  SISTEMA 3B — TRASDOSADO STD  | Mont.48 + Rail 48 · STD BA 12,5 mm - 1200x2500 · Sep. 600 mm</t>
        </is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  <c r="Z35" s="64" t="n"/>
    </row>
    <row r="36">
      <c r="A36" s="24" t="inlineStr">
        <is>
          <t>2</t>
        </is>
      </c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</row>
    <row r="37">
      <c r="A37" s="24" t="inlineStr">
        <is>
          <t>2</t>
        </is>
      </c>
      <c r="B37" s="25" t="inlineStr">
        <is>
          <t>Rail 48 Z1 - 3000 mm</t>
        </is>
      </c>
      <c r="C37" s="24" t="inlineStr">
        <is>
          <t>U304830300A</t>
        </is>
      </c>
      <c r="D37" s="24" t="inlineStr">
        <is>
          <t>Barra 3000 mm</t>
        </is>
      </c>
      <c r="E37" s="24" t="inlineStr">
        <is>
          <t>1,77 €/barra</t>
        </is>
      </c>
      <c r="F37" s="24" t="inlineStr">
        <is>
          <t>0,590 €/ml</t>
        </is>
      </c>
      <c r="G37" s="26" t="n">
        <v>0.95</v>
      </c>
      <c r="H37" s="24" t="inlineStr">
        <is>
          <t>ml/m²</t>
        </is>
      </c>
      <c r="I37" s="27" t="n">
        <v>0.5600000000000001</v>
      </c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</row>
    <row r="38">
      <c r="A38" s="28" t="inlineStr">
        <is>
          <t>1</t>
        </is>
      </c>
      <c r="B38" s="29" t="inlineStr">
        <is>
          <t>Gypsotech STD BA 12,5 mm - 1200x2500</t>
        </is>
      </c>
      <c r="C38" s="28" t="inlineStr">
        <is>
          <t>P00A003250A0</t>
        </is>
      </c>
      <c r="D38" s="28" t="inlineStr">
        <is>
          <t>Palé 48 ud / 144 m²</t>
        </is>
      </c>
      <c r="E38" s="28" t="inlineStr">
        <is>
          <t>2,02 €/m²</t>
        </is>
      </c>
      <c r="F38" s="28" t="inlineStr">
        <is>
          <t>2,015 €/m²</t>
        </is>
      </c>
      <c r="G38" s="26" t="n">
        <v>1.05</v>
      </c>
      <c r="H38" s="28" t="inlineStr">
        <is>
          <t>m²/m²</t>
        </is>
      </c>
      <c r="I38" s="27" t="n">
        <v>2.12</v>
      </c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</row>
    <row r="39">
      <c r="A39" s="30" t="inlineStr">
        <is>
          <t>3</t>
        </is>
      </c>
      <c r="B39" s="31" t="inlineStr">
        <is>
          <t>Tornillo Fosfatado PM PC Ø3,5x25 mm - 1000 ud</t>
        </is>
      </c>
      <c r="C39" s="30" t="inlineStr">
        <is>
          <t>304101</t>
        </is>
      </c>
      <c r="D39" s="30" t="inlineStr">
        <is>
          <t>Caja 1000 ud</t>
        </is>
      </c>
      <c r="E39" s="30" t="inlineStr">
        <is>
          <t>7,00 €/caja</t>
        </is>
      </c>
      <c r="F39" s="30" t="inlineStr">
        <is>
          <t>0,007 €/ud</t>
        </is>
      </c>
      <c r="G39" s="26" t="n">
        <v>15</v>
      </c>
      <c r="H39" s="30" t="inlineStr">
        <is>
          <t>ud/m²</t>
        </is>
      </c>
      <c r="I39" s="27" t="n">
        <v>0.1</v>
      </c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</row>
    <row r="40">
      <c r="A40" s="30" t="inlineStr">
        <is>
          <t>3</t>
        </is>
      </c>
      <c r="B40" s="31" t="inlineStr">
        <is>
          <t>Tornillo Cincado Metal-Metal PB Ø3,5x9,5 mm - 1000 ud</t>
        </is>
      </c>
      <c r="C40" s="30" t="inlineStr">
        <is>
          <t>304134</t>
        </is>
      </c>
      <c r="D40" s="30" t="inlineStr">
        <is>
          <t>Caja 1000 ud</t>
        </is>
      </c>
      <c r="E40" s="30" t="inlineStr">
        <is>
          <t>7,19 €/caja</t>
        </is>
      </c>
      <c r="F40" s="30" t="inlineStr">
        <is>
          <t>0,007 €/ud</t>
        </is>
      </c>
      <c r="G40" s="26" t="n">
        <v>3</v>
      </c>
      <c r="H40" s="30" t="inlineStr">
        <is>
          <t>ud/m²</t>
        </is>
      </c>
      <c r="I40" s="27" t="n">
        <v>0.02</v>
      </c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  <c r="Z40" s="64" t="n"/>
    </row>
    <row r="41">
      <c r="A41" s="32" t="inlineStr">
        <is>
          <t>4</t>
        </is>
      </c>
      <c r="B41" s="33" t="inlineStr">
        <is>
          <t>Fassajoint 1H - Saco 10 kg</t>
        </is>
      </c>
      <c r="C41" s="32" t="inlineStr">
        <is>
          <t>351E1</t>
        </is>
      </c>
      <c r="D41" s="32" t="inlineStr">
        <is>
          <t>Saco 10 kg</t>
        </is>
      </c>
      <c r="E41" s="32" t="inlineStr">
        <is>
          <t>6,63 €/saco</t>
        </is>
      </c>
      <c r="F41" s="32" t="inlineStr">
        <is>
          <t>0,663 €/kg</t>
        </is>
      </c>
      <c r="G41" s="26" t="n">
        <v>0.35</v>
      </c>
      <c r="H41" s="32" t="inlineStr">
        <is>
          <t>kg/m²</t>
        </is>
      </c>
      <c r="I41" s="27" t="n">
        <v>0.23</v>
      </c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  <c r="Z41" s="64" t="n"/>
    </row>
    <row r="42">
      <c r="A42" s="34" t="inlineStr">
        <is>
          <t>5</t>
        </is>
      </c>
      <c r="B42" s="35" t="inlineStr">
        <is>
          <t>Cinta de Juntas 50 mm - Rollo 150 ml</t>
        </is>
      </c>
      <c r="C42" s="34" t="inlineStr">
        <is>
          <t>304058</t>
        </is>
      </c>
      <c r="D42" s="34" t="inlineStr">
        <is>
          <t>Rollo 150 ml</t>
        </is>
      </c>
      <c r="E42" s="34" t="inlineStr">
        <is>
          <t>4,19 €/rollo</t>
        </is>
      </c>
      <c r="F42" s="34" t="inlineStr">
        <is>
          <t>0,028 €/ml</t>
        </is>
      </c>
      <c r="G42" s="26" t="n">
        <v>1.1</v>
      </c>
      <c r="H42" s="34" t="inlineStr">
        <is>
          <t>ml/m²</t>
        </is>
      </c>
      <c r="I42" s="27" t="n">
        <v>0.03</v>
      </c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</row>
    <row r="43">
      <c r="A43" s="34" t="inlineStr">
        <is>
          <t>5</t>
        </is>
      </c>
      <c r="B43" s="35" t="inlineStr">
        <is>
          <t>Banda Estanca Monoadhesiva 50 mm - Rollo 30 ml</t>
        </is>
      </c>
      <c r="C43" s="34" t="inlineStr">
        <is>
          <t>304075</t>
        </is>
      </c>
      <c r="D43" s="34" t="inlineStr">
        <is>
          <t>Rollo 30 ml</t>
        </is>
      </c>
      <c r="E43" s="34" t="inlineStr">
        <is>
          <t>5,79 €/rollo</t>
        </is>
      </c>
      <c r="F43" s="34" t="inlineStr">
        <is>
          <t>0,193 €/ml</t>
        </is>
      </c>
      <c r="G43" s="26" t="n">
        <v>1.72</v>
      </c>
      <c r="H43" s="34" t="inlineStr">
        <is>
          <t>ml/m²</t>
        </is>
      </c>
      <c r="I43" s="27" t="n">
        <v>0.33</v>
      </c>
      <c r="J43" s="64" t="n"/>
      <c r="K43" s="64" t="n"/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  <c r="Z43" s="64" t="n"/>
    </row>
    <row r="44">
      <c r="A44" s="43" t="n">
        <v>2</v>
      </c>
      <c r="B44" s="25" t="inlineStr">
        <is>
          <t>Perfil Angular Z1 23x34 - 3000 mm</t>
        </is>
      </c>
      <c r="C44" s="24" t="inlineStr">
        <is>
          <t>L2334300A</t>
        </is>
      </c>
      <c r="D44" s="24" t="inlineStr">
        <is>
          <t>Barra 3000 mm</t>
        </is>
      </c>
      <c r="E44" s="24" t="inlineStr">
        <is>
          <t>1,26 €/barra</t>
        </is>
      </c>
      <c r="F44" s="24" t="inlineStr">
        <is>
          <t>0,420 €/ml</t>
        </is>
      </c>
      <c r="G44" s="26" t="n">
        <v>0.4</v>
      </c>
      <c r="H44" s="24" t="inlineStr">
        <is>
          <t>ml/m²</t>
        </is>
      </c>
      <c r="I44" s="27" t="n">
        <v>0.17</v>
      </c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</row>
    <row r="45">
      <c r="A45" s="36" t="inlineStr">
        <is>
          <t>TOTAL COSTE MATERIAL / m² sistema</t>
        </is>
      </c>
      <c r="I45" s="38" t="inlineStr">
        <is>
          <t>4.73 €</t>
        </is>
      </c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</row>
    <row r="46">
      <c r="A46" s="64" t="n"/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</row>
    <row r="47">
      <c r="A47" s="64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</row>
    <row r="48">
      <c r="A48" s="39" t="inlineStr">
        <is>
          <t xml:space="preserve">  SISTEMA 4A — TRASDOSADO AQUA H2  | Mont.48 + Rail 48 · AQUA H2 BA 12,5 mm - 1200x2500 · Sep. 400 mm</t>
        </is>
      </c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</row>
    <row r="49">
      <c r="A49" s="24" t="inlineStr">
        <is>
          <t>2</t>
        </is>
      </c>
      <c r="B49" s="25" t="inlineStr">
        <is>
          <t>Montante 48/35 Z1 - 2990 mm</t>
        </is>
      </c>
      <c r="C49" s="24" t="inlineStr">
        <is>
          <t>C344836299A</t>
        </is>
      </c>
      <c r="D49" s="24" t="inlineStr">
        <is>
          <t>Barra 2990 mm</t>
        </is>
      </c>
      <c r="E49" s="24" t="inlineStr">
        <is>
          <t>2,09 €/barra</t>
        </is>
      </c>
      <c r="F49" s="24" t="inlineStr">
        <is>
          <t>0,700 €/ml</t>
        </is>
      </c>
      <c r="G49" s="26" t="n">
        <v>2.5</v>
      </c>
      <c r="H49" s="24" t="inlineStr">
        <is>
          <t>ml/m²</t>
        </is>
      </c>
      <c r="I49" s="27" t="n">
        <v>1.75</v>
      </c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  <c r="Z49" s="64" t="n"/>
    </row>
    <row r="50">
      <c r="A50" s="24" t="inlineStr">
        <is>
          <t>2</t>
        </is>
      </c>
      <c r="B50" s="25" t="inlineStr">
        <is>
          <t>Rail 48 Z1 - 3000 mm</t>
        </is>
      </c>
      <c r="C50" s="24" t="inlineStr">
        <is>
          <t>U304830300A</t>
        </is>
      </c>
      <c r="D50" s="24" t="inlineStr">
        <is>
          <t>Barra 3000 mm</t>
        </is>
      </c>
      <c r="E50" s="24" t="inlineStr">
        <is>
          <t>1,77 €/barra</t>
        </is>
      </c>
      <c r="F50" s="24" t="inlineStr">
        <is>
          <t>0,590 €/ml</t>
        </is>
      </c>
      <c r="G50" s="26" t="n">
        <v>0.95</v>
      </c>
      <c r="H50" s="24" t="inlineStr">
        <is>
          <t>ml/m²</t>
        </is>
      </c>
      <c r="I50" s="27" t="n">
        <v>0.5600000000000001</v>
      </c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</row>
    <row r="51">
      <c r="A51" s="28" t="inlineStr">
        <is>
          <t>1</t>
        </is>
      </c>
      <c r="B51" s="29" t="inlineStr">
        <is>
          <t>Gypsotech AQUA H2 BA 12,5 mm - 1200x2500</t>
        </is>
      </c>
      <c r="C51" s="28" t="inlineStr">
        <is>
          <t>P00H003250A0</t>
        </is>
      </c>
      <c r="D51" s="28" t="inlineStr">
        <is>
          <t>Palé 48 ud / 144 m²</t>
        </is>
      </c>
      <c r="E51" s="28" t="inlineStr">
        <is>
          <t>3,35 €/m²</t>
        </is>
      </c>
      <c r="F51" s="28" t="inlineStr">
        <is>
          <t>3,355 €/m²</t>
        </is>
      </c>
      <c r="G51" s="26" t="n">
        <v>1.05</v>
      </c>
      <c r="H51" s="28" t="inlineStr">
        <is>
          <t>m²/m²</t>
        </is>
      </c>
      <c r="I51" s="27" t="n">
        <v>3.52</v>
      </c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</row>
    <row r="52">
      <c r="A52" s="30" t="inlineStr">
        <is>
          <t>3</t>
        </is>
      </c>
      <c r="B52" s="31" t="inlineStr">
        <is>
          <t>Tornillo Fosfatado PM PC Ø3,5x25 mm - 1000 ud</t>
        </is>
      </c>
      <c r="C52" s="30" t="inlineStr">
        <is>
          <t>304101</t>
        </is>
      </c>
      <c r="D52" s="30" t="inlineStr">
        <is>
          <t>Caja 1000 ud</t>
        </is>
      </c>
      <c r="E52" s="30" t="inlineStr">
        <is>
          <t>7,00 €/caja</t>
        </is>
      </c>
      <c r="F52" s="30" t="inlineStr">
        <is>
          <t>0,007 €/ud</t>
        </is>
      </c>
      <c r="G52" s="26" t="n">
        <v>15</v>
      </c>
      <c r="H52" s="30" t="inlineStr">
        <is>
          <t>ud/m²</t>
        </is>
      </c>
      <c r="I52" s="27" t="n">
        <v>0.1</v>
      </c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</row>
    <row r="53">
      <c r="A53" s="30" t="inlineStr">
        <is>
          <t>3</t>
        </is>
      </c>
      <c r="B53" s="31" t="inlineStr">
        <is>
          <t>Tornillo Cincado Metal-Metal PB Ø3,5x9,5 mm - 1000 ud</t>
        </is>
      </c>
      <c r="C53" s="30" t="inlineStr">
        <is>
          <t>304134</t>
        </is>
      </c>
      <c r="D53" s="30" t="inlineStr">
        <is>
          <t>Caja 1000 ud</t>
        </is>
      </c>
      <c r="E53" s="30" t="inlineStr">
        <is>
          <t>7,19 €/caja</t>
        </is>
      </c>
      <c r="F53" s="30" t="inlineStr">
        <is>
          <t>0,007 €/ud</t>
        </is>
      </c>
      <c r="G53" s="26" t="n">
        <v>3</v>
      </c>
      <c r="H53" s="30" t="inlineStr">
        <is>
          <t>ud/m²</t>
        </is>
      </c>
      <c r="I53" s="27" t="n">
        <v>0.02</v>
      </c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</row>
    <row r="54">
      <c r="A54" s="32" t="inlineStr">
        <is>
          <t>4</t>
        </is>
      </c>
      <c r="B54" s="33" t="inlineStr">
        <is>
          <t>Fassajoint 1H - Saco 10 kg</t>
        </is>
      </c>
      <c r="C54" s="32" t="inlineStr">
        <is>
          <t>351E1</t>
        </is>
      </c>
      <c r="D54" s="32" t="inlineStr">
        <is>
          <t>Saco 10 kg</t>
        </is>
      </c>
      <c r="E54" s="32" t="inlineStr">
        <is>
          <t>6,63 €/saco</t>
        </is>
      </c>
      <c r="F54" s="32" t="inlineStr">
        <is>
          <t>0,663 €/kg</t>
        </is>
      </c>
      <c r="G54" s="26" t="n">
        <v>0.35</v>
      </c>
      <c r="H54" s="32" t="inlineStr">
        <is>
          <t>kg/m²</t>
        </is>
      </c>
      <c r="I54" s="27" t="n">
        <v>0.23</v>
      </c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</row>
    <row r="55">
      <c r="A55" s="34" t="inlineStr">
        <is>
          <t>5</t>
        </is>
      </c>
      <c r="B55" s="35" t="inlineStr">
        <is>
          <t>Cinta de Juntas 50 mm - Rollo 150 ml</t>
        </is>
      </c>
      <c r="C55" s="34" t="inlineStr">
        <is>
          <t>304058</t>
        </is>
      </c>
      <c r="D55" s="34" t="inlineStr">
        <is>
          <t>Rollo 150 ml</t>
        </is>
      </c>
      <c r="E55" s="34" t="inlineStr">
        <is>
          <t>4,19 €/rollo</t>
        </is>
      </c>
      <c r="F55" s="34" t="inlineStr">
        <is>
          <t>0,028 €/ml</t>
        </is>
      </c>
      <c r="G55" s="26" t="n">
        <v>1.1</v>
      </c>
      <c r="H55" s="34" t="inlineStr">
        <is>
          <t>ml/m²</t>
        </is>
      </c>
      <c r="I55" s="27" t="n">
        <v>0.03</v>
      </c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  <c r="Z55" s="64" t="n"/>
    </row>
    <row r="56">
      <c r="A56" s="34" t="inlineStr">
        <is>
          <t>5</t>
        </is>
      </c>
      <c r="B56" s="35" t="inlineStr">
        <is>
          <t>Banda Estanca Monoadhesiva 50 mm - Rollo 30 ml</t>
        </is>
      </c>
      <c r="C56" s="34" t="inlineStr">
        <is>
          <t>304075</t>
        </is>
      </c>
      <c r="D56" s="34" t="inlineStr">
        <is>
          <t>Rollo 30 ml</t>
        </is>
      </c>
      <c r="E56" s="34" t="inlineStr">
        <is>
          <t>5,79 €/rollo</t>
        </is>
      </c>
      <c r="F56" s="34" t="inlineStr">
        <is>
          <t>0,193 €/ml</t>
        </is>
      </c>
      <c r="G56" s="26" t="n">
        <v>1.72</v>
      </c>
      <c r="H56" s="34" t="inlineStr">
        <is>
          <t>ml/m²</t>
        </is>
      </c>
      <c r="I56" s="27" t="n">
        <v>0.33</v>
      </c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</row>
    <row r="57">
      <c r="A57" s="43" t="n">
        <v>2</v>
      </c>
      <c r="I57" s="27" t="n">
        <v>0.17</v>
      </c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</row>
    <row r="58">
      <c r="A58" s="36" t="inlineStr">
        <is>
          <t>TOTAL COSTE MATERIAL / m² sistema</t>
        </is>
      </c>
      <c r="B58" s="37" t="n"/>
      <c r="C58" s="37" t="n"/>
      <c r="D58" s="37" t="n"/>
      <c r="E58" s="37" t="n"/>
      <c r="F58" s="37" t="n"/>
      <c r="G58" s="37" t="n"/>
      <c r="H58" s="37" t="n"/>
      <c r="I58" s="38" t="inlineStr">
        <is>
          <t>6.71 €</t>
        </is>
      </c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</row>
    <row r="59">
      <c r="A59" s="64" t="n"/>
      <c r="B59" s="64" t="n"/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</row>
    <row r="60">
      <c r="A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</row>
    <row r="61">
      <c r="A61" s="39" t="inlineStr">
        <is>
          <t xml:space="preserve">  SISTEMA 4B — TRASDOSADO AQUA H2  | Mont.48 + Rail 48 · AQUA H2 BA 12,5 mm - 1200x2500 · Sep. 600 mm</t>
        </is>
      </c>
      <c r="B61" s="37" t="n"/>
      <c r="C61" s="37" t="n"/>
      <c r="D61" s="37" t="n"/>
      <c r="E61" s="37" t="n"/>
      <c r="F61" s="37" t="n"/>
      <c r="G61" s="37" t="n"/>
      <c r="H61" s="37" t="n"/>
      <c r="I61" s="37" t="n"/>
      <c r="J61" s="64" t="n"/>
      <c r="K61" s="64" t="n"/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</row>
    <row r="62">
      <c r="A62" s="24" t="inlineStr">
        <is>
          <t>2</t>
        </is>
      </c>
      <c r="B62" s="25" t="inlineStr">
        <is>
          <t>Montante 48/35 Z1 - 2990 mm</t>
        </is>
      </c>
      <c r="C62" s="24" t="inlineStr">
        <is>
          <t>C344836299A</t>
        </is>
      </c>
      <c r="D62" s="24" t="inlineStr">
        <is>
          <t>Barra 2990 mm</t>
        </is>
      </c>
      <c r="E62" s="24" t="inlineStr">
        <is>
          <t>2,09 €/barra</t>
        </is>
      </c>
      <c r="F62" s="24" t="inlineStr">
        <is>
          <t>0,700 €/ml</t>
        </is>
      </c>
      <c r="G62" s="26" t="n">
        <v>1.67</v>
      </c>
      <c r="H62" s="24" t="inlineStr">
        <is>
          <t>ml/m²</t>
        </is>
      </c>
      <c r="I62" s="27" t="n">
        <v>1.17</v>
      </c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</row>
    <row r="63">
      <c r="A63" s="24" t="inlineStr">
        <is>
          <t>2</t>
        </is>
      </c>
      <c r="B63" s="25" t="inlineStr">
        <is>
          <t>Rail 48 Z1 - 3000 mm</t>
        </is>
      </c>
      <c r="C63" s="24" t="inlineStr">
        <is>
          <t>U304830300A</t>
        </is>
      </c>
      <c r="D63" s="24" t="inlineStr">
        <is>
          <t>Barra 3000 mm</t>
        </is>
      </c>
      <c r="E63" s="24" t="inlineStr">
        <is>
          <t>1,77 €/barra</t>
        </is>
      </c>
      <c r="F63" s="24" t="inlineStr">
        <is>
          <t>0,590 €/ml</t>
        </is>
      </c>
      <c r="G63" s="26" t="n">
        <v>0.95</v>
      </c>
      <c r="H63" s="24" t="inlineStr">
        <is>
          <t>ml/m²</t>
        </is>
      </c>
      <c r="I63" s="27" t="n">
        <v>0.5600000000000001</v>
      </c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</row>
    <row r="64">
      <c r="A64" s="28" t="inlineStr">
        <is>
          <t>1</t>
        </is>
      </c>
      <c r="B64" s="29" t="inlineStr">
        <is>
          <t>Gypsotech AQUA H2 BA 12,5 mm - 1200x2500</t>
        </is>
      </c>
      <c r="C64" s="28" t="inlineStr">
        <is>
          <t>P00H003250A0</t>
        </is>
      </c>
      <c r="D64" s="28" t="inlineStr">
        <is>
          <t>Palé 48 ud / 144 m²</t>
        </is>
      </c>
      <c r="E64" s="28" t="inlineStr">
        <is>
          <t>3,35 €/m²</t>
        </is>
      </c>
      <c r="F64" s="28" t="inlineStr">
        <is>
          <t>3,355 €/m²</t>
        </is>
      </c>
      <c r="G64" s="26" t="n">
        <v>1.05</v>
      </c>
      <c r="H64" s="28" t="inlineStr">
        <is>
          <t>m²/m²</t>
        </is>
      </c>
      <c r="I64" s="27" t="n">
        <v>3.52</v>
      </c>
      <c r="J64" s="64" t="n"/>
      <c r="K64" s="64" t="n"/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  <c r="Z64" s="64" t="n"/>
    </row>
    <row r="65">
      <c r="A65" s="30" t="inlineStr">
        <is>
          <t>3</t>
        </is>
      </c>
      <c r="B65" s="31" t="inlineStr">
        <is>
          <t>Tornillo Fosfatado PM PC Ø3,5x25 mm - 1000 ud</t>
        </is>
      </c>
      <c r="C65" s="30" t="inlineStr">
        <is>
          <t>304101</t>
        </is>
      </c>
      <c r="D65" s="30" t="inlineStr">
        <is>
          <t>Caja 1000 ud</t>
        </is>
      </c>
      <c r="E65" s="30" t="inlineStr">
        <is>
          <t>7,00 €/caja</t>
        </is>
      </c>
      <c r="F65" s="30" t="inlineStr">
        <is>
          <t>0,007 €/ud</t>
        </is>
      </c>
      <c r="G65" s="26" t="n">
        <v>15</v>
      </c>
      <c r="H65" s="30" t="inlineStr">
        <is>
          <t>ud/m²</t>
        </is>
      </c>
      <c r="I65" s="27" t="n">
        <v>0.1</v>
      </c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</row>
    <row r="66">
      <c r="A66" s="30" t="inlineStr">
        <is>
          <t>3</t>
        </is>
      </c>
      <c r="B66" s="31" t="inlineStr">
        <is>
          <t>Tornillo Cincado Metal-Metal PB Ø3,5x9,5 mm - 1000 ud</t>
        </is>
      </c>
      <c r="C66" s="30" t="inlineStr">
        <is>
          <t>304134</t>
        </is>
      </c>
      <c r="D66" s="30" t="inlineStr">
        <is>
          <t>Caja 1000 ud</t>
        </is>
      </c>
      <c r="E66" s="30" t="inlineStr">
        <is>
          <t>7,19 €/caja</t>
        </is>
      </c>
      <c r="F66" s="30" t="inlineStr">
        <is>
          <t>0,007 €/ud</t>
        </is>
      </c>
      <c r="G66" s="26" t="n">
        <v>3</v>
      </c>
      <c r="H66" s="30" t="inlineStr">
        <is>
          <t>ud/m²</t>
        </is>
      </c>
      <c r="I66" s="27" t="n">
        <v>0.02</v>
      </c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</row>
    <row r="67">
      <c r="A67" s="32" t="inlineStr">
        <is>
          <t>4</t>
        </is>
      </c>
      <c r="B67" s="33" t="inlineStr">
        <is>
          <t>Fassajoint 1H - Saco 10 kg</t>
        </is>
      </c>
      <c r="C67" s="32" t="inlineStr">
        <is>
          <t>351E1</t>
        </is>
      </c>
      <c r="D67" s="32" t="inlineStr">
        <is>
          <t>Saco 10 kg</t>
        </is>
      </c>
      <c r="E67" s="32" t="inlineStr">
        <is>
          <t>6,63 €/saco</t>
        </is>
      </c>
      <c r="F67" s="32" t="inlineStr">
        <is>
          <t>0,663 €/kg</t>
        </is>
      </c>
      <c r="G67" s="26" t="n">
        <v>0.35</v>
      </c>
      <c r="H67" s="32" t="inlineStr">
        <is>
          <t>kg/m²</t>
        </is>
      </c>
      <c r="I67" s="27" t="n">
        <v>0.23</v>
      </c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</row>
    <row r="68">
      <c r="A68" s="34" t="inlineStr">
        <is>
          <t>5</t>
        </is>
      </c>
      <c r="B68" s="35" t="inlineStr">
        <is>
          <t>Cinta de Juntas 50 mm - Rollo 150 ml</t>
        </is>
      </c>
      <c r="C68" s="34" t="inlineStr">
        <is>
          <t>304058</t>
        </is>
      </c>
      <c r="D68" s="34" t="inlineStr">
        <is>
          <t>Rollo 150 ml</t>
        </is>
      </c>
      <c r="E68" s="34" t="inlineStr">
        <is>
          <t>4,19 €/rollo</t>
        </is>
      </c>
      <c r="F68" s="34" t="inlineStr">
        <is>
          <t>0,028 €/ml</t>
        </is>
      </c>
      <c r="G68" s="26" t="n">
        <v>1.1</v>
      </c>
      <c r="H68" s="34" t="inlineStr">
        <is>
          <t>ml/m²</t>
        </is>
      </c>
      <c r="I68" s="27" t="n">
        <v>0.03</v>
      </c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</row>
    <row r="69">
      <c r="A69" s="34" t="inlineStr">
        <is>
          <t>5</t>
        </is>
      </c>
      <c r="I69" s="27" t="n">
        <v>0.33</v>
      </c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</row>
    <row r="70">
      <c r="A70" s="43" t="n">
        <v>2</v>
      </c>
      <c r="B70" s="25" t="inlineStr">
        <is>
          <t>Perfil Angular Z1 23x34 - 3000 mm</t>
        </is>
      </c>
      <c r="C70" s="24" t="inlineStr">
        <is>
          <t>L2334300A</t>
        </is>
      </c>
      <c r="D70" s="24" t="inlineStr">
        <is>
          <t>Barra 3000 mm</t>
        </is>
      </c>
      <c r="E70" s="24" t="inlineStr">
        <is>
          <t>1,26 €/barra</t>
        </is>
      </c>
      <c r="F70" s="24" t="inlineStr">
        <is>
          <t>0,420 €/ml</t>
        </is>
      </c>
      <c r="G70" s="26" t="n">
        <v>0.4</v>
      </c>
      <c r="H70" s="24" t="inlineStr">
        <is>
          <t>ml/m²</t>
        </is>
      </c>
      <c r="I70" s="27" t="n">
        <v>0.17</v>
      </c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  <c r="Z70" s="64" t="n"/>
    </row>
    <row r="71">
      <c r="A71" s="36" t="inlineStr">
        <is>
          <t>TOTAL COSTE MATERIAL / m² sistema</t>
        </is>
      </c>
      <c r="B71" s="37" t="n"/>
      <c r="C71" s="37" t="n"/>
      <c r="D71" s="37" t="n"/>
      <c r="E71" s="37" t="n"/>
      <c r="F71" s="37" t="n"/>
      <c r="G71" s="37" t="n"/>
      <c r="H71" s="37" t="n"/>
      <c r="I71" s="38" t="inlineStr">
        <is>
          <t>6.13 €</t>
        </is>
      </c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</row>
    <row r="72">
      <c r="A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</row>
    <row r="73">
      <c r="A73" s="64" t="n"/>
      <c r="B73" s="64" t="n"/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</row>
    <row r="74">
      <c r="A74" s="39" t="inlineStr">
        <is>
          <t xml:space="preserve">  SISTEMA 5A — MURO SENCILLO STD  | Mont.70 + Rail 70 · STD BA 12,5 mm - 1200x2500 · Sep. 400 mm</t>
        </is>
      </c>
      <c r="B74" s="37" t="n"/>
      <c r="C74" s="37" t="n"/>
      <c r="D74" s="37" t="n"/>
      <c r="E74" s="37" t="n"/>
      <c r="F74" s="37" t="n"/>
      <c r="G74" s="37" t="n"/>
      <c r="H74" s="37" t="n"/>
      <c r="I74" s="37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</row>
    <row r="75">
      <c r="A75" s="24" t="inlineStr">
        <is>
          <t>2</t>
        </is>
      </c>
      <c r="B75" s="25" t="inlineStr">
        <is>
          <t>Montante 70/37 Z1 - 2990 mm</t>
        </is>
      </c>
      <c r="C75" s="24" t="inlineStr">
        <is>
          <t>C367038299A</t>
        </is>
      </c>
      <c r="D75" s="24" t="inlineStr">
        <is>
          <t>Barra 2990 mm</t>
        </is>
      </c>
      <c r="E75" s="24" t="inlineStr">
        <is>
          <t>2,67 €/barra</t>
        </is>
      </c>
      <c r="F75" s="24" t="inlineStr">
        <is>
          <t>0,890 €/ml</t>
        </is>
      </c>
      <c r="G75" s="26" t="n">
        <v>2.5</v>
      </c>
      <c r="H75" s="24" t="inlineStr">
        <is>
          <t>ml/m²</t>
        </is>
      </c>
      <c r="I75" s="27" t="n">
        <v>2.23</v>
      </c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</row>
    <row r="76">
      <c r="A76" s="24" t="inlineStr">
        <is>
          <t>2</t>
        </is>
      </c>
      <c r="B76" s="25" t="inlineStr">
        <is>
          <t>Rail 70 Z1 - 3000 mm</t>
        </is>
      </c>
      <c r="C76" s="24" t="inlineStr">
        <is>
          <t>U307030300A</t>
        </is>
      </c>
      <c r="D76" s="24" t="inlineStr">
        <is>
          <t>Barra 3000 mm</t>
        </is>
      </c>
      <c r="E76" s="24" t="inlineStr">
        <is>
          <t>2,15 €/barra</t>
        </is>
      </c>
      <c r="F76" s="24" t="inlineStr">
        <is>
          <t>0,715 €/ml</t>
        </is>
      </c>
      <c r="G76" s="26" t="n">
        <v>0.95</v>
      </c>
      <c r="H76" s="24" t="inlineStr">
        <is>
          <t>ml/m²</t>
        </is>
      </c>
      <c r="I76" s="27" t="n">
        <v>0.68</v>
      </c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  <c r="Z76" s="64" t="n"/>
    </row>
    <row r="77">
      <c r="A77" s="28" t="inlineStr">
        <is>
          <t>1</t>
        </is>
      </c>
      <c r="B77" s="29" t="inlineStr">
        <is>
          <t>Gypsotech STD BA 12,5 mm - 1200x2500</t>
        </is>
      </c>
      <c r="C77" s="28" t="inlineStr">
        <is>
          <t>P00A003250A0</t>
        </is>
      </c>
      <c r="D77" s="28" t="inlineStr">
        <is>
          <t>Palé 48 ud / 144 m²</t>
        </is>
      </c>
      <c r="E77" s="28" t="inlineStr">
        <is>
          <t>2,02 €/m²</t>
        </is>
      </c>
      <c r="F77" s="28" t="inlineStr">
        <is>
          <t>2,015 €/m²</t>
        </is>
      </c>
      <c r="G77" s="26" t="n">
        <v>2.1</v>
      </c>
      <c r="H77" s="28" t="inlineStr">
        <is>
          <t>m²/m²</t>
        </is>
      </c>
      <c r="I77" s="27" t="n">
        <v>4.23</v>
      </c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</row>
    <row r="78">
      <c r="A78" s="30" t="inlineStr">
        <is>
          <t>3</t>
        </is>
      </c>
      <c r="B78" s="31" t="inlineStr">
        <is>
          <t>Tornillo Fosfatado PM PC Ø3,5x25 mm - 1000 ud</t>
        </is>
      </c>
      <c r="C78" s="30" t="inlineStr">
        <is>
          <t>304101</t>
        </is>
      </c>
      <c r="D78" s="30" t="inlineStr">
        <is>
          <t>Caja 1000 ud</t>
        </is>
      </c>
      <c r="E78" s="30" t="inlineStr">
        <is>
          <t>7,00 €/caja</t>
        </is>
      </c>
      <c r="F78" s="30" t="inlineStr">
        <is>
          <t>0,007 €/ud</t>
        </is>
      </c>
      <c r="G78" s="26" t="n">
        <v>30</v>
      </c>
      <c r="H78" s="30" t="inlineStr">
        <is>
          <t>ud/m²</t>
        </is>
      </c>
      <c r="I78" s="27" t="n">
        <v>0.21</v>
      </c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</row>
    <row r="79">
      <c r="A79" s="30" t="inlineStr">
        <is>
          <t>3</t>
        </is>
      </c>
      <c r="B79" s="31" t="inlineStr">
        <is>
          <t>Tornillo Cincado Metal-Metal PB Ø3,5x9,5 mm - 1000 ud</t>
        </is>
      </c>
      <c r="C79" s="30" t="inlineStr">
        <is>
          <t>304134</t>
        </is>
      </c>
      <c r="D79" s="30" t="inlineStr">
        <is>
          <t>Caja 1000 ud</t>
        </is>
      </c>
      <c r="E79" s="30" t="inlineStr">
        <is>
          <t>7,19 €/caja</t>
        </is>
      </c>
      <c r="F79" s="30" t="inlineStr">
        <is>
          <t>0,007 €/ud</t>
        </is>
      </c>
      <c r="G79" s="26" t="n">
        <v>3</v>
      </c>
      <c r="H79" s="30" t="inlineStr">
        <is>
          <t>ud/m²</t>
        </is>
      </c>
      <c r="I79" s="27" t="n">
        <v>0.02</v>
      </c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</row>
    <row r="80">
      <c r="A80" s="32" t="inlineStr">
        <is>
          <t>4</t>
        </is>
      </c>
      <c r="B80" s="33" t="inlineStr">
        <is>
          <t>Fassajoint 1H - Saco 10 kg</t>
        </is>
      </c>
      <c r="C80" s="32" t="inlineStr">
        <is>
          <t>351E1</t>
        </is>
      </c>
      <c r="D80" s="32" t="inlineStr">
        <is>
          <t>Saco 10 kg</t>
        </is>
      </c>
      <c r="E80" s="32" t="inlineStr">
        <is>
          <t>6,63 €/saco</t>
        </is>
      </c>
      <c r="F80" s="32" t="inlineStr">
        <is>
          <t>0,663 €/kg</t>
        </is>
      </c>
      <c r="G80" s="26" t="n">
        <v>0.7</v>
      </c>
      <c r="H80" s="32" t="inlineStr">
        <is>
          <t>kg/m²</t>
        </is>
      </c>
      <c r="I80" s="27" t="n">
        <v>0.46</v>
      </c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</row>
    <row r="81">
      <c r="A81" s="34" t="inlineStr">
        <is>
          <t>5</t>
        </is>
      </c>
      <c r="I81" s="27" t="n">
        <v>0.06</v>
      </c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</row>
    <row r="82">
      <c r="A82" s="34" t="inlineStr">
        <is>
          <t>5</t>
        </is>
      </c>
      <c r="B82" s="35" t="inlineStr">
        <is>
          <t>Banda Estanca Monoadhesiva 70 mm - Rollo 30 ml</t>
        </is>
      </c>
      <c r="C82" s="34" t="inlineStr">
        <is>
          <t>304076</t>
        </is>
      </c>
      <c r="D82" s="34" t="inlineStr">
        <is>
          <t>Rollo 30 ml</t>
        </is>
      </c>
      <c r="E82" s="34" t="inlineStr">
        <is>
          <t>8,71 €/rollo</t>
        </is>
      </c>
      <c r="F82" s="34" t="inlineStr">
        <is>
          <t>0,290 €/ml</t>
        </is>
      </c>
      <c r="G82" s="26" t="n">
        <v>1.72</v>
      </c>
      <c r="H82" s="34" t="inlineStr">
        <is>
          <t>ml/m²</t>
        </is>
      </c>
      <c r="I82" s="27" t="n">
        <v>0.5</v>
      </c>
      <c r="J82" s="64" t="n"/>
      <c r="K82" s="64" t="n"/>
      <c r="L82" s="64" t="n"/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</row>
    <row r="83">
      <c r="A83" s="43" t="n">
        <v>2</v>
      </c>
      <c r="B83" s="25" t="inlineStr">
        <is>
          <t>Perfil Angular Z1 23x34 - 3000 mm</t>
        </is>
      </c>
      <c r="C83" s="24" t="inlineStr">
        <is>
          <t>L2334300A</t>
        </is>
      </c>
      <c r="D83" s="24" t="inlineStr">
        <is>
          <t>Barra 3000 mm</t>
        </is>
      </c>
      <c r="E83" s="24" t="inlineStr">
        <is>
          <t>1,26 €/barra</t>
        </is>
      </c>
      <c r="F83" s="24" t="inlineStr">
        <is>
          <t>0,420 €/ml</t>
        </is>
      </c>
      <c r="G83" s="26" t="n">
        <v>0.4</v>
      </c>
      <c r="H83" s="24" t="inlineStr">
        <is>
          <t>ml/m²</t>
        </is>
      </c>
      <c r="I83" s="27" t="n">
        <v>0.17</v>
      </c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</row>
    <row r="84">
      <c r="A84" s="129" t="inlineStr">
        <is>
          <t>TOTAL COSTE MATERIAL / m² sistema</t>
        </is>
      </c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</row>
    <row r="85">
      <c r="A85" s="64" t="n"/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</row>
    <row r="86">
      <c r="A86" s="64" t="n"/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</row>
    <row r="87">
      <c r="A87" s="39" t="inlineStr">
        <is>
          <t xml:space="preserve">  SISTEMA 5B — MURO SENCILLO STD  | Mont.70 + Rail 70 · STD BA 12,5 mm - 1200x2500 · Sep. 600 mm</t>
        </is>
      </c>
      <c r="B87" s="37" t="n"/>
      <c r="C87" s="37" t="n"/>
      <c r="D87" s="37" t="n"/>
      <c r="E87" s="37" t="n"/>
      <c r="F87" s="37" t="n"/>
      <c r="G87" s="37" t="n"/>
      <c r="H87" s="37" t="n"/>
      <c r="I87" s="37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</row>
    <row r="88">
      <c r="A88" s="24" t="inlineStr">
        <is>
          <t>2</t>
        </is>
      </c>
      <c r="B88" s="25" t="inlineStr">
        <is>
          <t>Montante 70/37 Z1 - 2990 mm</t>
        </is>
      </c>
      <c r="C88" s="24" t="inlineStr">
        <is>
          <t>C367038299A</t>
        </is>
      </c>
      <c r="D88" s="24" t="inlineStr">
        <is>
          <t>Barra 2990 mm</t>
        </is>
      </c>
      <c r="E88" s="24" t="inlineStr">
        <is>
          <t>2,67 €/barra</t>
        </is>
      </c>
      <c r="F88" s="24" t="inlineStr">
        <is>
          <t>0,890 €/ml</t>
        </is>
      </c>
      <c r="G88" s="26" t="n">
        <v>1.67</v>
      </c>
      <c r="H88" s="24" t="inlineStr">
        <is>
          <t>ml/m²</t>
        </is>
      </c>
      <c r="I88" s="27" t="n">
        <v>1.49</v>
      </c>
      <c r="J88" s="64" t="n"/>
      <c r="K88" s="64" t="n"/>
      <c r="L88" s="64" t="n"/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  <c r="Z88" s="64" t="n"/>
    </row>
    <row r="89">
      <c r="A89" s="24" t="inlineStr">
        <is>
          <t>2</t>
        </is>
      </c>
      <c r="B89" s="25" t="inlineStr">
        <is>
          <t>Rail 70 Z1 - 3000 mm</t>
        </is>
      </c>
      <c r="C89" s="24" t="inlineStr">
        <is>
          <t>U307030300A</t>
        </is>
      </c>
      <c r="D89" s="24" t="inlineStr">
        <is>
          <t>Barra 3000 mm</t>
        </is>
      </c>
      <c r="E89" s="24" t="inlineStr">
        <is>
          <t>2,15 €/barra</t>
        </is>
      </c>
      <c r="F89" s="24" t="inlineStr">
        <is>
          <t>0,715 €/ml</t>
        </is>
      </c>
      <c r="G89" s="26" t="n">
        <v>0.95</v>
      </c>
      <c r="H89" s="24" t="inlineStr">
        <is>
          <t>ml/m²</t>
        </is>
      </c>
      <c r="I89" s="27" t="n">
        <v>0.68</v>
      </c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</row>
    <row r="90">
      <c r="A90" s="28" t="inlineStr">
        <is>
          <t>1</t>
        </is>
      </c>
      <c r="B90" s="29" t="inlineStr">
        <is>
          <t>Gypsotech STD BA 12,5 mm - 1200x2500</t>
        </is>
      </c>
      <c r="C90" s="28" t="inlineStr">
        <is>
          <t>P00A003250A0</t>
        </is>
      </c>
      <c r="D90" s="28" t="inlineStr">
        <is>
          <t>Palé 48 ud / 144 m²</t>
        </is>
      </c>
      <c r="E90" s="28" t="inlineStr">
        <is>
          <t>2,02 €/m²</t>
        </is>
      </c>
      <c r="F90" s="28" t="inlineStr">
        <is>
          <t>2,015 €/m²</t>
        </is>
      </c>
      <c r="G90" s="26" t="n">
        <v>2.1</v>
      </c>
      <c r="H90" s="28" t="inlineStr">
        <is>
          <t>m²/m²</t>
        </is>
      </c>
      <c r="I90" s="27" t="n">
        <v>4.23</v>
      </c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</row>
    <row r="91">
      <c r="A91" s="30" t="inlineStr">
        <is>
          <t>3</t>
        </is>
      </c>
      <c r="B91" s="31" t="inlineStr">
        <is>
          <t>Tornillo Fosfatado PM PC Ø3,5x25 mm - 1000 ud</t>
        </is>
      </c>
      <c r="C91" s="30" t="inlineStr">
        <is>
          <t>304101</t>
        </is>
      </c>
      <c r="D91" s="30" t="inlineStr">
        <is>
          <t>Caja 1000 ud</t>
        </is>
      </c>
      <c r="E91" s="30" t="inlineStr">
        <is>
          <t>7,00 €/caja</t>
        </is>
      </c>
      <c r="F91" s="30" t="inlineStr">
        <is>
          <t>0,007 €/ud</t>
        </is>
      </c>
      <c r="G91" s="26" t="n">
        <v>30</v>
      </c>
      <c r="H91" s="30" t="inlineStr">
        <is>
          <t>ud/m²</t>
        </is>
      </c>
      <c r="I91" s="27" t="n">
        <v>0.21</v>
      </c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  <c r="Z91" s="64" t="n"/>
    </row>
    <row r="92">
      <c r="A92" s="30" t="inlineStr">
        <is>
          <t>3</t>
        </is>
      </c>
      <c r="B92" s="31" t="inlineStr">
        <is>
          <t>Tornillo Cincado Metal-Metal PB Ø3,5x9,5 mm - 1000 ud</t>
        </is>
      </c>
      <c r="C92" s="30" t="inlineStr">
        <is>
          <t>304134</t>
        </is>
      </c>
      <c r="D92" s="30" t="inlineStr">
        <is>
          <t>Caja 1000 ud</t>
        </is>
      </c>
      <c r="E92" s="30" t="inlineStr">
        <is>
          <t>7,19 €/caja</t>
        </is>
      </c>
      <c r="F92" s="30" t="inlineStr">
        <is>
          <t>0,007 €/ud</t>
        </is>
      </c>
      <c r="G92" s="26" t="n">
        <v>3</v>
      </c>
      <c r="H92" s="30" t="inlineStr">
        <is>
          <t>ud/m²</t>
        </is>
      </c>
      <c r="I92" s="27" t="n">
        <v>0.02</v>
      </c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  <c r="Z92" s="64" t="n"/>
    </row>
    <row r="93">
      <c r="A93" s="32" t="inlineStr">
        <is>
          <t>4</t>
        </is>
      </c>
      <c r="I93" s="27" t="n">
        <v>0.46</v>
      </c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  <c r="Z93" s="64" t="n"/>
    </row>
    <row r="94">
      <c r="A94" s="34" t="inlineStr">
        <is>
          <t>5</t>
        </is>
      </c>
      <c r="B94" s="35" t="inlineStr">
        <is>
          <t>Cinta de Juntas 50 mm - Rollo 150 ml</t>
        </is>
      </c>
      <c r="C94" s="34" t="inlineStr">
        <is>
          <t>304058</t>
        </is>
      </c>
      <c r="D94" s="34" t="inlineStr">
        <is>
          <t>Rollo 150 ml</t>
        </is>
      </c>
      <c r="E94" s="34" t="inlineStr">
        <is>
          <t>4,19 €/rollo</t>
        </is>
      </c>
      <c r="F94" s="34" t="inlineStr">
        <is>
          <t>0,028 €/ml</t>
        </is>
      </c>
      <c r="G94" s="26" t="n">
        <v>2.2</v>
      </c>
      <c r="H94" s="34" t="inlineStr">
        <is>
          <t>ml/m²</t>
        </is>
      </c>
      <c r="I94" s="27" t="n">
        <v>0.06</v>
      </c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  <c r="Z94" s="64" t="n"/>
    </row>
    <row r="95">
      <c r="A95" s="34" t="inlineStr">
        <is>
          <t>5</t>
        </is>
      </c>
      <c r="B95" s="35" t="inlineStr">
        <is>
          <t>Banda Estanca Monoadhesiva 70 mm - Rollo 30 ml</t>
        </is>
      </c>
      <c r="C95" s="34" t="inlineStr">
        <is>
          <t>304076</t>
        </is>
      </c>
      <c r="D95" s="34" t="inlineStr">
        <is>
          <t>Rollo 30 ml</t>
        </is>
      </c>
      <c r="E95" s="34" t="inlineStr">
        <is>
          <t>8,71 €/rollo</t>
        </is>
      </c>
      <c r="F95" s="34" t="inlineStr">
        <is>
          <t>0,290 €/ml</t>
        </is>
      </c>
      <c r="G95" s="26" t="n">
        <v>1.72</v>
      </c>
      <c r="H95" s="34" t="inlineStr">
        <is>
          <t>ml/m²</t>
        </is>
      </c>
      <c r="I95" s="27" t="n">
        <v>0.5</v>
      </c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  <c r="Z95" s="64" t="n"/>
    </row>
    <row r="96">
      <c r="A96" s="43" t="n">
        <v>2</v>
      </c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</row>
    <row r="97">
      <c r="A97" s="36" t="inlineStr">
        <is>
          <t>TOTAL COSTE MATERIAL / m² sistema</t>
        </is>
      </c>
      <c r="B97" s="37" t="n"/>
      <c r="C97" s="37" t="n"/>
      <c r="D97" s="37" t="n"/>
      <c r="E97" s="37" t="n"/>
      <c r="F97" s="37" t="n"/>
      <c r="G97" s="37" t="n"/>
      <c r="H97" s="37" t="n"/>
      <c r="I97" s="38" t="inlineStr">
        <is>
          <t>7.82 €</t>
        </is>
      </c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  <c r="Z97" s="64" t="n"/>
    </row>
    <row r="9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</row>
    <row r="99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</row>
    <row r="100">
      <c r="A100" s="39" t="inlineStr">
        <is>
          <t xml:space="preserve">  SISTEMA 6A — MURO SENCILLO AQUA H2  | Mont.70 + Rail 70 · AQUA H2 BA 12,5 mm - 1200x2500 · Sep. 400 mm</t>
        </is>
      </c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  <c r="Z100" s="64" t="n"/>
    </row>
    <row r="101">
      <c r="A101" s="24" t="inlineStr">
        <is>
          <t>2</t>
        </is>
      </c>
      <c r="B101" s="25" t="inlineStr">
        <is>
          <t>Montante 70/37 Z1 - 2990 mm</t>
        </is>
      </c>
      <c r="C101" s="24" t="inlineStr">
        <is>
          <t>C367038299A</t>
        </is>
      </c>
      <c r="D101" s="24" t="inlineStr">
        <is>
          <t>Barra 2990 mm</t>
        </is>
      </c>
      <c r="E101" s="24" t="inlineStr">
        <is>
          <t>2,67 €/barra</t>
        </is>
      </c>
      <c r="F101" s="24" t="inlineStr">
        <is>
          <t>0,890 €/ml</t>
        </is>
      </c>
      <c r="G101" s="26" t="n">
        <v>2.5</v>
      </c>
      <c r="H101" s="24" t="inlineStr">
        <is>
          <t>ml/m²</t>
        </is>
      </c>
      <c r="I101" s="27" t="n">
        <v>2.23</v>
      </c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  <c r="Z101" s="64" t="n"/>
    </row>
    <row r="102">
      <c r="A102" s="24" t="inlineStr">
        <is>
          <t>2</t>
        </is>
      </c>
      <c r="B102" s="25" t="inlineStr">
        <is>
          <t>Rail 70 Z1 - 3000 mm</t>
        </is>
      </c>
      <c r="C102" s="24" t="inlineStr">
        <is>
          <t>U307030300A</t>
        </is>
      </c>
      <c r="D102" s="24" t="inlineStr">
        <is>
          <t>Barra 3000 mm</t>
        </is>
      </c>
      <c r="E102" s="24" t="inlineStr">
        <is>
          <t>2,15 €/barra</t>
        </is>
      </c>
      <c r="F102" s="24" t="inlineStr">
        <is>
          <t>0,715 €/ml</t>
        </is>
      </c>
      <c r="G102" s="26" t="n">
        <v>0.95</v>
      </c>
      <c r="H102" s="24" t="inlineStr">
        <is>
          <t>ml/m²</t>
        </is>
      </c>
      <c r="I102" s="27" t="n">
        <v>0.68</v>
      </c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  <c r="Z102" s="64" t="n"/>
    </row>
    <row r="103">
      <c r="A103" s="28" t="inlineStr">
        <is>
          <t>1</t>
        </is>
      </c>
      <c r="B103" s="29" t="inlineStr">
        <is>
          <t>Gypsotech AQUA H2 BA 12,5 mm - 1200x2500</t>
        </is>
      </c>
      <c r="C103" s="28" t="inlineStr">
        <is>
          <t>P00H003250A0</t>
        </is>
      </c>
      <c r="D103" s="28" t="inlineStr">
        <is>
          <t>Palé 48 ud / 144 m²</t>
        </is>
      </c>
      <c r="E103" s="28" t="inlineStr">
        <is>
          <t>3,35 €/m²</t>
        </is>
      </c>
      <c r="F103" s="28" t="inlineStr">
        <is>
          <t>3,355 €/m²</t>
        </is>
      </c>
      <c r="G103" s="26" t="n">
        <v>2.1</v>
      </c>
      <c r="H103" s="28" t="inlineStr">
        <is>
          <t>m²/m²</t>
        </is>
      </c>
      <c r="I103" s="27" t="n">
        <v>7.05</v>
      </c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  <c r="Z103" s="64" t="n"/>
    </row>
    <row r="104">
      <c r="A104" s="30" t="inlineStr">
        <is>
          <t>3</t>
        </is>
      </c>
      <c r="B104" s="31" t="inlineStr">
        <is>
          <t>Tornillo Fosfatado PM PC Ø3,5x25 mm - 1000 ud</t>
        </is>
      </c>
      <c r="C104" s="30" t="inlineStr">
        <is>
          <t>304101</t>
        </is>
      </c>
      <c r="D104" s="30" t="inlineStr">
        <is>
          <t>Caja 1000 ud</t>
        </is>
      </c>
      <c r="E104" s="30" t="inlineStr">
        <is>
          <t>7,00 €/caja</t>
        </is>
      </c>
      <c r="F104" s="30" t="inlineStr">
        <is>
          <t>0,007 €/ud</t>
        </is>
      </c>
      <c r="G104" s="26" t="n">
        <v>30</v>
      </c>
      <c r="H104" s="30" t="inlineStr">
        <is>
          <t>ud/m²</t>
        </is>
      </c>
      <c r="I104" s="27" t="n">
        <v>0.21</v>
      </c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</row>
    <row r="105">
      <c r="A105" s="30" t="inlineStr">
        <is>
          <t>3</t>
        </is>
      </c>
      <c r="I105" s="27" t="n">
        <v>0.02</v>
      </c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</row>
    <row r="106">
      <c r="A106" s="32" t="inlineStr">
        <is>
          <t>4</t>
        </is>
      </c>
      <c r="B106" s="33" t="inlineStr">
        <is>
          <t>Fassajoint 1H - Saco 10 kg</t>
        </is>
      </c>
      <c r="C106" s="32" t="inlineStr">
        <is>
          <t>351E1</t>
        </is>
      </c>
      <c r="D106" s="32" t="inlineStr">
        <is>
          <t>Saco 10 kg</t>
        </is>
      </c>
      <c r="E106" s="32" t="inlineStr">
        <is>
          <t>6,63 €/saco</t>
        </is>
      </c>
      <c r="F106" s="32" t="inlineStr">
        <is>
          <t>0,663 €/kg</t>
        </is>
      </c>
      <c r="G106" s="26" t="n">
        <v>0.7</v>
      </c>
      <c r="H106" s="32" t="inlineStr">
        <is>
          <t>kg/m²</t>
        </is>
      </c>
      <c r="I106" s="27" t="n">
        <v>0.46</v>
      </c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  <c r="Z106" s="64" t="n"/>
    </row>
    <row r="107">
      <c r="A107" s="34" t="inlineStr">
        <is>
          <t>5</t>
        </is>
      </c>
      <c r="B107" s="35" t="inlineStr">
        <is>
          <t>Cinta de Juntas 50 mm - Rollo 150 ml</t>
        </is>
      </c>
      <c r="C107" s="34" t="inlineStr">
        <is>
          <t>304058</t>
        </is>
      </c>
      <c r="D107" s="34" t="inlineStr">
        <is>
          <t>Rollo 150 ml</t>
        </is>
      </c>
      <c r="E107" s="34" t="inlineStr">
        <is>
          <t>4,19 €/rollo</t>
        </is>
      </c>
      <c r="F107" s="34" t="inlineStr">
        <is>
          <t>0,028 €/ml</t>
        </is>
      </c>
      <c r="G107" s="26" t="n">
        <v>2.2</v>
      </c>
      <c r="H107" s="34" t="inlineStr">
        <is>
          <t>ml/m²</t>
        </is>
      </c>
      <c r="I107" s="27" t="n">
        <v>0.06</v>
      </c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  <c r="Z107" s="64" t="n"/>
    </row>
    <row r="108">
      <c r="A108" s="34" t="inlineStr">
        <is>
          <t>5</t>
        </is>
      </c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  <c r="Z108" s="64" t="n"/>
    </row>
    <row r="109">
      <c r="A109" s="43" t="n">
        <v>2</v>
      </c>
      <c r="B109" s="25" t="inlineStr">
        <is>
          <t>Perfil Angular Z1 23x34 - 3000 mm</t>
        </is>
      </c>
      <c r="C109" s="24" t="inlineStr">
        <is>
          <t>L2334300A</t>
        </is>
      </c>
      <c r="D109" s="24" t="inlineStr">
        <is>
          <t>Barra 3000 mm</t>
        </is>
      </c>
      <c r="E109" s="24" t="inlineStr">
        <is>
          <t>1,26 €/barra</t>
        </is>
      </c>
      <c r="F109" s="24" t="inlineStr">
        <is>
          <t>0,420 €/ml</t>
        </is>
      </c>
      <c r="G109" s="26" t="n">
        <v>0.4</v>
      </c>
      <c r="H109" s="24" t="inlineStr">
        <is>
          <t>ml/m²</t>
        </is>
      </c>
      <c r="I109" s="27" t="n">
        <v>0.17</v>
      </c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  <c r="Z109" s="64" t="n"/>
    </row>
    <row r="110">
      <c r="A110" s="36" t="inlineStr">
        <is>
          <t>TOTAL COSTE MATERIAL / m² sistema</t>
        </is>
      </c>
      <c r="B110" s="37" t="n"/>
      <c r="C110" s="37" t="n"/>
      <c r="D110" s="37" t="n"/>
      <c r="E110" s="37" t="n"/>
      <c r="F110" s="37" t="n"/>
      <c r="G110" s="37" t="n"/>
      <c r="H110" s="37" t="n"/>
      <c r="I110" s="38" t="inlineStr">
        <is>
          <t>11.38 €</t>
        </is>
      </c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  <c r="Z110" s="64" t="n"/>
    </row>
    <row r="111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  <c r="Z111" s="64" t="n"/>
    </row>
    <row r="112">
      <c r="A112" s="64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  <c r="Z112" s="64" t="n"/>
    </row>
    <row r="113">
      <c r="A113" s="39" t="inlineStr">
        <is>
          <t xml:space="preserve">  SISTEMA 6B — MURO SENCILLO AQUA H2  | Mont.70 + Rail 70 · AQUA H2 BA 12,5 mm - 1200x2500 · Sep. 600 mm</t>
        </is>
      </c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  <c r="Z113" s="64" t="n"/>
    </row>
    <row r="114">
      <c r="A114" s="24" t="inlineStr">
        <is>
          <t>2</t>
        </is>
      </c>
      <c r="B114" s="25" t="inlineStr">
        <is>
          <t>Montante 70/37 Z1 - 2990 mm</t>
        </is>
      </c>
      <c r="C114" s="24" t="inlineStr">
        <is>
          <t>C367038299A</t>
        </is>
      </c>
      <c r="D114" s="24" t="inlineStr">
        <is>
          <t>Barra 2990 mm</t>
        </is>
      </c>
      <c r="E114" s="24" t="inlineStr">
        <is>
          <t>2,67 €/barra</t>
        </is>
      </c>
      <c r="F114" s="24" t="inlineStr">
        <is>
          <t>0,890 €/ml</t>
        </is>
      </c>
      <c r="G114" s="26" t="n">
        <v>1.67</v>
      </c>
      <c r="H114" s="24" t="inlineStr">
        <is>
          <t>ml/m²</t>
        </is>
      </c>
      <c r="I114" s="27" t="n">
        <v>1.49</v>
      </c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  <c r="Z114" s="64" t="n"/>
    </row>
    <row r="115">
      <c r="A115" s="24" t="inlineStr">
        <is>
          <t>2</t>
        </is>
      </c>
      <c r="B115" s="25" t="inlineStr">
        <is>
          <t>Rail 70 Z1 - 3000 mm</t>
        </is>
      </c>
      <c r="C115" s="24" t="inlineStr">
        <is>
          <t>U307030300A</t>
        </is>
      </c>
      <c r="D115" s="24" t="inlineStr">
        <is>
          <t>Barra 3000 mm</t>
        </is>
      </c>
      <c r="E115" s="24" t="inlineStr">
        <is>
          <t>2,15 €/barra</t>
        </is>
      </c>
      <c r="F115" s="24" t="inlineStr">
        <is>
          <t>0,715 €/ml</t>
        </is>
      </c>
      <c r="G115" s="26" t="n">
        <v>0.95</v>
      </c>
      <c r="H115" s="24" t="inlineStr">
        <is>
          <t>ml/m²</t>
        </is>
      </c>
      <c r="I115" s="27" t="n">
        <v>0.68</v>
      </c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  <c r="Z115" s="64" t="n"/>
    </row>
    <row r="116">
      <c r="A116" s="28" t="inlineStr">
        <is>
          <t>1</t>
        </is>
      </c>
      <c r="B116" s="29" t="inlineStr">
        <is>
          <t>Gypsotech AQUA H2 BA 12,5 mm - 1200x2500</t>
        </is>
      </c>
      <c r="C116" s="28" t="inlineStr">
        <is>
          <t>P00H003250A0</t>
        </is>
      </c>
      <c r="D116" s="28" t="inlineStr">
        <is>
          <t>Palé 48 ud / 144 m²</t>
        </is>
      </c>
      <c r="E116" s="28" t="inlineStr">
        <is>
          <t>3,35 €/m²</t>
        </is>
      </c>
      <c r="F116" s="28" t="inlineStr">
        <is>
          <t>3,355 €/m²</t>
        </is>
      </c>
      <c r="G116" s="26" t="n">
        <v>2.1</v>
      </c>
      <c r="H116" s="28" t="inlineStr">
        <is>
          <t>m²/m²</t>
        </is>
      </c>
      <c r="I116" s="27" t="n">
        <v>7.05</v>
      </c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  <c r="Z116" s="64" t="n"/>
    </row>
    <row r="117">
      <c r="A117" s="30" t="inlineStr">
        <is>
          <t>3</t>
        </is>
      </c>
      <c r="I117" s="27" t="n">
        <v>0.21</v>
      </c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  <c r="Z117" s="64" t="n"/>
    </row>
    <row r="118">
      <c r="A118" s="30" t="inlineStr">
        <is>
          <t>3</t>
        </is>
      </c>
      <c r="B118" s="31" t="inlineStr">
        <is>
          <t>Tornillo Cincado Metal-Metal PB Ø3,5x9,5 mm - 1000 ud</t>
        </is>
      </c>
      <c r="C118" s="30" t="inlineStr">
        <is>
          <t>304134</t>
        </is>
      </c>
      <c r="D118" s="30" t="inlineStr">
        <is>
          <t>Caja 1000 ud</t>
        </is>
      </c>
      <c r="E118" s="30" t="inlineStr">
        <is>
          <t>7,19 €/caja</t>
        </is>
      </c>
      <c r="F118" s="30" t="inlineStr">
        <is>
          <t>0,007 €/ud</t>
        </is>
      </c>
      <c r="G118" s="26" t="n">
        <v>3</v>
      </c>
      <c r="H118" s="30" t="inlineStr">
        <is>
          <t>ud/m²</t>
        </is>
      </c>
      <c r="I118" s="27" t="n">
        <v>0.02</v>
      </c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  <c r="Z118" s="64" t="n"/>
    </row>
    <row r="119">
      <c r="A119" s="32" t="inlineStr">
        <is>
          <t>4</t>
        </is>
      </c>
      <c r="B119" s="33" t="inlineStr">
        <is>
          <t>Fassajoint 1H - Saco 10 kg</t>
        </is>
      </c>
      <c r="C119" s="32" t="inlineStr">
        <is>
          <t>351E1</t>
        </is>
      </c>
      <c r="D119" s="32" t="inlineStr">
        <is>
          <t>Saco 10 kg</t>
        </is>
      </c>
      <c r="E119" s="32" t="inlineStr">
        <is>
          <t>6,63 €/saco</t>
        </is>
      </c>
      <c r="F119" s="32" t="inlineStr">
        <is>
          <t>0,663 €/kg</t>
        </is>
      </c>
      <c r="G119" s="26" t="n">
        <v>0.7</v>
      </c>
      <c r="H119" s="32" t="inlineStr">
        <is>
          <t>kg/m²</t>
        </is>
      </c>
      <c r="I119" s="27" t="n">
        <v>0.46</v>
      </c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  <c r="Z119" s="64" t="n"/>
    </row>
    <row r="120">
      <c r="A120" s="34" t="inlineStr">
        <is>
          <t>5</t>
        </is>
      </c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  <c r="Z120" s="64" t="n"/>
    </row>
    <row r="121">
      <c r="A121" s="34" t="inlineStr">
        <is>
          <t>5</t>
        </is>
      </c>
      <c r="B121" s="35" t="inlineStr">
        <is>
          <t>Banda Estanca Monoadhesiva 70 mm - Rollo 30 ml</t>
        </is>
      </c>
      <c r="C121" s="34" t="inlineStr">
        <is>
          <t>304076</t>
        </is>
      </c>
      <c r="D121" s="34" t="inlineStr">
        <is>
          <t>Rollo 30 ml</t>
        </is>
      </c>
      <c r="E121" s="34" t="inlineStr">
        <is>
          <t>8,71 €/rollo</t>
        </is>
      </c>
      <c r="F121" s="34" t="inlineStr">
        <is>
          <t>0,290 €/ml</t>
        </is>
      </c>
      <c r="G121" s="26" t="n">
        <v>1.72</v>
      </c>
      <c r="H121" s="34" t="inlineStr">
        <is>
          <t>ml/m²</t>
        </is>
      </c>
      <c r="I121" s="27" t="n">
        <v>0.5</v>
      </c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  <c r="Z121" s="64" t="n"/>
    </row>
    <row r="122">
      <c r="A122" s="43" t="n">
        <v>2</v>
      </c>
      <c r="B122" s="25" t="inlineStr">
        <is>
          <t>Perfil Angular Z1 23x34 - 3000 mm</t>
        </is>
      </c>
      <c r="C122" s="24" t="inlineStr">
        <is>
          <t>L2334300A</t>
        </is>
      </c>
      <c r="D122" s="24" t="inlineStr">
        <is>
          <t>Barra 3000 mm</t>
        </is>
      </c>
      <c r="E122" s="24" t="inlineStr">
        <is>
          <t>1,26 €/barra</t>
        </is>
      </c>
      <c r="F122" s="24" t="inlineStr">
        <is>
          <t>0,420 €/ml</t>
        </is>
      </c>
      <c r="G122" s="26" t="n">
        <v>0.4</v>
      </c>
      <c r="H122" s="24" t="inlineStr">
        <is>
          <t>ml/m²</t>
        </is>
      </c>
      <c r="I122" s="27" t="n">
        <v>0.17</v>
      </c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  <c r="Z122" s="64" t="n"/>
    </row>
    <row r="123">
      <c r="A123" s="36" t="inlineStr">
        <is>
          <t>TOTAL COSTE MATERIAL / m² sistema</t>
        </is>
      </c>
      <c r="B123" s="37" t="n"/>
      <c r="C123" s="37" t="n"/>
      <c r="D123" s="37" t="n"/>
      <c r="E123" s="37" t="n"/>
      <c r="F123" s="37" t="n"/>
      <c r="G123" s="37" t="n"/>
      <c r="H123" s="37" t="n"/>
      <c r="I123" s="38" t="inlineStr">
        <is>
          <t>10.64 €</t>
        </is>
      </c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  <c r="Z123" s="64" t="n"/>
    </row>
    <row r="124">
      <c r="A124" s="64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  <c r="Z124" s="64" t="n"/>
    </row>
    <row r="125">
      <c r="A125" s="64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  <c r="Z125" s="64" t="n"/>
    </row>
    <row r="126">
      <c r="A126" s="39" t="inlineStr">
        <is>
          <t xml:space="preserve">  SISTEMA 7A — MURO DOBLE STD + AQUA H2  | Mont.70 + Rail 70 · STD + AQUA H2 BA 12,5 mm - 1200x2500 · Sep. 400 mm</t>
        </is>
      </c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  <c r="Z126" s="64" t="n"/>
    </row>
    <row r="127">
      <c r="A127" s="24" t="inlineStr">
        <is>
          <t>2</t>
        </is>
      </c>
      <c r="B127" s="25" t="inlineStr">
        <is>
          <t>Montante 70/37 Z1 - 2990 mm</t>
        </is>
      </c>
      <c r="C127" s="24" t="inlineStr">
        <is>
          <t>C367038299A</t>
        </is>
      </c>
      <c r="D127" s="24" t="inlineStr">
        <is>
          <t>Barra 2990 mm</t>
        </is>
      </c>
      <c r="E127" s="24" t="inlineStr">
        <is>
          <t>2,67 €/barra</t>
        </is>
      </c>
      <c r="F127" s="24" t="inlineStr">
        <is>
          <t>0,890 €/ml</t>
        </is>
      </c>
      <c r="G127" s="26" t="n">
        <v>2.5</v>
      </c>
      <c r="H127" s="24" t="inlineStr">
        <is>
          <t>ml/m²</t>
        </is>
      </c>
      <c r="I127" s="27" t="n">
        <v>2.23</v>
      </c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  <c r="Z127" s="64" t="n"/>
    </row>
    <row r="128">
      <c r="A128" s="24" t="inlineStr">
        <is>
          <t>2</t>
        </is>
      </c>
      <c r="B128" s="25" t="inlineStr">
        <is>
          <t>Rail 70 Z1 - 3000 mm</t>
        </is>
      </c>
      <c r="C128" s="24" t="inlineStr">
        <is>
          <t>U307030300A</t>
        </is>
      </c>
      <c r="D128" s="24" t="inlineStr">
        <is>
          <t>Barra 3000 mm</t>
        </is>
      </c>
      <c r="E128" s="24" t="inlineStr">
        <is>
          <t>2,15 €/barra</t>
        </is>
      </c>
      <c r="F128" s="24" t="inlineStr">
        <is>
          <t>0,715 €/ml</t>
        </is>
      </c>
      <c r="G128" s="26" t="n">
        <v>0.95</v>
      </c>
      <c r="H128" s="24" t="inlineStr">
        <is>
          <t>ml/m²</t>
        </is>
      </c>
      <c r="I128" s="27" t="n">
        <v>0.68</v>
      </c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  <c r="Z128" s="64" t="n"/>
    </row>
    <row r="129">
      <c r="A129" s="28" t="inlineStr">
        <is>
          <t>1</t>
        </is>
      </c>
      <c r="B129" s="29" t="inlineStr">
        <is>
          <t>Gypsotech STD BA 12,5 mm - 1200x2500 (2 capas cara seca)</t>
        </is>
      </c>
      <c r="C129" s="28" t="inlineStr">
        <is>
          <t>P00A003250A0</t>
        </is>
      </c>
      <c r="D129" s="28" t="inlineStr">
        <is>
          <t>Palé 48 ud / 144 m²</t>
        </is>
      </c>
      <c r="E129" s="28" t="inlineStr">
        <is>
          <t>2,02 €/m²</t>
        </is>
      </c>
      <c r="F129" s="28" t="inlineStr">
        <is>
          <t>2,015 €/m²</t>
        </is>
      </c>
      <c r="G129" s="26" t="n">
        <v>2.1</v>
      </c>
      <c r="H129" s="28" t="inlineStr">
        <is>
          <t>m²/m²</t>
        </is>
      </c>
      <c r="I129" s="27" t="n">
        <v>4.23</v>
      </c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  <c r="Z129" s="64" t="n"/>
    </row>
    <row r="130">
      <c r="A130" s="28" t="inlineStr">
        <is>
          <t>1</t>
        </is>
      </c>
      <c r="B130" s="29" t="inlineStr">
        <is>
          <t>Gypsotech AQUA H2 BA 12,5 mm - 1200x2500 (2 capas cara húmeda)</t>
        </is>
      </c>
      <c r="C130" s="28" t="inlineStr">
        <is>
          <t>P00H003250A0</t>
        </is>
      </c>
      <c r="D130" s="28" t="inlineStr">
        <is>
          <t>Palé 48 ud / 144 m²</t>
        </is>
      </c>
      <c r="E130" s="28" t="inlineStr">
        <is>
          <t>3,35 €/m²</t>
        </is>
      </c>
      <c r="F130" s="28" t="inlineStr">
        <is>
          <t>3,355 €/m²</t>
        </is>
      </c>
      <c r="G130" s="26" t="n">
        <v>2.1</v>
      </c>
      <c r="H130" s="28" t="inlineStr">
        <is>
          <t>m²/m²</t>
        </is>
      </c>
      <c r="I130" s="27" t="n">
        <v>7.05</v>
      </c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  <c r="Z130" s="64" t="n"/>
    </row>
    <row r="131">
      <c r="A131" s="30" t="inlineStr">
        <is>
          <t>3</t>
        </is>
      </c>
      <c r="I131" s="27" t="n">
        <v>0.21</v>
      </c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  <c r="Z131" s="64" t="n"/>
    </row>
    <row r="132">
      <c r="A132" s="30" t="inlineStr">
        <is>
          <t>3</t>
        </is>
      </c>
      <c r="B132" s="31" t="inlineStr">
        <is>
          <t>Tornillo Fosfatado PM PC Ø3,5x35 mm - 1000 ud (2ª capa)</t>
        </is>
      </c>
      <c r="C132" s="30" t="inlineStr">
        <is>
          <t>304104</t>
        </is>
      </c>
      <c r="D132" s="30" t="inlineStr">
        <is>
          <t>Caja 1000 ud</t>
        </is>
      </c>
      <c r="E132" s="30" t="inlineStr">
        <is>
          <t>8,64 €/caja</t>
        </is>
      </c>
      <c r="F132" s="30" t="inlineStr">
        <is>
          <t>0,009 €/ud</t>
        </is>
      </c>
      <c r="G132" s="26" t="n">
        <v>30</v>
      </c>
      <c r="H132" s="30" t="inlineStr">
        <is>
          <t>ud/m²</t>
        </is>
      </c>
      <c r="I132" s="27" t="n">
        <v>0.26</v>
      </c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  <c r="Z132" s="64" t="n"/>
    </row>
    <row r="133">
      <c r="A133" s="30" t="inlineStr">
        <is>
          <t>3</t>
        </is>
      </c>
      <c r="B133" s="31" t="inlineStr">
        <is>
          <t>Tornillo Cincado Metal-Metal PB Ø3,5x9,5 mm - 1000 ud</t>
        </is>
      </c>
      <c r="C133" s="30" t="inlineStr">
        <is>
          <t>304134</t>
        </is>
      </c>
      <c r="D133" s="30" t="inlineStr">
        <is>
          <t>Caja 1000 ud</t>
        </is>
      </c>
      <c r="E133" s="30" t="inlineStr">
        <is>
          <t>7,19 €/caja</t>
        </is>
      </c>
      <c r="F133" s="30" t="inlineStr">
        <is>
          <t>0,007 €/ud</t>
        </is>
      </c>
      <c r="G133" s="26" t="n">
        <v>3</v>
      </c>
      <c r="H133" s="30" t="inlineStr">
        <is>
          <t>ud/m²</t>
        </is>
      </c>
      <c r="I133" s="27" t="n">
        <v>0.02</v>
      </c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  <c r="Z133" s="64" t="n"/>
    </row>
    <row r="134">
      <c r="A134" s="32" t="inlineStr">
        <is>
          <t>4</t>
        </is>
      </c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  <c r="Z134" s="64" t="n"/>
    </row>
    <row r="135">
      <c r="A135" s="34" t="inlineStr">
        <is>
          <t>5</t>
        </is>
      </c>
      <c r="B135" s="35" t="inlineStr">
        <is>
          <t>Cinta de Juntas 50 mm - Rollo 150 ml</t>
        </is>
      </c>
      <c r="C135" s="34" t="inlineStr">
        <is>
          <t>304058</t>
        </is>
      </c>
      <c r="D135" s="34" t="inlineStr">
        <is>
          <t>Rollo 150 ml</t>
        </is>
      </c>
      <c r="E135" s="34" t="inlineStr">
        <is>
          <t>4,19 €/rollo</t>
        </is>
      </c>
      <c r="F135" s="34" t="inlineStr">
        <is>
          <t>0,028 €/ml</t>
        </is>
      </c>
      <c r="G135" s="26" t="n">
        <v>4.4</v>
      </c>
      <c r="H135" s="34" t="inlineStr">
        <is>
          <t>ml/m²</t>
        </is>
      </c>
      <c r="I135" s="27" t="n">
        <v>0.12</v>
      </c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  <c r="Z135" s="64" t="n"/>
    </row>
    <row r="136">
      <c r="A136" s="34" t="inlineStr">
        <is>
          <t>5</t>
        </is>
      </c>
      <c r="B136" s="35" t="inlineStr">
        <is>
          <t>Banda Estanca Monoadhesiva 70 mm - Rollo 30 ml</t>
        </is>
      </c>
      <c r="C136" s="34" t="inlineStr">
        <is>
          <t>304076</t>
        </is>
      </c>
      <c r="D136" s="34" t="inlineStr">
        <is>
          <t>Rollo 30 ml</t>
        </is>
      </c>
      <c r="E136" s="34" t="inlineStr">
        <is>
          <t>8,71 €/rollo</t>
        </is>
      </c>
      <c r="F136" s="34" t="inlineStr">
        <is>
          <t>0,290 €/ml</t>
        </is>
      </c>
      <c r="G136" s="26" t="n">
        <v>1.72</v>
      </c>
      <c r="H136" s="34" t="inlineStr">
        <is>
          <t>ml/m²</t>
        </is>
      </c>
      <c r="I136" s="27" t="n">
        <v>0.5</v>
      </c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  <c r="Z136" s="64" t="n"/>
    </row>
    <row r="137">
      <c r="A137" s="43" t="n">
        <v>2</v>
      </c>
      <c r="B137" s="25" t="inlineStr">
        <is>
          <t>Perfil Angular Z1 23x34 - 3000 mm</t>
        </is>
      </c>
      <c r="C137" s="24" t="inlineStr">
        <is>
          <t>L2334300A</t>
        </is>
      </c>
      <c r="D137" s="24" t="inlineStr">
        <is>
          <t>Barra 3000 mm</t>
        </is>
      </c>
      <c r="E137" s="24" t="inlineStr">
        <is>
          <t>1,26 €/barra</t>
        </is>
      </c>
      <c r="F137" s="24" t="inlineStr">
        <is>
          <t>0,420 €/ml</t>
        </is>
      </c>
      <c r="G137" s="26" t="n">
        <v>0.4</v>
      </c>
      <c r="H137" s="24" t="inlineStr">
        <is>
          <t>ml/m²</t>
        </is>
      </c>
      <c r="I137" s="27" t="n">
        <v>0.17</v>
      </c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  <c r="Z137" s="64" t="n"/>
    </row>
    <row r="138">
      <c r="A138" s="36" t="inlineStr">
        <is>
          <t>TOTAL COSTE MATERIAL / m² sistema</t>
        </is>
      </c>
      <c r="B138" s="37" t="n"/>
      <c r="C138" s="37" t="n"/>
      <c r="D138" s="37" t="n"/>
      <c r="E138" s="37" t="n"/>
      <c r="F138" s="37" t="n"/>
      <c r="G138" s="37" t="n"/>
      <c r="H138" s="37" t="n"/>
      <c r="I138" s="38" t="inlineStr">
        <is>
          <t>16.40 €</t>
        </is>
      </c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  <c r="Z138" s="64" t="n"/>
    </row>
    <row r="139">
      <c r="A139" s="64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  <c r="Z139" s="64" t="n"/>
    </row>
    <row r="140">
      <c r="A140" s="64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  <c r="Z140" s="64" t="n"/>
    </row>
    <row r="141">
      <c r="A141" s="39" t="inlineStr">
        <is>
          <t xml:space="preserve">  SISTEMA 7B — MURO DOBLE STD + AQUA H2  | Mont.70 + Rail 70 · STD + AQUA H2 BA 12,5 mm - 1200x2500 · Sep. 600 mm</t>
        </is>
      </c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  <c r="Z141" s="64" t="n"/>
    </row>
    <row r="142">
      <c r="A142" s="24" t="inlineStr">
        <is>
          <t>2</t>
        </is>
      </c>
      <c r="B142" s="25" t="inlineStr">
        <is>
          <t>Montante 70/37 Z1 - 2990 mm</t>
        </is>
      </c>
      <c r="C142" s="24" t="inlineStr">
        <is>
          <t>C367038299A</t>
        </is>
      </c>
      <c r="D142" s="24" t="inlineStr">
        <is>
          <t>Barra 2990 mm</t>
        </is>
      </c>
      <c r="E142" s="24" t="inlineStr">
        <is>
          <t>2,67 €/barra</t>
        </is>
      </c>
      <c r="F142" s="24" t="inlineStr">
        <is>
          <t>0,890 €/ml</t>
        </is>
      </c>
      <c r="G142" s="26" t="n">
        <v>1.67</v>
      </c>
      <c r="H142" s="24" t="inlineStr">
        <is>
          <t>ml/m²</t>
        </is>
      </c>
      <c r="I142" s="27" t="n">
        <v>1.49</v>
      </c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  <c r="Z142" s="64" t="n"/>
    </row>
    <row r="143">
      <c r="A143" s="24" t="inlineStr">
        <is>
          <t>2</t>
        </is>
      </c>
      <c r="B143" s="25" t="inlineStr">
        <is>
          <t>Rail 70 Z1 - 3000 mm</t>
        </is>
      </c>
      <c r="C143" s="24" t="inlineStr">
        <is>
          <t>U307030300A</t>
        </is>
      </c>
      <c r="D143" s="24" t="inlineStr">
        <is>
          <t>Barra 3000 mm</t>
        </is>
      </c>
      <c r="E143" s="24" t="inlineStr">
        <is>
          <t>2,15 €/barra</t>
        </is>
      </c>
      <c r="F143" s="24" t="inlineStr">
        <is>
          <t>0,715 €/ml</t>
        </is>
      </c>
      <c r="G143" s="26" t="n">
        <v>0.95</v>
      </c>
      <c r="H143" s="24" t="inlineStr">
        <is>
          <t>ml/m²</t>
        </is>
      </c>
      <c r="I143" s="27" t="n">
        <v>0.68</v>
      </c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  <c r="Z143" s="64" t="n"/>
    </row>
    <row r="144">
      <c r="A144" s="28" t="inlineStr">
        <is>
          <t>1</t>
        </is>
      </c>
      <c r="B144" s="29" t="inlineStr">
        <is>
          <t>Gypsotech STD BA 12,5 mm - 1200x2500 (2 capas cara seca)</t>
        </is>
      </c>
      <c r="C144" s="28" t="inlineStr">
        <is>
          <t>P00A003250A0</t>
        </is>
      </c>
      <c r="D144" s="28" t="inlineStr">
        <is>
          <t>Palé 48 ud / 144 m²</t>
        </is>
      </c>
      <c r="E144" s="28" t="inlineStr">
        <is>
          <t>2,02 €/m²</t>
        </is>
      </c>
      <c r="F144" s="28" t="inlineStr">
        <is>
          <t>2,015 €/m²</t>
        </is>
      </c>
      <c r="G144" s="26" t="n">
        <v>2.1</v>
      </c>
      <c r="H144" s="28" t="inlineStr">
        <is>
          <t>m²/m²</t>
        </is>
      </c>
      <c r="I144" s="27" t="n">
        <v>4.23</v>
      </c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  <c r="Z144" s="64" t="n"/>
    </row>
    <row r="145">
      <c r="A145" s="28" t="inlineStr">
        <is>
          <t>1</t>
        </is>
      </c>
      <c r="I145" s="27" t="n">
        <v>7.05</v>
      </c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  <c r="Z145" s="64" t="n"/>
    </row>
    <row r="146">
      <c r="A146" s="30" t="inlineStr">
        <is>
          <t>3</t>
        </is>
      </c>
      <c r="B146" s="31" t="inlineStr">
        <is>
          <t>Tornillo Fosfatado PM PC Ø3,5x25 mm - 1000 ud (1ª capa)</t>
        </is>
      </c>
      <c r="C146" s="30" t="inlineStr">
        <is>
          <t>304101</t>
        </is>
      </c>
      <c r="D146" s="30" t="inlineStr">
        <is>
          <t>Caja 1000 ud</t>
        </is>
      </c>
      <c r="E146" s="30" t="inlineStr">
        <is>
          <t>7,00 €/caja</t>
        </is>
      </c>
      <c r="F146" s="30" t="inlineStr">
        <is>
          <t>0,007 €/ud</t>
        </is>
      </c>
      <c r="G146" s="26" t="n">
        <v>30</v>
      </c>
      <c r="H146" s="30" t="inlineStr">
        <is>
          <t>ud/m²</t>
        </is>
      </c>
      <c r="I146" s="27" t="n">
        <v>0.21</v>
      </c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  <c r="Z146" s="64" t="n"/>
    </row>
    <row r="147">
      <c r="A147" s="30" t="inlineStr">
        <is>
          <t>3</t>
        </is>
      </c>
      <c r="B147" s="31" t="inlineStr">
        <is>
          <t>Tornillo Fosfatado PM PC Ø3,5x35 mm - 1000 ud (2ª capa)</t>
        </is>
      </c>
      <c r="C147" s="30" t="inlineStr">
        <is>
          <t>304104</t>
        </is>
      </c>
      <c r="D147" s="30" t="inlineStr">
        <is>
          <t>Caja 1000 ud</t>
        </is>
      </c>
      <c r="E147" s="30" t="inlineStr">
        <is>
          <t>8,64 €/caja</t>
        </is>
      </c>
      <c r="F147" s="30" t="inlineStr">
        <is>
          <t>0,009 €/ud</t>
        </is>
      </c>
      <c r="G147" s="26" t="n">
        <v>30</v>
      </c>
      <c r="H147" s="30" t="inlineStr">
        <is>
          <t>ud/m²</t>
        </is>
      </c>
      <c r="I147" s="27" t="n">
        <v>0.26</v>
      </c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  <c r="Z147" s="64" t="n"/>
    </row>
    <row r="148">
      <c r="A148" s="30" t="inlineStr">
        <is>
          <t>3</t>
        </is>
      </c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  <c r="Z148" s="64" t="n"/>
    </row>
    <row r="149">
      <c r="A149" s="32" t="inlineStr">
        <is>
          <t>4</t>
        </is>
      </c>
      <c r="B149" s="33" t="inlineStr">
        <is>
          <t>Fassajoint 1H - Saco 10 kg</t>
        </is>
      </c>
      <c r="C149" s="32" t="inlineStr">
        <is>
          <t>351E1</t>
        </is>
      </c>
      <c r="D149" s="32" t="inlineStr">
        <is>
          <t>Saco 10 kg</t>
        </is>
      </c>
      <c r="E149" s="32" t="inlineStr">
        <is>
          <t>6,63 €/saco</t>
        </is>
      </c>
      <c r="F149" s="32" t="inlineStr">
        <is>
          <t>0,663 €/kg</t>
        </is>
      </c>
      <c r="G149" s="26" t="n">
        <v>1.4</v>
      </c>
      <c r="H149" s="32" t="inlineStr">
        <is>
          <t>kg/m²</t>
        </is>
      </c>
      <c r="I149" s="27" t="n">
        <v>0.93</v>
      </c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  <c r="Z149" s="64" t="n"/>
    </row>
    <row r="150">
      <c r="A150" s="34" t="inlineStr">
        <is>
          <t>5</t>
        </is>
      </c>
      <c r="B150" s="35" t="inlineStr">
        <is>
          <t>Cinta de Juntas 50 mm - Rollo 150 ml</t>
        </is>
      </c>
      <c r="C150" s="34" t="inlineStr">
        <is>
          <t>304058</t>
        </is>
      </c>
      <c r="D150" s="34" t="inlineStr">
        <is>
          <t>Rollo 150 ml</t>
        </is>
      </c>
      <c r="E150" s="34" t="inlineStr">
        <is>
          <t>4,19 €/rollo</t>
        </is>
      </c>
      <c r="F150" s="34" t="inlineStr">
        <is>
          <t>0,028 €/ml</t>
        </is>
      </c>
      <c r="G150" s="26" t="n">
        <v>4.4</v>
      </c>
      <c r="H150" s="34" t="inlineStr">
        <is>
          <t>ml/m²</t>
        </is>
      </c>
      <c r="I150" s="27" t="n">
        <v>0.12</v>
      </c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  <c r="Z150" s="64" t="n"/>
    </row>
    <row r="151">
      <c r="A151" s="34" t="inlineStr">
        <is>
          <t>5</t>
        </is>
      </c>
      <c r="B151" s="35" t="inlineStr">
        <is>
          <t>Banda Estanca Monoadhesiva 70 mm - Rollo 30 ml</t>
        </is>
      </c>
      <c r="C151" s="34" t="inlineStr">
        <is>
          <t>304076</t>
        </is>
      </c>
      <c r="D151" s="34" t="inlineStr">
        <is>
          <t>Rollo 30 ml</t>
        </is>
      </c>
      <c r="E151" s="34" t="inlineStr">
        <is>
          <t>8,71 €/rollo</t>
        </is>
      </c>
      <c r="F151" s="34" t="inlineStr">
        <is>
          <t>0,290 €/ml</t>
        </is>
      </c>
      <c r="G151" s="26" t="n">
        <v>1.72</v>
      </c>
      <c r="H151" s="34" t="inlineStr">
        <is>
          <t>ml/m²</t>
        </is>
      </c>
      <c r="I151" s="27" t="n">
        <v>0.5</v>
      </c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  <c r="Z151" s="64" t="n"/>
    </row>
    <row r="152">
      <c r="A152" s="43" t="n">
        <v>2</v>
      </c>
      <c r="B152" s="25" t="inlineStr">
        <is>
          <t>Perfil Angular Z1 23x34 - 3000 mm</t>
        </is>
      </c>
      <c r="C152" s="24" t="inlineStr">
        <is>
          <t>L2334300A</t>
        </is>
      </c>
      <c r="D152" s="24" t="inlineStr">
        <is>
          <t>Barra 3000 mm</t>
        </is>
      </c>
      <c r="E152" s="24" t="inlineStr">
        <is>
          <t>1,26 €/barra</t>
        </is>
      </c>
      <c r="F152" s="24" t="inlineStr">
        <is>
          <t>0,420 €/ml</t>
        </is>
      </c>
      <c r="G152" s="26" t="n">
        <v>0.4</v>
      </c>
      <c r="H152" s="24" t="inlineStr">
        <is>
          <t>ml/m²</t>
        </is>
      </c>
      <c r="I152" s="27" t="n">
        <v>0.17</v>
      </c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  <c r="Z152" s="64" t="n"/>
    </row>
    <row r="153">
      <c r="A153" s="36" t="inlineStr">
        <is>
          <t>TOTAL COSTE MATERIAL / m² sistema</t>
        </is>
      </c>
      <c r="B153" s="37" t="n"/>
      <c r="C153" s="37" t="n"/>
      <c r="D153" s="37" t="n"/>
      <c r="E153" s="37" t="n"/>
      <c r="F153" s="37" t="n"/>
      <c r="G153" s="37" t="n"/>
      <c r="H153" s="37" t="n"/>
      <c r="I153" s="38" t="inlineStr">
        <is>
          <t>15.66 €</t>
        </is>
      </c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  <c r="Z153" s="64" t="n"/>
    </row>
    <row r="154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  <c r="Z154" s="64" t="n"/>
    </row>
    <row r="155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  <c r="Z155" s="64" t="n"/>
    </row>
    <row r="156">
      <c r="A156" s="39" t="inlineStr">
        <is>
          <t xml:space="preserve">  SISTEMA 8A — TECHO SUSPENDIDO STD  | Sierra TC47 + TC47 Z1 · STD BA 12,5 mm - 1200x2000 · Sierra c/900 mm · TC47 c/500 mm</t>
        </is>
      </c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  <c r="Z156" s="64" t="n"/>
    </row>
    <row r="157">
      <c r="A157" s="24" t="inlineStr">
        <is>
          <t>2</t>
        </is>
      </c>
      <c r="B157" s="25" t="inlineStr">
        <is>
          <t>Perfil Sierra TC47/48/60 Z1 - 3000 mm</t>
        </is>
      </c>
      <c r="C157" s="24" t="inlineStr">
        <is>
          <t>U472447300A</t>
        </is>
      </c>
      <c r="D157" s="24" t="inlineStr">
        <is>
          <t>Barra 3000 mm</t>
        </is>
      </c>
      <c r="E157" s="24" t="inlineStr">
        <is>
          <t>3,35 €/barra</t>
        </is>
      </c>
      <c r="F157" s="24" t="inlineStr">
        <is>
          <t>1,115 €/ml</t>
        </is>
      </c>
      <c r="G157" s="26" t="n">
        <v>1.11</v>
      </c>
      <c r="H157" s="24" t="inlineStr">
        <is>
          <t>ml/m²</t>
        </is>
      </c>
      <c r="I157" s="27" t="n">
        <v>1.24</v>
      </c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  <c r="Z157" s="64" t="n"/>
    </row>
    <row r="158">
      <c r="A158" s="24" t="inlineStr">
        <is>
          <t>2</t>
        </is>
      </c>
      <c r="B158" s="25" t="inlineStr">
        <is>
          <t>Perfil Techo Continuo TC47 Z1 - 3000 mm</t>
        </is>
      </c>
      <c r="C158" s="24" t="inlineStr">
        <is>
          <t>C174717300A</t>
        </is>
      </c>
      <c r="D158" s="24" t="inlineStr">
        <is>
          <t>Barra 3000 mm</t>
        </is>
      </c>
      <c r="E158" s="24" t="inlineStr">
        <is>
          <t>1,70 €/barra</t>
        </is>
      </c>
      <c r="F158" s="24" t="inlineStr">
        <is>
          <t>0,565 €/ml</t>
        </is>
      </c>
      <c r="G158" s="26" t="n">
        <v>2</v>
      </c>
      <c r="H158" s="24" t="inlineStr">
        <is>
          <t>ml/m²</t>
        </is>
      </c>
      <c r="I158" s="27" t="n">
        <v>1.13</v>
      </c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  <c r="Z158" s="64" t="n"/>
    </row>
    <row r="159">
      <c r="A159" s="24" t="inlineStr">
        <is>
          <t>2</t>
        </is>
      </c>
      <c r="B159" s="25" t="inlineStr">
        <is>
          <t>Perfil Angular Z1 23x34 - 3000 mm</t>
        </is>
      </c>
      <c r="C159" s="24" t="inlineStr">
        <is>
          <t>L2334300A</t>
        </is>
      </c>
      <c r="D159" s="24" t="inlineStr">
        <is>
          <t>Barra 3000 mm</t>
        </is>
      </c>
      <c r="E159" s="24" t="inlineStr">
        <is>
          <t>1,26 €/barra</t>
        </is>
      </c>
      <c r="F159" s="24" t="inlineStr">
        <is>
          <t>0,420 €/ml</t>
        </is>
      </c>
      <c r="G159" s="26" t="n">
        <v>0.4</v>
      </c>
      <c r="H159" s="24" t="inlineStr">
        <is>
          <t>ml/m²</t>
        </is>
      </c>
      <c r="I159" s="27" t="n">
        <v>0.17</v>
      </c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  <c r="Z159" s="64" t="n"/>
    </row>
    <row r="160">
      <c r="A160" s="51" t="inlineStr">
        <is>
          <t>6</t>
        </is>
      </c>
      <c r="B160" s="52" t="inlineStr">
        <is>
          <t>Horquilla Cuelgue Rápida M6 TC47 - Caja 100 ud</t>
        </is>
      </c>
      <c r="C160" s="51" t="inlineStr">
        <is>
          <t>304000</t>
        </is>
      </c>
      <c r="D160" s="51" t="inlineStr">
        <is>
          <t>Caja 100 ud</t>
        </is>
      </c>
      <c r="E160" s="51" t="inlineStr">
        <is>
          <t>9,74 €/caja</t>
        </is>
      </c>
      <c r="F160" s="51" t="inlineStr">
        <is>
          <t>0,097 €/ud</t>
        </is>
      </c>
      <c r="G160" s="26" t="n">
        <v>1.75</v>
      </c>
      <c r="H160" s="51" t="inlineStr">
        <is>
          <t>ud/m²</t>
        </is>
      </c>
      <c r="I160" s="27" t="n">
        <v>0.17</v>
      </c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  <c r="Z160" s="64" t="n"/>
    </row>
    <row r="161">
      <c r="A161" s="51" t="inlineStr">
        <is>
          <t>6</t>
        </is>
      </c>
      <c r="B161" s="52" t="inlineStr">
        <is>
          <t>Varilla Roscada M6 - 1000 mm</t>
        </is>
      </c>
      <c r="C161" s="51" t="inlineStr">
        <is>
          <t>304095</t>
        </is>
      </c>
      <c r="D161" s="51" t="inlineStr">
        <is>
          <t>Ud</t>
        </is>
      </c>
      <c r="E161" s="51" t="inlineStr">
        <is>
          <t>0,44 €/ud</t>
        </is>
      </c>
      <c r="F161" s="51" t="inlineStr">
        <is>
          <t>0,440 €/ud</t>
        </is>
      </c>
      <c r="G161" s="26" t="n">
        <v>1.75</v>
      </c>
      <c r="H161" s="51" t="inlineStr">
        <is>
          <t>ud/m²</t>
        </is>
      </c>
      <c r="I161" s="27" t="n">
        <v>0.77</v>
      </c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  <c r="Z161" s="64" t="n"/>
    </row>
    <row r="162">
      <c r="A162" s="51" t="inlineStr">
        <is>
          <t>6</t>
        </is>
      </c>
      <c r="I162" s="27" t="n">
        <v>0.3</v>
      </c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  <c r="Z162" s="64" t="n"/>
    </row>
    <row r="163">
      <c r="A163" s="51" t="inlineStr">
        <is>
          <t>6</t>
        </is>
      </c>
      <c r="B163" s="52" t="inlineStr">
        <is>
          <t>Cruceta TC47 - Caja 50 ud</t>
        </is>
      </c>
      <c r="C163" s="51" t="inlineStr">
        <is>
          <t>304014</t>
        </is>
      </c>
      <c r="D163" s="51" t="inlineStr">
        <is>
          <t>Caja 50 ud</t>
        </is>
      </c>
      <c r="E163" s="51" t="inlineStr">
        <is>
          <t>11,19 €/caja</t>
        </is>
      </c>
      <c r="F163" s="51" t="inlineStr">
        <is>
          <t>0,224 €/ud</t>
        </is>
      </c>
      <c r="G163" s="26" t="n">
        <v>0.8</v>
      </c>
      <c r="H163" s="51" t="inlineStr">
        <is>
          <t>ud/m²</t>
        </is>
      </c>
      <c r="I163" s="27" t="n">
        <v>0.18</v>
      </c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  <c r="Z163" s="64" t="n"/>
    </row>
    <row r="164">
      <c r="A164" s="28" t="inlineStr">
        <is>
          <t>1</t>
        </is>
      </c>
      <c r="B164" s="29" t="inlineStr">
        <is>
          <t>Gypsotech STD BA 12,5 mm - 1200x2000</t>
        </is>
      </c>
      <c r="C164" s="28" t="inlineStr">
        <is>
          <t>P00A003200A0</t>
        </is>
      </c>
      <c r="D164" s="28" t="inlineStr">
        <is>
          <t>Palé 60 ud / 144 m²</t>
        </is>
      </c>
      <c r="E164" s="28" t="inlineStr">
        <is>
          <t>2,02 €/m²</t>
        </is>
      </c>
      <c r="F164" s="28" t="inlineStr">
        <is>
          <t>2,015 €/m²</t>
        </is>
      </c>
      <c r="G164" s="26" t="n">
        <v>1.05</v>
      </c>
      <c r="H164" s="28" t="inlineStr">
        <is>
          <t>m²/m²</t>
        </is>
      </c>
      <c r="I164" s="27" t="n">
        <v>2.12</v>
      </c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  <c r="Z164" s="64" t="n"/>
    </row>
    <row r="165">
      <c r="A165" s="30" t="inlineStr">
        <is>
          <t>3</t>
        </is>
      </c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  <c r="Z165" s="64" t="n"/>
    </row>
    <row r="166">
      <c r="A166" s="30" t="inlineStr">
        <is>
          <t>3</t>
        </is>
      </c>
      <c r="B166" s="31" t="inlineStr">
        <is>
          <t>Tornillo Cincado Metal-Metal PB Ø3,5x9,5 mm - 1000 ud</t>
        </is>
      </c>
      <c r="C166" s="30" t="inlineStr">
        <is>
          <t>304134</t>
        </is>
      </c>
      <c r="D166" s="30" t="inlineStr">
        <is>
          <t>Caja 1000 ud</t>
        </is>
      </c>
      <c r="E166" s="30" t="inlineStr">
        <is>
          <t>7,19 €/caja</t>
        </is>
      </c>
      <c r="F166" s="30" t="inlineStr">
        <is>
          <t>0,007 €/ud</t>
        </is>
      </c>
      <c r="G166" s="26" t="n">
        <v>3</v>
      </c>
      <c r="H166" s="30" t="inlineStr">
        <is>
          <t>ud/m²</t>
        </is>
      </c>
      <c r="I166" s="27" t="n">
        <v>0.02</v>
      </c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  <c r="Z166" s="64" t="n"/>
    </row>
    <row r="167">
      <c r="A167" s="32" t="inlineStr">
        <is>
          <t>4</t>
        </is>
      </c>
      <c r="B167" s="33" t="inlineStr">
        <is>
          <t>Fassajoint 1H - Saco 10 kg</t>
        </is>
      </c>
      <c r="C167" s="32" t="inlineStr">
        <is>
          <t>351E1</t>
        </is>
      </c>
      <c r="D167" s="32" t="inlineStr">
        <is>
          <t>Saco 10 kg</t>
        </is>
      </c>
      <c r="E167" s="32" t="inlineStr">
        <is>
          <t>6,63 €/saco</t>
        </is>
      </c>
      <c r="F167" s="32" t="inlineStr">
        <is>
          <t>0,663 €/kg</t>
        </is>
      </c>
      <c r="G167" s="26" t="n">
        <v>0.35</v>
      </c>
      <c r="H167" s="32" t="inlineStr">
        <is>
          <t>kg/m²</t>
        </is>
      </c>
      <c r="I167" s="27" t="n">
        <v>0.23</v>
      </c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  <c r="Z167" s="64" t="n"/>
    </row>
    <row r="168">
      <c r="A168" s="34" t="inlineStr">
        <is>
          <t>5</t>
        </is>
      </c>
      <c r="B168" s="35" t="inlineStr">
        <is>
          <t>Cinta de Juntas 50 mm - Rollo 150 ml</t>
        </is>
      </c>
      <c r="C168" s="34" t="inlineStr">
        <is>
          <t>304058</t>
        </is>
      </c>
      <c r="D168" s="34" t="inlineStr">
        <is>
          <t>Rollo 150 ml</t>
        </is>
      </c>
      <c r="E168" s="34" t="inlineStr">
        <is>
          <t>4,19 €/rollo</t>
        </is>
      </c>
      <c r="F168" s="34" t="inlineStr">
        <is>
          <t>0,028 €/ml</t>
        </is>
      </c>
      <c r="G168" s="26" t="n">
        <v>1.1</v>
      </c>
      <c r="H168" s="34" t="inlineStr">
        <is>
          <t>ml/m²</t>
        </is>
      </c>
      <c r="I168" s="27" t="n">
        <v>0.03</v>
      </c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  <c r="Z168" s="64" t="n"/>
    </row>
    <row r="169">
      <c r="A169" s="34" t="inlineStr">
        <is>
          <t>5</t>
        </is>
      </c>
      <c r="B169" s="35" t="inlineStr">
        <is>
          <t>Banda Estanca Monoadhesiva 50 mm - Rollo 30 ml</t>
        </is>
      </c>
      <c r="C169" s="34" t="inlineStr">
        <is>
          <t>304075</t>
        </is>
      </c>
      <c r="D169" s="34" t="inlineStr">
        <is>
          <t>Rollo 30 ml</t>
        </is>
      </c>
      <c r="E169" s="34" t="inlineStr">
        <is>
          <t>5,79 €/rollo</t>
        </is>
      </c>
      <c r="F169" s="34" t="inlineStr">
        <is>
          <t>0,193 €/ml</t>
        </is>
      </c>
      <c r="G169" s="26" t="n">
        <v>1.72</v>
      </c>
      <c r="H169" s="34" t="inlineStr">
        <is>
          <t>ml/m²</t>
        </is>
      </c>
      <c r="I169" s="27" t="n">
        <v>0.33</v>
      </c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  <c r="Z169" s="64" t="n"/>
    </row>
    <row r="170">
      <c r="A170" s="36" t="inlineStr">
        <is>
          <t>TOTAL COSTE MATERIAL / m² sistema</t>
        </is>
      </c>
      <c r="B170" s="37" t="n"/>
      <c r="C170" s="37" t="n"/>
      <c r="D170" s="37" t="n"/>
      <c r="E170" s="37" t="n"/>
      <c r="F170" s="37" t="n"/>
      <c r="G170" s="37" t="n"/>
      <c r="H170" s="37" t="n"/>
      <c r="I170" s="38" t="inlineStr">
        <is>
          <t>6.79 €</t>
        </is>
      </c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  <c r="Z170" s="64" t="n"/>
    </row>
    <row r="17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  <c r="Z171" s="64" t="n"/>
    </row>
    <row r="172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  <c r="Z172" s="64" t="n"/>
    </row>
    <row r="173">
      <c r="A173" s="39" t="inlineStr">
        <is>
          <t xml:space="preserve">  SISTEMA 8B — TECHO SUSPENDIDO STD REFORZADO  | Sierra TC47 + TC47 Z1 · STD BA 12,5 mm - 1200x2000 · Sierra c/600 mm · TC47 c/400 mm</t>
        </is>
      </c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  <c r="Z173" s="64" t="n"/>
    </row>
    <row r="174">
      <c r="A174" s="24" t="inlineStr">
        <is>
          <t>2</t>
        </is>
      </c>
      <c r="B174" s="25" t="inlineStr">
        <is>
          <t>Perfil Sierra TC47/48/60 Z1 - 3000 mm</t>
        </is>
      </c>
      <c r="C174" s="24" t="inlineStr">
        <is>
          <t>U472447300A</t>
        </is>
      </c>
      <c r="D174" s="24" t="inlineStr">
        <is>
          <t>Barra 3000 mm</t>
        </is>
      </c>
      <c r="E174" s="24" t="inlineStr">
        <is>
          <t>3,35 €/barra</t>
        </is>
      </c>
      <c r="F174" s="24" t="inlineStr">
        <is>
          <t>1,115 €/ml</t>
        </is>
      </c>
      <c r="G174" s="26" t="n">
        <v>1.67</v>
      </c>
      <c r="H174" s="24" t="inlineStr">
        <is>
          <t>ml/m²</t>
        </is>
      </c>
      <c r="I174" s="27" t="n">
        <v>1.86</v>
      </c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  <c r="Z174" s="64" t="n"/>
    </row>
    <row r="175">
      <c r="A175" s="24" t="inlineStr">
        <is>
          <t>2</t>
        </is>
      </c>
      <c r="B175" s="25" t="inlineStr">
        <is>
          <t>Perfil Techo Continuo TC47 Z1 - 3000 mm</t>
        </is>
      </c>
      <c r="C175" s="24" t="inlineStr">
        <is>
          <t>C174717300A</t>
        </is>
      </c>
      <c r="D175" s="24" t="inlineStr">
        <is>
          <t>Barra 3000 mm</t>
        </is>
      </c>
      <c r="E175" s="24" t="inlineStr">
        <is>
          <t>1,70 €/barra</t>
        </is>
      </c>
      <c r="F175" s="24" t="inlineStr">
        <is>
          <t>0,565 €/ml</t>
        </is>
      </c>
      <c r="G175" s="26" t="n">
        <v>2.5</v>
      </c>
      <c r="H175" s="24" t="inlineStr">
        <is>
          <t>ml/m²</t>
        </is>
      </c>
      <c r="I175" s="27" t="n">
        <v>1.41</v>
      </c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  <c r="Z175" s="64" t="n"/>
    </row>
    <row r="176">
      <c r="A176" s="24" t="inlineStr">
        <is>
          <t>2</t>
        </is>
      </c>
      <c r="B176" s="25" t="inlineStr">
        <is>
          <t>Perfil Angular Z1 23x34 - 3000 mm</t>
        </is>
      </c>
      <c r="C176" s="24" t="inlineStr">
        <is>
          <t>L2334300A</t>
        </is>
      </c>
      <c r="D176" s="24" t="inlineStr">
        <is>
          <t>Barra 3000 mm</t>
        </is>
      </c>
      <c r="E176" s="24" t="inlineStr">
        <is>
          <t>1,26 €/barra</t>
        </is>
      </c>
      <c r="F176" s="24" t="inlineStr">
        <is>
          <t>0,420 €/ml</t>
        </is>
      </c>
      <c r="G176" s="26" t="n">
        <v>0.4</v>
      </c>
      <c r="H176" s="24" t="inlineStr">
        <is>
          <t>ml/m²</t>
        </is>
      </c>
      <c r="I176" s="27" t="n">
        <v>0.17</v>
      </c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  <c r="Z176" s="64" t="n"/>
    </row>
    <row r="177">
      <c r="A177" s="51" t="inlineStr">
        <is>
          <t>6</t>
        </is>
      </c>
      <c r="B177" s="52" t="inlineStr">
        <is>
          <t>Horquilla Cuelgue Rápida M6 TC47 - Caja 100 ud</t>
        </is>
      </c>
      <c r="C177" s="51" t="inlineStr">
        <is>
          <t>304000</t>
        </is>
      </c>
      <c r="D177" s="51" t="inlineStr">
        <is>
          <t>Caja 100 ud</t>
        </is>
      </c>
      <c r="E177" s="51" t="inlineStr">
        <is>
          <t>9,74 €/caja</t>
        </is>
      </c>
      <c r="F177" s="51" t="inlineStr">
        <is>
          <t>0,097 €/ud</t>
        </is>
      </c>
      <c r="G177" s="26" t="n">
        <v>1.75</v>
      </c>
      <c r="H177" s="51" t="inlineStr">
        <is>
          <t>ud/m²</t>
        </is>
      </c>
      <c r="I177" s="27" t="n">
        <v>0.17</v>
      </c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  <c r="Z177" s="64" t="n"/>
    </row>
    <row r="178">
      <c r="A178" s="51" t="inlineStr">
        <is>
          <t>6</t>
        </is>
      </c>
      <c r="B178" s="52" t="inlineStr">
        <is>
          <t>Varilla Roscada M6 - 1000 mm</t>
        </is>
      </c>
      <c r="C178" s="51" t="inlineStr">
        <is>
          <t>304095</t>
        </is>
      </c>
      <c r="D178" s="51" t="inlineStr">
        <is>
          <t>Ud</t>
        </is>
      </c>
      <c r="E178" s="51" t="inlineStr">
        <is>
          <t>0,44 €/ud</t>
        </is>
      </c>
      <c r="F178" s="51" t="inlineStr">
        <is>
          <t>0,440 €/ud</t>
        </is>
      </c>
      <c r="G178" s="26" t="n">
        <v>1.75</v>
      </c>
      <c r="H178" s="51" t="inlineStr">
        <is>
          <t>ud/m²</t>
        </is>
      </c>
      <c r="I178" s="27" t="n">
        <v>0.77</v>
      </c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  <c r="Z178" s="64" t="n"/>
    </row>
    <row r="179">
      <c r="A179" s="51" t="inlineStr">
        <is>
          <t>6</t>
        </is>
      </c>
      <c r="I179" s="27" t="n">
        <v>0.3</v>
      </c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  <c r="Z179" s="64" t="n"/>
    </row>
    <row r="180">
      <c r="A180" s="51" t="inlineStr">
        <is>
          <t>6</t>
        </is>
      </c>
      <c r="B180" s="52" t="inlineStr">
        <is>
          <t>Cruceta TC47 - Caja 50 ud</t>
        </is>
      </c>
      <c r="C180" s="51" t="inlineStr">
        <is>
          <t>304014</t>
        </is>
      </c>
      <c r="D180" s="51" t="inlineStr">
        <is>
          <t>Caja 50 ud</t>
        </is>
      </c>
      <c r="E180" s="51" t="inlineStr">
        <is>
          <t>11,19 €/caja</t>
        </is>
      </c>
      <c r="F180" s="51" t="inlineStr">
        <is>
          <t>0,224 €/ud</t>
        </is>
      </c>
      <c r="G180" s="26" t="n">
        <v>0.8</v>
      </c>
      <c r="H180" s="51" t="inlineStr">
        <is>
          <t>ud/m²</t>
        </is>
      </c>
      <c r="I180" s="27" t="n">
        <v>0.18</v>
      </c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  <c r="Z180" s="64" t="n"/>
    </row>
    <row r="181">
      <c r="A181" s="28" t="inlineStr">
        <is>
          <t>1</t>
        </is>
      </c>
      <c r="B181" s="29" t="inlineStr">
        <is>
          <t>Gypsotech STD BA 12,5 mm - 1200x2000</t>
        </is>
      </c>
      <c r="C181" s="28" t="inlineStr">
        <is>
          <t>P00A003200A0</t>
        </is>
      </c>
      <c r="D181" s="28" t="inlineStr">
        <is>
          <t>Palé 60 ud / 144 m²</t>
        </is>
      </c>
      <c r="E181" s="28" t="inlineStr">
        <is>
          <t>2,02 €/m²</t>
        </is>
      </c>
      <c r="F181" s="28" t="inlineStr">
        <is>
          <t>2,015 €/m²</t>
        </is>
      </c>
      <c r="G181" s="26" t="n">
        <v>1.05</v>
      </c>
      <c r="H181" s="28" t="inlineStr">
        <is>
          <t>m²/m²</t>
        </is>
      </c>
      <c r="I181" s="27" t="n">
        <v>2.12</v>
      </c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  <c r="Z181" s="64" t="n"/>
    </row>
    <row r="182">
      <c r="A182" s="30" t="inlineStr">
        <is>
          <t>3</t>
        </is>
      </c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  <c r="Z182" s="64" t="n"/>
    </row>
    <row r="183">
      <c r="A183" s="30" t="inlineStr">
        <is>
          <t>3</t>
        </is>
      </c>
      <c r="B183" s="31" t="inlineStr">
        <is>
          <t>Tornillo Cincado Metal-Metal PB Ø3,5x9,5 mm - 1000 ud</t>
        </is>
      </c>
      <c r="C183" s="30" t="inlineStr">
        <is>
          <t>304134</t>
        </is>
      </c>
      <c r="D183" s="30" t="inlineStr">
        <is>
          <t>Caja 1000 ud</t>
        </is>
      </c>
      <c r="E183" s="30" t="inlineStr">
        <is>
          <t>7,19 €/caja</t>
        </is>
      </c>
      <c r="F183" s="30" t="inlineStr">
        <is>
          <t>0,007 €/ud</t>
        </is>
      </c>
      <c r="G183" s="26" t="n">
        <v>3</v>
      </c>
      <c r="H183" s="30" t="inlineStr">
        <is>
          <t>ud/m²</t>
        </is>
      </c>
      <c r="I183" s="27" t="n">
        <v>0.02</v>
      </c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  <c r="Z183" s="64" t="n"/>
    </row>
    <row r="184">
      <c r="A184" s="32" t="inlineStr">
        <is>
          <t>4</t>
        </is>
      </c>
      <c r="B184" s="33" t="inlineStr">
        <is>
          <t>Fassajoint 1H - Saco 10 kg</t>
        </is>
      </c>
      <c r="C184" s="32" t="inlineStr">
        <is>
          <t>351E1</t>
        </is>
      </c>
      <c r="D184" s="32" t="inlineStr">
        <is>
          <t>Saco 10 kg</t>
        </is>
      </c>
      <c r="E184" s="32" t="inlineStr">
        <is>
          <t>6,63 €/saco</t>
        </is>
      </c>
      <c r="F184" s="32" t="inlineStr">
        <is>
          <t>0,663 €/kg</t>
        </is>
      </c>
      <c r="G184" s="26" t="n">
        <v>0.35</v>
      </c>
      <c r="H184" s="32" t="inlineStr">
        <is>
          <t>kg/m²</t>
        </is>
      </c>
      <c r="I184" s="27" t="n">
        <v>0.23</v>
      </c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  <c r="Z184" s="64" t="n"/>
    </row>
    <row r="185">
      <c r="A185" s="34" t="inlineStr">
        <is>
          <t>5</t>
        </is>
      </c>
      <c r="B185" s="35" t="inlineStr">
        <is>
          <t>Cinta de Juntas 50 mm - Rollo 150 ml</t>
        </is>
      </c>
      <c r="C185" s="34" t="inlineStr">
        <is>
          <t>304058</t>
        </is>
      </c>
      <c r="D185" s="34" t="inlineStr">
        <is>
          <t>Rollo 150 ml</t>
        </is>
      </c>
      <c r="E185" s="34" t="inlineStr">
        <is>
          <t>4,19 €/rollo</t>
        </is>
      </c>
      <c r="F185" s="34" t="inlineStr">
        <is>
          <t>0,028 €/ml</t>
        </is>
      </c>
      <c r="G185" s="26" t="n">
        <v>1.1</v>
      </c>
      <c r="H185" s="34" t="inlineStr">
        <is>
          <t>ml/m²</t>
        </is>
      </c>
      <c r="I185" s="27" t="n">
        <v>0.03</v>
      </c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  <c r="Z185" s="64" t="n"/>
    </row>
    <row r="186">
      <c r="A186" s="34" t="inlineStr">
        <is>
          <t>5</t>
        </is>
      </c>
      <c r="B186" s="35" t="inlineStr">
        <is>
          <t>Banda Estanca Monoadhesiva 50 mm - Rollo 30 ml</t>
        </is>
      </c>
      <c r="C186" s="34" t="inlineStr">
        <is>
          <t>304075</t>
        </is>
      </c>
      <c r="D186" s="34" t="inlineStr">
        <is>
          <t>Rollo 30 ml</t>
        </is>
      </c>
      <c r="E186" s="34" t="inlineStr">
        <is>
          <t>5,79 €/rollo</t>
        </is>
      </c>
      <c r="F186" s="34" t="inlineStr">
        <is>
          <t>0,193 €/ml</t>
        </is>
      </c>
      <c r="G186" s="26" t="n">
        <v>1.72</v>
      </c>
      <c r="H186" s="34" t="inlineStr">
        <is>
          <t>ml/m²</t>
        </is>
      </c>
      <c r="I186" s="27" t="n">
        <v>0.33</v>
      </c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  <c r="Z186" s="64" t="n"/>
    </row>
    <row r="187">
      <c r="A187" s="36" t="inlineStr">
        <is>
          <t>TOTAL COSTE MATERIAL / m² sistema</t>
        </is>
      </c>
      <c r="B187" s="37" t="n"/>
      <c r="C187" s="37" t="n"/>
      <c r="D187" s="37" t="n"/>
      <c r="E187" s="37" t="n"/>
      <c r="F187" s="37" t="n"/>
      <c r="G187" s="37" t="n"/>
      <c r="H187" s="37" t="n"/>
      <c r="I187" s="38" t="inlineStr">
        <is>
          <t>7.69 €</t>
        </is>
      </c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  <c r="Z187" s="64" t="n"/>
    </row>
    <row r="188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  <c r="Z188" s="64" t="n"/>
    </row>
    <row r="189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  <c r="Z189" s="64" t="n"/>
    </row>
    <row r="190">
      <c r="A190" s="39" t="inlineStr">
        <is>
          <t xml:space="preserve">  SISTEMA 9A — TECHO SUSPENDIDO AQUA H2  | Sierra TC47 + TC47 Z1 · AQUA H2 BA 12,5 mm - 1200x2000 · Sierra c/900 mm · TC47 c/500 mm</t>
        </is>
      </c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  <c r="Z190" s="64" t="n"/>
    </row>
    <row r="191">
      <c r="A191" s="24" t="inlineStr">
        <is>
          <t>2</t>
        </is>
      </c>
      <c r="B191" s="25" t="inlineStr">
        <is>
          <t>Perfil Sierra TC47/48/60 Z1 - 3000 mm</t>
        </is>
      </c>
      <c r="C191" s="24" t="inlineStr">
        <is>
          <t>U472447300A</t>
        </is>
      </c>
      <c r="D191" s="24" t="inlineStr">
        <is>
          <t>Barra 3000 mm</t>
        </is>
      </c>
      <c r="E191" s="24" t="inlineStr">
        <is>
          <t>3,35 €/barra</t>
        </is>
      </c>
      <c r="F191" s="24" t="inlineStr">
        <is>
          <t>1,115 €/ml</t>
        </is>
      </c>
      <c r="G191" s="26" t="n">
        <v>1.11</v>
      </c>
      <c r="H191" s="24" t="inlineStr">
        <is>
          <t>ml/m²</t>
        </is>
      </c>
      <c r="I191" s="27" t="n">
        <v>1.24</v>
      </c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  <c r="Z191" s="64" t="n"/>
    </row>
    <row r="192">
      <c r="A192" s="24" t="inlineStr">
        <is>
          <t>2</t>
        </is>
      </c>
      <c r="B192" s="25" t="inlineStr">
        <is>
          <t>Perfil Techo Continuo TC47 Z1 - 3000 mm</t>
        </is>
      </c>
      <c r="C192" s="24" t="inlineStr">
        <is>
          <t>C174717300A</t>
        </is>
      </c>
      <c r="D192" s="24" t="inlineStr">
        <is>
          <t>Barra 3000 mm</t>
        </is>
      </c>
      <c r="E192" s="24" t="inlineStr">
        <is>
          <t>1,70 €/barra</t>
        </is>
      </c>
      <c r="F192" s="24" t="inlineStr">
        <is>
          <t>0,565 €/ml</t>
        </is>
      </c>
      <c r="G192" s="26" t="n">
        <v>2</v>
      </c>
      <c r="H192" s="24" t="inlineStr">
        <is>
          <t>ml/m²</t>
        </is>
      </c>
      <c r="I192" s="27" t="n">
        <v>1.13</v>
      </c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  <c r="Z192" s="64" t="n"/>
    </row>
    <row r="193">
      <c r="A193" s="24" t="inlineStr">
        <is>
          <t>2</t>
        </is>
      </c>
      <c r="B193" s="25" t="inlineStr">
        <is>
          <t>Perfil Angular Z1 23x34 - 3000 mm</t>
        </is>
      </c>
      <c r="C193" s="24" t="inlineStr">
        <is>
          <t>L2334300A</t>
        </is>
      </c>
      <c r="D193" s="24" t="inlineStr">
        <is>
          <t>Barra 3000 mm</t>
        </is>
      </c>
      <c r="E193" s="24" t="inlineStr">
        <is>
          <t>1,26 €/barra</t>
        </is>
      </c>
      <c r="F193" s="24" t="inlineStr">
        <is>
          <t>0,420 €/ml</t>
        </is>
      </c>
      <c r="G193" s="26" t="n">
        <v>0.4</v>
      </c>
      <c r="H193" s="24" t="inlineStr">
        <is>
          <t>ml/m²</t>
        </is>
      </c>
      <c r="I193" s="27" t="n">
        <v>0.17</v>
      </c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  <c r="Z193" s="64" t="n"/>
    </row>
    <row r="194">
      <c r="A194" s="51" t="inlineStr">
        <is>
          <t>6</t>
        </is>
      </c>
      <c r="B194" s="52" t="inlineStr">
        <is>
          <t>Horquilla Cuelgue Rápida M6 TC47 - Caja 100 ud</t>
        </is>
      </c>
      <c r="C194" s="51" t="inlineStr">
        <is>
          <t>304000</t>
        </is>
      </c>
      <c r="D194" s="51" t="inlineStr">
        <is>
          <t>Caja 100 ud</t>
        </is>
      </c>
      <c r="E194" s="51" t="inlineStr">
        <is>
          <t>9,74 €/caja</t>
        </is>
      </c>
      <c r="F194" s="51" t="inlineStr">
        <is>
          <t>0,097 €/ud</t>
        </is>
      </c>
      <c r="G194" s="26" t="n">
        <v>1.75</v>
      </c>
      <c r="H194" s="51" t="inlineStr">
        <is>
          <t>ud/m²</t>
        </is>
      </c>
      <c r="I194" s="27" t="n">
        <v>0.17</v>
      </c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  <c r="Z194" s="64" t="n"/>
    </row>
    <row r="195">
      <c r="A195" s="51" t="inlineStr">
        <is>
          <t>6</t>
        </is>
      </c>
      <c r="B195" s="52" t="inlineStr">
        <is>
          <t>Varilla Roscada M6 - 1000 mm</t>
        </is>
      </c>
      <c r="C195" s="51" t="inlineStr">
        <is>
          <t>304095</t>
        </is>
      </c>
      <c r="D195" s="51" t="inlineStr">
        <is>
          <t>Ud</t>
        </is>
      </c>
      <c r="E195" s="51" t="inlineStr">
        <is>
          <t>0,44 €/ud</t>
        </is>
      </c>
      <c r="F195" s="51" t="inlineStr">
        <is>
          <t>0,440 €/ud</t>
        </is>
      </c>
      <c r="G195" s="26" t="n">
        <v>1.75</v>
      </c>
      <c r="H195" s="51" t="inlineStr">
        <is>
          <t>ud/m²</t>
        </is>
      </c>
      <c r="I195" s="27" t="n">
        <v>0.77</v>
      </c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  <c r="Z195" s="64" t="n"/>
    </row>
    <row r="196">
      <c r="A196" s="51" t="inlineStr">
        <is>
          <t>6</t>
        </is>
      </c>
      <c r="I196" s="27" t="n">
        <v>0.3</v>
      </c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  <c r="Z196" s="64" t="n"/>
    </row>
    <row r="197">
      <c r="A197" s="51" t="inlineStr">
        <is>
          <t>6</t>
        </is>
      </c>
      <c r="B197" s="52" t="inlineStr">
        <is>
          <t>Cruceta TC47 - Caja 50 ud</t>
        </is>
      </c>
      <c r="C197" s="51" t="inlineStr">
        <is>
          <t>304014</t>
        </is>
      </c>
      <c r="D197" s="51" t="inlineStr">
        <is>
          <t>Caja 50 ud</t>
        </is>
      </c>
      <c r="E197" s="51" t="inlineStr">
        <is>
          <t>11,19 €/caja</t>
        </is>
      </c>
      <c r="F197" s="51" t="inlineStr">
        <is>
          <t>0,224 €/ud</t>
        </is>
      </c>
      <c r="G197" s="26" t="n">
        <v>0.8</v>
      </c>
      <c r="H197" s="51" t="inlineStr">
        <is>
          <t>ud/m²</t>
        </is>
      </c>
      <c r="I197" s="27" t="n">
        <v>0.18</v>
      </c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  <c r="Z197" s="64" t="n"/>
    </row>
    <row r="198">
      <c r="A198" s="28" t="inlineStr">
        <is>
          <t>1</t>
        </is>
      </c>
      <c r="B198" s="29" t="inlineStr">
        <is>
          <t>Gypsotech AQUA H2 BA 12,5 mm - 1200x2000</t>
        </is>
      </c>
      <c r="C198" s="28" t="inlineStr">
        <is>
          <t>P00H003200A0</t>
        </is>
      </c>
      <c r="D198" s="28" t="inlineStr">
        <is>
          <t>Palé 60 ud / 144 m²</t>
        </is>
      </c>
      <c r="E198" s="28" t="inlineStr">
        <is>
          <t>3,35 €/m²</t>
        </is>
      </c>
      <c r="F198" s="28" t="inlineStr">
        <is>
          <t>3,355 €/m²</t>
        </is>
      </c>
      <c r="G198" s="26" t="n">
        <v>1.05</v>
      </c>
      <c r="H198" s="28" t="inlineStr">
        <is>
          <t>m²/m²</t>
        </is>
      </c>
      <c r="I198" s="27" t="n">
        <v>3.52</v>
      </c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  <c r="Z198" s="64" t="n"/>
    </row>
    <row r="199">
      <c r="A199" s="30" t="inlineStr">
        <is>
          <t>3</t>
        </is>
      </c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  <c r="Z199" s="64" t="n"/>
    </row>
    <row r="200">
      <c r="A200" s="30" t="inlineStr">
        <is>
          <t>3</t>
        </is>
      </c>
      <c r="B200" s="31" t="inlineStr">
        <is>
          <t>Tornillo Cincado Metal-Metal PB Ø3,5x9,5 mm - 1000 ud</t>
        </is>
      </c>
      <c r="C200" s="30" t="inlineStr">
        <is>
          <t>304134</t>
        </is>
      </c>
      <c r="D200" s="30" t="inlineStr">
        <is>
          <t>Caja 1000 ud</t>
        </is>
      </c>
      <c r="E200" s="30" t="inlineStr">
        <is>
          <t>7,19 €/caja</t>
        </is>
      </c>
      <c r="F200" s="30" t="inlineStr">
        <is>
          <t>0,007 €/ud</t>
        </is>
      </c>
      <c r="G200" s="26" t="n">
        <v>3</v>
      </c>
      <c r="H200" s="30" t="inlineStr">
        <is>
          <t>ud/m²</t>
        </is>
      </c>
      <c r="I200" s="27" t="n">
        <v>0.02</v>
      </c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  <c r="Z200" s="64" t="n"/>
    </row>
    <row r="201">
      <c r="A201" s="32" t="inlineStr">
        <is>
          <t>4</t>
        </is>
      </c>
      <c r="B201" s="33" t="inlineStr">
        <is>
          <t>Fassajoint 1H - Saco 10 kg</t>
        </is>
      </c>
      <c r="C201" s="32" t="inlineStr">
        <is>
          <t>351E1</t>
        </is>
      </c>
      <c r="D201" s="32" t="inlineStr">
        <is>
          <t>Saco 10 kg</t>
        </is>
      </c>
      <c r="E201" s="32" t="inlineStr">
        <is>
          <t>6,63 €/saco</t>
        </is>
      </c>
      <c r="F201" s="32" t="inlineStr">
        <is>
          <t>0,663 €/kg</t>
        </is>
      </c>
      <c r="G201" s="26" t="n">
        <v>0.35</v>
      </c>
      <c r="H201" s="32" t="inlineStr">
        <is>
          <t>kg/m²</t>
        </is>
      </c>
      <c r="I201" s="27" t="n">
        <v>0.23</v>
      </c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</row>
    <row r="202">
      <c r="A202" s="34" t="inlineStr">
        <is>
          <t>5</t>
        </is>
      </c>
      <c r="B202" s="35" t="inlineStr">
        <is>
          <t>Cinta de Juntas 50 mm - Rollo 150 ml</t>
        </is>
      </c>
      <c r="C202" s="34" t="inlineStr">
        <is>
          <t>304058</t>
        </is>
      </c>
      <c r="D202" s="34" t="inlineStr">
        <is>
          <t>Rollo 150 ml</t>
        </is>
      </c>
      <c r="E202" s="34" t="inlineStr">
        <is>
          <t>4,19 €/rollo</t>
        </is>
      </c>
      <c r="F202" s="34" t="inlineStr">
        <is>
          <t>0,028 €/ml</t>
        </is>
      </c>
      <c r="G202" s="26" t="n">
        <v>1.1</v>
      </c>
      <c r="H202" s="34" t="inlineStr">
        <is>
          <t>ml/m²</t>
        </is>
      </c>
      <c r="I202" s="27" t="n">
        <v>0.03</v>
      </c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</row>
    <row r="203">
      <c r="A203" s="34" t="inlineStr">
        <is>
          <t>5</t>
        </is>
      </c>
      <c r="B203" s="35" t="inlineStr">
        <is>
          <t>Banda Estanca Monoadhesiva 50 mm - Rollo 30 ml</t>
        </is>
      </c>
      <c r="C203" s="34" t="inlineStr">
        <is>
          <t>304075</t>
        </is>
      </c>
      <c r="D203" s="34" t="inlineStr">
        <is>
          <t>Rollo 30 ml</t>
        </is>
      </c>
      <c r="E203" s="34" t="inlineStr">
        <is>
          <t>5,79 €/rollo</t>
        </is>
      </c>
      <c r="F203" s="34" t="inlineStr">
        <is>
          <t>0,193 €/ml</t>
        </is>
      </c>
      <c r="G203" s="26" t="n">
        <v>1.72</v>
      </c>
      <c r="H203" s="34" t="inlineStr">
        <is>
          <t>ml/m²</t>
        </is>
      </c>
      <c r="I203" s="27" t="n">
        <v>0.33</v>
      </c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</row>
    <row r="204">
      <c r="A204" s="36" t="inlineStr">
        <is>
          <t>TOTAL COSTE MATERIAL / m² sistema</t>
        </is>
      </c>
      <c r="B204" s="37" t="n"/>
      <c r="C204" s="37" t="n"/>
      <c r="D204" s="37" t="n"/>
      <c r="E204" s="37" t="n"/>
      <c r="F204" s="37" t="n"/>
      <c r="G204" s="37" t="n"/>
      <c r="H204" s="37" t="n"/>
      <c r="I204" s="38" t="inlineStr">
        <is>
          <t>8.19 €</t>
        </is>
      </c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</row>
    <row r="205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</row>
    <row r="206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</row>
    <row r="207">
      <c r="A207" s="39" t="inlineStr">
        <is>
          <t xml:space="preserve">  SISTEMA 9B — TECHO SUSPENDIDO AQUA H2 REFORZADO  | Sierra TC47 + TC47 Z1 · AQUA H2 BA 12,5 mm - 1200x2000 · Sierra c/600 mm · TC47 c/400 mm</t>
        </is>
      </c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</row>
    <row r="208">
      <c r="A208" s="24" t="inlineStr">
        <is>
          <t>2</t>
        </is>
      </c>
      <c r="B208" s="25" t="inlineStr">
        <is>
          <t>Perfil Sierra TC47/48/60 Z1 - 3000 mm</t>
        </is>
      </c>
      <c r="C208" s="24" t="inlineStr">
        <is>
          <t>U472447300A</t>
        </is>
      </c>
      <c r="D208" s="24" t="inlineStr">
        <is>
          <t>Barra 3000 mm</t>
        </is>
      </c>
      <c r="E208" s="24" t="inlineStr">
        <is>
          <t>3,35 €/barra</t>
        </is>
      </c>
      <c r="F208" s="24" t="inlineStr">
        <is>
          <t>1,115 €/ml</t>
        </is>
      </c>
      <c r="G208" s="26" t="n">
        <v>1.67</v>
      </c>
      <c r="H208" s="24" t="inlineStr">
        <is>
          <t>ml/m²</t>
        </is>
      </c>
      <c r="I208" s="27" t="n">
        <v>1.86</v>
      </c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</row>
    <row r="209">
      <c r="A209" s="24" t="inlineStr">
        <is>
          <t>2</t>
        </is>
      </c>
      <c r="B209" s="25" t="inlineStr">
        <is>
          <t>Perfil Techo Continuo TC47 Z1 - 3000 mm</t>
        </is>
      </c>
      <c r="C209" s="24" t="inlineStr">
        <is>
          <t>C174717300A</t>
        </is>
      </c>
      <c r="D209" s="24" t="inlineStr">
        <is>
          <t>Barra 3000 mm</t>
        </is>
      </c>
      <c r="E209" s="24" t="inlineStr">
        <is>
          <t>1,70 €/barra</t>
        </is>
      </c>
      <c r="F209" s="24" t="inlineStr">
        <is>
          <t>0,565 €/ml</t>
        </is>
      </c>
      <c r="G209" s="26" t="n">
        <v>2.5</v>
      </c>
      <c r="H209" s="24" t="inlineStr">
        <is>
          <t>ml/m²</t>
        </is>
      </c>
      <c r="I209" s="27" t="n">
        <v>1.41</v>
      </c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</row>
    <row r="210">
      <c r="A210" s="24" t="inlineStr">
        <is>
          <t>2</t>
        </is>
      </c>
      <c r="B210" s="25" t="inlineStr">
        <is>
          <t>Perfil Angular Z1 23x34 - 3000 mm</t>
        </is>
      </c>
      <c r="C210" s="24" t="inlineStr">
        <is>
          <t>L2334300A</t>
        </is>
      </c>
      <c r="D210" s="24" t="inlineStr">
        <is>
          <t>Barra 3000 mm</t>
        </is>
      </c>
      <c r="E210" s="24" t="inlineStr">
        <is>
          <t>1,26 €/barra</t>
        </is>
      </c>
      <c r="F210" s="24" t="inlineStr">
        <is>
          <t>0,420 €/ml</t>
        </is>
      </c>
      <c r="G210" s="26" t="n">
        <v>0.4</v>
      </c>
      <c r="H210" s="24" t="inlineStr">
        <is>
          <t>ml/m²</t>
        </is>
      </c>
      <c r="I210" s="27" t="n">
        <v>0.17</v>
      </c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</row>
    <row r="211">
      <c r="A211" s="51" t="inlineStr">
        <is>
          <t>6</t>
        </is>
      </c>
      <c r="B211" s="52" t="inlineStr">
        <is>
          <t>Horquilla Cuelgue Rápida M6 TC47 - Caja 100 ud</t>
        </is>
      </c>
      <c r="C211" s="51" t="inlineStr">
        <is>
          <t>304000</t>
        </is>
      </c>
      <c r="D211" s="51" t="inlineStr">
        <is>
          <t>Caja 100 ud</t>
        </is>
      </c>
      <c r="E211" s="51" t="inlineStr">
        <is>
          <t>9,74 €/caja</t>
        </is>
      </c>
      <c r="F211" s="51" t="inlineStr">
        <is>
          <t>0,097 €/ud</t>
        </is>
      </c>
      <c r="G211" s="26" t="n">
        <v>1.75</v>
      </c>
      <c r="H211" s="51" t="inlineStr">
        <is>
          <t>ud/m²</t>
        </is>
      </c>
      <c r="I211" s="27" t="n">
        <v>0.17</v>
      </c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</row>
    <row r="212">
      <c r="A212" s="51" t="inlineStr">
        <is>
          <t>6</t>
        </is>
      </c>
      <c r="B212" s="52" t="inlineStr">
        <is>
          <t>Varilla Roscada M6 - 1000 mm</t>
        </is>
      </c>
      <c r="C212" s="51" t="inlineStr">
        <is>
          <t>304095</t>
        </is>
      </c>
      <c r="D212" s="51" t="inlineStr">
        <is>
          <t>Ud</t>
        </is>
      </c>
      <c r="E212" s="51" t="inlineStr">
        <is>
          <t>0,44 €/ud</t>
        </is>
      </c>
      <c r="F212" s="51" t="inlineStr">
        <is>
          <t>0,440 €/ud</t>
        </is>
      </c>
      <c r="G212" s="26" t="n">
        <v>1.75</v>
      </c>
      <c r="H212" s="51" t="inlineStr">
        <is>
          <t>ud/m²</t>
        </is>
      </c>
      <c r="I212" s="27" t="n">
        <v>0.77</v>
      </c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</row>
    <row r="213">
      <c r="A213" s="51" t="inlineStr">
        <is>
          <t>6</t>
        </is>
      </c>
      <c r="I213" s="27" t="n">
        <v>0.3</v>
      </c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  <c r="Z213" s="64" t="n"/>
    </row>
    <row r="214">
      <c r="A214" s="51" t="inlineStr">
        <is>
          <t>6</t>
        </is>
      </c>
      <c r="B214" s="52" t="inlineStr">
        <is>
          <t>Cruceta TC47 - Caja 50 ud</t>
        </is>
      </c>
      <c r="C214" s="51" t="inlineStr">
        <is>
          <t>304014</t>
        </is>
      </c>
      <c r="D214" s="51" t="inlineStr">
        <is>
          <t>Caja 50 ud</t>
        </is>
      </c>
      <c r="E214" s="51" t="inlineStr">
        <is>
          <t>11,19 €/caja</t>
        </is>
      </c>
      <c r="F214" s="51" t="inlineStr">
        <is>
          <t>0,224 €/ud</t>
        </is>
      </c>
      <c r="G214" s="26" t="n">
        <v>0.8</v>
      </c>
      <c r="H214" s="51" t="inlineStr">
        <is>
          <t>ud/m²</t>
        </is>
      </c>
      <c r="I214" s="27" t="n">
        <v>0.18</v>
      </c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  <c r="Z214" s="64" t="n"/>
    </row>
    <row r="215">
      <c r="A215" s="28" t="inlineStr">
        <is>
          <t>1</t>
        </is>
      </c>
      <c r="B215" s="29" t="inlineStr">
        <is>
          <t>Gypsotech AQUA H2 BA 12,5 mm - 1200x2000</t>
        </is>
      </c>
      <c r="C215" s="28" t="inlineStr">
        <is>
          <t>P00H003200A0</t>
        </is>
      </c>
      <c r="D215" s="28" t="inlineStr">
        <is>
          <t>Palé 60 ud / 144 m²</t>
        </is>
      </c>
      <c r="E215" s="28" t="inlineStr">
        <is>
          <t>3,35 €/m²</t>
        </is>
      </c>
      <c r="F215" s="28" t="inlineStr">
        <is>
          <t>3,355 €/m²</t>
        </is>
      </c>
      <c r="G215" s="26" t="n">
        <v>1.05</v>
      </c>
      <c r="H215" s="28" t="inlineStr">
        <is>
          <t>m²/m²</t>
        </is>
      </c>
      <c r="I215" s="27" t="n">
        <v>3.52</v>
      </c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</row>
    <row r="216">
      <c r="A216" s="30" t="inlineStr">
        <is>
          <t>3</t>
        </is>
      </c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</row>
    <row r="217">
      <c r="A217" s="30" t="inlineStr">
        <is>
          <t>3</t>
        </is>
      </c>
      <c r="B217" s="31" t="inlineStr">
        <is>
          <t>Tornillo Cincado Metal-Metal PB Ø3,5x9,5 mm - 1000 ud</t>
        </is>
      </c>
      <c r="C217" s="30" t="inlineStr">
        <is>
          <t>304134</t>
        </is>
      </c>
      <c r="D217" s="30" t="inlineStr">
        <is>
          <t>Caja 1000 ud</t>
        </is>
      </c>
      <c r="E217" s="30" t="inlineStr">
        <is>
          <t>7,19 €/caja</t>
        </is>
      </c>
      <c r="F217" s="30" t="inlineStr">
        <is>
          <t>0,007 €/ud</t>
        </is>
      </c>
      <c r="G217" s="26" t="n">
        <v>3</v>
      </c>
      <c r="H217" s="30" t="inlineStr">
        <is>
          <t>ud/m²</t>
        </is>
      </c>
      <c r="I217" s="27" t="n">
        <v>0.02</v>
      </c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</row>
    <row r="218">
      <c r="A218" s="32" t="inlineStr">
        <is>
          <t>4</t>
        </is>
      </c>
      <c r="B218" s="33" t="inlineStr">
        <is>
          <t>Fassajoint 1H - Saco 10 kg</t>
        </is>
      </c>
      <c r="C218" s="32" t="inlineStr">
        <is>
          <t>351E1</t>
        </is>
      </c>
      <c r="D218" s="32" t="inlineStr">
        <is>
          <t>Saco 10 kg</t>
        </is>
      </c>
      <c r="E218" s="32" t="inlineStr">
        <is>
          <t>6,63 €/saco</t>
        </is>
      </c>
      <c r="F218" s="32" t="inlineStr">
        <is>
          <t>0,663 €/kg</t>
        </is>
      </c>
      <c r="G218" s="26" t="n">
        <v>0.35</v>
      </c>
      <c r="H218" s="32" t="inlineStr">
        <is>
          <t>kg/m²</t>
        </is>
      </c>
      <c r="I218" s="27" t="n">
        <v>0.23</v>
      </c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</row>
    <row r="219">
      <c r="A219" s="34" t="inlineStr">
        <is>
          <t>5</t>
        </is>
      </c>
      <c r="B219" s="35" t="inlineStr">
        <is>
          <t>Cinta de Juntas 50 mm - Rollo 150 ml</t>
        </is>
      </c>
      <c r="C219" s="34" t="inlineStr">
        <is>
          <t>304058</t>
        </is>
      </c>
      <c r="D219" s="34" t="inlineStr">
        <is>
          <t>Rollo 150 ml</t>
        </is>
      </c>
      <c r="E219" s="34" t="inlineStr">
        <is>
          <t>4,19 €/rollo</t>
        </is>
      </c>
      <c r="F219" s="34" t="inlineStr">
        <is>
          <t>0,028 €/ml</t>
        </is>
      </c>
      <c r="G219" s="26" t="n">
        <v>1.1</v>
      </c>
      <c r="H219" s="34" t="inlineStr">
        <is>
          <t>ml/m²</t>
        </is>
      </c>
      <c r="I219" s="27" t="n">
        <v>0.03</v>
      </c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</row>
    <row r="220">
      <c r="A220" s="34" t="inlineStr">
        <is>
          <t>5</t>
        </is>
      </c>
      <c r="B220" s="35" t="inlineStr">
        <is>
          <t>Banda Estanca Monoadhesiva 50 mm - Rollo 30 ml</t>
        </is>
      </c>
      <c r="C220" s="34" t="inlineStr">
        <is>
          <t>304075</t>
        </is>
      </c>
      <c r="D220" s="34" t="inlineStr">
        <is>
          <t>Rollo 30 ml</t>
        </is>
      </c>
      <c r="E220" s="34" t="inlineStr">
        <is>
          <t>5,79 €/rollo</t>
        </is>
      </c>
      <c r="F220" s="34" t="inlineStr">
        <is>
          <t>0,193 €/ml</t>
        </is>
      </c>
      <c r="G220" s="26" t="n">
        <v>1.72</v>
      </c>
      <c r="H220" s="34" t="inlineStr">
        <is>
          <t>ml/m²</t>
        </is>
      </c>
      <c r="I220" s="27" t="n">
        <v>0.33</v>
      </c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</row>
    <row r="221">
      <c r="A221" s="36" t="inlineStr">
        <is>
          <t>TOTAL COSTE MATERIAL / m² sistema</t>
        </is>
      </c>
      <c r="B221" s="37" t="n"/>
      <c r="C221" s="37" t="n"/>
      <c r="D221" s="37" t="n"/>
      <c r="E221" s="37" t="n"/>
      <c r="F221" s="37" t="n"/>
      <c r="G221" s="37" t="n"/>
      <c r="H221" s="37" t="n"/>
      <c r="I221" s="38" t="inlineStr">
        <is>
          <t>9.09 €</t>
        </is>
      </c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</row>
    <row r="22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</row>
    <row r="223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</row>
    <row r="224">
      <c r="A224" s="39" t="inlineStr">
        <is>
          <t xml:space="preserve">  SISTEMA 10 — TECHO SUSPENDIDO SEMI-INTEMPERIE  | Sierra TC47 + TC47 Z1 · EXTERNA LIGHT BR 12,5 mm - 1200x2000 · Sierra c/600 mm · TC47 c/400 mm</t>
        </is>
      </c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</row>
    <row r="225">
      <c r="A225" s="24" t="inlineStr">
        <is>
          <t>2</t>
        </is>
      </c>
      <c r="B225" s="25" t="inlineStr">
        <is>
          <t>Perfil Sierra TC47/48/60 Z1 - 3000 mm</t>
        </is>
      </c>
      <c r="C225" s="24" t="inlineStr">
        <is>
          <t>U472447300A</t>
        </is>
      </c>
      <c r="D225" s="24" t="inlineStr">
        <is>
          <t>Barra 3000 mm</t>
        </is>
      </c>
      <c r="E225" s="24" t="inlineStr">
        <is>
          <t>3,35 €/barra</t>
        </is>
      </c>
      <c r="F225" s="24" t="inlineStr">
        <is>
          <t>1,115 €/ml</t>
        </is>
      </c>
      <c r="G225" s="26" t="n">
        <v>1.67</v>
      </c>
      <c r="H225" s="24" t="inlineStr">
        <is>
          <t>ml/m²</t>
        </is>
      </c>
      <c r="I225" s="27" t="n">
        <v>1.86</v>
      </c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</row>
    <row r="226">
      <c r="A226" s="24" t="inlineStr">
        <is>
          <t>2</t>
        </is>
      </c>
      <c r="B226" s="25" t="inlineStr">
        <is>
          <t>Perfil Techo Continuo TC47 Z1 - 3000 mm</t>
        </is>
      </c>
      <c r="C226" s="24" t="inlineStr">
        <is>
          <t>C174717300A</t>
        </is>
      </c>
      <c r="D226" s="24" t="inlineStr">
        <is>
          <t>Barra 3000 mm</t>
        </is>
      </c>
      <c r="E226" s="24" t="inlineStr">
        <is>
          <t>1,70 €/barra</t>
        </is>
      </c>
      <c r="F226" s="24" t="inlineStr">
        <is>
          <t>0,565 €/ml</t>
        </is>
      </c>
      <c r="G226" s="26" t="n">
        <v>2.5</v>
      </c>
      <c r="H226" s="24" t="inlineStr">
        <is>
          <t>ml/m²</t>
        </is>
      </c>
      <c r="I226" s="27" t="n">
        <v>1.41</v>
      </c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</row>
    <row r="227">
      <c r="A227" s="24" t="inlineStr">
        <is>
          <t>2</t>
        </is>
      </c>
      <c r="B227" s="25" t="inlineStr">
        <is>
          <t>Perfil Angular Z1 23x34 - 3000 mm</t>
        </is>
      </c>
      <c r="C227" s="24" t="inlineStr">
        <is>
          <t>L2334300A</t>
        </is>
      </c>
      <c r="D227" s="24" t="inlineStr">
        <is>
          <t>Barra 3000 mm</t>
        </is>
      </c>
      <c r="E227" s="24" t="inlineStr">
        <is>
          <t>1,26 €/barra</t>
        </is>
      </c>
      <c r="F227" s="24" t="inlineStr">
        <is>
          <t>0,420 €/ml</t>
        </is>
      </c>
      <c r="G227" s="26" t="n">
        <v>0.4</v>
      </c>
      <c r="H227" s="24" t="inlineStr">
        <is>
          <t>ml/m²</t>
        </is>
      </c>
      <c r="I227" s="27" t="n">
        <v>0.17</v>
      </c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  <c r="Z227" s="64" t="n"/>
    </row>
    <row r="228">
      <c r="A228" s="51" t="inlineStr">
        <is>
          <t>6</t>
        </is>
      </c>
      <c r="B228" s="52" t="inlineStr">
        <is>
          <t>Horquilla Cuelgue Rápida M6 TC47 - Caja 100 ud</t>
        </is>
      </c>
      <c r="C228" s="51" t="inlineStr">
        <is>
          <t>304000</t>
        </is>
      </c>
      <c r="D228" s="51" t="inlineStr">
        <is>
          <t>Caja 100 ud</t>
        </is>
      </c>
      <c r="E228" s="51" t="inlineStr">
        <is>
          <t>9,74 €/caja</t>
        </is>
      </c>
      <c r="F228" s="51" t="inlineStr">
        <is>
          <t>0,097 €/ud</t>
        </is>
      </c>
      <c r="G228" s="26" t="n">
        <v>1.75</v>
      </c>
      <c r="H228" s="51" t="inlineStr">
        <is>
          <t>ud/m²</t>
        </is>
      </c>
      <c r="I228" s="27" t="n">
        <v>0.17</v>
      </c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  <c r="Z228" s="64" t="n"/>
    </row>
    <row r="229">
      <c r="A229" s="51" t="inlineStr">
        <is>
          <t>6</t>
        </is>
      </c>
      <c r="I229" s="27" t="n">
        <v>0.77</v>
      </c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</row>
    <row r="230">
      <c r="A230" s="51" t="inlineStr">
        <is>
          <t>6</t>
        </is>
      </c>
      <c r="B230" s="52" t="inlineStr">
        <is>
          <t>Anclaje Directo 47x120 mm - Caja 100 ud</t>
        </is>
      </c>
      <c r="C230" s="51" t="inlineStr">
        <is>
          <t>304029</t>
        </is>
      </c>
      <c r="D230" s="51" t="inlineStr">
        <is>
          <t>Caja 100 ud</t>
        </is>
      </c>
      <c r="E230" s="51" t="inlineStr">
        <is>
          <t>16,98 €/caja</t>
        </is>
      </c>
      <c r="F230" s="51" t="inlineStr">
        <is>
          <t>0,170 €/ud</t>
        </is>
      </c>
      <c r="G230" s="26" t="n">
        <v>1.75</v>
      </c>
      <c r="H230" s="51" t="inlineStr">
        <is>
          <t>ud/m²</t>
        </is>
      </c>
      <c r="I230" s="27" t="n">
        <v>0.3</v>
      </c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</row>
    <row r="231">
      <c r="A231" s="51" t="inlineStr">
        <is>
          <t>6</t>
        </is>
      </c>
      <c r="B231" s="52" t="inlineStr">
        <is>
          <t>Cruceta TC47 - Caja 50 ud</t>
        </is>
      </c>
      <c r="C231" s="51" t="inlineStr">
        <is>
          <t>304014</t>
        </is>
      </c>
      <c r="D231" s="51" t="inlineStr">
        <is>
          <t>Caja 50 ud</t>
        </is>
      </c>
      <c r="E231" s="51" t="inlineStr">
        <is>
          <t>11,19 €/caja</t>
        </is>
      </c>
      <c r="F231" s="51" t="inlineStr">
        <is>
          <t>0,224 €/ud</t>
        </is>
      </c>
      <c r="G231" s="26" t="n">
        <v>0.8</v>
      </c>
      <c r="H231" s="51" t="inlineStr">
        <is>
          <t>ud/m²</t>
        </is>
      </c>
      <c r="I231" s="27" t="n">
        <v>0.18</v>
      </c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</row>
    <row r="232">
      <c r="A232" s="28" t="inlineStr">
        <is>
          <t>1</t>
        </is>
      </c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</row>
    <row r="233">
      <c r="A233" s="30" t="inlineStr">
        <is>
          <t>3</t>
        </is>
      </c>
      <c r="B233" s="31" t="inlineStr">
        <is>
          <t>Tornillo Cincado Externa Light PB Ø4,0x32 mm - 500 ud</t>
        </is>
      </c>
      <c r="C233" s="30" t="inlineStr">
        <is>
          <t>301244</t>
        </is>
      </c>
      <c r="D233" s="30" t="inlineStr">
        <is>
          <t>Caja 500 ud</t>
        </is>
      </c>
      <c r="E233" s="30" t="inlineStr">
        <is>
          <t>39,67 €/caja</t>
        </is>
      </c>
      <c r="F233" s="30" t="inlineStr">
        <is>
          <t>0,079 €/ud</t>
        </is>
      </c>
      <c r="G233" s="26" t="n">
        <v>15</v>
      </c>
      <c r="H233" s="30" t="inlineStr">
        <is>
          <t>ud/m²</t>
        </is>
      </c>
      <c r="I233" s="27" t="n">
        <v>1.19</v>
      </c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</row>
    <row r="234">
      <c r="A234" s="34" t="inlineStr">
        <is>
          <t>5</t>
        </is>
      </c>
      <c r="B234" s="35" t="inlineStr">
        <is>
          <t>Malla Externa Light 50 mm - Rollo 50 ml</t>
        </is>
      </c>
      <c r="C234" s="34" t="inlineStr">
        <is>
          <t>301121</t>
        </is>
      </c>
      <c r="D234" s="34" t="inlineStr">
        <is>
          <t>Rollo 50 ml</t>
        </is>
      </c>
      <c r="E234" s="34" t="inlineStr">
        <is>
          <t>16,80 €/rollo</t>
        </is>
      </c>
      <c r="F234" s="34" t="inlineStr">
        <is>
          <t>0,336 €/ml</t>
        </is>
      </c>
      <c r="G234" s="26" t="n">
        <v>1.1</v>
      </c>
      <c r="H234" s="34" t="inlineStr">
        <is>
          <t>ml/m²</t>
        </is>
      </c>
      <c r="I234" s="27" t="n">
        <v>0.37</v>
      </c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</row>
    <row r="235">
      <c r="A235" s="34" t="inlineStr">
        <is>
          <t>5</t>
        </is>
      </c>
      <c r="B235" s="35" t="inlineStr">
        <is>
          <t>Banda Estanca Monoadhesiva 50 mm - Rollo 30 ml</t>
        </is>
      </c>
      <c r="C235" s="34" t="inlineStr">
        <is>
          <t>304075</t>
        </is>
      </c>
      <c r="D235" s="34" t="inlineStr">
        <is>
          <t>Rollo 30 ml</t>
        </is>
      </c>
      <c r="E235" s="34" t="inlineStr">
        <is>
          <t>5,79 €/rollo</t>
        </is>
      </c>
      <c r="F235" s="34" t="inlineStr">
        <is>
          <t>0,193 €/ml</t>
        </is>
      </c>
      <c r="G235" s="26" t="n">
        <v>1.72</v>
      </c>
      <c r="H235" s="34" t="inlineStr">
        <is>
          <t>ml/m²</t>
        </is>
      </c>
      <c r="I235" s="27" t="n">
        <v>0.33</v>
      </c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</row>
    <row r="236">
      <c r="A236" s="54" t="n">
        <v>4</v>
      </c>
      <c r="B236" s="33" t="inlineStr">
        <is>
          <t>Gypsofiller - Bote 25 kg</t>
        </is>
      </c>
      <c r="C236" s="32" t="inlineStr">
        <is>
          <t>370</t>
        </is>
      </c>
      <c r="D236" s="32" t="inlineStr">
        <is>
          <t>Bote 25 kg</t>
        </is>
      </c>
      <c r="E236" s="32" t="inlineStr">
        <is>
          <t>23,58 €/bote</t>
        </is>
      </c>
      <c r="F236" s="32" t="inlineStr">
        <is>
          <t>0,943 €/kg</t>
        </is>
      </c>
      <c r="G236" s="26" t="n">
        <v>0.5</v>
      </c>
      <c r="H236" s="32" t="inlineStr">
        <is>
          <t>kg/m²</t>
        </is>
      </c>
      <c r="I236" s="27" t="n">
        <v>0.47</v>
      </c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</row>
    <row r="237">
      <c r="A237" s="36" t="inlineStr">
        <is>
          <t>TOTAL COSTE MATERIAL / m² sistema</t>
        </is>
      </c>
      <c r="B237" s="37" t="n"/>
      <c r="C237" s="37" t="n"/>
      <c r="D237" s="37" t="n"/>
      <c r="E237" s="37" t="n"/>
      <c r="F237" s="37" t="n"/>
      <c r="G237" s="37" t="n"/>
      <c r="H237" s="37" t="n"/>
      <c r="I237" s="38" t="inlineStr">
        <is>
          <t>20.64 €</t>
        </is>
      </c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</row>
    <row r="238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</row>
    <row r="239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</row>
    <row r="240">
      <c r="A240" s="55" t="inlineStr">
        <is>
          <t>NOTA: Todos los precios son Precio ARIAS EXW Tarancón (PVP Tarifa × 50% descuento distribuidor confirmado por Fassa España ABR2026). Coste/m² = precio unitario real × rendimiento por m² de sistema. No incluye margen Fassa-Arias, flete marítimo, ni costes de instalación. Separaciones: muros 400mm=2,50ml/m² · 600mm=1,67ml/m² · Techo Sierra 900mm=1,11ml/m² · 600mm=1,67ml/m² · TC47 500mm=2,00ml/m² · 400mm=2,50ml/m²</t>
        </is>
      </c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</row>
    <row r="24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</row>
    <row r="24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</row>
    <row r="243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</row>
    <row r="244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</row>
    <row r="245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</row>
    <row r="246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</row>
    <row r="247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</row>
    <row r="248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</row>
    <row r="249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</row>
    <row r="250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</row>
    <row r="25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</row>
    <row r="25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</row>
    <row r="253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</row>
    <row r="254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</row>
    <row r="255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</row>
    <row r="256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</row>
    <row r="257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</row>
    <row r="258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</row>
    <row r="259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</row>
    <row r="260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</row>
    <row r="26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  <c r="Z261" s="64" t="n"/>
    </row>
    <row r="26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</row>
    <row r="263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</row>
    <row r="264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  <c r="Z264" s="64" t="n"/>
    </row>
    <row r="265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</row>
    <row r="266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</row>
    <row r="267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  <c r="Z267" s="64" t="n"/>
    </row>
    <row r="268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</row>
    <row r="269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</row>
    <row r="270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  <c r="Z270" s="64" t="n"/>
    </row>
    <row r="27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</row>
    <row r="27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</row>
    <row r="273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  <c r="Z273" s="64" t="n"/>
    </row>
    <row r="274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</row>
    <row r="275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</row>
    <row r="276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  <c r="Z276" s="64" t="n"/>
    </row>
    <row r="277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  <c r="Z277" s="64" t="n"/>
    </row>
    <row r="278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  <c r="Z278" s="64" t="n"/>
    </row>
    <row r="279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  <c r="Z279" s="64" t="n"/>
    </row>
    <row r="280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  <c r="Z280" s="64" t="n"/>
    </row>
    <row r="2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  <c r="Z281" s="64" t="n"/>
    </row>
    <row r="282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  <c r="Z282" s="64" t="n"/>
    </row>
    <row r="283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  <c r="Z283" s="64" t="n"/>
    </row>
    <row r="284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  <c r="Z284" s="64" t="n"/>
    </row>
    <row r="285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  <c r="Z285" s="64" t="n"/>
    </row>
    <row r="286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  <c r="Z286" s="64" t="n"/>
    </row>
    <row r="287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  <c r="Z287" s="64" t="n"/>
    </row>
    <row r="288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  <c r="Z288" s="64" t="n"/>
    </row>
    <row r="289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  <c r="Z289" s="64" t="n"/>
    </row>
    <row r="290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  <c r="Z290" s="64" t="n"/>
    </row>
    <row r="29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  <c r="Z291" s="64" t="n"/>
    </row>
    <row r="292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  <c r="Z292" s="64" t="n"/>
    </row>
    <row r="293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  <c r="Z293" s="64" t="n"/>
    </row>
    <row r="294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  <c r="Z294" s="64" t="n"/>
    </row>
    <row r="295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  <c r="Z295" s="64" t="n"/>
    </row>
    <row r="296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  <c r="Z296" s="64" t="n"/>
    </row>
    <row r="297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  <c r="Z297" s="64" t="n"/>
    </row>
    <row r="298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  <c r="Z298" s="64" t="n"/>
    </row>
    <row r="299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  <c r="Z299" s="64" t="n"/>
    </row>
    <row r="300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  <c r="Z300" s="64" t="n"/>
    </row>
    <row r="30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  <c r="Z301" s="64" t="n"/>
    </row>
    <row r="302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  <c r="Z302" s="64" t="n"/>
    </row>
    <row r="303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  <c r="Z303" s="64" t="n"/>
    </row>
    <row r="304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  <c r="Z304" s="64" t="n"/>
    </row>
    <row r="305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  <c r="Z305" s="64" t="n"/>
    </row>
    <row r="306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  <c r="Z306" s="64" t="n"/>
    </row>
    <row r="307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  <c r="Z307" s="64" t="n"/>
    </row>
    <row r="308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  <c r="Z308" s="64" t="n"/>
    </row>
    <row r="30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  <c r="Z309" s="64" t="n"/>
    </row>
    <row r="310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  <c r="Z310" s="64" t="n"/>
    </row>
    <row r="31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  <c r="Z311" s="64" t="n"/>
    </row>
    <row r="312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  <c r="Z312" s="64" t="n"/>
    </row>
    <row r="313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  <c r="Z313" s="64" t="n"/>
    </row>
    <row r="314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  <c r="Z314" s="64" t="n"/>
    </row>
    <row r="315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  <c r="Z315" s="64" t="n"/>
    </row>
    <row r="316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  <c r="Z316" s="64" t="n"/>
    </row>
    <row r="317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  <c r="Z317" s="64" t="n"/>
    </row>
    <row r="318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  <c r="Z318" s="64" t="n"/>
    </row>
    <row r="319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  <c r="Z319" s="64" t="n"/>
    </row>
    <row r="320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  <c r="Z320" s="64" t="n"/>
    </row>
    <row r="32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  <c r="Z321" s="64" t="n"/>
    </row>
    <row r="322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  <c r="Z322" s="64" t="n"/>
    </row>
    <row r="323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  <c r="Z323" s="64" t="n"/>
    </row>
    <row r="324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  <c r="Z324" s="64" t="n"/>
    </row>
    <row r="325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  <c r="Z325" s="64" t="n"/>
    </row>
    <row r="326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  <c r="Z326" s="64" t="n"/>
    </row>
    <row r="327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  <c r="Z327" s="64" t="n"/>
    </row>
    <row r="328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  <c r="Z328" s="64" t="n"/>
    </row>
    <row r="329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  <c r="Z329" s="64" t="n"/>
    </row>
    <row r="330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  <c r="Z330" s="64" t="n"/>
    </row>
    <row r="33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  <c r="Z331" s="64" t="n"/>
    </row>
    <row r="332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  <c r="Z332" s="64" t="n"/>
    </row>
    <row r="333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  <c r="Z333" s="64" t="n"/>
    </row>
    <row r="334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  <c r="Z334" s="64" t="n"/>
    </row>
    <row r="335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  <c r="Z335" s="64" t="n"/>
    </row>
    <row r="336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  <c r="Z336" s="64" t="n"/>
    </row>
    <row r="337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  <c r="Z337" s="64" t="n"/>
    </row>
    <row r="338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  <c r="Z338" s="64" t="n"/>
    </row>
    <row r="339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  <c r="Z339" s="64" t="n"/>
    </row>
    <row r="340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  <c r="Z340" s="64" t="n"/>
    </row>
    <row r="34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  <c r="Z341" s="64" t="n"/>
    </row>
    <row r="342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  <c r="Z342" s="64" t="n"/>
    </row>
    <row r="343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  <c r="Z343" s="64" t="n"/>
    </row>
    <row r="344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  <c r="Z344" s="64" t="n"/>
    </row>
    <row r="345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  <c r="Z345" s="64" t="n"/>
    </row>
    <row r="346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  <c r="Z346" s="64" t="n"/>
    </row>
    <row r="347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  <c r="Z347" s="64" t="n"/>
    </row>
    <row r="348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  <c r="Z348" s="64" t="n"/>
    </row>
    <row r="349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  <c r="Z349" s="64" t="n"/>
    </row>
    <row r="350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  <c r="Z350" s="64" t="n"/>
    </row>
    <row r="35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  <c r="Z351" s="64" t="n"/>
    </row>
    <row r="352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  <c r="Z352" s="64" t="n"/>
    </row>
    <row r="353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  <c r="Z353" s="64" t="n"/>
    </row>
    <row r="354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  <c r="Z354" s="64" t="n"/>
    </row>
    <row r="355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  <c r="Z355" s="64" t="n"/>
    </row>
    <row r="356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  <c r="Z356" s="64" t="n"/>
    </row>
    <row r="357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  <c r="Z357" s="64" t="n"/>
    </row>
    <row r="358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  <c r="Z358" s="64" t="n"/>
    </row>
    <row r="359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  <c r="Z359" s="64" t="n"/>
    </row>
    <row r="360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  <c r="Z360" s="64" t="n"/>
    </row>
    <row r="36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  <c r="Z361" s="64" t="n"/>
    </row>
    <row r="362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  <c r="Z362" s="64" t="n"/>
    </row>
    <row r="363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  <c r="Z363" s="64" t="n"/>
    </row>
    <row r="364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  <c r="Z364" s="64" t="n"/>
    </row>
    <row r="365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  <c r="Z365" s="64" t="n"/>
    </row>
    <row r="366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  <c r="Z366" s="64" t="n"/>
    </row>
    <row r="367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  <c r="Z367" s="64" t="n"/>
    </row>
    <row r="368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  <c r="Z368" s="64" t="n"/>
    </row>
    <row r="369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  <c r="Z369" s="64" t="n"/>
    </row>
    <row r="370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  <c r="Z370" s="64" t="n"/>
    </row>
    <row r="37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  <c r="Z371" s="64" t="n"/>
    </row>
    <row r="372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  <c r="Z372" s="64" t="n"/>
    </row>
    <row r="373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  <c r="Z373" s="64" t="n"/>
    </row>
    <row r="374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  <c r="Z374" s="64" t="n"/>
    </row>
    <row r="375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  <c r="Z375" s="64" t="n"/>
    </row>
    <row r="376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  <c r="Z376" s="64" t="n"/>
    </row>
    <row r="377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  <c r="Z377" s="64" t="n"/>
    </row>
    <row r="378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  <c r="Z378" s="64" t="n"/>
    </row>
    <row r="379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  <c r="Z379" s="64" t="n"/>
    </row>
    <row r="380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  <c r="Z380" s="64" t="n"/>
    </row>
    <row r="3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  <c r="Z381" s="64" t="n"/>
    </row>
    <row r="382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  <c r="Z382" s="64" t="n"/>
    </row>
    <row r="383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  <c r="Z383" s="64" t="n"/>
    </row>
    <row r="384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  <c r="Z384" s="64" t="n"/>
    </row>
    <row r="385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  <c r="Z385" s="64" t="n"/>
    </row>
    <row r="386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  <c r="Z386" s="64" t="n"/>
    </row>
    <row r="387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  <c r="Z387" s="64" t="n"/>
    </row>
    <row r="388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  <c r="Z388" s="64" t="n"/>
    </row>
    <row r="389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  <c r="Z389" s="64" t="n"/>
    </row>
    <row r="390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  <c r="Z390" s="64" t="n"/>
    </row>
    <row r="39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  <c r="Z391" s="64" t="n"/>
    </row>
    <row r="392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  <c r="Z392" s="64" t="n"/>
    </row>
    <row r="393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  <c r="Z393" s="64" t="n"/>
    </row>
    <row r="394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  <c r="Z394" s="64" t="n"/>
    </row>
    <row r="395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  <c r="Z395" s="64" t="n"/>
    </row>
    <row r="396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  <c r="Z396" s="64" t="n"/>
    </row>
    <row r="397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  <c r="Z397" s="64" t="n"/>
    </row>
    <row r="398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  <c r="Z398" s="64" t="n"/>
    </row>
    <row r="399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  <c r="Z399" s="64" t="n"/>
    </row>
    <row r="400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  <c r="Z400" s="64" t="n"/>
    </row>
    <row r="40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  <c r="Z401" s="64" t="n"/>
    </row>
    <row r="402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  <c r="Z402" s="64" t="n"/>
    </row>
    <row r="403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  <c r="Z403" s="64" t="n"/>
    </row>
    <row r="404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  <c r="Z404" s="64" t="n"/>
    </row>
    <row r="405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  <c r="Z405" s="64" t="n"/>
    </row>
    <row r="406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  <c r="Z406" s="64" t="n"/>
    </row>
    <row r="407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  <c r="Z407" s="64" t="n"/>
    </row>
    <row r="408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  <c r="Z408" s="64" t="n"/>
    </row>
    <row r="409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  <c r="Z409" s="64" t="n"/>
    </row>
    <row r="410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  <c r="Z410" s="64" t="n"/>
    </row>
    <row r="41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  <c r="Z411" s="64" t="n"/>
    </row>
    <row r="412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  <c r="Z412" s="64" t="n"/>
    </row>
    <row r="413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  <c r="Z413" s="64" t="n"/>
    </row>
    <row r="414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  <c r="Z414" s="64" t="n"/>
    </row>
    <row r="415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  <c r="Z415" s="64" t="n"/>
    </row>
    <row r="416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  <c r="Z416" s="64" t="n"/>
    </row>
    <row r="417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  <c r="Z417" s="64" t="n"/>
    </row>
    <row r="418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  <c r="Z418" s="64" t="n"/>
    </row>
    <row r="41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  <c r="Z419" s="64" t="n"/>
    </row>
    <row r="420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  <c r="Z420" s="64" t="n"/>
    </row>
    <row r="42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  <c r="Z421" s="64" t="n"/>
    </row>
    <row r="422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  <c r="Z422" s="64" t="n"/>
    </row>
    <row r="423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  <c r="Z423" s="64" t="n"/>
    </row>
    <row r="424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  <c r="Z424" s="64" t="n"/>
    </row>
    <row r="425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  <c r="Z425" s="64" t="n"/>
    </row>
    <row r="426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  <c r="Z426" s="64" t="n"/>
    </row>
    <row r="427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  <c r="Z427" s="64" t="n"/>
    </row>
    <row r="428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  <c r="Z428" s="64" t="n"/>
    </row>
    <row r="429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  <c r="Z429" s="64" t="n"/>
    </row>
    <row r="430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  <c r="Z430" s="64" t="n"/>
    </row>
    <row r="43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  <c r="Z431" s="64" t="n"/>
    </row>
    <row r="432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  <c r="Z432" s="64" t="n"/>
    </row>
    <row r="433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  <c r="Z433" s="64" t="n"/>
    </row>
    <row r="434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  <c r="Z434" s="64" t="n"/>
    </row>
    <row r="435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  <c r="Z435" s="64" t="n"/>
    </row>
    <row r="436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  <c r="Z436" s="64" t="n"/>
    </row>
    <row r="437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  <c r="Z437" s="64" t="n"/>
    </row>
    <row r="438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  <c r="Z438" s="64" t="n"/>
    </row>
    <row r="439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  <c r="Z439" s="64" t="n"/>
    </row>
    <row r="440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  <c r="Z440" s="64" t="n"/>
    </row>
    <row r="44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  <c r="Z441" s="64" t="n"/>
    </row>
    <row r="442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  <c r="Z442" s="64" t="n"/>
    </row>
    <row r="443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  <c r="Z443" s="64" t="n"/>
    </row>
    <row r="444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  <c r="Z444" s="64" t="n"/>
    </row>
    <row r="445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  <c r="Z445" s="64" t="n"/>
    </row>
    <row r="446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  <c r="Z446" s="64" t="n"/>
    </row>
    <row r="447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  <c r="Z447" s="64" t="n"/>
    </row>
    <row r="448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  <c r="Z448" s="64" t="n"/>
    </row>
    <row r="449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  <c r="Z449" s="64" t="n"/>
    </row>
    <row r="450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  <c r="Z450" s="64" t="n"/>
    </row>
    <row r="45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  <c r="Z451" s="64" t="n"/>
    </row>
    <row r="452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  <c r="Z452" s="64" t="n"/>
    </row>
    <row r="453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  <c r="Z453" s="64" t="n"/>
    </row>
    <row r="454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  <c r="Z454" s="64" t="n"/>
    </row>
    <row r="455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  <c r="Z455" s="64" t="n"/>
    </row>
    <row r="456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  <c r="Z456" s="64" t="n"/>
    </row>
    <row r="457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  <c r="Z457" s="64" t="n"/>
    </row>
    <row r="458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  <c r="Z458" s="64" t="n"/>
    </row>
    <row r="459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  <c r="Z459" s="64" t="n"/>
    </row>
    <row r="460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  <c r="Z460" s="64" t="n"/>
    </row>
    <row r="46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  <c r="Z461" s="64" t="n"/>
    </row>
    <row r="462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  <c r="Z462" s="64" t="n"/>
    </row>
    <row r="463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  <c r="Z463" s="64" t="n"/>
    </row>
    <row r="464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  <c r="Z464" s="64" t="n"/>
    </row>
    <row r="465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  <c r="Z465" s="64" t="n"/>
    </row>
    <row r="466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  <c r="Z466" s="64" t="n"/>
    </row>
    <row r="467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  <c r="Z467" s="64" t="n"/>
    </row>
    <row r="468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  <c r="Z468" s="64" t="n"/>
    </row>
    <row r="469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  <c r="Z469" s="64" t="n"/>
    </row>
    <row r="470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  <c r="Z470" s="64" t="n"/>
    </row>
    <row r="47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  <c r="Z471" s="64" t="n"/>
    </row>
    <row r="472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  <c r="Z472" s="64" t="n"/>
    </row>
    <row r="473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  <c r="Z473" s="64" t="n"/>
    </row>
    <row r="474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  <c r="Z474" s="64" t="n"/>
    </row>
    <row r="475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  <c r="Z475" s="64" t="n"/>
    </row>
    <row r="476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  <c r="Z476" s="64" t="n"/>
    </row>
    <row r="477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  <c r="Z477" s="64" t="n"/>
    </row>
    <row r="478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  <c r="Z478" s="64" t="n"/>
    </row>
    <row r="479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  <c r="Z479" s="64" t="n"/>
    </row>
    <row r="480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  <c r="Z480" s="64" t="n"/>
    </row>
    <row r="4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  <c r="Z481" s="64" t="n"/>
    </row>
    <row r="482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  <c r="Z482" s="64" t="n"/>
    </row>
    <row r="483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  <c r="Z483" s="64" t="n"/>
    </row>
    <row r="484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  <c r="Z484" s="64" t="n"/>
    </row>
    <row r="485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  <c r="Z485" s="64" t="n"/>
    </row>
    <row r="486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  <c r="Z486" s="64" t="n"/>
    </row>
    <row r="487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  <c r="Z487" s="64" t="n"/>
    </row>
    <row r="488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  <c r="Z488" s="64" t="n"/>
    </row>
    <row r="489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  <c r="Z489" s="64" t="n"/>
    </row>
    <row r="490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  <c r="Z490" s="64" t="n"/>
    </row>
    <row r="49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  <c r="Z491" s="64" t="n"/>
    </row>
    <row r="492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  <c r="Z492" s="64" t="n"/>
    </row>
    <row r="493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  <c r="Z493" s="64" t="n"/>
    </row>
    <row r="494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  <c r="Z494" s="64" t="n"/>
    </row>
    <row r="495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  <c r="Z495" s="64" t="n"/>
    </row>
    <row r="496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  <c r="Z496" s="64" t="n"/>
    </row>
    <row r="497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  <c r="Z497" s="64" t="n"/>
    </row>
    <row r="498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  <c r="Z498" s="64" t="n"/>
    </row>
    <row r="499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  <c r="Z499" s="64" t="n"/>
    </row>
    <row r="500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  <c r="Z500" s="64" t="n"/>
    </row>
    <row r="50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  <c r="Z501" s="64" t="n"/>
    </row>
    <row r="502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  <c r="Z502" s="64" t="n"/>
    </row>
    <row r="503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  <c r="Z503" s="64" t="n"/>
    </row>
    <row r="504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  <c r="Z504" s="64" t="n"/>
    </row>
    <row r="50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  <c r="Z505" s="64" t="n"/>
    </row>
    <row r="506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  <c r="Z506" s="64" t="n"/>
    </row>
    <row r="507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  <c r="Z507" s="64" t="n"/>
    </row>
    <row r="508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  <c r="Z508" s="64" t="n"/>
    </row>
    <row r="509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  <c r="Z509" s="64" t="n"/>
    </row>
    <row r="510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  <c r="Z510" s="64" t="n"/>
    </row>
    <row r="51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  <c r="Z511" s="64" t="n"/>
    </row>
    <row r="512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  <c r="Z512" s="64" t="n"/>
    </row>
    <row r="513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  <c r="Z513" s="64" t="n"/>
    </row>
    <row r="514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  <c r="Z514" s="64" t="n"/>
    </row>
    <row r="51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  <c r="Z515" s="64" t="n"/>
    </row>
    <row r="516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  <c r="Z516" s="64" t="n"/>
    </row>
    <row r="517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  <c r="Z517" s="64" t="n"/>
    </row>
    <row r="518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  <c r="Z518" s="64" t="n"/>
    </row>
    <row r="519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  <c r="Z519" s="64" t="n"/>
    </row>
    <row r="520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  <c r="Z520" s="64" t="n"/>
    </row>
    <row r="52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  <c r="Z521" s="64" t="n"/>
    </row>
    <row r="522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  <c r="Z522" s="64" t="n"/>
    </row>
    <row r="523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  <c r="Z523" s="64" t="n"/>
    </row>
    <row r="524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  <c r="Z524" s="64" t="n"/>
    </row>
    <row r="5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  <c r="Z525" s="64" t="n"/>
    </row>
    <row r="526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  <c r="Z526" s="64" t="n"/>
    </row>
    <row r="527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  <c r="Z527" s="64" t="n"/>
    </row>
    <row r="528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  <c r="Z528" s="64" t="n"/>
    </row>
    <row r="52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  <c r="Z529" s="64" t="n"/>
    </row>
    <row r="530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  <c r="Z530" s="64" t="n"/>
    </row>
    <row r="53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  <c r="Z531" s="64" t="n"/>
    </row>
    <row r="532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  <c r="Z532" s="64" t="n"/>
    </row>
    <row r="533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  <c r="Z533" s="64" t="n"/>
    </row>
    <row r="534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  <c r="Z534" s="64" t="n"/>
    </row>
    <row r="53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  <c r="Z535" s="64" t="n"/>
    </row>
    <row r="536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  <c r="Z536" s="64" t="n"/>
    </row>
    <row r="537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  <c r="Z537" s="64" t="n"/>
    </row>
    <row r="538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  <c r="Z538" s="64" t="n"/>
    </row>
    <row r="539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  <c r="Z539" s="64" t="n"/>
    </row>
    <row r="540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  <c r="Z540" s="64" t="n"/>
    </row>
    <row r="54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  <c r="Z541" s="64" t="n"/>
    </row>
    <row r="542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  <c r="Z542" s="64" t="n"/>
    </row>
    <row r="543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  <c r="Z543" s="64" t="n"/>
    </row>
    <row r="544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  <c r="Z544" s="64" t="n"/>
    </row>
    <row r="54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  <c r="Z545" s="64" t="n"/>
    </row>
    <row r="546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  <c r="Z546" s="64" t="n"/>
    </row>
    <row r="547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  <c r="Z547" s="64" t="n"/>
    </row>
    <row r="548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  <c r="Z548" s="64" t="n"/>
    </row>
    <row r="549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  <c r="Z549" s="64" t="n"/>
    </row>
    <row r="550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  <c r="Z550" s="64" t="n"/>
    </row>
    <row r="55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  <c r="Z551" s="64" t="n"/>
    </row>
    <row r="552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  <c r="Z552" s="64" t="n"/>
    </row>
    <row r="553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  <c r="Z553" s="64" t="n"/>
    </row>
    <row r="554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  <c r="Z554" s="64" t="n"/>
    </row>
    <row r="55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  <c r="Z555" s="64" t="n"/>
    </row>
    <row r="556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  <c r="Z556" s="64" t="n"/>
    </row>
    <row r="557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  <c r="Z557" s="64" t="n"/>
    </row>
    <row r="558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  <c r="Z558" s="64" t="n"/>
    </row>
    <row r="559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  <c r="Z559" s="64" t="n"/>
    </row>
    <row r="560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  <c r="Z560" s="64" t="n"/>
    </row>
    <row r="56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  <c r="Z561" s="64" t="n"/>
    </row>
    <row r="562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  <c r="Z562" s="64" t="n"/>
    </row>
    <row r="563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  <c r="Z563" s="64" t="n"/>
    </row>
    <row r="564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  <c r="Z564" s="64" t="n"/>
    </row>
    <row r="56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  <c r="Z565" s="64" t="n"/>
    </row>
    <row r="566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  <c r="Z566" s="64" t="n"/>
    </row>
    <row r="567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  <c r="Z567" s="64" t="n"/>
    </row>
    <row r="568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  <c r="Z568" s="64" t="n"/>
    </row>
    <row r="569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  <c r="Z569" s="64" t="n"/>
    </row>
    <row r="570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  <c r="Z570" s="64" t="n"/>
    </row>
    <row r="57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  <c r="Z571" s="64" t="n"/>
    </row>
    <row r="572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  <c r="Z572" s="64" t="n"/>
    </row>
    <row r="573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  <c r="Z573" s="64" t="n"/>
    </row>
    <row r="574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  <c r="Z574" s="64" t="n"/>
    </row>
    <row r="57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  <c r="Z575" s="64" t="n"/>
    </row>
    <row r="576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  <c r="Z576" s="64" t="n"/>
    </row>
    <row r="577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  <c r="Z577" s="64" t="n"/>
    </row>
    <row r="578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  <c r="Z578" s="64" t="n"/>
    </row>
    <row r="579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  <c r="Z579" s="64" t="n"/>
    </row>
    <row r="580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  <c r="Z580" s="64" t="n"/>
    </row>
    <row r="5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  <c r="Z581" s="64" t="n"/>
    </row>
    <row r="582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  <c r="Z582" s="64" t="n"/>
    </row>
    <row r="583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  <c r="Z583" s="64" t="n"/>
    </row>
    <row r="584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  <c r="Z584" s="64" t="n"/>
    </row>
    <row r="58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  <c r="Z585" s="64" t="n"/>
    </row>
    <row r="586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  <c r="Z586" s="64" t="n"/>
    </row>
    <row r="587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  <c r="Z587" s="64" t="n"/>
    </row>
    <row r="588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  <c r="Z588" s="64" t="n"/>
    </row>
    <row r="589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  <c r="Z589" s="64" t="n"/>
    </row>
    <row r="590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  <c r="Z590" s="64" t="n"/>
    </row>
    <row r="59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  <c r="Z591" s="64" t="n"/>
    </row>
    <row r="592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  <c r="Z592" s="64" t="n"/>
    </row>
    <row r="593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  <c r="Z593" s="64" t="n"/>
    </row>
    <row r="594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  <c r="Z594" s="64" t="n"/>
    </row>
    <row r="59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  <c r="Z595" s="64" t="n"/>
    </row>
    <row r="596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  <c r="Z596" s="64" t="n"/>
    </row>
    <row r="597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  <c r="Z597" s="64" t="n"/>
    </row>
    <row r="598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  <c r="Z598" s="64" t="n"/>
    </row>
    <row r="599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  <c r="Z599" s="64" t="n"/>
    </row>
    <row r="600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  <c r="Z600" s="64" t="n"/>
    </row>
    <row r="60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  <c r="Z601" s="64" t="n"/>
    </row>
    <row r="602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  <c r="Z602" s="64" t="n"/>
    </row>
    <row r="603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  <c r="Z603" s="64" t="n"/>
    </row>
    <row r="604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  <c r="Z604" s="64" t="n"/>
    </row>
    <row r="60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  <c r="Z605" s="64" t="n"/>
    </row>
    <row r="606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  <c r="Z606" s="64" t="n"/>
    </row>
    <row r="607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  <c r="Z607" s="64" t="n"/>
    </row>
    <row r="608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  <c r="Z608" s="64" t="n"/>
    </row>
    <row r="609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  <c r="Z609" s="64" t="n"/>
    </row>
    <row r="610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  <c r="Z610" s="64" t="n"/>
    </row>
    <row r="61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  <c r="Z611" s="64" t="n"/>
    </row>
    <row r="612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  <c r="Z612" s="64" t="n"/>
    </row>
    <row r="613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  <c r="Z613" s="64" t="n"/>
    </row>
    <row r="614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  <c r="Z614" s="64" t="n"/>
    </row>
    <row r="61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  <c r="Z615" s="64" t="n"/>
    </row>
    <row r="616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  <c r="Z616" s="64" t="n"/>
    </row>
    <row r="617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  <c r="Z617" s="64" t="n"/>
    </row>
    <row r="618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  <c r="Z618" s="64" t="n"/>
    </row>
    <row r="619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  <c r="Z619" s="64" t="n"/>
    </row>
    <row r="620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  <c r="Z620" s="64" t="n"/>
    </row>
    <row r="62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  <c r="Z621" s="64" t="n"/>
    </row>
    <row r="622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  <c r="Z622" s="64" t="n"/>
    </row>
    <row r="623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  <c r="Z623" s="64" t="n"/>
    </row>
    <row r="624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  <c r="Z624" s="64" t="n"/>
    </row>
    <row r="6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  <c r="Z625" s="64" t="n"/>
    </row>
    <row r="626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  <c r="Z626" s="64" t="n"/>
    </row>
    <row r="627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  <c r="Z627" s="64" t="n"/>
    </row>
    <row r="628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  <c r="Z628" s="64" t="n"/>
    </row>
    <row r="629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  <c r="Z629" s="64" t="n"/>
    </row>
    <row r="630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  <c r="Z630" s="64" t="n"/>
    </row>
    <row r="63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  <c r="Z631" s="64" t="n"/>
    </row>
    <row r="632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  <c r="Z632" s="64" t="n"/>
    </row>
    <row r="633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  <c r="Z633" s="64" t="n"/>
    </row>
    <row r="634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  <c r="Z634" s="64" t="n"/>
    </row>
    <row r="63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  <c r="Z635" s="64" t="n"/>
    </row>
    <row r="636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  <c r="Z636" s="64" t="n"/>
    </row>
    <row r="637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  <c r="Z637" s="64" t="n"/>
    </row>
    <row r="638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  <c r="Z638" s="64" t="n"/>
    </row>
    <row r="639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  <c r="Z639" s="64" t="n"/>
    </row>
    <row r="640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  <c r="Z640" s="64" t="n"/>
    </row>
    <row r="64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  <c r="Z641" s="64" t="n"/>
    </row>
    <row r="642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  <c r="Z642" s="64" t="n"/>
    </row>
    <row r="643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  <c r="Z643" s="64" t="n"/>
    </row>
    <row r="644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  <c r="Z644" s="64" t="n"/>
    </row>
    <row r="64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  <c r="Z645" s="64" t="n"/>
    </row>
    <row r="646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  <c r="Z646" s="64" t="n"/>
    </row>
    <row r="647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  <c r="Z647" s="64" t="n"/>
    </row>
    <row r="648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  <c r="Z648" s="64" t="n"/>
    </row>
    <row r="649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  <c r="Z649" s="64" t="n"/>
    </row>
    <row r="650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  <c r="Z650" s="64" t="n"/>
    </row>
    <row r="65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  <c r="Z651" s="64" t="n"/>
    </row>
    <row r="652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  <c r="Z652" s="64" t="n"/>
    </row>
    <row r="653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  <c r="Z653" s="64" t="n"/>
    </row>
    <row r="654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  <c r="Z654" s="64" t="n"/>
    </row>
    <row r="65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  <c r="Z655" s="64" t="n"/>
    </row>
    <row r="656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  <c r="Z656" s="64" t="n"/>
    </row>
    <row r="657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  <c r="Z657" s="64" t="n"/>
    </row>
    <row r="658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  <c r="Z658" s="64" t="n"/>
    </row>
    <row r="659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  <c r="Z659" s="64" t="n"/>
    </row>
    <row r="660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  <c r="Z660" s="64" t="n"/>
    </row>
    <row r="66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  <c r="Z661" s="64" t="n"/>
    </row>
    <row r="662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  <c r="Z662" s="64" t="n"/>
    </row>
    <row r="663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  <c r="Z663" s="64" t="n"/>
    </row>
    <row r="664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  <c r="Z664" s="64" t="n"/>
    </row>
    <row r="66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  <c r="Z665" s="64" t="n"/>
    </row>
    <row r="666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  <c r="Z666" s="64" t="n"/>
    </row>
    <row r="667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  <c r="Z667" s="64" t="n"/>
    </row>
    <row r="668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  <c r="Z668" s="64" t="n"/>
    </row>
    <row r="669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  <c r="Z669" s="64" t="n"/>
    </row>
    <row r="670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  <c r="Z670" s="64" t="n"/>
    </row>
    <row r="67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  <c r="Z671" s="64" t="n"/>
    </row>
    <row r="672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  <c r="Z672" s="64" t="n"/>
    </row>
    <row r="673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  <c r="Z673" s="64" t="n"/>
    </row>
    <row r="674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  <c r="Z674" s="64" t="n"/>
    </row>
    <row r="67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  <c r="Z675" s="64" t="n"/>
    </row>
    <row r="676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  <c r="Z676" s="64" t="n"/>
    </row>
    <row r="677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  <c r="Z677" s="64" t="n"/>
    </row>
    <row r="678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  <c r="Z678" s="64" t="n"/>
    </row>
    <row r="679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  <c r="Z679" s="64" t="n"/>
    </row>
    <row r="680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  <c r="Z680" s="64" t="n"/>
    </row>
    <row r="6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  <c r="Z681" s="64" t="n"/>
    </row>
    <row r="682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  <c r="Z682" s="64" t="n"/>
    </row>
    <row r="683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  <c r="Z683" s="64" t="n"/>
    </row>
    <row r="684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  <c r="Z684" s="64" t="n"/>
    </row>
    <row r="68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  <c r="Z685" s="64" t="n"/>
    </row>
    <row r="686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  <c r="Z686" s="64" t="n"/>
    </row>
    <row r="687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  <c r="Z687" s="64" t="n"/>
    </row>
    <row r="688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  <c r="Z688" s="64" t="n"/>
    </row>
    <row r="689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  <c r="Z689" s="64" t="n"/>
    </row>
    <row r="690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  <c r="Z690" s="64" t="n"/>
    </row>
    <row r="69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  <c r="Z691" s="64" t="n"/>
    </row>
    <row r="692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  <c r="Z692" s="64" t="n"/>
    </row>
    <row r="693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  <c r="Z693" s="64" t="n"/>
    </row>
    <row r="694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  <c r="Z694" s="64" t="n"/>
    </row>
    <row r="69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  <c r="Z695" s="64" t="n"/>
    </row>
    <row r="696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  <c r="Z696" s="64" t="n"/>
    </row>
    <row r="697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  <c r="Z697" s="64" t="n"/>
    </row>
    <row r="698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  <c r="Z698" s="64" t="n"/>
    </row>
    <row r="699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  <c r="Z699" s="64" t="n"/>
    </row>
    <row r="700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  <c r="Z700" s="64" t="n"/>
    </row>
    <row r="70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  <c r="Z701" s="64" t="n"/>
    </row>
    <row r="702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  <c r="Z702" s="64" t="n"/>
    </row>
    <row r="703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  <c r="Z703" s="64" t="n"/>
    </row>
    <row r="704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  <c r="Z704" s="64" t="n"/>
    </row>
    <row r="70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  <c r="Z705" s="64" t="n"/>
    </row>
    <row r="706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  <c r="Z706" s="64" t="n"/>
    </row>
    <row r="707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  <c r="Z707" s="64" t="n"/>
    </row>
    <row r="708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  <c r="Z708" s="64" t="n"/>
    </row>
    <row r="709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  <c r="Z709" s="64" t="n"/>
    </row>
    <row r="710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  <c r="Z710" s="64" t="n"/>
    </row>
    <row r="71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  <c r="Z711" s="64" t="n"/>
    </row>
    <row r="712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  <c r="Z712" s="64" t="n"/>
    </row>
    <row r="713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  <c r="Z713" s="64" t="n"/>
    </row>
    <row r="714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  <c r="Z714" s="64" t="n"/>
    </row>
    <row r="71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  <c r="Z715" s="64" t="n"/>
    </row>
    <row r="716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  <c r="Z716" s="64" t="n"/>
    </row>
    <row r="717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  <c r="Z717" s="64" t="n"/>
    </row>
    <row r="718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  <c r="Z718" s="64" t="n"/>
    </row>
    <row r="719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  <c r="Z719" s="64" t="n"/>
    </row>
    <row r="720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  <c r="Z720" s="64" t="n"/>
    </row>
    <row r="72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  <c r="Z721" s="64" t="n"/>
    </row>
    <row r="722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  <c r="Z722" s="64" t="n"/>
    </row>
    <row r="723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  <c r="Z723" s="64" t="n"/>
    </row>
    <row r="724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  <c r="Z724" s="64" t="n"/>
    </row>
    <row r="7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  <c r="Z725" s="64" t="n"/>
    </row>
    <row r="726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  <c r="Z726" s="64" t="n"/>
    </row>
    <row r="727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  <c r="Z727" s="64" t="n"/>
    </row>
    <row r="728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  <c r="Z728" s="64" t="n"/>
    </row>
    <row r="729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  <c r="Z729" s="64" t="n"/>
    </row>
    <row r="730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  <c r="Z730" s="64" t="n"/>
    </row>
    <row r="73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  <c r="Z731" s="64" t="n"/>
    </row>
    <row r="732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  <c r="Z732" s="64" t="n"/>
    </row>
    <row r="733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  <c r="Z733" s="64" t="n"/>
    </row>
    <row r="734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  <c r="Z734" s="64" t="n"/>
    </row>
    <row r="73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  <c r="Z735" s="64" t="n"/>
    </row>
    <row r="736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  <c r="Z736" s="64" t="n"/>
    </row>
    <row r="737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  <c r="Z737" s="64" t="n"/>
    </row>
    <row r="738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  <c r="Z738" s="64" t="n"/>
    </row>
    <row r="739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  <c r="Z739" s="64" t="n"/>
    </row>
    <row r="740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  <c r="Z740" s="64" t="n"/>
    </row>
    <row r="74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  <c r="Z741" s="64" t="n"/>
    </row>
    <row r="742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  <c r="Z742" s="64" t="n"/>
    </row>
    <row r="743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  <c r="Z743" s="64" t="n"/>
    </row>
    <row r="744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  <c r="Z744" s="64" t="n"/>
    </row>
    <row r="74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  <c r="Z745" s="64" t="n"/>
    </row>
    <row r="746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  <c r="Z746" s="64" t="n"/>
    </row>
    <row r="747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  <c r="Z747" s="64" t="n"/>
    </row>
    <row r="748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  <c r="Z748" s="64" t="n"/>
    </row>
    <row r="749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  <c r="Z749" s="64" t="n"/>
    </row>
    <row r="750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  <c r="Z750" s="64" t="n"/>
    </row>
    <row r="75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  <c r="Z751" s="64" t="n"/>
    </row>
    <row r="752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  <c r="Z752" s="64" t="n"/>
    </row>
    <row r="753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  <c r="Z753" s="64" t="n"/>
    </row>
    <row r="754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  <c r="Z754" s="64" t="n"/>
    </row>
    <row r="75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  <c r="Z755" s="64" t="n"/>
    </row>
    <row r="756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  <c r="Z756" s="64" t="n"/>
    </row>
    <row r="757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  <c r="Z757" s="64" t="n"/>
    </row>
    <row r="758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  <c r="Z758" s="64" t="n"/>
    </row>
    <row r="759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  <c r="Z759" s="64" t="n"/>
    </row>
    <row r="760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  <c r="Z760" s="64" t="n"/>
    </row>
    <row r="76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  <c r="Z761" s="64" t="n"/>
    </row>
    <row r="762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  <c r="Z762" s="64" t="n"/>
    </row>
    <row r="763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  <c r="Z763" s="64" t="n"/>
    </row>
    <row r="764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  <c r="Z764" s="64" t="n"/>
    </row>
    <row r="76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  <c r="Z765" s="64" t="n"/>
    </row>
    <row r="766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  <c r="Z766" s="64" t="n"/>
    </row>
    <row r="767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  <c r="Z767" s="64" t="n"/>
    </row>
    <row r="768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  <c r="Z768" s="64" t="n"/>
    </row>
    <row r="769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  <c r="Z769" s="64" t="n"/>
    </row>
    <row r="770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  <c r="Z770" s="64" t="n"/>
    </row>
    <row r="77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  <c r="Z771" s="64" t="n"/>
    </row>
    <row r="772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  <c r="Z772" s="64" t="n"/>
    </row>
    <row r="773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  <c r="Z773" s="64" t="n"/>
    </row>
    <row r="774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  <c r="Z774" s="64" t="n"/>
    </row>
    <row r="77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  <c r="Z775" s="64" t="n"/>
    </row>
    <row r="776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  <c r="Z776" s="64" t="n"/>
    </row>
    <row r="777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  <c r="Z777" s="64" t="n"/>
    </row>
    <row r="778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  <c r="Z778" s="64" t="n"/>
    </row>
    <row r="779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  <c r="Z779" s="64" t="n"/>
    </row>
    <row r="780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  <c r="Z780" s="64" t="n"/>
    </row>
    <row r="7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  <c r="Z781" s="64" t="n"/>
    </row>
    <row r="782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  <c r="Z782" s="64" t="n"/>
    </row>
    <row r="783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  <c r="Z783" s="64" t="n"/>
    </row>
    <row r="784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  <c r="Z784" s="64" t="n"/>
    </row>
    <row r="78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  <c r="Z785" s="64" t="n"/>
    </row>
    <row r="786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  <c r="Z786" s="64" t="n"/>
    </row>
    <row r="787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  <c r="Z787" s="64" t="n"/>
    </row>
    <row r="788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  <c r="Z788" s="64" t="n"/>
    </row>
    <row r="789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  <c r="Z789" s="64" t="n"/>
    </row>
    <row r="790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  <c r="Z790" s="64" t="n"/>
    </row>
    <row r="79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  <c r="Z791" s="64" t="n"/>
    </row>
    <row r="792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  <c r="Z792" s="64" t="n"/>
    </row>
    <row r="793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  <c r="Z793" s="64" t="n"/>
    </row>
    <row r="794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  <c r="Z794" s="64" t="n"/>
    </row>
    <row r="79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  <c r="Z795" s="64" t="n"/>
    </row>
    <row r="796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  <c r="Z796" s="64" t="n"/>
    </row>
    <row r="797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  <c r="Z797" s="64" t="n"/>
    </row>
    <row r="798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  <c r="Z798" s="64" t="n"/>
    </row>
    <row r="799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  <c r="Z799" s="64" t="n"/>
    </row>
    <row r="800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  <c r="Z800" s="64" t="n"/>
    </row>
    <row r="80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  <c r="Z801" s="64" t="n"/>
    </row>
    <row r="802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  <c r="Z802" s="64" t="n"/>
    </row>
    <row r="803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  <c r="Z803" s="64" t="n"/>
    </row>
    <row r="804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  <c r="Z804" s="64" t="n"/>
    </row>
    <row r="80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  <c r="Z805" s="64" t="n"/>
    </row>
    <row r="806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  <c r="Z806" s="64" t="n"/>
    </row>
    <row r="807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  <c r="Z807" s="64" t="n"/>
    </row>
    <row r="808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  <c r="Z808" s="64" t="n"/>
    </row>
    <row r="809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  <c r="Z809" s="64" t="n"/>
    </row>
    <row r="810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  <c r="Z810" s="64" t="n"/>
    </row>
    <row r="81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  <c r="Z811" s="64" t="n"/>
    </row>
    <row r="812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  <c r="Z812" s="64" t="n"/>
    </row>
    <row r="813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  <c r="Z813" s="64" t="n"/>
    </row>
    <row r="814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  <c r="Z814" s="64" t="n"/>
    </row>
    <row r="81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  <c r="Z815" s="64" t="n"/>
    </row>
    <row r="816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  <c r="Z816" s="64" t="n"/>
    </row>
    <row r="817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  <c r="Z817" s="64" t="n"/>
    </row>
    <row r="818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  <c r="Z818" s="64" t="n"/>
    </row>
    <row r="819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  <c r="Z819" s="64" t="n"/>
    </row>
    <row r="820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  <c r="Z820" s="64" t="n"/>
    </row>
    <row r="82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  <c r="Z821" s="64" t="n"/>
    </row>
    <row r="822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  <c r="Z822" s="64" t="n"/>
    </row>
    <row r="823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  <c r="Z823" s="64" t="n"/>
    </row>
    <row r="824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  <c r="Z824" s="64" t="n"/>
    </row>
    <row r="8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  <c r="Z825" s="64" t="n"/>
    </row>
    <row r="826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  <c r="Z826" s="64" t="n"/>
    </row>
    <row r="827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  <c r="Z827" s="64" t="n"/>
    </row>
    <row r="828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  <c r="Z828" s="64" t="n"/>
    </row>
    <row r="829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  <c r="Z829" s="64" t="n"/>
    </row>
    <row r="830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  <c r="Z830" s="64" t="n"/>
    </row>
    <row r="83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  <c r="Z831" s="64" t="n"/>
    </row>
    <row r="832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  <c r="Z832" s="64" t="n"/>
    </row>
    <row r="833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  <c r="Z833" s="64" t="n"/>
    </row>
    <row r="834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  <c r="Z834" s="64" t="n"/>
    </row>
    <row r="83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  <c r="Z835" s="64" t="n"/>
    </row>
    <row r="836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  <c r="Z836" s="64" t="n"/>
    </row>
    <row r="837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  <c r="Z837" s="64" t="n"/>
    </row>
    <row r="838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  <c r="Z838" s="64" t="n"/>
    </row>
    <row r="839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  <c r="Z839" s="64" t="n"/>
    </row>
    <row r="840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  <c r="Z840" s="64" t="n"/>
    </row>
    <row r="84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  <c r="Z841" s="64" t="n"/>
    </row>
    <row r="842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  <c r="Z842" s="64" t="n"/>
    </row>
    <row r="843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  <c r="Z843" s="64" t="n"/>
    </row>
    <row r="844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  <c r="Z844" s="64" t="n"/>
    </row>
    <row r="84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  <c r="Z845" s="64" t="n"/>
    </row>
    <row r="846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  <c r="Z846" s="64" t="n"/>
    </row>
    <row r="847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  <c r="Z847" s="64" t="n"/>
    </row>
    <row r="848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  <c r="Z848" s="64" t="n"/>
    </row>
    <row r="849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  <c r="Z849" s="64" t="n"/>
    </row>
    <row r="850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  <c r="Z850" s="64" t="n"/>
    </row>
    <row r="85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  <c r="Z851" s="64" t="n"/>
    </row>
    <row r="852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  <c r="Z852" s="64" t="n"/>
    </row>
    <row r="853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  <c r="Z853" s="64" t="n"/>
    </row>
    <row r="854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  <c r="Z854" s="64" t="n"/>
    </row>
    <row r="85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  <c r="Z855" s="64" t="n"/>
    </row>
    <row r="856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  <c r="Z856" s="64" t="n"/>
    </row>
    <row r="857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  <c r="Z857" s="64" t="n"/>
    </row>
    <row r="858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  <c r="Z858" s="64" t="n"/>
    </row>
    <row r="859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  <c r="Z859" s="64" t="n"/>
    </row>
    <row r="860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  <c r="Z860" s="64" t="n"/>
    </row>
    <row r="86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  <c r="Z861" s="64" t="n"/>
    </row>
    <row r="862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  <c r="Z862" s="64" t="n"/>
    </row>
    <row r="863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  <c r="Z863" s="64" t="n"/>
    </row>
    <row r="864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  <c r="Z864" s="64" t="n"/>
    </row>
    <row r="86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  <c r="Z865" s="64" t="n"/>
    </row>
    <row r="866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  <c r="Z866" s="64" t="n"/>
    </row>
    <row r="867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  <c r="Z867" s="64" t="n"/>
    </row>
    <row r="868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  <c r="Z868" s="64" t="n"/>
    </row>
    <row r="869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  <c r="Z869" s="64" t="n"/>
    </row>
    <row r="870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  <c r="Z870" s="64" t="n"/>
    </row>
    <row r="87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  <c r="Z871" s="64" t="n"/>
    </row>
    <row r="872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  <c r="Z872" s="64" t="n"/>
    </row>
    <row r="873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  <c r="Z873" s="64" t="n"/>
    </row>
    <row r="874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  <c r="Z874" s="64" t="n"/>
    </row>
    <row r="87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  <c r="Z875" s="64" t="n"/>
    </row>
    <row r="876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  <c r="Z876" s="64" t="n"/>
    </row>
    <row r="877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  <c r="Z877" s="64" t="n"/>
    </row>
    <row r="878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  <c r="Z878" s="64" t="n"/>
    </row>
    <row r="879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  <c r="Z879" s="64" t="n"/>
    </row>
    <row r="880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  <c r="Z880" s="64" t="n"/>
    </row>
    <row r="8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  <c r="Z881" s="64" t="n"/>
    </row>
    <row r="882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  <c r="Z882" s="64" t="n"/>
    </row>
    <row r="883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  <c r="Z883" s="64" t="n"/>
    </row>
    <row r="884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  <c r="Z884" s="64" t="n"/>
    </row>
    <row r="88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  <c r="Z885" s="64" t="n"/>
    </row>
    <row r="886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  <c r="Z886" s="64" t="n"/>
    </row>
    <row r="887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  <c r="Z887" s="64" t="n"/>
    </row>
    <row r="888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  <c r="Z888" s="64" t="n"/>
    </row>
    <row r="889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  <c r="Z889" s="64" t="n"/>
    </row>
    <row r="890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  <c r="Z890" s="64" t="n"/>
    </row>
    <row r="89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  <c r="Z891" s="64" t="n"/>
    </row>
    <row r="892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  <c r="Z892" s="64" t="n"/>
    </row>
    <row r="893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  <c r="Z893" s="64" t="n"/>
    </row>
    <row r="894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  <c r="Z894" s="64" t="n"/>
    </row>
    <row r="89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  <c r="Z895" s="64" t="n"/>
    </row>
    <row r="896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  <c r="Z896" s="64" t="n"/>
    </row>
    <row r="897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  <c r="Z897" s="64" t="n"/>
    </row>
    <row r="898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  <c r="Z898" s="64" t="n"/>
    </row>
    <row r="899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  <c r="Z899" s="64" t="n"/>
    </row>
    <row r="900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  <c r="Z900" s="64" t="n"/>
    </row>
    <row r="90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  <c r="Z901" s="64" t="n"/>
    </row>
    <row r="902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  <c r="Z902" s="64" t="n"/>
    </row>
    <row r="903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  <c r="Z903" s="64" t="n"/>
    </row>
    <row r="904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  <c r="Z904" s="64" t="n"/>
    </row>
    <row r="90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  <c r="Z905" s="64" t="n"/>
    </row>
    <row r="906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  <c r="Z906" s="64" t="n"/>
    </row>
    <row r="907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  <c r="Z907" s="64" t="n"/>
    </row>
    <row r="908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  <c r="Z908" s="64" t="n"/>
    </row>
    <row r="909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  <c r="Z909" s="64" t="n"/>
    </row>
    <row r="910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  <c r="Z910" s="64" t="n"/>
    </row>
    <row r="91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  <c r="Z911" s="64" t="n"/>
    </row>
    <row r="912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  <c r="Z912" s="64" t="n"/>
    </row>
    <row r="913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  <c r="Z913" s="64" t="n"/>
    </row>
    <row r="914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  <c r="Z914" s="64" t="n"/>
    </row>
    <row r="91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  <c r="Z915" s="64" t="n"/>
    </row>
    <row r="916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  <c r="Z916" s="64" t="n"/>
    </row>
    <row r="917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  <c r="Z917" s="64" t="n"/>
    </row>
    <row r="918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  <c r="Z918" s="64" t="n"/>
    </row>
    <row r="919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  <c r="Z919" s="64" t="n"/>
    </row>
    <row r="920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  <c r="Z920" s="64" t="n"/>
    </row>
    <row r="92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  <c r="Z921" s="64" t="n"/>
    </row>
    <row r="922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  <c r="Z922" s="64" t="n"/>
    </row>
    <row r="923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  <c r="Z923" s="64" t="n"/>
    </row>
    <row r="924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  <c r="Z924" s="64" t="n"/>
    </row>
    <row r="9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  <c r="Z925" s="64" t="n"/>
    </row>
    <row r="926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  <c r="Z926" s="64" t="n"/>
    </row>
    <row r="927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  <c r="Z927" s="64" t="n"/>
    </row>
    <row r="928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  <c r="Z928" s="64" t="n"/>
    </row>
    <row r="929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  <c r="Z929" s="64" t="n"/>
    </row>
    <row r="930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  <c r="Z930" s="64" t="n"/>
    </row>
    <row r="93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  <c r="Z931" s="64" t="n"/>
    </row>
    <row r="932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  <c r="Z932" s="64" t="n"/>
    </row>
    <row r="933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  <c r="Z933" s="64" t="n"/>
    </row>
    <row r="934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  <c r="Z934" s="64" t="n"/>
    </row>
    <row r="93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  <c r="Z935" s="64" t="n"/>
    </row>
    <row r="936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  <c r="Z936" s="64" t="n"/>
    </row>
    <row r="937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  <c r="Z937" s="64" t="n"/>
    </row>
    <row r="938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  <c r="Z938" s="64" t="n"/>
    </row>
    <row r="939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  <c r="Z939" s="64" t="n"/>
    </row>
    <row r="940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  <c r="Z940" s="64" t="n"/>
    </row>
    <row r="94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  <c r="Z941" s="64" t="n"/>
    </row>
    <row r="942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  <c r="Z942" s="64" t="n"/>
    </row>
    <row r="943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  <c r="Z943" s="64" t="n"/>
    </row>
    <row r="944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  <c r="Z944" s="64" t="n"/>
    </row>
    <row r="94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  <c r="Z945" s="64" t="n"/>
    </row>
    <row r="946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  <c r="Z946" s="64" t="n"/>
    </row>
    <row r="947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  <c r="Z947" s="64" t="n"/>
    </row>
    <row r="948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  <c r="Z948" s="64" t="n"/>
    </row>
    <row r="949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  <c r="Z949" s="64" t="n"/>
    </row>
    <row r="950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  <c r="Z950" s="64" t="n"/>
    </row>
    <row r="95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  <c r="Z951" s="64" t="n"/>
    </row>
    <row r="952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  <c r="Z952" s="64" t="n"/>
    </row>
    <row r="953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  <c r="Z953" s="64" t="n"/>
    </row>
    <row r="954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  <c r="Z954" s="64" t="n"/>
    </row>
    <row r="95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  <c r="Z955" s="64" t="n"/>
    </row>
    <row r="956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  <c r="Z956" s="64" t="n"/>
    </row>
    <row r="957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  <c r="Z957" s="64" t="n"/>
    </row>
    <row r="958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  <c r="Z958" s="64" t="n"/>
    </row>
    <row r="959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  <c r="Z959" s="64" t="n"/>
    </row>
    <row r="960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  <c r="Z960" s="64" t="n"/>
    </row>
    <row r="96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  <c r="Z961" s="64" t="n"/>
    </row>
    <row r="962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  <c r="Z962" s="64" t="n"/>
    </row>
    <row r="963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  <c r="Z963" s="64" t="n"/>
    </row>
    <row r="964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  <c r="Z964" s="64" t="n"/>
    </row>
    <row r="96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  <c r="Z965" s="64" t="n"/>
    </row>
    <row r="966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  <c r="Z966" s="64" t="n"/>
    </row>
    <row r="967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  <c r="Z967" s="64" t="n"/>
    </row>
    <row r="968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  <c r="Z968" s="64" t="n"/>
    </row>
    <row r="969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  <c r="Z969" s="64" t="n"/>
    </row>
    <row r="970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  <c r="Z970" s="64" t="n"/>
    </row>
    <row r="97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  <c r="Z971" s="64" t="n"/>
    </row>
    <row r="972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  <c r="Z972" s="64" t="n"/>
    </row>
    <row r="973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  <c r="Z973" s="64" t="n"/>
    </row>
    <row r="974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  <c r="Z974" s="64" t="n"/>
    </row>
    <row r="97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  <c r="Z975" s="64" t="n"/>
    </row>
    <row r="976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  <c r="Z976" s="64" t="n"/>
    </row>
    <row r="977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  <c r="Z977" s="64" t="n"/>
    </row>
    <row r="978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  <c r="Z978" s="64" t="n"/>
    </row>
    <row r="979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  <c r="Z979" s="64" t="n"/>
    </row>
    <row r="980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  <c r="Z980" s="64" t="n"/>
    </row>
    <row r="9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  <c r="Z981" s="64" t="n"/>
    </row>
    <row r="982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  <c r="Z982" s="64" t="n"/>
    </row>
    <row r="983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  <c r="Z983" s="64" t="n"/>
    </row>
    <row r="984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  <c r="Z984" s="64" t="n"/>
    </row>
    <row r="98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  <c r="Z985" s="64" t="n"/>
    </row>
    <row r="986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  <c r="Z986" s="64" t="n"/>
    </row>
    <row r="987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  <c r="Z987" s="64" t="n"/>
    </row>
    <row r="988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  <c r="Z988" s="64" t="n"/>
    </row>
    <row r="989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  <c r="Z989" s="64" t="n"/>
    </row>
    <row r="990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  <c r="Z990" s="64" t="n"/>
    </row>
    <row r="99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  <c r="Z991" s="64" t="n"/>
    </row>
    <row r="992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  <c r="Z992" s="64" t="n"/>
    </row>
    <row r="993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  <c r="Z993" s="64" t="n"/>
    </row>
    <row r="994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  <c r="Z994" s="64" t="n"/>
    </row>
    <row r="99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  <c r="Z995" s="64" t="n"/>
    </row>
    <row r="996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  <c r="Z996" s="64" t="n"/>
    </row>
    <row r="997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  <c r="Z997" s="64" t="n"/>
    </row>
    <row r="998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  <c r="Z998" s="64" t="n"/>
    </row>
    <row r="999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  <c r="Z999" s="64" t="n"/>
    </row>
    <row r="1000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  <c r="Z1000" s="6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5" topLeftCell="A16" activePane="bottomLeft" state="frozen"/>
      <selection pane="bottomLeft" activeCell="B17" sqref="B17"/>
    </sheetView>
  </sheetViews>
  <sheetFormatPr baseColWidth="8" defaultColWidth="12.63" defaultRowHeight="15" customHeight="1"/>
  <cols>
    <col width="22" customWidth="1" style="125" min="1" max="1"/>
    <col width="20.13" customWidth="1" style="125" min="2" max="2"/>
    <col width="7.75" customWidth="1" style="125" min="3" max="3"/>
    <col width="16.38" customWidth="1" style="125" min="4" max="4"/>
    <col width="13.25" customWidth="1" style="125" min="5" max="5"/>
    <col width="35.25" customWidth="1" style="125" min="6" max="6"/>
    <col width="20.25" customWidth="1" style="125" min="7" max="7"/>
    <col width="24.38" customWidth="1" style="125" min="8" max="8"/>
    <col width="20" customWidth="1" style="125" min="9" max="9"/>
    <col width="9.75" customWidth="1" style="125" min="10" max="10"/>
    <col width="15.38" customWidth="1" style="125" min="11" max="11"/>
    <col width="30.13" customWidth="1" style="125" min="12" max="12"/>
    <col width="22.38" customWidth="1" style="125" min="13" max="13"/>
    <col width="19.88" customWidth="1" style="125" min="14" max="14"/>
  </cols>
  <sheetData>
    <row r="1" ht="15.75" customHeight="1" s="125">
      <c r="A1" s="1" t="inlineStr">
        <is>
          <t>Cliente</t>
        </is>
      </c>
      <c r="B1" s="56" t="inlineStr">
        <is>
          <t>Francisco Flores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.75" customHeight="1" s="125">
      <c r="A2" s="1" t="inlineStr">
        <is>
          <t>Proyecto</t>
        </is>
      </c>
      <c r="B2" s="56" t="inlineStr">
        <is>
          <t>Palmira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 s="125">
      <c r="A3" s="1" t="inlineStr">
        <is>
          <t>SRL</t>
        </is>
      </c>
      <c r="B3" s="56" t="inlineStr">
        <is>
          <t>xxxxxx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.75" customHeight="1" s="125">
      <c r="A4" s="1" t="inlineStr">
        <is>
          <t>Responsable</t>
        </is>
      </c>
      <c r="B4" s="56" t="inlineStr">
        <is>
          <t>Ana Mar Pérez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.75" customHeight="1" s="125">
      <c r="A5" s="1" t="inlineStr">
        <is>
          <t>Fecha</t>
        </is>
      </c>
      <c r="B5" s="57" t="n">
        <v>46120.80234236111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.75" customHeight="1" s="125">
      <c r="A6" s="1" t="inlineStr">
        <is>
          <t>N_COTIZACION</t>
        </is>
      </c>
      <c r="B6" s="56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5.75" customHeight="1" s="125">
      <c r="A7" s="1" t="inlineStr">
        <is>
          <t>Incoterm</t>
        </is>
      </c>
      <c r="B7" s="56">
        <f>CONFIG!B7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5.75" customHeight="1" s="125">
      <c r="A8" s="1" t="inlineStr">
        <is>
          <t>Condiciones_Pago</t>
        </is>
      </c>
      <c r="B8" s="56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5.75" customHeight="1" s="125">
      <c r="A9" s="1" t="inlineStr">
        <is>
          <t>Validez (días)</t>
        </is>
      </c>
      <c r="B9" s="56">
        <f>CONFIG!B6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5.75" customHeight="1" s="125">
      <c r="A10" s="1" t="inlineStr">
        <is>
          <t>Plazo Entrega (semanas)</t>
        </is>
      </c>
      <c r="B10" s="56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75" customHeight="1" s="125">
      <c r="A11" s="1" t="inlineStr">
        <is>
          <t>Moneda</t>
        </is>
      </c>
      <c r="B11" s="56">
        <f>CONFIG!B8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15.75" customHeight="1" s="125">
      <c r="A12" s="1" t="inlineStr">
        <is>
          <t>AREA_TOTAL_REFERENCIAL_M2</t>
        </is>
      </c>
      <c r="B12" s="56" t="n">
        <v>100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15.75" customHeight="1" s="125">
      <c r="A13" s="1" t="inlineStr">
        <is>
          <t>Observaciones_Generales</t>
        </is>
      </c>
      <c r="B13" s="56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15.75" customHeight="1" s="125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24.75" customHeight="1" s="125">
      <c r="A15" s="1" t="inlineStr">
        <is>
          <t>ITEM</t>
        </is>
      </c>
      <c r="B15" s="1" t="inlineStr">
        <is>
          <t>GRUPO_COMPOSICION</t>
        </is>
      </c>
      <c r="C15" s="1" t="inlineStr">
        <is>
          <t>INCLUIR</t>
        </is>
      </c>
      <c r="D15" s="1" t="inlineStr">
        <is>
          <t>SKU_FASSA</t>
        </is>
      </c>
      <c r="E15" s="1" t="inlineStr">
        <is>
          <t>FAMILIA</t>
        </is>
      </c>
      <c r="F15" s="1" t="inlineStr">
        <is>
          <t>NOMBRE_PRODUCTO</t>
        </is>
      </c>
      <c r="G15" s="1" t="inlineStr">
        <is>
          <t>AREA_APLICADA_M2</t>
        </is>
      </c>
      <c r="H15" s="1" t="inlineStr">
        <is>
          <t>RENDIMIENTO_APLICADO</t>
        </is>
      </c>
      <c r="I15" s="1" t="inlineStr">
        <is>
          <t>UNIDAD_RENDIMIENTO</t>
        </is>
      </c>
      <c r="J15" s="1" t="inlineStr">
        <is>
          <t>MERMA_%</t>
        </is>
      </c>
      <c r="K15" s="1" t="inlineStr">
        <is>
          <t>FACTOR_AJUSTE</t>
        </is>
      </c>
      <c r="L15" s="1" t="inlineStr">
        <is>
          <t>CANTIDAD_MANUAL_OVERRIDE</t>
        </is>
      </c>
      <c r="M15" s="1" t="inlineStr">
        <is>
          <t>MARGEN_%_APLICADO</t>
        </is>
      </c>
      <c r="N15" s="1" t="inlineStr">
        <is>
          <t>OBSERVACION_ITEM</t>
        </is>
      </c>
    </row>
    <row r="16" ht="24.75" customHeight="1" s="125">
      <c r="A16" s="62" t="n">
        <v>1</v>
      </c>
      <c r="B16" s="62" t="inlineStr">
        <is>
          <t>Placa</t>
        </is>
      </c>
      <c r="C16" s="62" t="inlineStr">
        <is>
          <t>SI</t>
        </is>
      </c>
      <c r="D16" s="58" t="inlineStr">
        <is>
          <t>C344836299B</t>
        </is>
      </c>
      <c r="E16" s="62">
        <f t="array" ref="E16">IFERROR(INDEX(PRODUCT!$A:$A,MATCH(D16,PRODUCT!$B:$B,0)),"")</f>
        <v/>
      </c>
      <c r="F16" s="62">
        <f t="array" ref="F16">IFERROR(INDEX(PRODUCT!$C:$C,MATCH(D16,PRODUCT!$B:$B,0)),"")</f>
        <v/>
      </c>
      <c r="G16" s="61">
        <f>$B$12</f>
        <v/>
      </c>
      <c r="H16" s="61">
        <f t="array" ref="H16">IFERROR(INDEX(PRODUCT!$L:$L,MATCH(D16,PRODUCT!$B:$B,0)),"")</f>
        <v/>
      </c>
      <c r="I16" s="62">
        <f t="array" ref="I16">IFERROR(INDEX(PRODUCT!$M:$M,MATCH(D16,PRODUCT!$B:$B,0)),"")</f>
        <v/>
      </c>
      <c r="J16" s="60" t="n">
        <v>0.05</v>
      </c>
      <c r="K16" s="61" t="n">
        <v>1</v>
      </c>
      <c r="L16" s="61" t="n">
        <v>105</v>
      </c>
      <c r="M16" s="60">
        <f>CONFIG!$B$4</f>
        <v/>
      </c>
      <c r="N16" s="62" t="inlineStr">
        <is>
          <t>Base muro seco</t>
        </is>
      </c>
    </row>
    <row r="17" ht="15.75" customHeight="1" s="125">
      <c r="A17" s="62" t="n">
        <v>2</v>
      </c>
      <c r="B17" s="62" t="inlineStr">
        <is>
          <t>Perfilería</t>
        </is>
      </c>
      <c r="C17" s="62" t="inlineStr">
        <is>
          <t>SI</t>
        </is>
      </c>
      <c r="D17" s="58" t="inlineStr">
        <is>
          <t>C344836299B</t>
        </is>
      </c>
      <c r="E17" s="62">
        <f t="array" ref="E17">IFERROR(INDEX(PRODUCT!$A:$A,MATCH(D17,PRODUCT!$B:$B,0)),"")</f>
        <v/>
      </c>
      <c r="F17" s="62">
        <f t="array" ref="F17">IFERROR(INDEX(PRODUCT!$C:$C,MATCH(D17,PRODUCT!$B:$B,0)),"")</f>
        <v/>
      </c>
      <c r="G17" s="61">
        <f>$B$12</f>
        <v/>
      </c>
      <c r="H17" s="61">
        <f t="array" ref="H17">IFERROR(INDEX(PRODUCT!$L:$L,MATCH(D17,PRODUCT!$B:$B,0)),"")</f>
        <v/>
      </c>
      <c r="I17" s="62">
        <f t="array" ref="I17">IFERROR(INDEX(PRODUCT!$M:$M,MATCH(D17,PRODUCT!$B:$B,0)),"")</f>
        <v/>
      </c>
      <c r="J17" s="60" t="n">
        <v>0.05</v>
      </c>
      <c r="K17" s="61" t="n">
        <v>1</v>
      </c>
      <c r="L17" s="61" t="n">
        <v>105</v>
      </c>
      <c r="M17" s="60">
        <f>CONFIG!$B$4</f>
        <v/>
      </c>
      <c r="N17" s="62" t="inlineStr">
        <is>
          <t>Editable según cliente</t>
        </is>
      </c>
    </row>
    <row r="18" ht="15.75" customHeight="1" s="125">
      <c r="A18" s="62" t="n">
        <v>3</v>
      </c>
      <c r="B18" s="62" t="inlineStr">
        <is>
          <t>Perfilería</t>
        </is>
      </c>
      <c r="C18" s="62" t="inlineStr">
        <is>
          <t>SI</t>
        </is>
      </c>
      <c r="D18" s="58" t="inlineStr">
        <is>
          <t>U307030300A</t>
        </is>
      </c>
      <c r="E18" s="62">
        <f t="array" ref="E18">IFERROR(INDEX(PRODUCT!$A:$A,MATCH(D18,PRODUCT!$B:$B,0)),"")</f>
        <v/>
      </c>
      <c r="F18" s="62">
        <f t="array" ref="F18">IFERROR(INDEX(PRODUCT!$C:$C,MATCH(D18,PRODUCT!$B:$B,0)),"")</f>
        <v/>
      </c>
      <c r="G18" s="61">
        <f>$B$12</f>
        <v/>
      </c>
      <c r="H18" s="61">
        <f t="array" ref="H18">IFERROR(INDEX(PRODUCT!$L:$L,MATCH(D18,PRODUCT!$B:$B,0)),"")</f>
        <v/>
      </c>
      <c r="I18" s="62">
        <f t="array" ref="I18">IFERROR(INDEX(PRODUCT!$M:$M,MATCH(D18,PRODUCT!$B:$B,0)),"")</f>
        <v/>
      </c>
      <c r="J18" s="60" t="n">
        <v>0.05</v>
      </c>
      <c r="K18" s="61" t="n">
        <v>1</v>
      </c>
      <c r="L18" s="61" t="n">
        <v>105</v>
      </c>
      <c r="M18" s="60">
        <f>CONFIG!$B$4</f>
        <v/>
      </c>
      <c r="N18" s="62" t="inlineStr">
        <is>
          <t>Editable según cliente</t>
        </is>
      </c>
    </row>
    <row r="19" ht="15.75" customHeight="1" s="125">
      <c r="A19" s="62" t="n">
        <v>4</v>
      </c>
      <c r="B19" s="62" t="inlineStr">
        <is>
          <t>Accesorio</t>
        </is>
      </c>
      <c r="C19" s="62" t="inlineStr">
        <is>
          <t>SI</t>
        </is>
      </c>
      <c r="D19" s="58" t="inlineStr">
        <is>
          <t>304058</t>
        </is>
      </c>
      <c r="E19" s="62">
        <f t="array" ref="E19">IFERROR(INDEX(PRODUCT!$A:$A,MATCH(D19,PRODUCT!$B:$B,0)),"")</f>
        <v/>
      </c>
      <c r="F19" s="62">
        <f t="array" ref="F19">IFERROR(INDEX(PRODUCT!$C:$C,MATCH(D19,PRODUCT!$B:$B,0)),"")</f>
        <v/>
      </c>
      <c r="G19" s="61">
        <f>$B$12</f>
        <v/>
      </c>
      <c r="H19" s="61">
        <f t="array" ref="H19">IFERROR(INDEX(PRODUCT!$L:$L,MATCH(D19,PRODUCT!$B:$B,0)),"")</f>
        <v/>
      </c>
      <c r="I19" s="62">
        <f t="array" ref="I19">IFERROR(INDEX(PRODUCT!$M:$M,MATCH(D19,PRODUCT!$B:$B,0)),"")</f>
        <v/>
      </c>
      <c r="J19" s="60" t="n">
        <v>0.05</v>
      </c>
      <c r="K19" s="61" t="n">
        <v>1</v>
      </c>
      <c r="L19" s="61" t="n">
        <v>105</v>
      </c>
      <c r="M19" s="60">
        <f>CONFIG!$B$4</f>
        <v/>
      </c>
      <c r="N19" s="62" t="inlineStr">
        <is>
          <t>Juntas</t>
        </is>
      </c>
    </row>
    <row r="20" ht="15.75" customHeight="1" s="125">
      <c r="A20" s="62" t="n">
        <v>5</v>
      </c>
      <c r="B20" s="62" t="inlineStr">
        <is>
          <t>Masillas</t>
        </is>
      </c>
      <c r="C20" s="62" t="inlineStr">
        <is>
          <t>SI</t>
        </is>
      </c>
      <c r="D20" s="58" t="inlineStr">
        <is>
          <t>351E1</t>
        </is>
      </c>
      <c r="E20" s="62">
        <f t="array" ref="E20">IFERROR(INDEX(PRODUCT!$A:$A,MATCH(D20,PRODUCT!$B:$B,0)),"")</f>
        <v/>
      </c>
      <c r="F20" s="62">
        <f t="array" ref="F20">IFERROR(INDEX(PRODUCT!$C:$C,MATCH(D20,PRODUCT!$B:$B,0)),"")</f>
        <v/>
      </c>
      <c r="G20" s="61">
        <f>$B$12</f>
        <v/>
      </c>
      <c r="H20" s="61">
        <f t="array" ref="H20">IFERROR(INDEX(PRODUCT!$L:$L,MATCH(D20,PRODUCT!$B:$B,0)),"")</f>
        <v/>
      </c>
      <c r="I20" s="62">
        <f t="array" ref="I20">IFERROR(INDEX(PRODUCT!$M:$M,MATCH(D20,PRODUCT!$B:$B,0)),"")</f>
        <v/>
      </c>
      <c r="J20" s="60" t="n">
        <v>0.05</v>
      </c>
      <c r="K20" s="61" t="n">
        <v>1</v>
      </c>
      <c r="L20" s="61" t="n">
        <v>105</v>
      </c>
      <c r="M20" s="60">
        <f>CONFIG!$B$4</f>
        <v/>
      </c>
      <c r="N20" s="62" t="inlineStr">
        <is>
          <t>Tratamiento juntas</t>
        </is>
      </c>
    </row>
    <row r="21" ht="15.75" customHeight="1" s="125">
      <c r="A21" s="62" t="n">
        <v>6</v>
      </c>
      <c r="B21" s="62" t="inlineStr">
        <is>
          <t>Accesorio</t>
        </is>
      </c>
      <c r="C21" s="62" t="inlineStr">
        <is>
          <t>SI</t>
        </is>
      </c>
      <c r="D21" s="58" t="inlineStr">
        <is>
          <t>304076</t>
        </is>
      </c>
      <c r="E21" s="62">
        <f t="array" ref="E21">IFERROR(INDEX(PRODUCT!$A:$A,MATCH(D21,PRODUCT!$B:$B,0)),"")</f>
        <v/>
      </c>
      <c r="F21" s="62">
        <f t="array" ref="F21">IFERROR(INDEX(PRODUCT!$C:$C,MATCH(D21,PRODUCT!$B:$B,0)),"")</f>
        <v/>
      </c>
      <c r="G21" s="61">
        <f>$B$12</f>
        <v/>
      </c>
      <c r="H21" s="61">
        <f t="array" ref="H21">IFERROR(INDEX(PRODUCT!$L:$L,MATCH(D21,PRODUCT!$B:$B,0)),"")</f>
        <v/>
      </c>
      <c r="I21" s="62">
        <f t="array" ref="I21">IFERROR(INDEX(PRODUCT!$M:$M,MATCH(D21,PRODUCT!$B:$B,0)),"")</f>
        <v/>
      </c>
      <c r="J21" s="60" t="n">
        <v>0.05</v>
      </c>
      <c r="K21" s="61" t="n">
        <v>1</v>
      </c>
      <c r="L21" s="61" t="n">
        <v>105</v>
      </c>
      <c r="M21" s="60">
        <f>CONFIG!$B$4</f>
        <v/>
      </c>
      <c r="N21" s="62" t="inlineStr">
        <is>
          <t>Perímetro</t>
        </is>
      </c>
    </row>
    <row r="22" ht="15.75" customHeight="1" s="125">
      <c r="A22" s="62" t="n">
        <v>7</v>
      </c>
      <c r="B22" s="62" t="inlineStr">
        <is>
          <t>Accesorio</t>
        </is>
      </c>
      <c r="C22" s="62" t="inlineStr">
        <is>
          <t>SI</t>
        </is>
      </c>
      <c r="D22" s="58" t="inlineStr">
        <is>
          <t>1091001Y</t>
        </is>
      </c>
      <c r="E22" s="62">
        <f t="array" ref="E22">IFERROR(INDEX(PRODUCT!$A:$A,MATCH(D22,PRODUCT!$B:$B,0)),"")</f>
        <v/>
      </c>
      <c r="F22" s="62">
        <f t="array" ref="F22">IFERROR(INDEX(PRODUCT!$C:$C,MATCH(D22,PRODUCT!$B:$B,0)),"")</f>
        <v/>
      </c>
      <c r="G22" s="61">
        <f>$B$12</f>
        <v/>
      </c>
      <c r="H22" s="61">
        <f t="array" ref="H22">IFERROR(INDEX(PRODUCT!$L:$L,MATCH(D22,PRODUCT!$B:$B,0)),"")</f>
        <v/>
      </c>
      <c r="I22" s="62">
        <f t="array" ref="I22">IFERROR(INDEX(PRODUCT!$M:$M,MATCH(D22,PRODUCT!$B:$B,0)),"")</f>
        <v/>
      </c>
      <c r="J22" s="60" t="n">
        <v>0.05</v>
      </c>
      <c r="K22" s="61" t="n">
        <v>1</v>
      </c>
      <c r="L22" s="61" t="n">
        <v>105</v>
      </c>
      <c r="M22" s="60">
        <f>CONFIG!$B$4</f>
        <v/>
      </c>
      <c r="N22" s="62" t="inlineStr">
        <is>
          <t>Esquinas</t>
        </is>
      </c>
    </row>
    <row r="23" ht="15.75" customHeight="1" s="125">
      <c r="A23" s="2" t="n"/>
      <c r="B23" s="62" t="n"/>
      <c r="C23" s="62" t="n"/>
      <c r="D23" s="58" t="n"/>
      <c r="E23" s="62">
        <f t="array" ref="E23">IF($D23="","",xlookup($D23,PRODUCT!$B:$B,PRODUCT!$A:$A,""))</f>
        <v/>
      </c>
      <c r="F23" s="62">
        <f t="array" ref="F23">IF($D23="","",xlookup($D23,PRODUCT!$B:$B,PRODUCT!$C:$C,""))</f>
        <v/>
      </c>
      <c r="G23" s="61" t="n"/>
      <c r="H23" s="61">
        <f t="array" ref="H23">IF($D23="","",xlookup($D23,PRODUCT!$B:$B,PRODUCT!$L:$L,""))</f>
        <v/>
      </c>
      <c r="I23" s="62">
        <f t="array" ref="I23">IF($D23="","",xlookup($D23,PRODUCT!$B:$B,PRODUCT!$M:$M,""))</f>
        <v/>
      </c>
      <c r="J23" s="60" t="n"/>
      <c r="K23" s="61" t="n"/>
      <c r="L23" s="61" t="n"/>
      <c r="M23" s="60" t="n"/>
      <c r="N23" s="2" t="n"/>
    </row>
    <row r="24" ht="15.75" customHeight="1" s="125">
      <c r="A24" s="2" t="n"/>
      <c r="B24" s="62" t="n"/>
      <c r="C24" s="62" t="n"/>
      <c r="D24" s="58" t="n"/>
      <c r="E24" s="62">
        <f t="array" ref="E24">IF($D24="","",xlookup($D24,PRODUCT!$B:$B,PRODUCT!$A:$A,""))</f>
        <v/>
      </c>
      <c r="F24" s="62">
        <f t="array" ref="F24">IF($D24="","",xlookup($D24,PRODUCT!$B:$B,PRODUCT!$C:$C,""))</f>
        <v/>
      </c>
      <c r="G24" s="61" t="n"/>
      <c r="H24" s="61">
        <f t="array" ref="H24">IF($D24="","",xlookup($D24,PRODUCT!$B:$B,PRODUCT!$L:$L,""))</f>
        <v/>
      </c>
      <c r="I24" s="62">
        <f t="array" ref="I24">IF($D24="","",xlookup($D24,PRODUCT!$B:$B,PRODUCT!$M:$M,""))</f>
        <v/>
      </c>
      <c r="J24" s="60" t="n"/>
      <c r="K24" s="61" t="n"/>
      <c r="L24" s="61" t="n"/>
      <c r="M24" s="60" t="n"/>
      <c r="N24" s="2" t="n"/>
    </row>
    <row r="25" ht="15.75" customHeight="1" s="125">
      <c r="A25" s="2" t="n"/>
      <c r="B25" s="62" t="n"/>
      <c r="C25" s="62" t="n"/>
      <c r="D25" s="58" t="n"/>
      <c r="E25" s="62">
        <f t="array" ref="E25">IF($D25="","",xlookup($D25,PRODUCT!$B:$B,PRODUCT!$A:$A,""))</f>
        <v/>
      </c>
      <c r="F25" s="62">
        <f t="array" ref="F25">IF($D25="","",xlookup($D25,PRODUCT!$B:$B,PRODUCT!$C:$C,""))</f>
        <v/>
      </c>
      <c r="G25" s="61" t="n"/>
      <c r="H25" s="61">
        <f t="array" ref="H25">IF($D25="","",xlookup($D25,PRODUCT!$B:$B,PRODUCT!$L:$L,""))</f>
        <v/>
      </c>
      <c r="I25" s="62">
        <f t="array" ref="I25">IF($D25="","",xlookup($D25,PRODUCT!$B:$B,PRODUCT!$M:$M,""))</f>
        <v/>
      </c>
      <c r="J25" s="60" t="n"/>
      <c r="K25" s="61" t="n"/>
      <c r="L25" s="61" t="n"/>
      <c r="M25" s="60" t="n"/>
      <c r="N25" s="2" t="n"/>
    </row>
    <row r="26" ht="15.75" customHeight="1" s="125">
      <c r="A26" s="2" t="n"/>
      <c r="B26" s="62" t="n"/>
      <c r="C26" s="62" t="n"/>
      <c r="D26" s="58" t="n"/>
      <c r="E26" s="62">
        <f t="array" ref="E26">IF($D26="","",xlookup($D26,PRODUCT!$B:$B,PRODUCT!$A:$A,""))</f>
        <v/>
      </c>
      <c r="F26" s="62">
        <f t="array" ref="F26">IF($D26="","",xlookup($D26,PRODUCT!$B:$B,PRODUCT!$C:$C,""))</f>
        <v/>
      </c>
      <c r="G26" s="61" t="n"/>
      <c r="H26" s="61">
        <f t="array" ref="H26">IF($D26="","",xlookup($D26,PRODUCT!$B:$B,PRODUCT!$L:$L,""))</f>
        <v/>
      </c>
      <c r="I26" s="62">
        <f t="array" ref="I26">IF($D26="","",xlookup($D26,PRODUCT!$B:$B,PRODUCT!$M:$M,""))</f>
        <v/>
      </c>
      <c r="J26" s="60" t="n"/>
      <c r="K26" s="61" t="n"/>
      <c r="L26" s="61" t="n"/>
      <c r="M26" s="60" t="n"/>
      <c r="N26" s="2" t="n"/>
    </row>
    <row r="27" ht="15.75" customHeight="1" s="125">
      <c r="A27" s="2" t="n"/>
      <c r="B27" s="62" t="n"/>
      <c r="C27" s="62" t="n"/>
      <c r="D27" s="58" t="n"/>
      <c r="E27" s="62">
        <f t="array" ref="E27">IF($D27="","",xlookup($D27,PRODUCT!$B:$B,PRODUCT!$A:$A,""))</f>
        <v/>
      </c>
      <c r="F27" s="62">
        <f t="array" ref="F27">IF($D27="","",xlookup($D27,PRODUCT!$B:$B,PRODUCT!$C:$C,""))</f>
        <v/>
      </c>
      <c r="G27" s="61" t="n"/>
      <c r="H27" s="61">
        <f t="array" ref="H27">IF($D27="","",xlookup($D27,PRODUCT!$B:$B,PRODUCT!$L:$L,""))</f>
        <v/>
      </c>
      <c r="I27" s="62">
        <f t="array" ref="I27">IF($D27="","",xlookup($D27,PRODUCT!$B:$B,PRODUCT!$M:$M,""))</f>
        <v/>
      </c>
      <c r="J27" s="60" t="n"/>
      <c r="K27" s="61" t="n"/>
      <c r="L27" s="61" t="n"/>
      <c r="M27" s="60" t="n"/>
      <c r="N27" s="2" t="n"/>
    </row>
    <row r="28" ht="15.75" customHeight="1" s="125">
      <c r="A28" s="2" t="n"/>
      <c r="B28" s="62" t="n"/>
      <c r="C28" s="62" t="n"/>
      <c r="D28" s="58" t="n"/>
      <c r="E28" s="62">
        <f t="array" ref="E28">IF($D28="","",xlookup($D28,PRODUCT!$B:$B,PRODUCT!$A:$A,""))</f>
        <v/>
      </c>
      <c r="F28" s="62">
        <f t="array" ref="F28">IF($D28="","",xlookup($D28,PRODUCT!$B:$B,PRODUCT!$C:$C,""))</f>
        <v/>
      </c>
      <c r="G28" s="61" t="n"/>
      <c r="H28" s="61">
        <f t="array" ref="H28">IF($D28="","",xlookup($D28,PRODUCT!$B:$B,PRODUCT!$L:$L,""))</f>
        <v/>
      </c>
      <c r="I28" s="62">
        <f t="array" ref="I28">IF($D28="","",xlookup($D28,PRODUCT!$B:$B,PRODUCT!$M:$M,""))</f>
        <v/>
      </c>
      <c r="J28" s="60" t="n"/>
      <c r="K28" s="61" t="n"/>
      <c r="L28" s="61" t="n"/>
      <c r="M28" s="60" t="n"/>
      <c r="N28" s="2" t="n"/>
    </row>
    <row r="29" ht="15.75" customHeight="1" s="125">
      <c r="A29" s="2" t="n"/>
      <c r="B29" s="62" t="n"/>
      <c r="C29" s="62" t="n"/>
      <c r="D29" s="58" t="n"/>
      <c r="E29" s="62">
        <f t="array" ref="E29">IF($D29="","",xlookup($D29,PRODUCT!$B:$B,PRODUCT!$A:$A,""))</f>
        <v/>
      </c>
      <c r="F29" s="62">
        <f t="array" ref="F29">IF($D29="","",xlookup($D29,PRODUCT!$B:$B,PRODUCT!$C:$C,""))</f>
        <v/>
      </c>
      <c r="G29" s="61" t="n"/>
      <c r="H29" s="61">
        <f t="array" ref="H29">IF($D29="","",xlookup($D29,PRODUCT!$B:$B,PRODUCT!$L:$L,""))</f>
        <v/>
      </c>
      <c r="I29" s="62">
        <f t="array" ref="I29">IF($D29="","",xlookup($D29,PRODUCT!$B:$B,PRODUCT!$M:$M,""))</f>
        <v/>
      </c>
      <c r="J29" s="60" t="n"/>
      <c r="K29" s="61" t="n"/>
      <c r="L29" s="61" t="n"/>
      <c r="M29" s="60" t="n"/>
      <c r="N29" s="2" t="n"/>
    </row>
    <row r="30" ht="15.75" customHeight="1" s="125">
      <c r="A30" s="2" t="n"/>
      <c r="B30" s="62" t="n"/>
      <c r="C30" s="62" t="n"/>
      <c r="D30" s="58" t="n"/>
      <c r="E30" s="62">
        <f t="array" ref="E30">IF($D30="","",xlookup($D30,PRODUCT!$B:$B,PRODUCT!$A:$A,""))</f>
        <v/>
      </c>
      <c r="F30" s="62">
        <f t="array" ref="F30">IF($D30="","",xlookup($D30,PRODUCT!$B:$B,PRODUCT!$C:$C,""))</f>
        <v/>
      </c>
      <c r="G30" s="61" t="n"/>
      <c r="H30" s="61">
        <f t="array" ref="H30">IF($D30="","",xlookup($D30,PRODUCT!$B:$B,PRODUCT!$L:$L,""))</f>
        <v/>
      </c>
      <c r="I30" s="62">
        <f t="array" ref="I30">IF($D30="","",xlookup($D30,PRODUCT!$B:$B,PRODUCT!$M:$M,""))</f>
        <v/>
      </c>
      <c r="J30" s="60" t="n"/>
      <c r="K30" s="61" t="n"/>
      <c r="L30" s="61" t="n"/>
      <c r="M30" s="60" t="n"/>
      <c r="N30" s="2" t="n"/>
    </row>
    <row r="31" ht="15.75" customHeight="1" s="125">
      <c r="A31" s="2" t="n"/>
      <c r="B31" s="62" t="n"/>
      <c r="C31" s="62" t="n"/>
      <c r="D31" s="58" t="n"/>
      <c r="E31" s="62">
        <f t="array" ref="E31">IF($D31="","",xlookup($D31,PRODUCT!$B:$B,PRODUCT!$A:$A,""))</f>
        <v/>
      </c>
      <c r="F31" s="62">
        <f t="array" ref="F31">IF($D31="","",xlookup($D31,PRODUCT!$B:$B,PRODUCT!$C:$C,""))</f>
        <v/>
      </c>
      <c r="G31" s="61" t="n"/>
      <c r="H31" s="61">
        <f t="array" ref="H31">IF($D31="","",xlookup($D31,PRODUCT!$B:$B,PRODUCT!$L:$L,""))</f>
        <v/>
      </c>
      <c r="I31" s="62">
        <f t="array" ref="I31">IF($D31="","",xlookup($D31,PRODUCT!$B:$B,PRODUCT!$M:$M,""))</f>
        <v/>
      </c>
      <c r="J31" s="60" t="n"/>
      <c r="K31" s="61" t="n"/>
      <c r="L31" s="61" t="n"/>
      <c r="M31" s="60" t="n"/>
      <c r="N31" s="2" t="n"/>
    </row>
    <row r="32" ht="15.75" customHeight="1" s="125">
      <c r="A32" s="2" t="n"/>
      <c r="B32" s="62" t="n"/>
      <c r="C32" s="62" t="n"/>
      <c r="D32" s="58" t="n"/>
      <c r="E32" s="62">
        <f t="array" ref="E32">IF($D32="","",xlookup($D32,PRODUCT!$B:$B,PRODUCT!$A:$A,""))</f>
        <v/>
      </c>
      <c r="F32" s="62">
        <f t="array" ref="F32">IF($D32="","",xlookup($D32,PRODUCT!$B:$B,PRODUCT!$C:$C,""))</f>
        <v/>
      </c>
      <c r="G32" s="61" t="n"/>
      <c r="H32" s="61">
        <f t="array" ref="H32">IF($D32="","",xlookup($D32,PRODUCT!$B:$B,PRODUCT!$L:$L,""))</f>
        <v/>
      </c>
      <c r="I32" s="62">
        <f t="array" ref="I32">IF($D32="","",xlookup($D32,PRODUCT!$B:$B,PRODUCT!$M:$M,""))</f>
        <v/>
      </c>
      <c r="J32" s="60" t="n"/>
      <c r="K32" s="61" t="n"/>
      <c r="L32" s="61" t="n"/>
      <c r="M32" s="60" t="n"/>
      <c r="N32" s="2" t="n"/>
    </row>
    <row r="33" ht="15.75" customHeight="1" s="125">
      <c r="A33" s="2" t="n"/>
      <c r="B33" s="62" t="n"/>
      <c r="C33" s="62" t="n"/>
      <c r="D33" s="58" t="n"/>
      <c r="E33" s="62">
        <f t="array" ref="E33">IF($D33="","",xlookup($D33,PRODUCT!$B:$B,PRODUCT!$A:$A,""))</f>
        <v/>
      </c>
      <c r="F33" s="62">
        <f t="array" ref="F33">IF($D33="","",xlookup($D33,PRODUCT!$B:$B,PRODUCT!$C:$C,""))</f>
        <v/>
      </c>
      <c r="G33" s="61" t="n"/>
      <c r="H33" s="61">
        <f t="array" ref="H33">IF($D33="","",xlookup($D33,PRODUCT!$B:$B,PRODUCT!$L:$L,""))</f>
        <v/>
      </c>
      <c r="I33" s="62">
        <f t="array" ref="I33">IF($D33="","",xlookup($D33,PRODUCT!$B:$B,PRODUCT!$M:$M,""))</f>
        <v/>
      </c>
      <c r="J33" s="60" t="n"/>
      <c r="K33" s="61" t="n"/>
      <c r="L33" s="61" t="n"/>
      <c r="M33" s="60" t="n"/>
      <c r="N33" s="2" t="n"/>
    </row>
    <row r="34" ht="15.75" customHeight="1" s="125">
      <c r="A34" s="2" t="n"/>
      <c r="B34" s="62" t="n"/>
      <c r="C34" s="62" t="n"/>
      <c r="D34" s="58" t="n"/>
      <c r="E34" s="62">
        <f t="array" ref="E34">IF($D34="","",xlookup($D34,PRODUCT!$B:$B,PRODUCT!$A:$A,""))</f>
        <v/>
      </c>
      <c r="F34" s="62">
        <f t="array" ref="F34">IF($D34="","",xlookup($D34,PRODUCT!$B:$B,PRODUCT!$C:$C,""))</f>
        <v/>
      </c>
      <c r="G34" s="61" t="n"/>
      <c r="H34" s="61">
        <f t="array" ref="H34">IF($D34="","",xlookup($D34,PRODUCT!$B:$B,PRODUCT!$L:$L,""))</f>
        <v/>
      </c>
      <c r="I34" s="62">
        <f t="array" ref="I34">IF($D34="","",xlookup($D34,PRODUCT!$B:$B,PRODUCT!$M:$M,""))</f>
        <v/>
      </c>
      <c r="J34" s="60" t="n"/>
      <c r="K34" s="61" t="n"/>
      <c r="L34" s="61" t="n"/>
      <c r="M34" s="60" t="n"/>
      <c r="N34" s="2" t="n"/>
    </row>
    <row r="35" ht="15.75" customHeight="1" s="125">
      <c r="A35" s="2" t="n"/>
      <c r="B35" s="62" t="n"/>
      <c r="C35" s="62" t="n"/>
      <c r="D35" s="58" t="n"/>
      <c r="E35" s="62">
        <f t="array" ref="E35">IF($D35="","",xlookup($D35,PRODUCT!$B:$B,PRODUCT!$A:$A,""))</f>
        <v/>
      </c>
      <c r="F35" s="62">
        <f t="array" ref="F35">IF($D35="","",xlookup($D35,PRODUCT!$B:$B,PRODUCT!$C:$C,""))</f>
        <v/>
      </c>
      <c r="G35" s="61" t="n"/>
      <c r="H35" s="61">
        <f t="array" ref="H35">IF($D35="","",xlookup($D35,PRODUCT!$B:$B,PRODUCT!$L:$L,""))</f>
        <v/>
      </c>
      <c r="I35" s="62">
        <f t="array" ref="I35">IF($D35="","",xlookup($D35,PRODUCT!$B:$B,PRODUCT!$M:$M,""))</f>
        <v/>
      </c>
      <c r="J35" s="60" t="n"/>
      <c r="K35" s="61" t="n"/>
      <c r="L35" s="61" t="n"/>
      <c r="M35" s="60" t="n"/>
      <c r="N35" s="2" t="n"/>
    </row>
    <row r="36" ht="15.75" customHeight="1" s="125">
      <c r="A36" s="2" t="n"/>
      <c r="B36" s="62" t="n"/>
      <c r="C36" s="62" t="n"/>
      <c r="D36" s="58" t="n"/>
      <c r="E36" s="62">
        <f t="array" ref="E36">IF($D36="","",xlookup($D36,PRODUCT!$B:$B,PRODUCT!$A:$A,""))</f>
        <v/>
      </c>
      <c r="F36" s="62">
        <f t="array" ref="F36">IF($D36="","",xlookup($D36,PRODUCT!$B:$B,PRODUCT!$C:$C,""))</f>
        <v/>
      </c>
      <c r="G36" s="61" t="n"/>
      <c r="H36" s="61">
        <f t="array" ref="H36">IF($D36="","",xlookup($D36,PRODUCT!$B:$B,PRODUCT!$L:$L,""))</f>
        <v/>
      </c>
      <c r="I36" s="62">
        <f t="array" ref="I36">IF($D36="","",xlookup($D36,PRODUCT!$B:$B,PRODUCT!$M:$M,""))</f>
        <v/>
      </c>
      <c r="J36" s="60" t="n"/>
      <c r="K36" s="61" t="n"/>
      <c r="L36" s="61" t="n"/>
      <c r="M36" s="60" t="n"/>
      <c r="N36" s="2" t="n"/>
    </row>
    <row r="37" ht="15.75" customHeight="1" s="125">
      <c r="A37" s="2" t="n"/>
      <c r="B37" s="62" t="n"/>
      <c r="C37" s="62" t="n"/>
      <c r="D37" s="58" t="n"/>
      <c r="E37" s="62">
        <f t="array" ref="E37">IF($D37="","",xlookup($D37,PRODUCT!$B:$B,PRODUCT!$A:$A,""))</f>
        <v/>
      </c>
      <c r="F37" s="62">
        <f t="array" ref="F37">IF($D37="","",xlookup($D37,PRODUCT!$B:$B,PRODUCT!$C:$C,""))</f>
        <v/>
      </c>
      <c r="G37" s="61" t="n"/>
      <c r="H37" s="61">
        <f t="array" ref="H37">IF($D37="","",xlookup($D37,PRODUCT!$B:$B,PRODUCT!$L:$L,""))</f>
        <v/>
      </c>
      <c r="I37" s="62">
        <f t="array" ref="I37">IF($D37="","",xlookup($D37,PRODUCT!$B:$B,PRODUCT!$M:$M,""))</f>
        <v/>
      </c>
      <c r="J37" s="60" t="n"/>
      <c r="K37" s="61" t="n"/>
      <c r="L37" s="61" t="n"/>
      <c r="M37" s="60" t="n"/>
      <c r="N37" s="2" t="n"/>
    </row>
    <row r="38" ht="15.75" customHeight="1" s="125">
      <c r="A38" s="2" t="n"/>
      <c r="B38" s="62" t="n"/>
      <c r="C38" s="62" t="n"/>
      <c r="D38" s="58" t="n"/>
      <c r="E38" s="62">
        <f t="array" ref="E38">IF($D38="","",xlookup($D38,PRODUCT!$B:$B,PRODUCT!$A:$A,""))</f>
        <v/>
      </c>
      <c r="F38" s="62">
        <f t="array" ref="F38">IF($D38="","",xlookup($D38,PRODUCT!$B:$B,PRODUCT!$C:$C,""))</f>
        <v/>
      </c>
      <c r="G38" s="61" t="n"/>
      <c r="H38" s="61">
        <f t="array" ref="H38">IF($D38="","",xlookup($D38,PRODUCT!$B:$B,PRODUCT!$L:$L,""))</f>
        <v/>
      </c>
      <c r="I38" s="62">
        <f t="array" ref="I38">IF($D38="","",xlookup($D38,PRODUCT!$B:$B,PRODUCT!$M:$M,""))</f>
        <v/>
      </c>
      <c r="J38" s="60" t="n"/>
      <c r="K38" s="61" t="n"/>
      <c r="L38" s="61" t="n"/>
      <c r="M38" s="60" t="n"/>
      <c r="N38" s="2" t="n"/>
    </row>
    <row r="39" ht="15.75" customHeight="1" s="125">
      <c r="A39" s="2" t="n"/>
      <c r="B39" s="62" t="n"/>
      <c r="C39" s="62" t="n"/>
      <c r="D39" s="58" t="n"/>
      <c r="E39" s="62">
        <f t="array" ref="E39">IF($D39="","",xlookup($D39,PRODUCT!$B:$B,PRODUCT!$A:$A,""))</f>
        <v/>
      </c>
      <c r="F39" s="62">
        <f t="array" ref="F39">IF($D39="","",xlookup($D39,PRODUCT!$B:$B,PRODUCT!$C:$C,""))</f>
        <v/>
      </c>
      <c r="G39" s="61" t="n"/>
      <c r="H39" s="61">
        <f t="array" ref="H39">IF($D39="","",xlookup($D39,PRODUCT!$B:$B,PRODUCT!$L:$L,""))</f>
        <v/>
      </c>
      <c r="I39" s="62">
        <f t="array" ref="I39">IF($D39="","",xlookup($D39,PRODUCT!$B:$B,PRODUCT!$M:$M,""))</f>
        <v/>
      </c>
      <c r="J39" s="60" t="n"/>
      <c r="K39" s="61" t="n"/>
      <c r="L39" s="61" t="n"/>
      <c r="M39" s="60" t="n"/>
      <c r="N39" s="2" t="n"/>
    </row>
    <row r="40" ht="15.75" customHeight="1" s="125">
      <c r="A40" s="2" t="n"/>
      <c r="B40" s="62" t="n"/>
      <c r="C40" s="62" t="n"/>
      <c r="D40" s="58" t="n"/>
      <c r="E40" s="62">
        <f t="array" ref="E40">IF($D40="","",xlookup($D40,PRODUCT!$B:$B,PRODUCT!$A:$A,""))</f>
        <v/>
      </c>
      <c r="F40" s="62">
        <f t="array" ref="F40">IF($D40="","",xlookup($D40,PRODUCT!$B:$B,PRODUCT!$C:$C,""))</f>
        <v/>
      </c>
      <c r="G40" s="61" t="n"/>
      <c r="H40" s="61">
        <f t="array" ref="H40">IF($D40="","",xlookup($D40,PRODUCT!$B:$B,PRODUCT!$L:$L,""))</f>
        <v/>
      </c>
      <c r="I40" s="62">
        <f t="array" ref="I40">IF($D40="","",xlookup($D40,PRODUCT!$B:$B,PRODUCT!$M:$M,""))</f>
        <v/>
      </c>
      <c r="J40" s="60" t="n"/>
      <c r="K40" s="61" t="n"/>
      <c r="L40" s="61" t="n"/>
      <c r="M40" s="60" t="n"/>
      <c r="N40" s="2" t="n"/>
    </row>
    <row r="41" ht="15.75" customHeight="1" s="125">
      <c r="A41" s="2" t="n"/>
      <c r="B41" s="62" t="n"/>
      <c r="C41" s="62" t="n"/>
      <c r="D41" s="58" t="n"/>
      <c r="E41" s="62">
        <f t="array" ref="E41">IF($D41="","",xlookup($D41,PRODUCT!$B:$B,PRODUCT!$A:$A,""))</f>
        <v/>
      </c>
      <c r="F41" s="62">
        <f t="array" ref="F41">IF($D41="","",xlookup($D41,PRODUCT!$B:$B,PRODUCT!$C:$C,""))</f>
        <v/>
      </c>
      <c r="G41" s="61" t="n"/>
      <c r="H41" s="61">
        <f t="array" ref="H41">IF($D41="","",xlookup($D41,PRODUCT!$B:$B,PRODUCT!$L:$L,""))</f>
        <v/>
      </c>
      <c r="I41" s="62">
        <f t="array" ref="I41">IF($D41="","",xlookup($D41,PRODUCT!$B:$B,PRODUCT!$M:$M,""))</f>
        <v/>
      </c>
      <c r="J41" s="60" t="n"/>
      <c r="K41" s="61" t="n"/>
      <c r="L41" s="61" t="n"/>
      <c r="M41" s="60" t="n"/>
      <c r="N41" s="2" t="n"/>
    </row>
    <row r="42" ht="15.75" customHeight="1" s="125">
      <c r="A42" s="2" t="n"/>
      <c r="B42" s="62" t="n"/>
      <c r="C42" s="62" t="n"/>
      <c r="D42" s="58" t="n"/>
      <c r="E42" s="62">
        <f t="array" ref="E42">IF($D42="","",xlookup($D42,PRODUCT!$B:$B,PRODUCT!$A:$A,""))</f>
        <v/>
      </c>
      <c r="F42" s="62">
        <f t="array" ref="F42">IF($D42="","",xlookup($D42,PRODUCT!$B:$B,PRODUCT!$C:$C,""))</f>
        <v/>
      </c>
      <c r="G42" s="61" t="n"/>
      <c r="H42" s="61">
        <f t="array" ref="H42">IF($D42="","",xlookup($D42,PRODUCT!$B:$B,PRODUCT!$L:$L,""))</f>
        <v/>
      </c>
      <c r="I42" s="62">
        <f t="array" ref="I42">IF($D42="","",xlookup($D42,PRODUCT!$B:$B,PRODUCT!$M:$M,""))</f>
        <v/>
      </c>
      <c r="J42" s="60" t="n"/>
      <c r="K42" s="61" t="n"/>
      <c r="L42" s="61" t="n"/>
      <c r="M42" s="60" t="n"/>
      <c r="N42" s="2" t="n"/>
    </row>
    <row r="43" ht="15.75" customHeight="1" s="125">
      <c r="A43" s="2" t="n"/>
      <c r="B43" s="62" t="n"/>
      <c r="C43" s="62" t="n"/>
      <c r="D43" s="58" t="n"/>
      <c r="E43" s="62">
        <f t="array" ref="E43">IF($D43="","",xlookup($D43,PRODUCT!$B:$B,PRODUCT!$A:$A,""))</f>
        <v/>
      </c>
      <c r="F43" s="62">
        <f t="array" ref="F43">IF($D43="","",xlookup($D43,PRODUCT!$B:$B,PRODUCT!$C:$C,""))</f>
        <v/>
      </c>
      <c r="G43" s="61" t="n"/>
      <c r="H43" s="61">
        <f t="array" ref="H43">IF($D43="","",xlookup($D43,PRODUCT!$B:$B,PRODUCT!$L:$L,""))</f>
        <v/>
      </c>
      <c r="I43" s="62">
        <f t="array" ref="I43">IF($D43="","",xlookup($D43,PRODUCT!$B:$B,PRODUCT!$M:$M,""))</f>
        <v/>
      </c>
      <c r="J43" s="60" t="n"/>
      <c r="K43" s="61" t="n"/>
      <c r="L43" s="61" t="n"/>
      <c r="M43" s="60" t="n"/>
      <c r="N43" s="2" t="n"/>
    </row>
    <row r="44" ht="15.75" customHeight="1" s="125">
      <c r="A44" s="2" t="n"/>
      <c r="B44" s="62" t="n"/>
      <c r="C44" s="62" t="n"/>
      <c r="D44" s="58" t="n"/>
      <c r="E44" s="62">
        <f t="array" ref="E44">IF($D44="","",xlookup($D44,PRODUCT!$B:$B,PRODUCT!$A:$A,""))</f>
        <v/>
      </c>
      <c r="F44" s="62">
        <f t="array" ref="F44">IF($D44="","",xlookup($D44,PRODUCT!$B:$B,PRODUCT!$C:$C,""))</f>
        <v/>
      </c>
      <c r="G44" s="61" t="n"/>
      <c r="H44" s="61">
        <f t="array" ref="H44">IF($D44="","",xlookup($D44,PRODUCT!$B:$B,PRODUCT!$L:$L,""))</f>
        <v/>
      </c>
      <c r="I44" s="62">
        <f t="array" ref="I44">IF($D44="","",xlookup($D44,PRODUCT!$B:$B,PRODUCT!$M:$M,""))</f>
        <v/>
      </c>
      <c r="J44" s="60" t="n"/>
      <c r="K44" s="61" t="n"/>
      <c r="L44" s="61" t="n"/>
      <c r="M44" s="60" t="n"/>
      <c r="N44" s="2" t="n"/>
    </row>
    <row r="45" ht="15.75" customHeight="1" s="125">
      <c r="A45" s="2" t="n"/>
      <c r="B45" s="62" t="n"/>
      <c r="C45" s="62" t="n"/>
      <c r="D45" s="58" t="n"/>
      <c r="E45" s="62">
        <f t="array" ref="E45">IF($D45="","",xlookup($D45,PRODUCT!$B:$B,PRODUCT!$A:$A,""))</f>
        <v/>
      </c>
      <c r="F45" s="62">
        <f t="array" ref="F45">IF($D45="","",xlookup($D45,PRODUCT!$B:$B,PRODUCT!$C:$C,""))</f>
        <v/>
      </c>
      <c r="G45" s="61" t="n"/>
      <c r="H45" s="61">
        <f t="array" ref="H45">IF($D45="","",xlookup($D45,PRODUCT!$B:$B,PRODUCT!$L:$L,""))</f>
        <v/>
      </c>
      <c r="I45" s="62">
        <f t="array" ref="I45">IF($D45="","",xlookup($D45,PRODUCT!$B:$B,PRODUCT!$M:$M,""))</f>
        <v/>
      </c>
      <c r="J45" s="60" t="n"/>
      <c r="K45" s="61" t="n"/>
      <c r="L45" s="61" t="n"/>
      <c r="M45" s="60" t="n"/>
      <c r="N45" s="2" t="n"/>
    </row>
    <row r="46" ht="15.75" customHeight="1" s="125">
      <c r="A46" s="2" t="n"/>
      <c r="B46" s="62" t="n"/>
      <c r="C46" s="62" t="n"/>
      <c r="D46" s="58" t="n"/>
      <c r="E46" s="62">
        <f t="array" ref="E46">IF($D46="","",xlookup($D46,PRODUCT!$B:$B,PRODUCT!$A:$A,""))</f>
        <v/>
      </c>
      <c r="F46" s="62">
        <f t="array" ref="F46">IF($D46="","",xlookup($D46,PRODUCT!$B:$B,PRODUCT!$C:$C,""))</f>
        <v/>
      </c>
      <c r="G46" s="61" t="n"/>
      <c r="H46" s="61">
        <f t="array" ref="H46">IF($D46="","",xlookup($D46,PRODUCT!$B:$B,PRODUCT!$L:$L,""))</f>
        <v/>
      </c>
      <c r="I46" s="62">
        <f t="array" ref="I46">IF($D46="","",xlookup($D46,PRODUCT!$B:$B,PRODUCT!$M:$M,""))</f>
        <v/>
      </c>
      <c r="J46" s="60" t="n"/>
      <c r="K46" s="61" t="n"/>
      <c r="L46" s="61" t="n"/>
      <c r="M46" s="60" t="n"/>
      <c r="N46" s="2" t="n"/>
    </row>
    <row r="47" ht="15.75" customHeight="1" s="125">
      <c r="A47" s="2" t="n"/>
      <c r="B47" s="62" t="n"/>
      <c r="C47" s="62" t="n"/>
      <c r="D47" s="58" t="n"/>
      <c r="E47" s="62">
        <f t="array" ref="E47">IF($D47="","",xlookup($D47,PRODUCT!$B:$B,PRODUCT!$A:$A,""))</f>
        <v/>
      </c>
      <c r="F47" s="62">
        <f t="array" ref="F47">IF($D47="","",xlookup($D47,PRODUCT!$B:$B,PRODUCT!$C:$C,""))</f>
        <v/>
      </c>
      <c r="G47" s="61" t="n"/>
      <c r="H47" s="61">
        <f t="array" ref="H47">IF($D47="","",xlookup($D47,PRODUCT!$B:$B,PRODUCT!$L:$L,""))</f>
        <v/>
      </c>
      <c r="I47" s="62">
        <f t="array" ref="I47">IF($D47="","",xlookup($D47,PRODUCT!$B:$B,PRODUCT!$M:$M,""))</f>
        <v/>
      </c>
      <c r="J47" s="60" t="n"/>
      <c r="K47" s="61" t="n"/>
      <c r="L47" s="61" t="n"/>
      <c r="M47" s="60" t="n"/>
      <c r="N47" s="2" t="n"/>
    </row>
    <row r="48" ht="15.75" customHeight="1" s="125">
      <c r="A48" s="2" t="n"/>
      <c r="B48" s="62" t="n"/>
      <c r="C48" s="62" t="n"/>
      <c r="D48" s="58" t="n"/>
      <c r="E48" s="62">
        <f t="array" ref="E48">IF($D48="","",xlookup($D48,PRODUCT!$B:$B,PRODUCT!$A:$A,""))</f>
        <v/>
      </c>
      <c r="F48" s="62">
        <f t="array" ref="F48">IF($D48="","",xlookup($D48,PRODUCT!$B:$B,PRODUCT!$C:$C,""))</f>
        <v/>
      </c>
      <c r="G48" s="61" t="n"/>
      <c r="H48" s="61">
        <f t="array" ref="H48">IF($D48="","",xlookup($D48,PRODUCT!$B:$B,PRODUCT!$L:$L,""))</f>
        <v/>
      </c>
      <c r="I48" s="62">
        <f t="array" ref="I48">IF($D48="","",xlookup($D48,PRODUCT!$B:$B,PRODUCT!$M:$M,""))</f>
        <v/>
      </c>
      <c r="J48" s="60" t="n"/>
      <c r="K48" s="61" t="n"/>
      <c r="L48" s="61" t="n"/>
      <c r="M48" s="60" t="n"/>
      <c r="N48" s="2" t="n"/>
    </row>
    <row r="49" ht="15.75" customHeight="1" s="125">
      <c r="A49" s="2" t="n"/>
      <c r="B49" s="62" t="n"/>
      <c r="C49" s="62" t="n"/>
      <c r="D49" s="58" t="n"/>
      <c r="E49" s="62">
        <f t="array" ref="E49">IF($D49="","",xlookup($D49,PRODUCT!$B:$B,PRODUCT!$A:$A,""))</f>
        <v/>
      </c>
      <c r="F49" s="62">
        <f t="array" ref="F49">IF($D49="","",xlookup($D49,PRODUCT!$B:$B,PRODUCT!$C:$C,""))</f>
        <v/>
      </c>
      <c r="G49" s="61" t="n"/>
      <c r="H49" s="61">
        <f t="array" ref="H49">IF($D49="","",xlookup($D49,PRODUCT!$B:$B,PRODUCT!$L:$L,""))</f>
        <v/>
      </c>
      <c r="I49" s="62">
        <f t="array" ref="I49">IF($D49="","",xlookup($D49,PRODUCT!$B:$B,PRODUCT!$M:$M,""))</f>
        <v/>
      </c>
      <c r="J49" s="60" t="n"/>
      <c r="K49" s="61" t="n"/>
      <c r="L49" s="61" t="n"/>
      <c r="M49" s="60" t="n"/>
      <c r="N49" s="2" t="n"/>
    </row>
    <row r="50" ht="15.75" customHeight="1" s="125">
      <c r="A50" s="2" t="n"/>
      <c r="B50" s="62" t="n"/>
      <c r="C50" s="62" t="n"/>
      <c r="D50" s="58" t="n"/>
      <c r="E50" s="62">
        <f t="array" ref="E50">IF($D50="","",xlookup($D50,PRODUCT!$B:$B,PRODUCT!$A:$A,""))</f>
        <v/>
      </c>
      <c r="F50" s="62">
        <f t="array" ref="F50">IF($D50="","",xlookup($D50,PRODUCT!$B:$B,PRODUCT!$C:$C,""))</f>
        <v/>
      </c>
      <c r="G50" s="61" t="n"/>
      <c r="H50" s="61">
        <f t="array" ref="H50">IF($D50="","",xlookup($D50,PRODUCT!$B:$B,PRODUCT!$L:$L,""))</f>
        <v/>
      </c>
      <c r="I50" s="62">
        <f t="array" ref="I50">IF($D50="","",xlookup($D50,PRODUCT!$B:$B,PRODUCT!$M:$M,""))</f>
        <v/>
      </c>
      <c r="J50" s="60" t="n"/>
      <c r="K50" s="61" t="n"/>
      <c r="L50" s="61" t="n"/>
      <c r="M50" s="60" t="n"/>
      <c r="N50" s="2" t="n"/>
    </row>
    <row r="51" ht="15.75" customHeight="1" s="125">
      <c r="A51" s="2" t="n"/>
      <c r="B51" s="62" t="n"/>
      <c r="C51" s="62" t="n"/>
      <c r="D51" s="58" t="n"/>
      <c r="E51" s="62">
        <f t="array" ref="E51">IF($D51="","",xlookup($D51,PRODUCT!$B:$B,PRODUCT!$A:$A,""))</f>
        <v/>
      </c>
      <c r="F51" s="62">
        <f t="array" ref="F51">IF($D51="","",xlookup($D51,PRODUCT!$B:$B,PRODUCT!$C:$C,""))</f>
        <v/>
      </c>
      <c r="G51" s="61" t="n"/>
      <c r="H51" s="61">
        <f t="array" ref="H51">IF($D51="","",xlookup($D51,PRODUCT!$B:$B,PRODUCT!$L:$L,""))</f>
        <v/>
      </c>
      <c r="I51" s="62">
        <f t="array" ref="I51">IF($D51="","",xlookup($D51,PRODUCT!$B:$B,PRODUCT!$M:$M,""))</f>
        <v/>
      </c>
      <c r="J51" s="60" t="n"/>
      <c r="K51" s="61" t="n"/>
      <c r="L51" s="61" t="n"/>
      <c r="M51" s="60" t="n"/>
      <c r="N51" s="2" t="n"/>
    </row>
    <row r="52" ht="15.75" customHeight="1" s="125">
      <c r="A52" s="2" t="n"/>
      <c r="B52" s="62" t="n"/>
      <c r="C52" s="62" t="n"/>
      <c r="D52" s="58" t="n"/>
      <c r="E52" s="62">
        <f t="array" ref="E52">IF($D52="","",xlookup($D52,PRODUCT!$B:$B,PRODUCT!$A:$A,""))</f>
        <v/>
      </c>
      <c r="F52" s="62">
        <f t="array" ref="F52">IF($D52="","",xlookup($D52,PRODUCT!$B:$B,PRODUCT!$C:$C,""))</f>
        <v/>
      </c>
      <c r="G52" s="61" t="n"/>
      <c r="H52" s="61">
        <f t="array" ref="H52">IF($D52="","",xlookup($D52,PRODUCT!$B:$B,PRODUCT!$L:$L,""))</f>
        <v/>
      </c>
      <c r="I52" s="62">
        <f t="array" ref="I52">IF($D52="","",xlookup($D52,PRODUCT!$B:$B,PRODUCT!$M:$M,""))</f>
        <v/>
      </c>
      <c r="J52" s="60" t="n"/>
      <c r="K52" s="61" t="n"/>
      <c r="L52" s="61" t="n"/>
      <c r="M52" s="60" t="n"/>
      <c r="N52" s="2" t="n"/>
    </row>
    <row r="53" ht="15.75" customHeight="1" s="125">
      <c r="A53" s="2" t="n"/>
      <c r="B53" s="62" t="n"/>
      <c r="C53" s="62" t="n"/>
      <c r="D53" s="58" t="n"/>
      <c r="E53" s="62">
        <f t="array" ref="E53">IF($D53="","",xlookup($D53,PRODUCT!$B:$B,PRODUCT!$A:$A,""))</f>
        <v/>
      </c>
      <c r="F53" s="62">
        <f t="array" ref="F53">IF($D53="","",xlookup($D53,PRODUCT!$B:$B,PRODUCT!$C:$C,""))</f>
        <v/>
      </c>
      <c r="G53" s="61" t="n"/>
      <c r="H53" s="61">
        <f t="array" ref="H53">IF($D53="","",xlookup($D53,PRODUCT!$B:$B,PRODUCT!$L:$L,""))</f>
        <v/>
      </c>
      <c r="I53" s="62">
        <f t="array" ref="I53">IF($D53="","",xlookup($D53,PRODUCT!$B:$B,PRODUCT!$M:$M,""))</f>
        <v/>
      </c>
      <c r="J53" s="60" t="n"/>
      <c r="K53" s="61" t="n"/>
      <c r="L53" s="61" t="n"/>
      <c r="M53" s="60" t="n"/>
      <c r="N53" s="2" t="n"/>
    </row>
    <row r="54" ht="15.75" customHeight="1" s="125">
      <c r="A54" s="2" t="n"/>
      <c r="B54" s="62" t="n"/>
      <c r="C54" s="62" t="n"/>
      <c r="D54" s="58" t="n"/>
      <c r="E54" s="62">
        <f t="array" ref="E54">IF($D54="","",xlookup($D54,PRODUCT!$B:$B,PRODUCT!$A:$A,""))</f>
        <v/>
      </c>
      <c r="F54" s="62">
        <f t="array" ref="F54">IF($D54="","",xlookup($D54,PRODUCT!$B:$B,PRODUCT!$C:$C,""))</f>
        <v/>
      </c>
      <c r="G54" s="61" t="n"/>
      <c r="H54" s="61">
        <f t="array" ref="H54">IF($D54="","",xlookup($D54,PRODUCT!$B:$B,PRODUCT!$L:$L,""))</f>
        <v/>
      </c>
      <c r="I54" s="62">
        <f t="array" ref="I54">IF($D54="","",xlookup($D54,PRODUCT!$B:$B,PRODUCT!$M:$M,""))</f>
        <v/>
      </c>
      <c r="J54" s="60" t="n"/>
      <c r="K54" s="61" t="n"/>
      <c r="L54" s="61" t="n"/>
      <c r="M54" s="60" t="n"/>
      <c r="N54" s="2" t="n"/>
    </row>
    <row r="55" ht="15.75" customHeight="1" s="125">
      <c r="A55" s="2" t="n"/>
      <c r="B55" s="62" t="n"/>
      <c r="C55" s="62" t="n"/>
      <c r="D55" s="58" t="n"/>
      <c r="E55" s="62">
        <f t="array" ref="E55">IF($D55="","",xlookup($D55,PRODUCT!$B:$B,PRODUCT!$A:$A,""))</f>
        <v/>
      </c>
      <c r="F55" s="62">
        <f t="array" ref="F55">IF($D55="","",xlookup($D55,PRODUCT!$B:$B,PRODUCT!$C:$C,""))</f>
        <v/>
      </c>
      <c r="G55" s="61" t="n"/>
      <c r="H55" s="61">
        <f t="array" ref="H55">IF($D55="","",xlookup($D55,PRODUCT!$B:$B,PRODUCT!$L:$L,""))</f>
        <v/>
      </c>
      <c r="I55" s="62">
        <f t="array" ref="I55">IF($D55="","",xlookup($D55,PRODUCT!$B:$B,PRODUCT!$M:$M,""))</f>
        <v/>
      </c>
      <c r="J55" s="60" t="n"/>
      <c r="K55" s="61" t="n"/>
      <c r="L55" s="61" t="n"/>
      <c r="M55" s="60" t="n"/>
      <c r="N55" s="2" t="n"/>
    </row>
    <row r="56" ht="15.75" customHeight="1" s="125">
      <c r="A56" s="2" t="n"/>
      <c r="B56" s="62" t="n"/>
      <c r="C56" s="62" t="n"/>
      <c r="D56" s="58" t="n"/>
      <c r="E56" s="62">
        <f t="array" ref="E56">IF($D56="","",xlookup($D56,PRODUCT!$B:$B,PRODUCT!$A:$A,""))</f>
        <v/>
      </c>
      <c r="F56" s="62">
        <f t="array" ref="F56">IF($D56="","",xlookup($D56,PRODUCT!$B:$B,PRODUCT!$C:$C,""))</f>
        <v/>
      </c>
      <c r="G56" s="61" t="n"/>
      <c r="H56" s="61">
        <f t="array" ref="H56">IF($D56="","",xlookup($D56,PRODUCT!$B:$B,PRODUCT!$L:$L,""))</f>
        <v/>
      </c>
      <c r="I56" s="62">
        <f t="array" ref="I56">IF($D56="","",xlookup($D56,PRODUCT!$B:$B,PRODUCT!$M:$M,""))</f>
        <v/>
      </c>
      <c r="J56" s="60" t="n"/>
      <c r="K56" s="61" t="n"/>
      <c r="L56" s="61" t="n"/>
      <c r="M56" s="60" t="n"/>
      <c r="N56" s="2" t="n"/>
    </row>
    <row r="57" ht="15.75" customHeight="1" s="125">
      <c r="A57" s="2" t="n"/>
      <c r="B57" s="62" t="n"/>
      <c r="C57" s="62" t="n"/>
      <c r="D57" s="58" t="n"/>
      <c r="E57" s="62">
        <f t="array" ref="E57">IF($D57="","",xlookup($D57,PRODUCT!$B:$B,PRODUCT!$A:$A,""))</f>
        <v/>
      </c>
      <c r="F57" s="62">
        <f t="array" ref="F57">IF($D57="","",xlookup($D57,PRODUCT!$B:$B,PRODUCT!$C:$C,""))</f>
        <v/>
      </c>
      <c r="G57" s="61" t="n"/>
      <c r="H57" s="61">
        <f t="array" ref="H57">IF($D57="","",xlookup($D57,PRODUCT!$B:$B,PRODUCT!$L:$L,""))</f>
        <v/>
      </c>
      <c r="I57" s="62">
        <f t="array" ref="I57">IF($D57="","",xlookup($D57,PRODUCT!$B:$B,PRODUCT!$M:$M,""))</f>
        <v/>
      </c>
      <c r="J57" s="60" t="n"/>
      <c r="K57" s="61" t="n"/>
      <c r="L57" s="61" t="n"/>
      <c r="M57" s="60" t="n"/>
      <c r="N57" s="2" t="n"/>
    </row>
    <row r="58" ht="15.75" customHeight="1" s="125">
      <c r="A58" s="2" t="n"/>
      <c r="B58" s="62" t="n"/>
      <c r="C58" s="62" t="n"/>
      <c r="D58" s="58" t="n"/>
      <c r="E58" s="62">
        <f t="array" ref="E58">IF($D58="","",xlookup($D58,PRODUCT!$B:$B,PRODUCT!$A:$A,""))</f>
        <v/>
      </c>
      <c r="F58" s="62">
        <f t="array" ref="F58">IF($D58="","",xlookup($D58,PRODUCT!$B:$B,PRODUCT!$C:$C,""))</f>
        <v/>
      </c>
      <c r="G58" s="61" t="n"/>
      <c r="H58" s="61">
        <f t="array" ref="H58">IF($D58="","",xlookup($D58,PRODUCT!$B:$B,PRODUCT!$L:$L,""))</f>
        <v/>
      </c>
      <c r="I58" s="62">
        <f t="array" ref="I58">IF($D58="","",xlookup($D58,PRODUCT!$B:$B,PRODUCT!$M:$M,""))</f>
        <v/>
      </c>
      <c r="J58" s="60" t="n"/>
      <c r="K58" s="61" t="n"/>
      <c r="L58" s="61" t="n"/>
      <c r="M58" s="60" t="n"/>
      <c r="N58" s="2" t="n"/>
    </row>
    <row r="59" ht="15.75" customHeight="1" s="125">
      <c r="A59" s="2" t="n"/>
      <c r="B59" s="62" t="n"/>
      <c r="C59" s="62" t="n"/>
      <c r="D59" s="58" t="n"/>
      <c r="E59" s="62">
        <f t="array" ref="E59">IF($D59="","",xlookup($D59,PRODUCT!$B:$B,PRODUCT!$A:$A,""))</f>
        <v/>
      </c>
      <c r="F59" s="62">
        <f t="array" ref="F59">IF($D59="","",xlookup($D59,PRODUCT!$B:$B,PRODUCT!$C:$C,""))</f>
        <v/>
      </c>
      <c r="G59" s="61" t="n"/>
      <c r="H59" s="61">
        <f t="array" ref="H59">IF($D59="","",xlookup($D59,PRODUCT!$B:$B,PRODUCT!$L:$L,""))</f>
        <v/>
      </c>
      <c r="I59" s="62">
        <f t="array" ref="I59">IF($D59="","",xlookup($D59,PRODUCT!$B:$B,PRODUCT!$M:$M,""))</f>
        <v/>
      </c>
      <c r="J59" s="60" t="n"/>
      <c r="K59" s="61" t="n"/>
      <c r="L59" s="61" t="n"/>
      <c r="M59" s="60" t="n"/>
      <c r="N59" s="2" t="n"/>
    </row>
    <row r="60" ht="15.75" customHeight="1" s="125">
      <c r="A60" s="2" t="n"/>
      <c r="B60" s="62" t="n"/>
      <c r="C60" s="62" t="n"/>
      <c r="D60" s="58" t="n"/>
      <c r="E60" s="62">
        <f t="array" ref="E60">IF($D60="","",xlookup($D60,PRODUCT!$B:$B,PRODUCT!$A:$A,""))</f>
        <v/>
      </c>
      <c r="F60" s="62">
        <f t="array" ref="F60">IF($D60="","",xlookup($D60,PRODUCT!$B:$B,PRODUCT!$C:$C,""))</f>
        <v/>
      </c>
      <c r="G60" s="61" t="n"/>
      <c r="H60" s="61">
        <f t="array" ref="H60">IF($D60="","",xlookup($D60,PRODUCT!$B:$B,PRODUCT!$L:$L,""))</f>
        <v/>
      </c>
      <c r="I60" s="62">
        <f t="array" ref="I60">IF($D60="","",xlookup($D60,PRODUCT!$B:$B,PRODUCT!$M:$M,""))</f>
        <v/>
      </c>
      <c r="J60" s="60" t="n"/>
      <c r="K60" s="61" t="n"/>
      <c r="L60" s="61" t="n"/>
      <c r="M60" s="60" t="n"/>
      <c r="N60" s="2" t="n"/>
    </row>
    <row r="61" ht="15.75" customHeight="1" s="125">
      <c r="A61" s="2" t="n"/>
      <c r="B61" s="62" t="n"/>
      <c r="C61" s="62" t="n"/>
      <c r="D61" s="58" t="n"/>
      <c r="E61" s="62">
        <f t="array" ref="E61">IF($D61="","",xlookup($D61,PRODUCT!$B:$B,PRODUCT!$A:$A,""))</f>
        <v/>
      </c>
      <c r="F61" s="62">
        <f t="array" ref="F61">IF($D61="","",xlookup($D61,PRODUCT!$B:$B,PRODUCT!$C:$C,""))</f>
        <v/>
      </c>
      <c r="G61" s="61" t="n"/>
      <c r="H61" s="61">
        <f t="array" ref="H61">IF($D61="","",xlookup($D61,PRODUCT!$B:$B,PRODUCT!$L:$L,""))</f>
        <v/>
      </c>
      <c r="I61" s="62">
        <f t="array" ref="I61">IF($D61="","",xlookup($D61,PRODUCT!$B:$B,PRODUCT!$M:$M,""))</f>
        <v/>
      </c>
      <c r="J61" s="60" t="n"/>
      <c r="K61" s="61" t="n"/>
      <c r="L61" s="61" t="n"/>
      <c r="M61" s="60" t="n"/>
      <c r="N61" s="2" t="n"/>
    </row>
    <row r="62" ht="15.75" customHeight="1" s="125">
      <c r="A62" s="2" t="n"/>
      <c r="B62" s="62" t="n"/>
      <c r="C62" s="62" t="n"/>
      <c r="D62" s="58" t="n"/>
      <c r="E62" s="62">
        <f t="array" ref="E62">IF($D62="","",xlookup($D62,PRODUCT!$B:$B,PRODUCT!$A:$A,""))</f>
        <v/>
      </c>
      <c r="F62" s="62">
        <f t="array" ref="F62">IF($D62="","",xlookup($D62,PRODUCT!$B:$B,PRODUCT!$C:$C,""))</f>
        <v/>
      </c>
      <c r="G62" s="61" t="n"/>
      <c r="H62" s="61">
        <f t="array" ref="H62">IF($D62="","",xlookup($D62,PRODUCT!$B:$B,PRODUCT!$L:$L,""))</f>
        <v/>
      </c>
      <c r="I62" s="62">
        <f t="array" ref="I62">IF($D62="","",xlookup($D62,PRODUCT!$B:$B,PRODUCT!$M:$M,""))</f>
        <v/>
      </c>
      <c r="J62" s="60" t="n"/>
      <c r="K62" s="61" t="n"/>
      <c r="L62" s="61" t="n"/>
      <c r="M62" s="60" t="n"/>
      <c r="N62" s="2" t="n"/>
    </row>
    <row r="63" ht="15.75" customHeight="1" s="125">
      <c r="A63" s="2" t="n"/>
      <c r="B63" s="62" t="n"/>
      <c r="C63" s="62" t="n"/>
      <c r="D63" s="58" t="n"/>
      <c r="E63" s="62">
        <f t="array" ref="E63">IF($D63="","",xlookup($D63,PRODUCT!$B:$B,PRODUCT!$A:$A,""))</f>
        <v/>
      </c>
      <c r="F63" s="62">
        <f t="array" ref="F63">IF($D63="","",xlookup($D63,PRODUCT!$B:$B,PRODUCT!$C:$C,""))</f>
        <v/>
      </c>
      <c r="G63" s="61" t="n"/>
      <c r="H63" s="61">
        <f t="array" ref="H63">IF($D63="","",xlookup($D63,PRODUCT!$B:$B,PRODUCT!$L:$L,""))</f>
        <v/>
      </c>
      <c r="I63" s="62">
        <f t="array" ref="I63">IF($D63="","",xlookup($D63,PRODUCT!$B:$B,PRODUCT!$M:$M,""))</f>
        <v/>
      </c>
      <c r="J63" s="60" t="n"/>
      <c r="K63" s="61" t="n"/>
      <c r="L63" s="61" t="n"/>
      <c r="M63" s="60" t="n"/>
      <c r="N63" s="2" t="n"/>
    </row>
    <row r="64" ht="15.75" customHeight="1" s="125">
      <c r="A64" s="2" t="n"/>
      <c r="B64" s="62" t="n"/>
      <c r="C64" s="62" t="n"/>
      <c r="D64" s="58" t="n"/>
      <c r="E64" s="62">
        <f t="array" ref="E64">IF($D64="","",xlookup($D64,PRODUCT!$B:$B,PRODUCT!$A:$A,""))</f>
        <v/>
      </c>
      <c r="F64" s="62">
        <f t="array" ref="F64">IF($D64="","",xlookup($D64,PRODUCT!$B:$B,PRODUCT!$C:$C,""))</f>
        <v/>
      </c>
      <c r="G64" s="61" t="n"/>
      <c r="H64" s="61">
        <f t="array" ref="H64">IF($D64="","",xlookup($D64,PRODUCT!$B:$B,PRODUCT!$L:$L,""))</f>
        <v/>
      </c>
      <c r="I64" s="62">
        <f t="array" ref="I64">IF($D64="","",xlookup($D64,PRODUCT!$B:$B,PRODUCT!$M:$M,""))</f>
        <v/>
      </c>
      <c r="J64" s="60" t="n"/>
      <c r="K64" s="61" t="n"/>
      <c r="L64" s="61" t="n"/>
      <c r="M64" s="60" t="n"/>
      <c r="N64" s="2" t="n"/>
    </row>
    <row r="65" ht="15.75" customHeight="1" s="125">
      <c r="A65" s="2" t="n"/>
      <c r="B65" s="62" t="n"/>
      <c r="C65" s="62" t="n"/>
      <c r="D65" s="58" t="n"/>
      <c r="E65" s="62">
        <f t="array" ref="E65">IF($D65="","",xlookup($D65,PRODUCT!$B:$B,PRODUCT!$A:$A,""))</f>
        <v/>
      </c>
      <c r="F65" s="62">
        <f t="array" ref="F65">IF($D65="","",xlookup($D65,PRODUCT!$B:$B,PRODUCT!$C:$C,""))</f>
        <v/>
      </c>
      <c r="G65" s="61" t="n"/>
      <c r="H65" s="61">
        <f t="array" ref="H65">IF($D65="","",xlookup($D65,PRODUCT!$B:$B,PRODUCT!$L:$L,""))</f>
        <v/>
      </c>
      <c r="I65" s="62">
        <f t="array" ref="I65">IF($D65="","",xlookup($D65,PRODUCT!$B:$B,PRODUCT!$M:$M,""))</f>
        <v/>
      </c>
      <c r="J65" s="60" t="n"/>
      <c r="K65" s="61" t="n"/>
      <c r="L65" s="61" t="n"/>
      <c r="M65" s="60" t="n"/>
      <c r="N65" s="2" t="n"/>
    </row>
    <row r="66" ht="15.75" customHeight="1" s="125">
      <c r="A66" s="2" t="n"/>
      <c r="B66" s="62" t="n"/>
      <c r="C66" s="62" t="n"/>
      <c r="D66" s="58" t="n"/>
      <c r="E66" s="62">
        <f t="array" ref="E66">IF($D66="","",xlookup($D66,PRODUCT!$B:$B,PRODUCT!$A:$A,""))</f>
        <v/>
      </c>
      <c r="F66" s="62">
        <f t="array" ref="F66">IF($D66="","",xlookup($D66,PRODUCT!$B:$B,PRODUCT!$C:$C,""))</f>
        <v/>
      </c>
      <c r="G66" s="61" t="n"/>
      <c r="H66" s="61">
        <f t="array" ref="H66">IF($D66="","",xlookup($D66,PRODUCT!$B:$B,PRODUCT!$L:$L,""))</f>
        <v/>
      </c>
      <c r="I66" s="62">
        <f t="array" ref="I66">IF($D66="","",xlookup($D66,PRODUCT!$B:$B,PRODUCT!$M:$M,""))</f>
        <v/>
      </c>
      <c r="J66" s="60" t="n"/>
      <c r="K66" s="61" t="n"/>
      <c r="L66" s="61" t="n"/>
      <c r="M66" s="60" t="n"/>
      <c r="N66" s="2" t="n"/>
    </row>
    <row r="67" ht="15.75" customHeight="1" s="125">
      <c r="A67" s="2" t="n"/>
      <c r="B67" s="62" t="n"/>
      <c r="C67" s="62" t="n"/>
      <c r="D67" s="58" t="n"/>
      <c r="E67" s="62">
        <f t="array" ref="E67">IF($D67="","",xlookup($D67,PRODUCT!$B:$B,PRODUCT!$A:$A,""))</f>
        <v/>
      </c>
      <c r="F67" s="62">
        <f t="array" ref="F67">IF($D67="","",xlookup($D67,PRODUCT!$B:$B,PRODUCT!$C:$C,""))</f>
        <v/>
      </c>
      <c r="G67" s="61" t="n"/>
      <c r="H67" s="61">
        <f t="array" ref="H67">IF($D67="","",xlookup($D67,PRODUCT!$B:$B,PRODUCT!$L:$L,""))</f>
        <v/>
      </c>
      <c r="I67" s="62">
        <f t="array" ref="I67">IF($D67="","",xlookup($D67,PRODUCT!$B:$B,PRODUCT!$M:$M,""))</f>
        <v/>
      </c>
      <c r="J67" s="60" t="n"/>
      <c r="K67" s="61" t="n"/>
      <c r="L67" s="61" t="n"/>
      <c r="M67" s="60" t="n"/>
      <c r="N67" s="2" t="n"/>
    </row>
    <row r="68" ht="15.75" customHeight="1" s="125">
      <c r="A68" s="2" t="n"/>
      <c r="B68" s="62" t="n"/>
      <c r="C68" s="62" t="n"/>
      <c r="D68" s="58" t="n"/>
      <c r="E68" s="62">
        <f t="array" ref="E68">IF($D68="","",xlookup($D68,PRODUCT!$B:$B,PRODUCT!$A:$A,""))</f>
        <v/>
      </c>
      <c r="F68" s="62">
        <f t="array" ref="F68">IF($D68="","",xlookup($D68,PRODUCT!$B:$B,PRODUCT!$C:$C,""))</f>
        <v/>
      </c>
      <c r="G68" s="61" t="n"/>
      <c r="H68" s="61">
        <f t="array" ref="H68">IF($D68="","",xlookup($D68,PRODUCT!$B:$B,PRODUCT!$L:$L,""))</f>
        <v/>
      </c>
      <c r="I68" s="62">
        <f t="array" ref="I68">IF($D68="","",xlookup($D68,PRODUCT!$B:$B,PRODUCT!$M:$M,""))</f>
        <v/>
      </c>
      <c r="J68" s="60" t="n"/>
      <c r="K68" s="61" t="n"/>
      <c r="L68" s="61" t="n"/>
      <c r="M68" s="60" t="n"/>
      <c r="N68" s="2" t="n"/>
    </row>
    <row r="69" ht="15.75" customHeight="1" s="125">
      <c r="A69" s="2" t="n"/>
      <c r="B69" s="62" t="n"/>
      <c r="C69" s="62" t="n"/>
      <c r="D69" s="58" t="n"/>
      <c r="E69" s="62">
        <f t="array" ref="E69">IF($D69="","",xlookup($D69,PRODUCT!$B:$B,PRODUCT!$A:$A,""))</f>
        <v/>
      </c>
      <c r="F69" s="62">
        <f t="array" ref="F69">IF($D69="","",xlookup($D69,PRODUCT!$B:$B,PRODUCT!$C:$C,""))</f>
        <v/>
      </c>
      <c r="G69" s="61" t="n"/>
      <c r="H69" s="61">
        <f t="array" ref="H69">IF($D69="","",xlookup($D69,PRODUCT!$B:$B,PRODUCT!$L:$L,""))</f>
        <v/>
      </c>
      <c r="I69" s="62">
        <f t="array" ref="I69">IF($D69="","",xlookup($D69,PRODUCT!$B:$B,PRODUCT!$M:$M,""))</f>
        <v/>
      </c>
      <c r="J69" s="60" t="n"/>
      <c r="K69" s="61" t="n"/>
      <c r="L69" s="61" t="n"/>
      <c r="M69" s="60" t="n"/>
      <c r="N69" s="2" t="n"/>
    </row>
    <row r="70" ht="15.75" customHeight="1" s="125">
      <c r="A70" s="2" t="n"/>
      <c r="B70" s="62" t="n"/>
      <c r="C70" s="62" t="n"/>
      <c r="D70" s="58" t="n"/>
      <c r="E70" s="62">
        <f t="array" ref="E70">IF($D70="","",xlookup($D70,PRODUCT!$B:$B,PRODUCT!$A:$A,""))</f>
        <v/>
      </c>
      <c r="F70" s="62">
        <f t="array" ref="F70">IF($D70="","",xlookup($D70,PRODUCT!$B:$B,PRODUCT!$C:$C,""))</f>
        <v/>
      </c>
      <c r="G70" s="61" t="n"/>
      <c r="H70" s="61">
        <f t="array" ref="H70">IF($D70="","",xlookup($D70,PRODUCT!$B:$B,PRODUCT!$L:$L,""))</f>
        <v/>
      </c>
      <c r="I70" s="62">
        <f t="array" ref="I70">IF($D70="","",xlookup($D70,PRODUCT!$B:$B,PRODUCT!$M:$M,""))</f>
        <v/>
      </c>
      <c r="J70" s="60" t="n"/>
      <c r="K70" s="61" t="n"/>
      <c r="L70" s="61" t="n"/>
      <c r="M70" s="60" t="n"/>
      <c r="N70" s="2" t="n"/>
    </row>
    <row r="71" ht="15.75" customHeight="1" s="125">
      <c r="A71" s="2" t="n"/>
      <c r="B71" s="62" t="n"/>
      <c r="C71" s="62" t="n"/>
      <c r="D71" s="58" t="n"/>
      <c r="E71" s="62">
        <f t="array" ref="E71">IF($D71="","",xlookup($D71,PRODUCT!$B:$B,PRODUCT!$A:$A,""))</f>
        <v/>
      </c>
      <c r="F71" s="62">
        <f t="array" ref="F71">IF($D71="","",xlookup($D71,PRODUCT!$B:$B,PRODUCT!$C:$C,""))</f>
        <v/>
      </c>
      <c r="G71" s="61" t="n"/>
      <c r="H71" s="61">
        <f t="array" ref="H71">IF($D71="","",xlookup($D71,PRODUCT!$B:$B,PRODUCT!$L:$L,""))</f>
        <v/>
      </c>
      <c r="I71" s="62">
        <f t="array" ref="I71">IF($D71="","",xlookup($D71,PRODUCT!$B:$B,PRODUCT!$M:$M,""))</f>
        <v/>
      </c>
      <c r="J71" s="60" t="n"/>
      <c r="K71" s="61" t="n"/>
      <c r="L71" s="61" t="n"/>
      <c r="M71" s="60" t="n"/>
      <c r="N71" s="2" t="n"/>
    </row>
    <row r="72" ht="15.75" customHeight="1" s="125">
      <c r="A72" s="2" t="n"/>
      <c r="B72" s="62" t="n"/>
      <c r="C72" s="62" t="n"/>
      <c r="D72" s="58" t="n"/>
      <c r="E72" s="62">
        <f t="array" ref="E72">IF($D72="","",xlookup($D72,PRODUCT!$B:$B,PRODUCT!$A:$A,""))</f>
        <v/>
      </c>
      <c r="F72" s="62">
        <f t="array" ref="F72">IF($D72="","",xlookup($D72,PRODUCT!$B:$B,PRODUCT!$C:$C,""))</f>
        <v/>
      </c>
      <c r="G72" s="61" t="n"/>
      <c r="H72" s="61">
        <f t="array" ref="H72">IF($D72="","",xlookup($D72,PRODUCT!$B:$B,PRODUCT!$L:$L,""))</f>
        <v/>
      </c>
      <c r="I72" s="62">
        <f t="array" ref="I72">IF($D72="","",xlookup($D72,PRODUCT!$B:$B,PRODUCT!$M:$M,""))</f>
        <v/>
      </c>
      <c r="J72" s="60" t="n"/>
      <c r="K72" s="61" t="n"/>
      <c r="L72" s="61" t="n"/>
      <c r="M72" s="60" t="n"/>
      <c r="N72" s="2" t="n"/>
    </row>
    <row r="73" ht="15.75" customHeight="1" s="125">
      <c r="A73" s="2" t="n"/>
      <c r="B73" s="62" t="n"/>
      <c r="C73" s="62" t="n"/>
      <c r="D73" s="58" t="n"/>
      <c r="E73" s="62">
        <f t="array" ref="E73">IF($D73="","",xlookup($D73,PRODUCT!$B:$B,PRODUCT!$A:$A,""))</f>
        <v/>
      </c>
      <c r="F73" s="62">
        <f t="array" ref="F73">IF($D73="","",xlookup($D73,PRODUCT!$B:$B,PRODUCT!$C:$C,""))</f>
        <v/>
      </c>
      <c r="G73" s="61" t="n"/>
      <c r="H73" s="61">
        <f t="array" ref="H73">IF($D73="","",xlookup($D73,PRODUCT!$B:$B,PRODUCT!$L:$L,""))</f>
        <v/>
      </c>
      <c r="I73" s="62">
        <f t="array" ref="I73">IF($D73="","",xlookup($D73,PRODUCT!$B:$B,PRODUCT!$M:$M,""))</f>
        <v/>
      </c>
      <c r="J73" s="60" t="n"/>
      <c r="K73" s="61" t="n"/>
      <c r="L73" s="61" t="n"/>
      <c r="M73" s="60" t="n"/>
      <c r="N73" s="2" t="n"/>
    </row>
    <row r="74" ht="15.75" customHeight="1" s="125">
      <c r="A74" s="2" t="n"/>
      <c r="B74" s="62" t="n"/>
      <c r="C74" s="62" t="n"/>
      <c r="D74" s="58" t="n"/>
      <c r="E74" s="62">
        <f t="array" ref="E74">IF($D74="","",xlookup($D74,PRODUCT!$B:$B,PRODUCT!$A:$A,""))</f>
        <v/>
      </c>
      <c r="F74" s="62">
        <f t="array" ref="F74">IF($D74="","",xlookup($D74,PRODUCT!$B:$B,PRODUCT!$C:$C,""))</f>
        <v/>
      </c>
      <c r="G74" s="61" t="n"/>
      <c r="H74" s="61">
        <f t="array" ref="H74">IF($D74="","",xlookup($D74,PRODUCT!$B:$B,PRODUCT!$L:$L,""))</f>
        <v/>
      </c>
      <c r="I74" s="62">
        <f t="array" ref="I74">IF($D74="","",xlookup($D74,PRODUCT!$B:$B,PRODUCT!$M:$M,""))</f>
        <v/>
      </c>
      <c r="J74" s="60" t="n"/>
      <c r="K74" s="61" t="n"/>
      <c r="L74" s="61" t="n"/>
      <c r="M74" s="60" t="n"/>
      <c r="N74" s="2" t="n"/>
    </row>
    <row r="75" ht="15.75" customHeight="1" s="125">
      <c r="A75" s="2" t="n"/>
      <c r="B75" s="62" t="n"/>
      <c r="C75" s="62" t="n"/>
      <c r="D75" s="58" t="n"/>
      <c r="E75" s="62">
        <f t="array" ref="E75">IF($D75="","",xlookup($D75,PRODUCT!$B:$B,PRODUCT!$A:$A,""))</f>
        <v/>
      </c>
      <c r="F75" s="62">
        <f t="array" ref="F75">IF($D75="","",xlookup($D75,PRODUCT!$B:$B,PRODUCT!$C:$C,""))</f>
        <v/>
      </c>
      <c r="G75" s="61" t="n"/>
      <c r="H75" s="61">
        <f t="array" ref="H75">IF($D75="","",xlookup($D75,PRODUCT!$B:$B,PRODUCT!$L:$L,""))</f>
        <v/>
      </c>
      <c r="I75" s="62">
        <f t="array" ref="I75">IF($D75="","",xlookup($D75,PRODUCT!$B:$B,PRODUCT!$M:$M,""))</f>
        <v/>
      </c>
      <c r="J75" s="60" t="n"/>
      <c r="K75" s="61" t="n"/>
      <c r="L75" s="61" t="n"/>
      <c r="M75" s="60" t="n"/>
      <c r="N75" s="2" t="n"/>
    </row>
    <row r="76" ht="15.75" customHeight="1" s="125">
      <c r="A76" s="2" t="n"/>
      <c r="B76" s="62" t="n"/>
      <c r="C76" s="62" t="n"/>
      <c r="D76" s="58" t="n"/>
      <c r="E76" s="62">
        <f t="array" ref="E76">IF($D76="","",xlookup($D76,PRODUCT!$B:$B,PRODUCT!$A:$A,""))</f>
        <v/>
      </c>
      <c r="F76" s="62">
        <f t="array" ref="F76">IF($D76="","",xlookup($D76,PRODUCT!$B:$B,PRODUCT!$C:$C,""))</f>
        <v/>
      </c>
      <c r="G76" s="61" t="n"/>
      <c r="H76" s="61">
        <f t="array" ref="H76">IF($D76="","",xlookup($D76,PRODUCT!$B:$B,PRODUCT!$L:$L,""))</f>
        <v/>
      </c>
      <c r="I76" s="62">
        <f t="array" ref="I76">IF($D76="","",xlookup($D76,PRODUCT!$B:$B,PRODUCT!$M:$M,""))</f>
        <v/>
      </c>
      <c r="J76" s="60" t="n"/>
      <c r="K76" s="61" t="n"/>
      <c r="L76" s="61" t="n"/>
      <c r="M76" s="60" t="n"/>
      <c r="N76" s="2" t="n"/>
    </row>
    <row r="77" ht="15.75" customHeight="1" s="125">
      <c r="A77" s="2" t="n"/>
      <c r="B77" s="62" t="n"/>
      <c r="C77" s="62" t="n"/>
      <c r="D77" s="58" t="n"/>
      <c r="E77" s="62">
        <f t="array" ref="E77">IF($D77="","",xlookup($D77,PRODUCT!$B:$B,PRODUCT!$A:$A,""))</f>
        <v/>
      </c>
      <c r="F77" s="62">
        <f t="array" ref="F77">IF($D77="","",xlookup($D77,PRODUCT!$B:$B,PRODUCT!$C:$C,""))</f>
        <v/>
      </c>
      <c r="G77" s="61" t="n"/>
      <c r="H77" s="61">
        <f t="array" ref="H77">IF($D77="","",xlookup($D77,PRODUCT!$B:$B,PRODUCT!$L:$L,""))</f>
        <v/>
      </c>
      <c r="I77" s="62">
        <f t="array" ref="I77">IF($D77="","",xlookup($D77,PRODUCT!$B:$B,PRODUCT!$M:$M,""))</f>
        <v/>
      </c>
      <c r="J77" s="60" t="n"/>
      <c r="K77" s="61" t="n"/>
      <c r="L77" s="61" t="n"/>
      <c r="M77" s="60" t="n"/>
      <c r="N77" s="2" t="n"/>
    </row>
    <row r="78" ht="15.75" customHeight="1" s="125">
      <c r="A78" s="2" t="n"/>
      <c r="B78" s="62" t="n"/>
      <c r="C78" s="62" t="n"/>
      <c r="D78" s="58" t="n"/>
      <c r="E78" s="62">
        <f t="array" ref="E78">IF($D78="","",xlookup($D78,PRODUCT!$B:$B,PRODUCT!$A:$A,""))</f>
        <v/>
      </c>
      <c r="F78" s="62">
        <f t="array" ref="F78">IF($D78="","",xlookup($D78,PRODUCT!$B:$B,PRODUCT!$C:$C,""))</f>
        <v/>
      </c>
      <c r="G78" s="61" t="n"/>
      <c r="H78" s="61">
        <f t="array" ref="H78">IF($D78="","",xlookup($D78,PRODUCT!$B:$B,PRODUCT!$L:$L,""))</f>
        <v/>
      </c>
      <c r="I78" s="62">
        <f t="array" ref="I78">IF($D78="","",xlookup($D78,PRODUCT!$B:$B,PRODUCT!$M:$M,""))</f>
        <v/>
      </c>
      <c r="J78" s="60" t="n"/>
      <c r="K78" s="61" t="n"/>
      <c r="L78" s="61" t="n"/>
      <c r="M78" s="60" t="n"/>
      <c r="N78" s="2" t="n"/>
    </row>
    <row r="79" ht="15.75" customHeight="1" s="125">
      <c r="A79" s="2" t="n"/>
      <c r="B79" s="62" t="n"/>
      <c r="C79" s="62" t="n"/>
      <c r="D79" s="58" t="n"/>
      <c r="E79" s="62">
        <f t="array" ref="E79">IF($D79="","",xlookup($D79,PRODUCT!$B:$B,PRODUCT!$A:$A,""))</f>
        <v/>
      </c>
      <c r="F79" s="62">
        <f t="array" ref="F79">IF($D79="","",xlookup($D79,PRODUCT!$B:$B,PRODUCT!$C:$C,""))</f>
        <v/>
      </c>
      <c r="G79" s="61" t="n"/>
      <c r="H79" s="61">
        <f t="array" ref="H79">IF($D79="","",xlookup($D79,PRODUCT!$B:$B,PRODUCT!$L:$L,""))</f>
        <v/>
      </c>
      <c r="I79" s="62">
        <f t="array" ref="I79">IF($D79="","",xlookup($D79,PRODUCT!$B:$B,PRODUCT!$M:$M,""))</f>
        <v/>
      </c>
      <c r="J79" s="60" t="n"/>
      <c r="K79" s="61" t="n"/>
      <c r="L79" s="61" t="n"/>
      <c r="M79" s="60" t="n"/>
      <c r="N79" s="2" t="n"/>
    </row>
    <row r="80" ht="15.75" customHeight="1" s="125">
      <c r="A80" s="2" t="n"/>
      <c r="B80" s="62" t="n"/>
      <c r="C80" s="62" t="n"/>
      <c r="D80" s="58" t="n"/>
      <c r="E80" s="62">
        <f t="array" ref="E80">IF($D80="","",xlookup($D80,PRODUCT!$B:$B,PRODUCT!$A:$A,""))</f>
        <v/>
      </c>
      <c r="F80" s="62">
        <f t="array" ref="F80">IF($D80="","",xlookup($D80,PRODUCT!$B:$B,PRODUCT!$C:$C,""))</f>
        <v/>
      </c>
      <c r="G80" s="61" t="n"/>
      <c r="H80" s="61">
        <f t="array" ref="H80">IF($D80="","",xlookup($D80,PRODUCT!$B:$B,PRODUCT!$L:$L,""))</f>
        <v/>
      </c>
      <c r="I80" s="62">
        <f t="array" ref="I80">IF($D80="","",xlookup($D80,PRODUCT!$B:$B,PRODUCT!$M:$M,""))</f>
        <v/>
      </c>
      <c r="J80" s="60" t="n"/>
      <c r="K80" s="61" t="n"/>
      <c r="L80" s="61" t="n"/>
      <c r="M80" s="60" t="n"/>
      <c r="N80" s="2" t="n"/>
    </row>
    <row r="81" ht="15.75" customHeight="1" s="125">
      <c r="A81" s="2" t="n"/>
      <c r="B81" s="62" t="n"/>
      <c r="C81" s="62" t="n"/>
      <c r="D81" s="58" t="n"/>
      <c r="E81" s="62">
        <f t="array" ref="E81">IF($D81="","",xlookup($D81,PRODUCT!$B:$B,PRODUCT!$A:$A,""))</f>
        <v/>
      </c>
      <c r="F81" s="62">
        <f t="array" ref="F81">IF($D81="","",xlookup($D81,PRODUCT!$B:$B,PRODUCT!$C:$C,""))</f>
        <v/>
      </c>
      <c r="G81" s="61" t="n"/>
      <c r="H81" s="61">
        <f t="array" ref="H81">IF($D81="","",xlookup($D81,PRODUCT!$B:$B,PRODUCT!$L:$L,""))</f>
        <v/>
      </c>
      <c r="I81" s="62">
        <f t="array" ref="I81">IF($D81="","",xlookup($D81,PRODUCT!$B:$B,PRODUCT!$M:$M,""))</f>
        <v/>
      </c>
      <c r="J81" s="60" t="n"/>
      <c r="K81" s="61" t="n"/>
      <c r="L81" s="61" t="n"/>
      <c r="M81" s="60" t="n"/>
      <c r="N81" s="2" t="n"/>
    </row>
    <row r="82" ht="15.75" customHeight="1" s="125">
      <c r="A82" s="2" t="n"/>
      <c r="B82" s="62" t="n"/>
      <c r="C82" s="62" t="n"/>
      <c r="D82" s="58" t="n"/>
      <c r="E82" s="62">
        <f t="array" ref="E82">IF($D82="","",xlookup($D82,PRODUCT!$B:$B,PRODUCT!$A:$A,""))</f>
        <v/>
      </c>
      <c r="F82" s="62">
        <f t="array" ref="F82">IF($D82="","",xlookup($D82,PRODUCT!$B:$B,PRODUCT!$C:$C,""))</f>
        <v/>
      </c>
      <c r="G82" s="61" t="n"/>
      <c r="H82" s="61">
        <f t="array" ref="H82">IF($D82="","",xlookup($D82,PRODUCT!$B:$B,PRODUCT!$L:$L,""))</f>
        <v/>
      </c>
      <c r="I82" s="62">
        <f t="array" ref="I82">IF($D82="","",xlookup($D82,PRODUCT!$B:$B,PRODUCT!$M:$M,""))</f>
        <v/>
      </c>
      <c r="J82" s="60" t="n"/>
      <c r="K82" s="61" t="n"/>
      <c r="L82" s="61" t="n"/>
      <c r="M82" s="60" t="n"/>
      <c r="N82" s="2" t="n"/>
    </row>
    <row r="83" ht="15.75" customHeight="1" s="125">
      <c r="A83" s="2" t="n"/>
      <c r="B83" s="62" t="n"/>
      <c r="C83" s="62" t="n"/>
      <c r="D83" s="58" t="n"/>
      <c r="E83" s="62">
        <f t="array" ref="E83">IF($D83="","",xlookup($D83,PRODUCT!$B:$B,PRODUCT!$A:$A,""))</f>
        <v/>
      </c>
      <c r="F83" s="62">
        <f t="array" ref="F83">IF($D83="","",xlookup($D83,PRODUCT!$B:$B,PRODUCT!$C:$C,""))</f>
        <v/>
      </c>
      <c r="G83" s="61" t="n"/>
      <c r="H83" s="61">
        <f t="array" ref="H83">IF($D83="","",xlookup($D83,PRODUCT!$B:$B,PRODUCT!$L:$L,""))</f>
        <v/>
      </c>
      <c r="I83" s="62">
        <f t="array" ref="I83">IF($D83="","",xlookup($D83,PRODUCT!$B:$B,PRODUCT!$M:$M,""))</f>
        <v/>
      </c>
      <c r="J83" s="60" t="n"/>
      <c r="K83" s="61" t="n"/>
      <c r="L83" s="61" t="n"/>
      <c r="M83" s="60" t="n"/>
      <c r="N83" s="2" t="n"/>
    </row>
    <row r="84" ht="15.75" customHeight="1" s="125">
      <c r="A84" s="2" t="n"/>
      <c r="B84" s="62" t="n"/>
      <c r="C84" s="62" t="n"/>
      <c r="D84" s="58" t="n"/>
      <c r="E84" s="62">
        <f t="array" ref="E84">IF($D84="","",xlookup($D84,PRODUCT!$B:$B,PRODUCT!$A:$A,""))</f>
        <v/>
      </c>
      <c r="F84" s="62">
        <f t="array" ref="F84">IF($D84="","",xlookup($D84,PRODUCT!$B:$B,PRODUCT!$C:$C,""))</f>
        <v/>
      </c>
      <c r="G84" s="61" t="n"/>
      <c r="H84" s="61">
        <f t="array" ref="H84">IF($D84="","",xlookup($D84,PRODUCT!$B:$B,PRODUCT!$L:$L,""))</f>
        <v/>
      </c>
      <c r="I84" s="62">
        <f t="array" ref="I84">IF($D84="","",xlookup($D84,PRODUCT!$B:$B,PRODUCT!$M:$M,""))</f>
        <v/>
      </c>
      <c r="J84" s="60" t="n"/>
      <c r="K84" s="61" t="n"/>
      <c r="L84" s="61" t="n"/>
      <c r="M84" s="60" t="n"/>
      <c r="N84" s="2" t="n"/>
    </row>
    <row r="85" ht="15.75" customHeight="1" s="125">
      <c r="A85" s="2" t="n"/>
      <c r="B85" s="62" t="n"/>
      <c r="C85" s="62" t="n"/>
      <c r="D85" s="58" t="n"/>
      <c r="E85" s="62">
        <f t="array" ref="E85">IF($D85="","",xlookup($D85,PRODUCT!$B:$B,PRODUCT!$A:$A,""))</f>
        <v/>
      </c>
      <c r="F85" s="62">
        <f t="array" ref="F85">IF($D85="","",xlookup($D85,PRODUCT!$B:$B,PRODUCT!$C:$C,""))</f>
        <v/>
      </c>
      <c r="G85" s="61" t="n"/>
      <c r="H85" s="61">
        <f t="array" ref="H85">IF($D85="","",xlookup($D85,PRODUCT!$B:$B,PRODUCT!$L:$L,""))</f>
        <v/>
      </c>
      <c r="I85" s="62">
        <f t="array" ref="I85">IF($D85="","",xlookup($D85,PRODUCT!$B:$B,PRODUCT!$M:$M,""))</f>
        <v/>
      </c>
      <c r="J85" s="60" t="n"/>
      <c r="K85" s="61" t="n"/>
      <c r="L85" s="61" t="n"/>
      <c r="M85" s="60" t="n"/>
      <c r="N85" s="2" t="n"/>
    </row>
    <row r="86" ht="15.75" customHeight="1" s="125">
      <c r="A86" s="2" t="n"/>
      <c r="B86" s="62" t="n"/>
      <c r="C86" s="62" t="n"/>
      <c r="D86" s="58" t="n"/>
      <c r="E86" s="62">
        <f t="array" ref="E86">IF($D86="","",xlookup($D86,PRODUCT!$B:$B,PRODUCT!$A:$A,""))</f>
        <v/>
      </c>
      <c r="F86" s="62">
        <f t="array" ref="F86">IF($D86="","",xlookup($D86,PRODUCT!$B:$B,PRODUCT!$C:$C,""))</f>
        <v/>
      </c>
      <c r="G86" s="61" t="n"/>
      <c r="H86" s="61">
        <f t="array" ref="H86">IF($D86="","",xlookup($D86,PRODUCT!$B:$B,PRODUCT!$L:$L,""))</f>
        <v/>
      </c>
      <c r="I86" s="62">
        <f t="array" ref="I86">IF($D86="","",xlookup($D86,PRODUCT!$B:$B,PRODUCT!$M:$M,""))</f>
        <v/>
      </c>
      <c r="J86" s="60" t="n"/>
      <c r="K86" s="61" t="n"/>
      <c r="L86" s="61" t="n"/>
      <c r="M86" s="60" t="n"/>
      <c r="N86" s="2" t="n"/>
    </row>
    <row r="87" ht="15.75" customHeight="1" s="125">
      <c r="A87" s="2" t="n"/>
      <c r="B87" s="62" t="n"/>
      <c r="C87" s="62" t="n"/>
      <c r="D87" s="58" t="n"/>
      <c r="E87" s="62">
        <f t="array" ref="E87">IF($D87="","",xlookup($D87,PRODUCT!$B:$B,PRODUCT!$A:$A,""))</f>
        <v/>
      </c>
      <c r="F87" s="62">
        <f t="array" ref="F87">IF($D87="","",xlookup($D87,PRODUCT!$B:$B,PRODUCT!$C:$C,""))</f>
        <v/>
      </c>
      <c r="G87" s="61" t="n"/>
      <c r="H87" s="61">
        <f t="array" ref="H87">IF($D87="","",xlookup($D87,PRODUCT!$B:$B,PRODUCT!$L:$L,""))</f>
        <v/>
      </c>
      <c r="I87" s="62">
        <f t="array" ref="I87">IF($D87="","",xlookup($D87,PRODUCT!$B:$B,PRODUCT!$M:$M,""))</f>
        <v/>
      </c>
      <c r="J87" s="60" t="n"/>
      <c r="K87" s="61" t="n"/>
      <c r="L87" s="61" t="n"/>
      <c r="M87" s="60" t="n"/>
      <c r="N87" s="2" t="n"/>
    </row>
    <row r="88" ht="15.75" customHeight="1" s="125">
      <c r="A88" s="2" t="n"/>
      <c r="B88" s="62" t="n"/>
      <c r="C88" s="62" t="n"/>
      <c r="D88" s="58" t="n"/>
      <c r="E88" s="62">
        <f t="array" ref="E88">IF($D88="","",xlookup($D88,PRODUCT!$B:$B,PRODUCT!$A:$A,""))</f>
        <v/>
      </c>
      <c r="F88" s="62">
        <f t="array" ref="F88">IF($D88="","",xlookup($D88,PRODUCT!$B:$B,PRODUCT!$C:$C,""))</f>
        <v/>
      </c>
      <c r="G88" s="61" t="n"/>
      <c r="H88" s="61">
        <f t="array" ref="H88">IF($D88="","",xlookup($D88,PRODUCT!$B:$B,PRODUCT!$L:$L,""))</f>
        <v/>
      </c>
      <c r="I88" s="62">
        <f t="array" ref="I88">IF($D88="","",xlookup($D88,PRODUCT!$B:$B,PRODUCT!$M:$M,""))</f>
        <v/>
      </c>
      <c r="J88" s="60" t="n"/>
      <c r="K88" s="61" t="n"/>
      <c r="L88" s="61" t="n"/>
      <c r="M88" s="60" t="n"/>
      <c r="N88" s="2" t="n"/>
    </row>
    <row r="89" ht="15.75" customHeight="1" s="125">
      <c r="A89" s="2" t="n"/>
      <c r="B89" s="62" t="n"/>
      <c r="C89" s="62" t="n"/>
      <c r="D89" s="58" t="n"/>
      <c r="E89" s="62">
        <f t="array" ref="E89">IF($D89="","",xlookup($D89,PRODUCT!$B:$B,PRODUCT!$A:$A,""))</f>
        <v/>
      </c>
      <c r="F89" s="62">
        <f t="array" ref="F89">IF($D89="","",xlookup($D89,PRODUCT!$B:$B,PRODUCT!$C:$C,""))</f>
        <v/>
      </c>
      <c r="G89" s="61" t="n"/>
      <c r="H89" s="61">
        <f t="array" ref="H89">IF($D89="","",xlookup($D89,PRODUCT!$B:$B,PRODUCT!$L:$L,""))</f>
        <v/>
      </c>
      <c r="I89" s="62">
        <f t="array" ref="I89">IF($D89="","",xlookup($D89,PRODUCT!$B:$B,PRODUCT!$M:$M,""))</f>
        <v/>
      </c>
      <c r="J89" s="60" t="n"/>
      <c r="K89" s="61" t="n"/>
      <c r="L89" s="61" t="n"/>
      <c r="M89" s="60" t="n"/>
      <c r="N89" s="2" t="n"/>
    </row>
    <row r="90" ht="15.75" customHeight="1" s="125">
      <c r="A90" s="2" t="n"/>
      <c r="B90" s="62" t="n"/>
      <c r="C90" s="62" t="n"/>
      <c r="D90" s="58" t="n"/>
      <c r="E90" s="62">
        <f t="array" ref="E90">IF($D90="","",xlookup($D90,PRODUCT!$B:$B,PRODUCT!$A:$A,""))</f>
        <v/>
      </c>
      <c r="F90" s="62">
        <f t="array" ref="F90">IF($D90="","",xlookup($D90,PRODUCT!$B:$B,PRODUCT!$C:$C,""))</f>
        <v/>
      </c>
      <c r="G90" s="61" t="n"/>
      <c r="H90" s="61">
        <f t="array" ref="H90">IF($D90="","",xlookup($D90,PRODUCT!$B:$B,PRODUCT!$L:$L,""))</f>
        <v/>
      </c>
      <c r="I90" s="62">
        <f t="array" ref="I90">IF($D90="","",xlookup($D90,PRODUCT!$B:$B,PRODUCT!$M:$M,""))</f>
        <v/>
      </c>
      <c r="J90" s="60" t="n"/>
      <c r="K90" s="61" t="n"/>
      <c r="L90" s="61" t="n"/>
      <c r="M90" s="60" t="n"/>
      <c r="N90" s="2" t="n"/>
    </row>
    <row r="91" ht="15.75" customHeight="1" s="125">
      <c r="A91" s="2" t="n"/>
      <c r="B91" s="62" t="n"/>
      <c r="C91" s="62" t="n"/>
      <c r="D91" s="58" t="n"/>
      <c r="E91" s="62">
        <f t="array" ref="E91">IF($D91="","",xlookup($D91,PRODUCT!$B:$B,PRODUCT!$A:$A,""))</f>
        <v/>
      </c>
      <c r="F91" s="62">
        <f t="array" ref="F91">IF($D91="","",xlookup($D91,PRODUCT!$B:$B,PRODUCT!$C:$C,""))</f>
        <v/>
      </c>
      <c r="G91" s="61" t="n"/>
      <c r="H91" s="61">
        <f t="array" ref="H91">IF($D91="","",xlookup($D91,PRODUCT!$B:$B,PRODUCT!$L:$L,""))</f>
        <v/>
      </c>
      <c r="I91" s="62">
        <f t="array" ref="I91">IF($D91="","",xlookup($D91,PRODUCT!$B:$B,PRODUCT!$M:$M,""))</f>
        <v/>
      </c>
      <c r="J91" s="60" t="n"/>
      <c r="K91" s="61" t="n"/>
      <c r="L91" s="61" t="n"/>
      <c r="M91" s="60" t="n"/>
      <c r="N91" s="2" t="n"/>
    </row>
    <row r="92" ht="15.75" customHeight="1" s="125">
      <c r="A92" s="2" t="n"/>
      <c r="B92" s="62" t="n"/>
      <c r="C92" s="62" t="n"/>
      <c r="D92" s="58" t="n"/>
      <c r="E92" s="62">
        <f t="array" ref="E92">IF($D92="","",xlookup($D92,PRODUCT!$B:$B,PRODUCT!$A:$A,""))</f>
        <v/>
      </c>
      <c r="F92" s="62">
        <f t="array" ref="F92">IF($D92="","",xlookup($D92,PRODUCT!$B:$B,PRODUCT!$C:$C,""))</f>
        <v/>
      </c>
      <c r="G92" s="61" t="n"/>
      <c r="H92" s="61">
        <f t="array" ref="H92">IF($D92="","",xlookup($D92,PRODUCT!$B:$B,PRODUCT!$L:$L,""))</f>
        <v/>
      </c>
      <c r="I92" s="62">
        <f t="array" ref="I92">IF($D92="","",xlookup($D92,PRODUCT!$B:$B,PRODUCT!$M:$M,""))</f>
        <v/>
      </c>
      <c r="J92" s="60" t="n"/>
      <c r="K92" s="61" t="n"/>
      <c r="L92" s="61" t="n"/>
      <c r="M92" s="60" t="n"/>
      <c r="N92" s="2" t="n"/>
    </row>
    <row r="93" ht="15.75" customHeight="1" s="125">
      <c r="A93" s="2" t="n"/>
      <c r="B93" s="62" t="n"/>
      <c r="C93" s="62" t="n"/>
      <c r="D93" s="58" t="n"/>
      <c r="E93" s="62">
        <f t="array" ref="E93">IF($D93="","",xlookup($D93,PRODUCT!$B:$B,PRODUCT!$A:$A,""))</f>
        <v/>
      </c>
      <c r="F93" s="62">
        <f t="array" ref="F93">IF($D93="","",xlookup($D93,PRODUCT!$B:$B,PRODUCT!$C:$C,""))</f>
        <v/>
      </c>
      <c r="G93" s="61" t="n"/>
      <c r="H93" s="61">
        <f t="array" ref="H93">IF($D93="","",xlookup($D93,PRODUCT!$B:$B,PRODUCT!$L:$L,""))</f>
        <v/>
      </c>
      <c r="I93" s="62">
        <f t="array" ref="I93">IF($D93="","",xlookup($D93,PRODUCT!$B:$B,PRODUCT!$M:$M,""))</f>
        <v/>
      </c>
      <c r="J93" s="60" t="n"/>
      <c r="K93" s="61" t="n"/>
      <c r="L93" s="61" t="n"/>
      <c r="M93" s="60" t="n"/>
      <c r="N93" s="2" t="n"/>
    </row>
    <row r="94" ht="15.75" customHeight="1" s="125">
      <c r="A94" s="2" t="n"/>
      <c r="B94" s="62" t="n"/>
      <c r="C94" s="62" t="n"/>
      <c r="D94" s="58" t="n"/>
      <c r="E94" s="62">
        <f t="array" ref="E94">IF($D94="","",xlookup($D94,PRODUCT!$B:$B,PRODUCT!$A:$A,""))</f>
        <v/>
      </c>
      <c r="F94" s="62">
        <f t="array" ref="F94">IF($D94="","",xlookup($D94,PRODUCT!$B:$B,PRODUCT!$C:$C,""))</f>
        <v/>
      </c>
      <c r="G94" s="61" t="n"/>
      <c r="H94" s="61">
        <f t="array" ref="H94">IF($D94="","",xlookup($D94,PRODUCT!$B:$B,PRODUCT!$L:$L,""))</f>
        <v/>
      </c>
      <c r="I94" s="62">
        <f t="array" ref="I94">IF($D94="","",xlookup($D94,PRODUCT!$B:$B,PRODUCT!$M:$M,""))</f>
        <v/>
      </c>
      <c r="J94" s="60" t="n"/>
      <c r="K94" s="61" t="n"/>
      <c r="L94" s="61" t="n"/>
      <c r="M94" s="60" t="n"/>
      <c r="N94" s="2" t="n"/>
    </row>
    <row r="95" ht="15.75" customHeight="1" s="125">
      <c r="A95" s="2" t="n"/>
      <c r="B95" s="62" t="n"/>
      <c r="C95" s="62" t="n"/>
      <c r="D95" s="58" t="n"/>
      <c r="E95" s="62">
        <f t="array" ref="E95">IF($D95="","",xlookup($D95,PRODUCT!$B:$B,PRODUCT!$A:$A,""))</f>
        <v/>
      </c>
      <c r="F95" s="62">
        <f t="array" ref="F95">IF($D95="","",xlookup($D95,PRODUCT!$B:$B,PRODUCT!$C:$C,""))</f>
        <v/>
      </c>
      <c r="G95" s="61" t="n"/>
      <c r="H95" s="61">
        <f t="array" ref="H95">IF($D95="","",xlookup($D95,PRODUCT!$B:$B,PRODUCT!$L:$L,""))</f>
        <v/>
      </c>
      <c r="I95" s="62">
        <f t="array" ref="I95">IF($D95="","",xlookup($D95,PRODUCT!$B:$B,PRODUCT!$M:$M,""))</f>
        <v/>
      </c>
      <c r="J95" s="60" t="n"/>
      <c r="K95" s="61" t="n"/>
      <c r="L95" s="61" t="n"/>
      <c r="M95" s="60" t="n"/>
      <c r="N95" s="2" t="n"/>
    </row>
    <row r="96" ht="15.75" customHeight="1" s="125">
      <c r="A96" s="2" t="n"/>
      <c r="B96" s="62" t="n"/>
      <c r="C96" s="62" t="n"/>
      <c r="D96" s="58" t="n"/>
      <c r="E96" s="62">
        <f t="array" ref="E96">IF($D96="","",xlookup($D96,PRODUCT!$B:$B,PRODUCT!$A:$A,""))</f>
        <v/>
      </c>
      <c r="F96" s="62">
        <f t="array" ref="F96">IF($D96="","",xlookup($D96,PRODUCT!$B:$B,PRODUCT!$C:$C,""))</f>
        <v/>
      </c>
      <c r="G96" s="61" t="n"/>
      <c r="H96" s="61">
        <f t="array" ref="H96">IF($D96="","",xlookup($D96,PRODUCT!$B:$B,PRODUCT!$L:$L,""))</f>
        <v/>
      </c>
      <c r="I96" s="62">
        <f t="array" ref="I96">IF($D96="","",xlookup($D96,PRODUCT!$B:$B,PRODUCT!$M:$M,""))</f>
        <v/>
      </c>
      <c r="J96" s="60" t="n"/>
      <c r="K96" s="61" t="n"/>
      <c r="L96" s="61" t="n"/>
      <c r="M96" s="60" t="n"/>
      <c r="N96" s="2" t="n"/>
    </row>
    <row r="97" ht="15.75" customHeight="1" s="125">
      <c r="A97" s="2" t="n"/>
      <c r="B97" s="62" t="n"/>
      <c r="C97" s="62" t="n"/>
      <c r="D97" s="58" t="n"/>
      <c r="E97" s="62">
        <f t="array" ref="E97">IF($D97="","",xlookup($D97,PRODUCT!$B:$B,PRODUCT!$A:$A,""))</f>
        <v/>
      </c>
      <c r="F97" s="62">
        <f t="array" ref="F97">IF($D97="","",xlookup($D97,PRODUCT!$B:$B,PRODUCT!$C:$C,""))</f>
        <v/>
      </c>
      <c r="G97" s="61" t="n"/>
      <c r="H97" s="61">
        <f t="array" ref="H97">IF($D97="","",xlookup($D97,PRODUCT!$B:$B,PRODUCT!$L:$L,""))</f>
        <v/>
      </c>
      <c r="I97" s="62">
        <f t="array" ref="I97">IF($D97="","",xlookup($D97,PRODUCT!$B:$B,PRODUCT!$M:$M,""))</f>
        <v/>
      </c>
      <c r="J97" s="60" t="n"/>
      <c r="K97" s="61" t="n"/>
      <c r="L97" s="61" t="n"/>
      <c r="M97" s="60" t="n"/>
      <c r="N97" s="2" t="n"/>
    </row>
    <row r="98" ht="15.75" customHeight="1" s="125">
      <c r="A98" s="2" t="n"/>
      <c r="B98" s="62" t="n"/>
      <c r="C98" s="62" t="n"/>
      <c r="D98" s="58" t="n"/>
      <c r="E98" s="62">
        <f t="array" ref="E98">IF($D98="","",xlookup($D98,PRODUCT!$B:$B,PRODUCT!$A:$A,""))</f>
        <v/>
      </c>
      <c r="F98" s="62">
        <f t="array" ref="F98">IF($D98="","",xlookup($D98,PRODUCT!$B:$B,PRODUCT!$C:$C,""))</f>
        <v/>
      </c>
      <c r="G98" s="61" t="n"/>
      <c r="H98" s="61">
        <f t="array" ref="H98">IF($D98="","",xlookup($D98,PRODUCT!$B:$B,PRODUCT!$L:$L,""))</f>
        <v/>
      </c>
      <c r="I98" s="62">
        <f t="array" ref="I98">IF($D98="","",xlookup($D98,PRODUCT!$B:$B,PRODUCT!$M:$M,""))</f>
        <v/>
      </c>
      <c r="J98" s="60" t="n"/>
      <c r="K98" s="61" t="n"/>
      <c r="L98" s="61" t="n"/>
      <c r="M98" s="60" t="n"/>
      <c r="N98" s="2" t="n"/>
    </row>
    <row r="99" ht="15.75" customHeight="1" s="125">
      <c r="A99" s="2" t="n"/>
      <c r="B99" s="62" t="n"/>
      <c r="C99" s="62" t="n"/>
      <c r="D99" s="58" t="n"/>
      <c r="E99" s="62">
        <f t="array" ref="E99">IF($D99="","",xlookup($D99,PRODUCT!$B:$B,PRODUCT!$A:$A,""))</f>
        <v/>
      </c>
      <c r="F99" s="62">
        <f t="array" ref="F99">IF($D99="","",xlookup($D99,PRODUCT!$B:$B,PRODUCT!$C:$C,""))</f>
        <v/>
      </c>
      <c r="G99" s="61" t="n"/>
      <c r="H99" s="61">
        <f t="array" ref="H99">IF($D99="","",xlookup($D99,PRODUCT!$B:$B,PRODUCT!$L:$L,""))</f>
        <v/>
      </c>
      <c r="I99" s="62">
        <f t="array" ref="I99">IF($D99="","",xlookup($D99,PRODUCT!$B:$B,PRODUCT!$M:$M,""))</f>
        <v/>
      </c>
      <c r="J99" s="60" t="n"/>
      <c r="K99" s="61" t="n"/>
      <c r="L99" s="61" t="n"/>
      <c r="M99" s="60" t="n"/>
      <c r="N99" s="2" t="n"/>
    </row>
    <row r="100" ht="15.75" customHeight="1" s="125">
      <c r="A100" s="2" t="n"/>
      <c r="B100" s="62" t="n"/>
      <c r="C100" s="62" t="n"/>
      <c r="D100" s="58" t="n"/>
      <c r="E100" s="62">
        <f t="array" ref="E100">IF($D100="","",xlookup($D100,PRODUCT!$B:$B,PRODUCT!$A:$A,""))</f>
        <v/>
      </c>
      <c r="F100" s="62">
        <f t="array" ref="F100">IF($D100="","",xlookup($D100,PRODUCT!$B:$B,PRODUCT!$C:$C,""))</f>
        <v/>
      </c>
      <c r="G100" s="61" t="n"/>
      <c r="H100" s="61">
        <f t="array" ref="H100">IF($D100="","",xlookup($D100,PRODUCT!$B:$B,PRODUCT!$L:$L,""))</f>
        <v/>
      </c>
      <c r="I100" s="62">
        <f t="array" ref="I100">IF($D100="","",xlookup($D100,PRODUCT!$B:$B,PRODUCT!$M:$M,""))</f>
        <v/>
      </c>
      <c r="J100" s="60" t="n"/>
      <c r="K100" s="61" t="n"/>
      <c r="L100" s="61" t="n"/>
      <c r="M100" s="60" t="n"/>
      <c r="N100" s="2" t="n"/>
    </row>
    <row r="101" ht="15.75" customHeight="1" s="125">
      <c r="A101" s="2" t="n"/>
      <c r="B101" s="62" t="n"/>
      <c r="C101" s="62" t="n"/>
      <c r="D101" s="58" t="n"/>
      <c r="E101" s="62">
        <f t="array" ref="E101">IF($D101="","",xlookup($D101,PRODUCT!$B:$B,PRODUCT!$A:$A,""))</f>
        <v/>
      </c>
      <c r="F101" s="62">
        <f t="array" ref="F101">IF($D101="","",xlookup($D101,PRODUCT!$B:$B,PRODUCT!$C:$C,""))</f>
        <v/>
      </c>
      <c r="G101" s="61" t="n"/>
      <c r="H101" s="61">
        <f t="array" ref="H101">IF($D101="","",xlookup($D101,PRODUCT!$B:$B,PRODUCT!$L:$L,""))</f>
        <v/>
      </c>
      <c r="I101" s="62">
        <f t="array" ref="I101">IF($D101="","",xlookup($D101,PRODUCT!$B:$B,PRODUCT!$M:$M,""))</f>
        <v/>
      </c>
      <c r="J101" s="60" t="n"/>
      <c r="K101" s="61" t="n"/>
      <c r="L101" s="61" t="n"/>
      <c r="M101" s="60" t="n"/>
      <c r="N101" s="2" t="n"/>
    </row>
    <row r="102" ht="15.75" customHeight="1" s="125">
      <c r="A102" s="2" t="n"/>
      <c r="B102" s="62" t="n"/>
      <c r="C102" s="62" t="n"/>
      <c r="D102" s="58" t="n"/>
      <c r="E102" s="62">
        <f t="array" ref="E102">IF($D102="","",xlookup($D102,PRODUCT!$B:$B,PRODUCT!$A:$A,""))</f>
        <v/>
      </c>
      <c r="F102" s="62">
        <f t="array" ref="F102">IF($D102="","",xlookup($D102,PRODUCT!$B:$B,PRODUCT!$C:$C,""))</f>
        <v/>
      </c>
      <c r="G102" s="61" t="n"/>
      <c r="H102" s="61">
        <f t="array" ref="H102">IF($D102="","",xlookup($D102,PRODUCT!$B:$B,PRODUCT!$L:$L,""))</f>
        <v/>
      </c>
      <c r="I102" s="62">
        <f t="array" ref="I102">IF($D102="","",xlookup($D102,PRODUCT!$B:$B,PRODUCT!$M:$M,""))</f>
        <v/>
      </c>
      <c r="J102" s="60" t="n"/>
      <c r="K102" s="61" t="n"/>
      <c r="L102" s="61" t="n"/>
      <c r="M102" s="60" t="n"/>
      <c r="N102" s="2" t="n"/>
    </row>
    <row r="103" ht="15.75" customHeight="1" s="125">
      <c r="A103" s="2" t="n"/>
      <c r="B103" s="62" t="n"/>
      <c r="C103" s="62" t="n"/>
      <c r="D103" s="58" t="n"/>
      <c r="E103" s="62">
        <f t="array" ref="E103">IF($D103="","",xlookup($D103,PRODUCT!$B:$B,PRODUCT!$A:$A,""))</f>
        <v/>
      </c>
      <c r="F103" s="62">
        <f t="array" ref="F103">IF($D103="","",xlookup($D103,PRODUCT!$B:$B,PRODUCT!$C:$C,""))</f>
        <v/>
      </c>
      <c r="G103" s="61" t="n"/>
      <c r="H103" s="61">
        <f t="array" ref="H103">IF($D103="","",xlookup($D103,PRODUCT!$B:$B,PRODUCT!$L:$L,""))</f>
        <v/>
      </c>
      <c r="I103" s="62">
        <f t="array" ref="I103">IF($D103="","",xlookup($D103,PRODUCT!$B:$B,PRODUCT!$M:$M,""))</f>
        <v/>
      </c>
      <c r="J103" s="60" t="n"/>
      <c r="K103" s="61" t="n"/>
      <c r="L103" s="61" t="n"/>
      <c r="M103" s="60" t="n"/>
      <c r="N103" s="2" t="n"/>
    </row>
    <row r="104" ht="15.75" customHeight="1" s="125">
      <c r="A104" s="2" t="n"/>
      <c r="B104" s="62" t="n"/>
      <c r="C104" s="62" t="n"/>
      <c r="D104" s="58" t="n"/>
      <c r="E104" s="62">
        <f t="array" ref="E104">IF($D104="","",xlookup($D104,PRODUCT!$B:$B,PRODUCT!$A:$A,""))</f>
        <v/>
      </c>
      <c r="F104" s="62">
        <f t="array" ref="F104">IF($D104="","",xlookup($D104,PRODUCT!$B:$B,PRODUCT!$C:$C,""))</f>
        <v/>
      </c>
      <c r="G104" s="61" t="n"/>
      <c r="H104" s="61">
        <f t="array" ref="H104">IF($D104="","",xlookup($D104,PRODUCT!$B:$B,PRODUCT!$L:$L,""))</f>
        <v/>
      </c>
      <c r="I104" s="62">
        <f t="array" ref="I104">IF($D104="","",xlookup($D104,PRODUCT!$B:$B,PRODUCT!$M:$M,""))</f>
        <v/>
      </c>
      <c r="J104" s="60" t="n"/>
      <c r="K104" s="61" t="n"/>
      <c r="L104" s="61" t="n"/>
      <c r="M104" s="60" t="n"/>
      <c r="N104" s="2" t="n"/>
    </row>
    <row r="105" ht="15.75" customHeight="1" s="125">
      <c r="A105" s="2" t="n"/>
      <c r="B105" s="62" t="n"/>
      <c r="C105" s="62" t="n"/>
      <c r="D105" s="58" t="n"/>
      <c r="E105" s="62">
        <f t="array" ref="E105">IF($D105="","",xlookup($D105,PRODUCT!$B:$B,PRODUCT!$A:$A,""))</f>
        <v/>
      </c>
      <c r="F105" s="62">
        <f t="array" ref="F105">IF($D105="","",xlookup($D105,PRODUCT!$B:$B,PRODUCT!$C:$C,""))</f>
        <v/>
      </c>
      <c r="G105" s="61" t="n"/>
      <c r="H105" s="61">
        <f t="array" ref="H105">IF($D105="","",xlookup($D105,PRODUCT!$B:$B,PRODUCT!$L:$L,""))</f>
        <v/>
      </c>
      <c r="I105" s="62">
        <f t="array" ref="I105">IF($D105="","",xlookup($D105,PRODUCT!$B:$B,PRODUCT!$M:$M,""))</f>
        <v/>
      </c>
      <c r="J105" s="60" t="n"/>
      <c r="K105" s="61" t="n"/>
      <c r="L105" s="61" t="n"/>
      <c r="M105" s="60" t="n"/>
      <c r="N105" s="2" t="n"/>
    </row>
    <row r="106" ht="15.75" customHeight="1" s="125">
      <c r="A106" s="2" t="n"/>
      <c r="B106" s="62" t="n"/>
      <c r="C106" s="62" t="n"/>
      <c r="D106" s="58" t="n"/>
      <c r="E106" s="62">
        <f t="array" ref="E106">IF($D106="","",xlookup($D106,PRODUCT!$B:$B,PRODUCT!$A:$A,""))</f>
        <v/>
      </c>
      <c r="F106" s="62">
        <f t="array" ref="F106">IF($D106="","",xlookup($D106,PRODUCT!$B:$B,PRODUCT!$C:$C,""))</f>
        <v/>
      </c>
      <c r="G106" s="61" t="n"/>
      <c r="H106" s="61">
        <f t="array" ref="H106">IF($D106="","",xlookup($D106,PRODUCT!$B:$B,PRODUCT!$L:$L,""))</f>
        <v/>
      </c>
      <c r="I106" s="62">
        <f t="array" ref="I106">IF($D106="","",xlookup($D106,PRODUCT!$B:$B,PRODUCT!$M:$M,""))</f>
        <v/>
      </c>
      <c r="J106" s="60" t="n"/>
      <c r="K106" s="61" t="n"/>
      <c r="L106" s="61" t="n"/>
      <c r="M106" s="60" t="n"/>
      <c r="N106" s="2" t="n"/>
    </row>
    <row r="107" ht="15.75" customHeight="1" s="125">
      <c r="A107" s="2" t="n"/>
      <c r="B107" s="62" t="n"/>
      <c r="C107" s="62" t="n"/>
      <c r="D107" s="58" t="n"/>
      <c r="E107" s="62">
        <f t="array" ref="E107">IF($D107="","",xlookup($D107,PRODUCT!$B:$B,PRODUCT!$A:$A,""))</f>
        <v/>
      </c>
      <c r="F107" s="62">
        <f t="array" ref="F107">IF($D107="","",xlookup($D107,PRODUCT!$B:$B,PRODUCT!$C:$C,""))</f>
        <v/>
      </c>
      <c r="G107" s="61" t="n"/>
      <c r="H107" s="61">
        <f t="array" ref="H107">IF($D107="","",xlookup($D107,PRODUCT!$B:$B,PRODUCT!$L:$L,""))</f>
        <v/>
      </c>
      <c r="I107" s="62">
        <f t="array" ref="I107">IF($D107="","",xlookup($D107,PRODUCT!$B:$B,PRODUCT!$M:$M,""))</f>
        <v/>
      </c>
      <c r="J107" s="60" t="n"/>
      <c r="K107" s="61" t="n"/>
      <c r="L107" s="61" t="n"/>
      <c r="M107" s="60" t="n"/>
      <c r="N107" s="2" t="n"/>
    </row>
    <row r="108" ht="15.75" customHeight="1" s="125">
      <c r="A108" s="2" t="n"/>
      <c r="B108" s="62" t="n"/>
      <c r="C108" s="62" t="n"/>
      <c r="D108" s="58" t="n"/>
      <c r="E108" s="62">
        <f t="array" ref="E108">IF($D108="","",xlookup($D108,PRODUCT!$B:$B,PRODUCT!$A:$A,""))</f>
        <v/>
      </c>
      <c r="F108" s="62">
        <f t="array" ref="F108">IF($D108="","",xlookup($D108,PRODUCT!$B:$B,PRODUCT!$C:$C,""))</f>
        <v/>
      </c>
      <c r="G108" s="61" t="n"/>
      <c r="H108" s="61">
        <f t="array" ref="H108">IF($D108="","",xlookup($D108,PRODUCT!$B:$B,PRODUCT!$L:$L,""))</f>
        <v/>
      </c>
      <c r="I108" s="62">
        <f t="array" ref="I108">IF($D108="","",xlookup($D108,PRODUCT!$B:$B,PRODUCT!$M:$M,""))</f>
        <v/>
      </c>
      <c r="J108" s="60" t="n"/>
      <c r="K108" s="61" t="n"/>
      <c r="L108" s="61" t="n"/>
      <c r="M108" s="60" t="n"/>
      <c r="N108" s="2" t="n"/>
    </row>
    <row r="109" ht="15.75" customHeight="1" s="125">
      <c r="A109" s="2" t="n"/>
      <c r="B109" s="62" t="n"/>
      <c r="C109" s="62" t="n"/>
      <c r="D109" s="58" t="n"/>
      <c r="E109" s="62">
        <f t="array" ref="E109">IF($D109="","",xlookup($D109,PRODUCT!$B:$B,PRODUCT!$A:$A,""))</f>
        <v/>
      </c>
      <c r="F109" s="62">
        <f t="array" ref="F109">IF($D109="","",xlookup($D109,PRODUCT!$B:$B,PRODUCT!$C:$C,""))</f>
        <v/>
      </c>
      <c r="G109" s="61" t="n"/>
      <c r="H109" s="61">
        <f t="array" ref="H109">IF($D109="","",xlookup($D109,PRODUCT!$B:$B,PRODUCT!$L:$L,""))</f>
        <v/>
      </c>
      <c r="I109" s="62">
        <f t="array" ref="I109">IF($D109="","",xlookup($D109,PRODUCT!$B:$B,PRODUCT!$M:$M,""))</f>
        <v/>
      </c>
      <c r="J109" s="60" t="n"/>
      <c r="K109" s="61" t="n"/>
      <c r="L109" s="61" t="n"/>
      <c r="M109" s="60" t="n"/>
      <c r="N109" s="2" t="n"/>
    </row>
    <row r="110" ht="15.75" customHeight="1" s="125">
      <c r="A110" s="2" t="n"/>
      <c r="B110" s="62" t="n"/>
      <c r="C110" s="62" t="n"/>
      <c r="D110" s="58" t="n"/>
      <c r="E110" s="62">
        <f t="array" ref="E110">IF($D110="","",xlookup($D110,PRODUCT!$B:$B,PRODUCT!$A:$A,""))</f>
        <v/>
      </c>
      <c r="F110" s="62">
        <f t="array" ref="F110">IF($D110="","",xlookup($D110,PRODUCT!$B:$B,PRODUCT!$C:$C,""))</f>
        <v/>
      </c>
      <c r="G110" s="61" t="n"/>
      <c r="H110" s="61">
        <f t="array" ref="H110">IF($D110="","",xlookup($D110,PRODUCT!$B:$B,PRODUCT!$L:$L,""))</f>
        <v/>
      </c>
      <c r="I110" s="62">
        <f t="array" ref="I110">IF($D110="","",xlookup($D110,PRODUCT!$B:$B,PRODUCT!$M:$M,""))</f>
        <v/>
      </c>
      <c r="J110" s="60" t="n"/>
      <c r="K110" s="61" t="n"/>
      <c r="L110" s="61" t="n"/>
      <c r="M110" s="60" t="n"/>
      <c r="N110" s="2" t="n"/>
    </row>
    <row r="111" ht="15.75" customHeight="1" s="125">
      <c r="A111" s="2" t="n"/>
      <c r="B111" s="62" t="n"/>
      <c r="C111" s="62" t="n"/>
      <c r="D111" s="58" t="n"/>
      <c r="E111" s="62">
        <f t="array" ref="E111">IF($D111="","",xlookup($D111,PRODUCT!$B:$B,PRODUCT!$A:$A,""))</f>
        <v/>
      </c>
      <c r="F111" s="62">
        <f t="array" ref="F111">IF($D111="","",xlookup($D111,PRODUCT!$B:$B,PRODUCT!$C:$C,""))</f>
        <v/>
      </c>
      <c r="G111" s="61" t="n"/>
      <c r="H111" s="61">
        <f t="array" ref="H111">IF($D111="","",xlookup($D111,PRODUCT!$B:$B,PRODUCT!$L:$L,""))</f>
        <v/>
      </c>
      <c r="I111" s="62">
        <f t="array" ref="I111">IF($D111="","",xlookup($D111,PRODUCT!$B:$B,PRODUCT!$M:$M,""))</f>
        <v/>
      </c>
      <c r="J111" s="60" t="n"/>
      <c r="K111" s="61" t="n"/>
      <c r="L111" s="61" t="n"/>
      <c r="M111" s="60" t="n"/>
      <c r="N111" s="2" t="n"/>
    </row>
    <row r="112" ht="15.75" customHeight="1" s="125">
      <c r="A112" s="2" t="n"/>
      <c r="B112" s="62" t="n"/>
      <c r="C112" s="62" t="n"/>
      <c r="D112" s="58" t="n"/>
      <c r="E112" s="62">
        <f t="array" ref="E112">IF($D112="","",xlookup($D112,PRODUCT!$B:$B,PRODUCT!$A:$A,""))</f>
        <v/>
      </c>
      <c r="F112" s="62">
        <f t="array" ref="F112">IF($D112="","",xlookup($D112,PRODUCT!$B:$B,PRODUCT!$C:$C,""))</f>
        <v/>
      </c>
      <c r="G112" s="61" t="n"/>
      <c r="H112" s="61">
        <f t="array" ref="H112">IF($D112="","",xlookup($D112,PRODUCT!$B:$B,PRODUCT!$L:$L,""))</f>
        <v/>
      </c>
      <c r="I112" s="62">
        <f t="array" ref="I112">IF($D112="","",xlookup($D112,PRODUCT!$B:$B,PRODUCT!$M:$M,""))</f>
        <v/>
      </c>
      <c r="J112" s="60" t="n"/>
      <c r="K112" s="61" t="n"/>
      <c r="L112" s="61" t="n"/>
      <c r="M112" s="60" t="n"/>
      <c r="N112" s="2" t="n"/>
    </row>
    <row r="113" ht="15.75" customHeight="1" s="125">
      <c r="A113" s="2" t="n"/>
      <c r="B113" s="62" t="n"/>
      <c r="C113" s="62" t="n"/>
      <c r="D113" s="58" t="n"/>
      <c r="E113" s="62">
        <f t="array" ref="E113">IF($D113="","",xlookup($D113,PRODUCT!$B:$B,PRODUCT!$A:$A,""))</f>
        <v/>
      </c>
      <c r="F113" s="62">
        <f t="array" ref="F113">IF($D113="","",xlookup($D113,PRODUCT!$B:$B,PRODUCT!$C:$C,""))</f>
        <v/>
      </c>
      <c r="G113" s="61" t="n"/>
      <c r="H113" s="61">
        <f t="array" ref="H113">IF($D113="","",xlookup($D113,PRODUCT!$B:$B,PRODUCT!$L:$L,""))</f>
        <v/>
      </c>
      <c r="I113" s="62">
        <f t="array" ref="I113">IF($D113="","",xlookup($D113,PRODUCT!$B:$B,PRODUCT!$M:$M,""))</f>
        <v/>
      </c>
      <c r="J113" s="60" t="n"/>
      <c r="K113" s="61" t="n"/>
      <c r="L113" s="61" t="n"/>
      <c r="M113" s="60" t="n"/>
      <c r="N113" s="2" t="n"/>
    </row>
    <row r="114" ht="15.75" customHeight="1" s="125">
      <c r="A114" s="2" t="n"/>
      <c r="B114" s="62" t="n"/>
      <c r="C114" s="62" t="n"/>
      <c r="D114" s="58" t="n"/>
      <c r="E114" s="62">
        <f t="array" ref="E114">IF($D114="","",xlookup($D114,PRODUCT!$B:$B,PRODUCT!$A:$A,""))</f>
        <v/>
      </c>
      <c r="F114" s="62">
        <f t="array" ref="F114">IF($D114="","",xlookup($D114,PRODUCT!$B:$B,PRODUCT!$C:$C,""))</f>
        <v/>
      </c>
      <c r="G114" s="61" t="n"/>
      <c r="H114" s="61">
        <f t="array" ref="H114">IF($D114="","",xlookup($D114,PRODUCT!$B:$B,PRODUCT!$L:$L,""))</f>
        <v/>
      </c>
      <c r="I114" s="62">
        <f t="array" ref="I114">IF($D114="","",xlookup($D114,PRODUCT!$B:$B,PRODUCT!$M:$M,""))</f>
        <v/>
      </c>
      <c r="J114" s="60" t="n"/>
      <c r="K114" s="61" t="n"/>
      <c r="L114" s="61" t="n"/>
      <c r="M114" s="60" t="n"/>
      <c r="N114" s="2" t="n"/>
    </row>
    <row r="115" ht="15.75" customHeight="1" s="125">
      <c r="A115" s="2" t="n"/>
      <c r="B115" s="62" t="n"/>
      <c r="C115" s="62" t="n"/>
      <c r="D115" s="58" t="n"/>
      <c r="E115" s="62">
        <f t="array" ref="E115">IF($D115="","",xlookup($D115,PRODUCT!$B:$B,PRODUCT!$A:$A,""))</f>
        <v/>
      </c>
      <c r="F115" s="62">
        <f t="array" ref="F115">IF($D115="","",xlookup($D115,PRODUCT!$B:$B,PRODUCT!$C:$C,""))</f>
        <v/>
      </c>
      <c r="G115" s="61" t="n"/>
      <c r="H115" s="61">
        <f t="array" ref="H115">IF($D115="","",xlookup($D115,PRODUCT!$B:$B,PRODUCT!$L:$L,""))</f>
        <v/>
      </c>
      <c r="I115" s="62">
        <f t="array" ref="I115">IF($D115="","",xlookup($D115,PRODUCT!$B:$B,PRODUCT!$M:$M,""))</f>
        <v/>
      </c>
      <c r="J115" s="60" t="n"/>
      <c r="K115" s="61" t="n"/>
      <c r="L115" s="61" t="n"/>
      <c r="M115" s="60" t="n"/>
      <c r="N115" s="2" t="n"/>
    </row>
    <row r="116" ht="15.75" customHeight="1" s="125">
      <c r="A116" s="2" t="n"/>
      <c r="B116" s="62" t="n"/>
      <c r="C116" s="62" t="n"/>
      <c r="D116" s="58" t="n"/>
      <c r="E116" s="62">
        <f t="array" ref="E116">IF($D116="","",xlookup($D116,PRODUCT!$B:$B,PRODUCT!$A:$A,""))</f>
        <v/>
      </c>
      <c r="F116" s="62">
        <f t="array" ref="F116">IF($D116="","",xlookup($D116,PRODUCT!$B:$B,PRODUCT!$C:$C,""))</f>
        <v/>
      </c>
      <c r="G116" s="61" t="n"/>
      <c r="H116" s="61">
        <f t="array" ref="H116">IF($D116="","",xlookup($D116,PRODUCT!$B:$B,PRODUCT!$L:$L,""))</f>
        <v/>
      </c>
      <c r="I116" s="62">
        <f t="array" ref="I116">IF($D116="","",xlookup($D116,PRODUCT!$B:$B,PRODUCT!$M:$M,""))</f>
        <v/>
      </c>
      <c r="J116" s="60" t="n"/>
      <c r="K116" s="61" t="n"/>
      <c r="L116" s="61" t="n"/>
      <c r="M116" s="60" t="n"/>
      <c r="N116" s="2" t="n"/>
    </row>
    <row r="117" ht="15.75" customHeight="1" s="125">
      <c r="A117" s="2" t="n"/>
      <c r="B117" s="62" t="n"/>
      <c r="C117" s="62" t="n"/>
      <c r="D117" s="58" t="n"/>
      <c r="E117" s="62">
        <f t="array" ref="E117">IF($D117="","",xlookup($D117,PRODUCT!$B:$B,PRODUCT!$A:$A,""))</f>
        <v/>
      </c>
      <c r="F117" s="62">
        <f t="array" ref="F117">IF($D117="","",xlookup($D117,PRODUCT!$B:$B,PRODUCT!$C:$C,""))</f>
        <v/>
      </c>
      <c r="G117" s="61" t="n"/>
      <c r="H117" s="61">
        <f t="array" ref="H117">IF($D117="","",xlookup($D117,PRODUCT!$B:$B,PRODUCT!$L:$L,""))</f>
        <v/>
      </c>
      <c r="I117" s="62">
        <f t="array" ref="I117">IF($D117="","",xlookup($D117,PRODUCT!$B:$B,PRODUCT!$M:$M,""))</f>
        <v/>
      </c>
      <c r="J117" s="60" t="n"/>
      <c r="K117" s="61" t="n"/>
      <c r="L117" s="61" t="n"/>
      <c r="M117" s="60" t="n"/>
      <c r="N117" s="2" t="n"/>
    </row>
    <row r="118" ht="15.75" customHeight="1" s="125">
      <c r="A118" s="2" t="n"/>
      <c r="B118" s="62" t="n"/>
      <c r="C118" s="62" t="n"/>
      <c r="D118" s="58" t="n"/>
      <c r="E118" s="62">
        <f t="array" ref="E118">IF($D118="","",xlookup($D118,PRODUCT!$B:$B,PRODUCT!$A:$A,""))</f>
        <v/>
      </c>
      <c r="F118" s="62">
        <f t="array" ref="F118">IF($D118="","",xlookup($D118,PRODUCT!$B:$B,PRODUCT!$C:$C,""))</f>
        <v/>
      </c>
      <c r="G118" s="61" t="n"/>
      <c r="H118" s="61">
        <f t="array" ref="H118">IF($D118="","",xlookup($D118,PRODUCT!$B:$B,PRODUCT!$L:$L,""))</f>
        <v/>
      </c>
      <c r="I118" s="62">
        <f t="array" ref="I118">IF($D118="","",xlookup($D118,PRODUCT!$B:$B,PRODUCT!$M:$M,""))</f>
        <v/>
      </c>
      <c r="J118" s="60" t="n"/>
      <c r="K118" s="61" t="n"/>
      <c r="L118" s="61" t="n"/>
      <c r="M118" s="60" t="n"/>
      <c r="N118" s="2" t="n"/>
    </row>
    <row r="119" ht="15.75" customHeight="1" s="125">
      <c r="A119" s="2" t="n"/>
      <c r="B119" s="62" t="n"/>
      <c r="C119" s="62" t="n"/>
      <c r="D119" s="58" t="n"/>
      <c r="E119" s="62">
        <f t="array" ref="E119">IF($D119="","",xlookup($D119,PRODUCT!$B:$B,PRODUCT!$A:$A,""))</f>
        <v/>
      </c>
      <c r="F119" s="62">
        <f t="array" ref="F119">IF($D119="","",xlookup($D119,PRODUCT!$B:$B,PRODUCT!$C:$C,""))</f>
        <v/>
      </c>
      <c r="G119" s="61" t="n"/>
      <c r="H119" s="61">
        <f t="array" ref="H119">IF($D119="","",xlookup($D119,PRODUCT!$B:$B,PRODUCT!$L:$L,""))</f>
        <v/>
      </c>
      <c r="I119" s="62">
        <f t="array" ref="I119">IF($D119="","",xlookup($D119,PRODUCT!$B:$B,PRODUCT!$M:$M,""))</f>
        <v/>
      </c>
      <c r="J119" s="60" t="n"/>
      <c r="K119" s="61" t="n"/>
      <c r="L119" s="61" t="n"/>
      <c r="M119" s="60" t="n"/>
      <c r="N119" s="2" t="n"/>
    </row>
    <row r="120" ht="15.75" customHeight="1" s="125">
      <c r="A120" s="2" t="n"/>
      <c r="B120" s="62" t="n"/>
      <c r="C120" s="62" t="n"/>
      <c r="D120" s="58" t="n"/>
      <c r="E120" s="62">
        <f t="array" ref="E120">IF($D120="","",xlookup($D120,PRODUCT!$B:$B,PRODUCT!$A:$A,""))</f>
        <v/>
      </c>
      <c r="F120" s="62">
        <f t="array" ref="F120">IF($D120="","",xlookup($D120,PRODUCT!$B:$B,PRODUCT!$C:$C,""))</f>
        <v/>
      </c>
      <c r="G120" s="61" t="n"/>
      <c r="H120" s="61">
        <f t="array" ref="H120">IF($D120="","",xlookup($D120,PRODUCT!$B:$B,PRODUCT!$L:$L,""))</f>
        <v/>
      </c>
      <c r="I120" s="62">
        <f t="array" ref="I120">IF($D120="","",xlookup($D120,PRODUCT!$B:$B,PRODUCT!$M:$M,""))</f>
        <v/>
      </c>
      <c r="J120" s="60" t="n"/>
      <c r="K120" s="61" t="n"/>
      <c r="L120" s="61" t="n"/>
      <c r="M120" s="60" t="n"/>
      <c r="N120" s="2" t="n"/>
    </row>
    <row r="121" ht="15.75" customHeight="1" s="125">
      <c r="A121" s="2" t="n"/>
      <c r="B121" s="62" t="n"/>
      <c r="C121" s="62" t="n"/>
      <c r="D121" s="58" t="n"/>
      <c r="E121" s="62">
        <f t="array" ref="E121">IF($D121="","",xlookup($D121,PRODUCT!$B:$B,PRODUCT!$A:$A,""))</f>
        <v/>
      </c>
      <c r="F121" s="62">
        <f t="array" ref="F121">IF($D121="","",xlookup($D121,PRODUCT!$B:$B,PRODUCT!$C:$C,""))</f>
        <v/>
      </c>
      <c r="G121" s="61" t="n"/>
      <c r="H121" s="61">
        <f t="array" ref="H121">IF($D121="","",xlookup($D121,PRODUCT!$B:$B,PRODUCT!$L:$L,""))</f>
        <v/>
      </c>
      <c r="I121" s="62">
        <f t="array" ref="I121">IF($D121="","",xlookup($D121,PRODUCT!$B:$B,PRODUCT!$M:$M,""))</f>
        <v/>
      </c>
      <c r="J121" s="60" t="n"/>
      <c r="K121" s="61" t="n"/>
      <c r="L121" s="61" t="n"/>
      <c r="M121" s="60" t="n"/>
      <c r="N121" s="2" t="n"/>
    </row>
    <row r="122" ht="15.75" customHeight="1" s="125">
      <c r="A122" s="2" t="n"/>
      <c r="B122" s="62" t="n"/>
      <c r="C122" s="62" t="n"/>
      <c r="D122" s="58" t="n"/>
      <c r="E122" s="62">
        <f t="array" ref="E122">IF($D122="","",xlookup($D122,PRODUCT!$B:$B,PRODUCT!$A:$A,""))</f>
        <v/>
      </c>
      <c r="F122" s="62">
        <f t="array" ref="F122">IF($D122="","",xlookup($D122,PRODUCT!$B:$B,PRODUCT!$C:$C,""))</f>
        <v/>
      </c>
      <c r="G122" s="61" t="n"/>
      <c r="H122" s="61">
        <f t="array" ref="H122">IF($D122="","",xlookup($D122,PRODUCT!$B:$B,PRODUCT!$L:$L,""))</f>
        <v/>
      </c>
      <c r="I122" s="62">
        <f t="array" ref="I122">IF($D122="","",xlookup($D122,PRODUCT!$B:$B,PRODUCT!$M:$M,""))</f>
        <v/>
      </c>
      <c r="J122" s="60" t="n"/>
      <c r="K122" s="61" t="n"/>
      <c r="L122" s="61" t="n"/>
      <c r="M122" s="60" t="n"/>
      <c r="N122" s="2" t="n"/>
    </row>
    <row r="123" ht="15.75" customHeight="1" s="125">
      <c r="A123" s="2" t="n"/>
      <c r="B123" s="62" t="n"/>
      <c r="C123" s="62" t="n"/>
      <c r="D123" s="58" t="n"/>
      <c r="E123" s="62">
        <f t="array" ref="E123">IF($D123="","",xlookup($D123,PRODUCT!$B:$B,PRODUCT!$A:$A,""))</f>
        <v/>
      </c>
      <c r="F123" s="62">
        <f t="array" ref="F123">IF($D123="","",xlookup($D123,PRODUCT!$B:$B,PRODUCT!$C:$C,""))</f>
        <v/>
      </c>
      <c r="G123" s="61" t="n"/>
      <c r="H123" s="61">
        <f t="array" ref="H123">IF($D123="","",xlookup($D123,PRODUCT!$B:$B,PRODUCT!$L:$L,""))</f>
        <v/>
      </c>
      <c r="I123" s="62">
        <f t="array" ref="I123">IF($D123="","",xlookup($D123,PRODUCT!$B:$B,PRODUCT!$M:$M,""))</f>
        <v/>
      </c>
      <c r="J123" s="60" t="n"/>
      <c r="K123" s="61" t="n"/>
      <c r="L123" s="61" t="n"/>
      <c r="M123" s="60" t="n"/>
      <c r="N123" s="2" t="n"/>
    </row>
    <row r="124" ht="15.75" customHeight="1" s="125">
      <c r="A124" s="2" t="n"/>
      <c r="B124" s="62" t="n"/>
      <c r="C124" s="62" t="n"/>
      <c r="D124" s="58" t="n"/>
      <c r="E124" s="62">
        <f t="array" ref="E124">IF($D124="","",xlookup($D124,PRODUCT!$B:$B,PRODUCT!$A:$A,""))</f>
        <v/>
      </c>
      <c r="F124" s="62">
        <f t="array" ref="F124">IF($D124="","",xlookup($D124,PRODUCT!$B:$B,PRODUCT!$C:$C,""))</f>
        <v/>
      </c>
      <c r="G124" s="61" t="n"/>
      <c r="H124" s="61">
        <f t="array" ref="H124">IF($D124="","",xlookup($D124,PRODUCT!$B:$B,PRODUCT!$L:$L,""))</f>
        <v/>
      </c>
      <c r="I124" s="62">
        <f t="array" ref="I124">IF($D124="","",xlookup($D124,PRODUCT!$B:$B,PRODUCT!$M:$M,""))</f>
        <v/>
      </c>
      <c r="J124" s="60" t="n"/>
      <c r="K124" s="61" t="n"/>
      <c r="L124" s="61" t="n"/>
      <c r="M124" s="60" t="n"/>
      <c r="N124" s="2" t="n"/>
    </row>
    <row r="125" ht="15.75" customHeight="1" s="125">
      <c r="A125" s="2" t="n"/>
      <c r="B125" s="62" t="n"/>
      <c r="C125" s="62" t="n"/>
      <c r="D125" s="58" t="n"/>
      <c r="E125" s="62">
        <f t="array" ref="E125">IF($D125="","",xlookup($D125,PRODUCT!$B:$B,PRODUCT!$A:$A,""))</f>
        <v/>
      </c>
      <c r="F125" s="62">
        <f t="array" ref="F125">IF($D125="","",xlookup($D125,PRODUCT!$B:$B,PRODUCT!$C:$C,""))</f>
        <v/>
      </c>
      <c r="G125" s="61" t="n"/>
      <c r="H125" s="61">
        <f t="array" ref="H125">IF($D125="","",xlookup($D125,PRODUCT!$B:$B,PRODUCT!$L:$L,""))</f>
        <v/>
      </c>
      <c r="I125" s="62">
        <f t="array" ref="I125">IF($D125="","",xlookup($D125,PRODUCT!$B:$B,PRODUCT!$M:$M,""))</f>
        <v/>
      </c>
      <c r="J125" s="60" t="n"/>
      <c r="K125" s="61" t="n"/>
      <c r="L125" s="61" t="n"/>
      <c r="M125" s="60" t="n"/>
      <c r="N125" s="2" t="n"/>
    </row>
    <row r="126" ht="15.75" customHeight="1" s="125">
      <c r="A126" s="2" t="n"/>
      <c r="B126" s="62" t="n"/>
      <c r="C126" s="62" t="n"/>
      <c r="D126" s="58" t="n"/>
      <c r="E126" s="62">
        <f t="array" ref="E126">IF($D126="","",xlookup($D126,PRODUCT!$B:$B,PRODUCT!$A:$A,""))</f>
        <v/>
      </c>
      <c r="F126" s="62">
        <f t="array" ref="F126">IF($D126="","",xlookup($D126,PRODUCT!$B:$B,PRODUCT!$C:$C,""))</f>
        <v/>
      </c>
      <c r="G126" s="61" t="n"/>
      <c r="H126" s="61">
        <f t="array" ref="H126">IF($D126="","",xlookup($D126,PRODUCT!$B:$B,PRODUCT!$L:$L,""))</f>
        <v/>
      </c>
      <c r="I126" s="62">
        <f t="array" ref="I126">IF($D126="","",xlookup($D126,PRODUCT!$B:$B,PRODUCT!$M:$M,""))</f>
        <v/>
      </c>
      <c r="J126" s="60" t="n"/>
      <c r="K126" s="61" t="n"/>
      <c r="L126" s="61" t="n"/>
      <c r="M126" s="60" t="n"/>
      <c r="N126" s="2" t="n"/>
    </row>
    <row r="127" ht="15.75" customHeight="1" s="125">
      <c r="A127" s="2" t="n"/>
      <c r="B127" s="62" t="n"/>
      <c r="C127" s="62" t="n"/>
      <c r="D127" s="58" t="n"/>
      <c r="E127" s="62">
        <f t="array" ref="E127">IF($D127="","",xlookup($D127,PRODUCT!$B:$B,PRODUCT!$A:$A,""))</f>
        <v/>
      </c>
      <c r="F127" s="62">
        <f t="array" ref="F127">IF($D127="","",xlookup($D127,PRODUCT!$B:$B,PRODUCT!$C:$C,""))</f>
        <v/>
      </c>
      <c r="G127" s="61" t="n"/>
      <c r="H127" s="61">
        <f t="array" ref="H127">IF($D127="","",xlookup($D127,PRODUCT!$B:$B,PRODUCT!$L:$L,""))</f>
        <v/>
      </c>
      <c r="I127" s="62">
        <f t="array" ref="I127">IF($D127="","",xlookup($D127,PRODUCT!$B:$B,PRODUCT!$M:$M,""))</f>
        <v/>
      </c>
      <c r="J127" s="60" t="n"/>
      <c r="K127" s="61" t="n"/>
      <c r="L127" s="61" t="n"/>
      <c r="M127" s="60" t="n"/>
      <c r="N127" s="2" t="n"/>
    </row>
    <row r="128" ht="15.75" customHeight="1" s="125">
      <c r="A128" s="2" t="n"/>
      <c r="B128" s="62" t="n"/>
      <c r="C128" s="62" t="n"/>
      <c r="D128" s="58" t="n"/>
      <c r="E128" s="62">
        <f t="array" ref="E128">IF($D128="","",xlookup($D128,PRODUCT!$B:$B,PRODUCT!$A:$A,""))</f>
        <v/>
      </c>
      <c r="F128" s="62">
        <f t="array" ref="F128">IF($D128="","",xlookup($D128,PRODUCT!$B:$B,PRODUCT!$C:$C,""))</f>
        <v/>
      </c>
      <c r="G128" s="61" t="n"/>
      <c r="H128" s="61">
        <f t="array" ref="H128">IF($D128="","",xlookup($D128,PRODUCT!$B:$B,PRODUCT!$L:$L,""))</f>
        <v/>
      </c>
      <c r="I128" s="62">
        <f t="array" ref="I128">IF($D128="","",xlookup($D128,PRODUCT!$B:$B,PRODUCT!$M:$M,""))</f>
        <v/>
      </c>
      <c r="J128" s="60" t="n"/>
      <c r="K128" s="61" t="n"/>
      <c r="L128" s="61" t="n"/>
      <c r="M128" s="60" t="n"/>
      <c r="N128" s="2" t="n"/>
    </row>
    <row r="129" ht="15.75" customHeight="1" s="125">
      <c r="A129" s="2" t="n"/>
      <c r="B129" s="62" t="n"/>
      <c r="C129" s="62" t="n"/>
      <c r="D129" s="58" t="n"/>
      <c r="E129" s="62">
        <f t="array" ref="E129">IF($D129="","",xlookup($D129,PRODUCT!$B:$B,PRODUCT!$A:$A,""))</f>
        <v/>
      </c>
      <c r="F129" s="62">
        <f t="array" ref="F129">IF($D129="","",xlookup($D129,PRODUCT!$B:$B,PRODUCT!$C:$C,""))</f>
        <v/>
      </c>
      <c r="G129" s="61" t="n"/>
      <c r="H129" s="61">
        <f t="array" ref="H129">IF($D129="","",xlookup($D129,PRODUCT!$B:$B,PRODUCT!$L:$L,""))</f>
        <v/>
      </c>
      <c r="I129" s="62">
        <f t="array" ref="I129">IF($D129="","",xlookup($D129,PRODUCT!$B:$B,PRODUCT!$M:$M,""))</f>
        <v/>
      </c>
      <c r="J129" s="60" t="n"/>
      <c r="K129" s="61" t="n"/>
      <c r="L129" s="61" t="n"/>
      <c r="M129" s="60" t="n"/>
      <c r="N129" s="2" t="n"/>
    </row>
    <row r="130" ht="15.75" customHeight="1" s="125">
      <c r="A130" s="2" t="n"/>
      <c r="B130" s="62" t="n"/>
      <c r="C130" s="62" t="n"/>
      <c r="D130" s="58" t="n"/>
      <c r="E130" s="62">
        <f t="array" ref="E130">IF($D130="","",xlookup($D130,PRODUCT!$B:$B,PRODUCT!$A:$A,""))</f>
        <v/>
      </c>
      <c r="F130" s="62">
        <f t="array" ref="F130">IF($D130="","",xlookup($D130,PRODUCT!$B:$B,PRODUCT!$C:$C,""))</f>
        <v/>
      </c>
      <c r="G130" s="61" t="n"/>
      <c r="H130" s="61">
        <f t="array" ref="H130">IF($D130="","",xlookup($D130,PRODUCT!$B:$B,PRODUCT!$L:$L,""))</f>
        <v/>
      </c>
      <c r="I130" s="62">
        <f t="array" ref="I130">IF($D130="","",xlookup($D130,PRODUCT!$B:$B,PRODUCT!$M:$M,""))</f>
        <v/>
      </c>
      <c r="J130" s="60" t="n"/>
      <c r="K130" s="61" t="n"/>
      <c r="L130" s="61" t="n"/>
      <c r="M130" s="60" t="n"/>
      <c r="N130" s="2" t="n"/>
    </row>
    <row r="131" ht="15.75" customHeight="1" s="125">
      <c r="A131" s="2" t="n"/>
      <c r="B131" s="62" t="n"/>
      <c r="C131" s="62" t="n"/>
      <c r="D131" s="58" t="n"/>
      <c r="E131" s="62">
        <f t="array" ref="E131">IF($D131="","",xlookup($D131,PRODUCT!$B:$B,PRODUCT!$A:$A,""))</f>
        <v/>
      </c>
      <c r="F131" s="62">
        <f t="array" ref="F131">IF($D131="","",xlookup($D131,PRODUCT!$B:$B,PRODUCT!$C:$C,""))</f>
        <v/>
      </c>
      <c r="G131" s="61" t="n"/>
      <c r="H131" s="61">
        <f t="array" ref="H131">IF($D131="","",xlookup($D131,PRODUCT!$B:$B,PRODUCT!$L:$L,""))</f>
        <v/>
      </c>
      <c r="I131" s="62">
        <f t="array" ref="I131">IF($D131="","",xlookup($D131,PRODUCT!$B:$B,PRODUCT!$M:$M,""))</f>
        <v/>
      </c>
      <c r="J131" s="60" t="n"/>
      <c r="K131" s="61" t="n"/>
      <c r="L131" s="61" t="n"/>
      <c r="M131" s="60" t="n"/>
      <c r="N131" s="2" t="n"/>
    </row>
    <row r="132" ht="15.75" customHeight="1" s="125">
      <c r="A132" s="2" t="n"/>
      <c r="B132" s="62" t="n"/>
      <c r="C132" s="62" t="n"/>
      <c r="D132" s="58" t="n"/>
      <c r="E132" s="62">
        <f t="array" ref="E132">IF($D132="","",xlookup($D132,PRODUCT!$B:$B,PRODUCT!$A:$A,""))</f>
        <v/>
      </c>
      <c r="F132" s="62">
        <f t="array" ref="F132">IF($D132="","",xlookup($D132,PRODUCT!$B:$B,PRODUCT!$C:$C,""))</f>
        <v/>
      </c>
      <c r="G132" s="61" t="n"/>
      <c r="H132" s="61">
        <f t="array" ref="H132">IF($D132="","",xlookup($D132,PRODUCT!$B:$B,PRODUCT!$L:$L,""))</f>
        <v/>
      </c>
      <c r="I132" s="62">
        <f t="array" ref="I132">IF($D132="","",xlookup($D132,PRODUCT!$B:$B,PRODUCT!$M:$M,""))</f>
        <v/>
      </c>
      <c r="J132" s="60" t="n"/>
      <c r="K132" s="61" t="n"/>
      <c r="L132" s="61" t="n"/>
      <c r="M132" s="60" t="n"/>
      <c r="N132" s="2" t="n"/>
    </row>
    <row r="133" ht="15.75" customHeight="1" s="125">
      <c r="A133" s="2" t="n"/>
      <c r="B133" s="62" t="n"/>
      <c r="C133" s="62" t="n"/>
      <c r="D133" s="58" t="n"/>
      <c r="E133" s="62">
        <f t="array" ref="E133">IF($D133="","",xlookup($D133,PRODUCT!$B:$B,PRODUCT!$A:$A,""))</f>
        <v/>
      </c>
      <c r="F133" s="62">
        <f t="array" ref="F133">IF($D133="","",xlookup($D133,PRODUCT!$B:$B,PRODUCT!$C:$C,""))</f>
        <v/>
      </c>
      <c r="G133" s="61" t="n"/>
      <c r="H133" s="61">
        <f t="array" ref="H133">IF($D133="","",xlookup($D133,PRODUCT!$B:$B,PRODUCT!$L:$L,""))</f>
        <v/>
      </c>
      <c r="I133" s="62">
        <f t="array" ref="I133">IF($D133="","",xlookup($D133,PRODUCT!$B:$B,PRODUCT!$M:$M,""))</f>
        <v/>
      </c>
      <c r="J133" s="60" t="n"/>
      <c r="K133" s="61" t="n"/>
      <c r="L133" s="61" t="n"/>
      <c r="M133" s="60" t="n"/>
      <c r="N133" s="2" t="n"/>
    </row>
    <row r="134" ht="15.75" customHeight="1" s="125">
      <c r="A134" s="2" t="n"/>
      <c r="B134" s="62" t="n"/>
      <c r="C134" s="62" t="n"/>
      <c r="D134" s="58" t="n"/>
      <c r="E134" s="62">
        <f t="array" ref="E134">IF($D134="","",xlookup($D134,PRODUCT!$B:$B,PRODUCT!$A:$A,""))</f>
        <v/>
      </c>
      <c r="F134" s="62">
        <f t="array" ref="F134">IF($D134="","",xlookup($D134,PRODUCT!$B:$B,PRODUCT!$C:$C,""))</f>
        <v/>
      </c>
      <c r="G134" s="61" t="n"/>
      <c r="H134" s="61">
        <f t="array" ref="H134">IF($D134="","",xlookup($D134,PRODUCT!$B:$B,PRODUCT!$L:$L,""))</f>
        <v/>
      </c>
      <c r="I134" s="62">
        <f t="array" ref="I134">IF($D134="","",xlookup($D134,PRODUCT!$B:$B,PRODUCT!$M:$M,""))</f>
        <v/>
      </c>
      <c r="J134" s="60" t="n"/>
      <c r="K134" s="61" t="n"/>
      <c r="L134" s="61" t="n"/>
      <c r="M134" s="60" t="n"/>
      <c r="N134" s="2" t="n"/>
    </row>
    <row r="135" ht="15.75" customHeight="1" s="125">
      <c r="A135" s="2" t="n"/>
      <c r="B135" s="62" t="n"/>
      <c r="C135" s="62" t="n"/>
      <c r="D135" s="58" t="n"/>
      <c r="E135" s="62">
        <f t="array" ref="E135">IF($D135="","",xlookup($D135,PRODUCT!$B:$B,PRODUCT!$A:$A,""))</f>
        <v/>
      </c>
      <c r="F135" s="62">
        <f t="array" ref="F135">IF($D135="","",xlookup($D135,PRODUCT!$B:$B,PRODUCT!$C:$C,""))</f>
        <v/>
      </c>
      <c r="G135" s="61" t="n"/>
      <c r="H135" s="61">
        <f t="array" ref="H135">IF($D135="","",xlookup($D135,PRODUCT!$B:$B,PRODUCT!$L:$L,""))</f>
        <v/>
      </c>
      <c r="I135" s="62">
        <f t="array" ref="I135">IF($D135="","",xlookup($D135,PRODUCT!$B:$B,PRODUCT!$M:$M,""))</f>
        <v/>
      </c>
      <c r="J135" s="60" t="n"/>
      <c r="K135" s="61" t="n"/>
      <c r="L135" s="61" t="n"/>
      <c r="M135" s="60" t="n"/>
      <c r="N135" s="2" t="n"/>
    </row>
    <row r="136" ht="15.75" customHeight="1" s="125">
      <c r="A136" s="2" t="n"/>
      <c r="B136" s="62" t="n"/>
      <c r="C136" s="62" t="n"/>
      <c r="D136" s="58" t="n"/>
      <c r="E136" s="62">
        <f t="array" ref="E136">IF($D136="","",xlookup($D136,PRODUCT!$B:$B,PRODUCT!$A:$A,""))</f>
        <v/>
      </c>
      <c r="F136" s="62">
        <f t="array" ref="F136">IF($D136="","",xlookup($D136,PRODUCT!$B:$B,PRODUCT!$C:$C,""))</f>
        <v/>
      </c>
      <c r="G136" s="61" t="n"/>
      <c r="H136" s="61">
        <f t="array" ref="H136">IF($D136="","",xlookup($D136,PRODUCT!$B:$B,PRODUCT!$L:$L,""))</f>
        <v/>
      </c>
      <c r="I136" s="62">
        <f t="array" ref="I136">IF($D136="","",xlookup($D136,PRODUCT!$B:$B,PRODUCT!$M:$M,""))</f>
        <v/>
      </c>
      <c r="J136" s="60" t="n"/>
      <c r="K136" s="61" t="n"/>
      <c r="L136" s="61" t="n"/>
      <c r="M136" s="60" t="n"/>
      <c r="N136" s="2" t="n"/>
    </row>
    <row r="137" ht="15.75" customHeight="1" s="125">
      <c r="A137" s="2" t="n"/>
      <c r="B137" s="62" t="n"/>
      <c r="C137" s="62" t="n"/>
      <c r="D137" s="58" t="n"/>
      <c r="E137" s="62">
        <f t="array" ref="E137">IF($D137="","",xlookup($D137,PRODUCT!$B:$B,PRODUCT!$A:$A,""))</f>
        <v/>
      </c>
      <c r="F137" s="62">
        <f t="array" ref="F137">IF($D137="","",xlookup($D137,PRODUCT!$B:$B,PRODUCT!$C:$C,""))</f>
        <v/>
      </c>
      <c r="G137" s="61" t="n"/>
      <c r="H137" s="61">
        <f t="array" ref="H137">IF($D137="","",xlookup($D137,PRODUCT!$B:$B,PRODUCT!$L:$L,""))</f>
        <v/>
      </c>
      <c r="I137" s="62">
        <f t="array" ref="I137">IF($D137="","",xlookup($D137,PRODUCT!$B:$B,PRODUCT!$M:$M,""))</f>
        <v/>
      </c>
      <c r="J137" s="60" t="n"/>
      <c r="K137" s="61" t="n"/>
      <c r="L137" s="61" t="n"/>
      <c r="M137" s="60" t="n"/>
      <c r="N137" s="2" t="n"/>
    </row>
    <row r="138" ht="15.75" customHeight="1" s="125">
      <c r="A138" s="2" t="n"/>
      <c r="B138" s="62" t="n"/>
      <c r="C138" s="62" t="n"/>
      <c r="D138" s="58" t="n"/>
      <c r="E138" s="62">
        <f t="array" ref="E138">IF($D138="","",xlookup($D138,PRODUCT!$B:$B,PRODUCT!$A:$A,""))</f>
        <v/>
      </c>
      <c r="F138" s="62">
        <f t="array" ref="F138">IF($D138="","",xlookup($D138,PRODUCT!$B:$B,PRODUCT!$C:$C,""))</f>
        <v/>
      </c>
      <c r="G138" s="61" t="n"/>
      <c r="H138" s="61">
        <f t="array" ref="H138">IF($D138="","",xlookup($D138,PRODUCT!$B:$B,PRODUCT!$L:$L,""))</f>
        <v/>
      </c>
      <c r="I138" s="62">
        <f t="array" ref="I138">IF($D138="","",xlookup($D138,PRODUCT!$B:$B,PRODUCT!$M:$M,""))</f>
        <v/>
      </c>
      <c r="J138" s="60" t="n"/>
      <c r="K138" s="61" t="n"/>
      <c r="L138" s="61" t="n"/>
      <c r="M138" s="60" t="n"/>
      <c r="N138" s="2" t="n"/>
    </row>
    <row r="139" ht="15.75" customHeight="1" s="125">
      <c r="A139" s="2" t="n"/>
      <c r="B139" s="62" t="n"/>
      <c r="C139" s="62" t="n"/>
      <c r="D139" s="58" t="n"/>
      <c r="E139" s="62">
        <f t="array" ref="E139">IF($D139="","",xlookup($D139,PRODUCT!$B:$B,PRODUCT!$A:$A,""))</f>
        <v/>
      </c>
      <c r="F139" s="62">
        <f t="array" ref="F139">IF($D139="","",xlookup($D139,PRODUCT!$B:$B,PRODUCT!$C:$C,""))</f>
        <v/>
      </c>
      <c r="G139" s="61" t="n"/>
      <c r="H139" s="61">
        <f t="array" ref="H139">IF($D139="","",xlookup($D139,PRODUCT!$B:$B,PRODUCT!$L:$L,""))</f>
        <v/>
      </c>
      <c r="I139" s="62">
        <f t="array" ref="I139">IF($D139="","",xlookup($D139,PRODUCT!$B:$B,PRODUCT!$M:$M,""))</f>
        <v/>
      </c>
      <c r="J139" s="60" t="n"/>
      <c r="K139" s="61" t="n"/>
      <c r="L139" s="61" t="n"/>
      <c r="M139" s="60" t="n"/>
      <c r="N139" s="2" t="n"/>
    </row>
    <row r="140" ht="15.75" customHeight="1" s="125">
      <c r="A140" s="2" t="n"/>
      <c r="B140" s="62" t="n"/>
      <c r="C140" s="62" t="n"/>
      <c r="D140" s="58" t="n"/>
      <c r="E140" s="62">
        <f t="array" ref="E140">IF($D140="","",xlookup($D140,PRODUCT!$B:$B,PRODUCT!$A:$A,""))</f>
        <v/>
      </c>
      <c r="F140" s="62">
        <f t="array" ref="F140">IF($D140="","",xlookup($D140,PRODUCT!$B:$B,PRODUCT!$C:$C,""))</f>
        <v/>
      </c>
      <c r="G140" s="61" t="n"/>
      <c r="H140" s="61">
        <f t="array" ref="H140">IF($D140="","",xlookup($D140,PRODUCT!$B:$B,PRODUCT!$L:$L,""))</f>
        <v/>
      </c>
      <c r="I140" s="62">
        <f t="array" ref="I140">IF($D140="","",xlookup($D140,PRODUCT!$B:$B,PRODUCT!$M:$M,""))</f>
        <v/>
      </c>
      <c r="J140" s="60" t="n"/>
      <c r="K140" s="61" t="n"/>
      <c r="L140" s="61" t="n"/>
      <c r="M140" s="60" t="n"/>
      <c r="N140" s="2" t="n"/>
    </row>
    <row r="141" ht="15.75" customHeight="1" s="125">
      <c r="A141" s="2" t="n"/>
      <c r="B141" s="62" t="n"/>
      <c r="C141" s="62" t="n"/>
      <c r="D141" s="58" t="n"/>
      <c r="E141" s="62">
        <f t="array" ref="E141">IF($D141="","",xlookup($D141,PRODUCT!$B:$B,PRODUCT!$A:$A,""))</f>
        <v/>
      </c>
      <c r="F141" s="62">
        <f t="array" ref="F141">IF($D141="","",xlookup($D141,PRODUCT!$B:$B,PRODUCT!$C:$C,""))</f>
        <v/>
      </c>
      <c r="G141" s="61" t="n"/>
      <c r="H141" s="61">
        <f t="array" ref="H141">IF($D141="","",xlookup($D141,PRODUCT!$B:$B,PRODUCT!$L:$L,""))</f>
        <v/>
      </c>
      <c r="I141" s="62">
        <f t="array" ref="I141">IF($D141="","",xlookup($D141,PRODUCT!$B:$B,PRODUCT!$M:$M,""))</f>
        <v/>
      </c>
      <c r="J141" s="60" t="n"/>
      <c r="K141" s="61" t="n"/>
      <c r="L141" s="61" t="n"/>
      <c r="M141" s="60" t="n"/>
      <c r="N141" s="2" t="n"/>
    </row>
    <row r="142" ht="15.75" customHeight="1" s="125">
      <c r="A142" s="2" t="n"/>
      <c r="B142" s="62" t="n"/>
      <c r="C142" s="62" t="n"/>
      <c r="D142" s="58" t="n"/>
      <c r="E142" s="62">
        <f t="array" ref="E142">IF($D142="","",xlookup($D142,PRODUCT!$B:$B,PRODUCT!$A:$A,""))</f>
        <v/>
      </c>
      <c r="F142" s="62">
        <f t="array" ref="F142">IF($D142="","",xlookup($D142,PRODUCT!$B:$B,PRODUCT!$C:$C,""))</f>
        <v/>
      </c>
      <c r="G142" s="61" t="n"/>
      <c r="H142" s="61">
        <f t="array" ref="H142">IF($D142="","",xlookup($D142,PRODUCT!$B:$B,PRODUCT!$L:$L,""))</f>
        <v/>
      </c>
      <c r="I142" s="62">
        <f t="array" ref="I142">IF($D142="","",xlookup($D142,PRODUCT!$B:$B,PRODUCT!$M:$M,""))</f>
        <v/>
      </c>
      <c r="J142" s="60" t="n"/>
      <c r="K142" s="61" t="n"/>
      <c r="L142" s="61" t="n"/>
      <c r="M142" s="60" t="n"/>
      <c r="N142" s="2" t="n"/>
    </row>
    <row r="143" ht="15.75" customHeight="1" s="125">
      <c r="A143" s="2" t="n"/>
      <c r="B143" s="62" t="n"/>
      <c r="C143" s="62" t="n"/>
      <c r="D143" s="58" t="n"/>
      <c r="E143" s="62">
        <f t="array" ref="E143">IF($D143="","",xlookup($D143,PRODUCT!$B:$B,PRODUCT!$A:$A,""))</f>
        <v/>
      </c>
      <c r="F143" s="62">
        <f t="array" ref="F143">IF($D143="","",xlookup($D143,PRODUCT!$B:$B,PRODUCT!$C:$C,""))</f>
        <v/>
      </c>
      <c r="G143" s="61" t="n"/>
      <c r="H143" s="61">
        <f t="array" ref="H143">IF($D143="","",xlookup($D143,PRODUCT!$B:$B,PRODUCT!$L:$L,""))</f>
        <v/>
      </c>
      <c r="I143" s="62">
        <f t="array" ref="I143">IF($D143="","",xlookup($D143,PRODUCT!$B:$B,PRODUCT!$M:$M,""))</f>
        <v/>
      </c>
      <c r="J143" s="60" t="n"/>
      <c r="K143" s="61" t="n"/>
      <c r="L143" s="61" t="n"/>
      <c r="M143" s="60" t="n"/>
      <c r="N143" s="2" t="n"/>
    </row>
    <row r="144" ht="15.75" customHeight="1" s="125">
      <c r="A144" s="2" t="n"/>
      <c r="B144" s="62" t="n"/>
      <c r="C144" s="62" t="n"/>
      <c r="D144" s="58" t="n"/>
      <c r="E144" s="62">
        <f t="array" ref="E144">IF($D144="","",xlookup($D144,PRODUCT!$B:$B,PRODUCT!$A:$A,""))</f>
        <v/>
      </c>
      <c r="F144" s="62">
        <f t="array" ref="F144">IF($D144="","",xlookup($D144,PRODUCT!$B:$B,PRODUCT!$C:$C,""))</f>
        <v/>
      </c>
      <c r="G144" s="61" t="n"/>
      <c r="H144" s="61">
        <f t="array" ref="H144">IF($D144="","",xlookup($D144,PRODUCT!$B:$B,PRODUCT!$L:$L,""))</f>
        <v/>
      </c>
      <c r="I144" s="62">
        <f t="array" ref="I144">IF($D144="","",xlookup($D144,PRODUCT!$B:$B,PRODUCT!$M:$M,""))</f>
        <v/>
      </c>
      <c r="J144" s="60" t="n"/>
      <c r="K144" s="61" t="n"/>
      <c r="L144" s="61" t="n"/>
      <c r="M144" s="60" t="n"/>
      <c r="N144" s="2" t="n"/>
    </row>
    <row r="145" ht="15.75" customHeight="1" s="125">
      <c r="A145" s="2" t="n"/>
      <c r="B145" s="62" t="n"/>
      <c r="C145" s="62" t="n"/>
      <c r="D145" s="58" t="n"/>
      <c r="E145" s="62">
        <f t="array" ref="E145">IF($D145="","",xlookup($D145,PRODUCT!$B:$B,PRODUCT!$A:$A,""))</f>
        <v/>
      </c>
      <c r="F145" s="62">
        <f t="array" ref="F145">IF($D145="","",xlookup($D145,PRODUCT!$B:$B,PRODUCT!$C:$C,""))</f>
        <v/>
      </c>
      <c r="G145" s="61" t="n"/>
      <c r="H145" s="61">
        <f t="array" ref="H145">IF($D145="","",xlookup($D145,PRODUCT!$B:$B,PRODUCT!$L:$L,""))</f>
        <v/>
      </c>
      <c r="I145" s="62">
        <f t="array" ref="I145">IF($D145="","",xlookup($D145,PRODUCT!$B:$B,PRODUCT!$M:$M,""))</f>
        <v/>
      </c>
      <c r="J145" s="60" t="n"/>
      <c r="K145" s="61" t="n"/>
      <c r="L145" s="61" t="n"/>
      <c r="M145" s="60" t="n"/>
      <c r="N145" s="2" t="n"/>
    </row>
    <row r="146" ht="15.75" customHeight="1" s="125">
      <c r="A146" s="2" t="n"/>
      <c r="B146" s="62" t="n"/>
      <c r="C146" s="62" t="n"/>
      <c r="D146" s="58" t="n"/>
      <c r="E146" s="62">
        <f t="array" ref="E146">IF($D146="","",xlookup($D146,PRODUCT!$B:$B,PRODUCT!$A:$A,""))</f>
        <v/>
      </c>
      <c r="F146" s="62">
        <f t="array" ref="F146">IF($D146="","",xlookup($D146,PRODUCT!$B:$B,PRODUCT!$C:$C,""))</f>
        <v/>
      </c>
      <c r="G146" s="61" t="n"/>
      <c r="H146" s="61">
        <f t="array" ref="H146">IF($D146="","",xlookup($D146,PRODUCT!$B:$B,PRODUCT!$L:$L,""))</f>
        <v/>
      </c>
      <c r="I146" s="62">
        <f t="array" ref="I146">IF($D146="","",xlookup($D146,PRODUCT!$B:$B,PRODUCT!$M:$M,""))</f>
        <v/>
      </c>
      <c r="J146" s="60" t="n"/>
      <c r="K146" s="61" t="n"/>
      <c r="L146" s="61" t="n"/>
      <c r="M146" s="60" t="n"/>
      <c r="N146" s="2" t="n"/>
    </row>
    <row r="147" ht="15.75" customHeight="1" s="125">
      <c r="A147" s="2" t="n"/>
      <c r="B147" s="62" t="n"/>
      <c r="C147" s="62" t="n"/>
      <c r="D147" s="58" t="n"/>
      <c r="E147" s="62">
        <f t="array" ref="E147">IF($D147="","",xlookup($D147,PRODUCT!$B:$B,PRODUCT!$A:$A,""))</f>
        <v/>
      </c>
      <c r="F147" s="62">
        <f t="array" ref="F147">IF($D147="","",xlookup($D147,PRODUCT!$B:$B,PRODUCT!$C:$C,""))</f>
        <v/>
      </c>
      <c r="G147" s="61" t="n"/>
      <c r="H147" s="61">
        <f t="array" ref="H147">IF($D147="","",xlookup($D147,PRODUCT!$B:$B,PRODUCT!$L:$L,""))</f>
        <v/>
      </c>
      <c r="I147" s="62">
        <f t="array" ref="I147">IF($D147="","",xlookup($D147,PRODUCT!$B:$B,PRODUCT!$M:$M,""))</f>
        <v/>
      </c>
      <c r="J147" s="60" t="n"/>
      <c r="K147" s="61" t="n"/>
      <c r="L147" s="61" t="n"/>
      <c r="M147" s="60" t="n"/>
      <c r="N147" s="2" t="n"/>
    </row>
    <row r="148" ht="15.75" customHeight="1" s="125">
      <c r="A148" s="2" t="n"/>
      <c r="B148" s="62" t="n"/>
      <c r="C148" s="62" t="n"/>
      <c r="D148" s="58" t="n"/>
      <c r="E148" s="62">
        <f t="array" ref="E148">IF($D148="","",xlookup($D148,PRODUCT!$B:$B,PRODUCT!$A:$A,""))</f>
        <v/>
      </c>
      <c r="F148" s="62">
        <f t="array" ref="F148">IF($D148="","",xlookup($D148,PRODUCT!$B:$B,PRODUCT!$C:$C,""))</f>
        <v/>
      </c>
      <c r="G148" s="61" t="n"/>
      <c r="H148" s="61">
        <f t="array" ref="H148">IF($D148="","",xlookup($D148,PRODUCT!$B:$B,PRODUCT!$L:$L,""))</f>
        <v/>
      </c>
      <c r="I148" s="62">
        <f t="array" ref="I148">IF($D148="","",xlookup($D148,PRODUCT!$B:$B,PRODUCT!$M:$M,""))</f>
        <v/>
      </c>
      <c r="J148" s="60" t="n"/>
      <c r="K148" s="61" t="n"/>
      <c r="L148" s="61" t="n"/>
      <c r="M148" s="60" t="n"/>
      <c r="N148" s="2" t="n"/>
    </row>
    <row r="149" ht="15.75" customHeight="1" s="125">
      <c r="A149" s="2" t="n"/>
      <c r="B149" s="62" t="n"/>
      <c r="C149" s="62" t="n"/>
      <c r="D149" s="58" t="n"/>
      <c r="E149" s="62">
        <f t="array" ref="E149">IF($D149="","",xlookup($D149,PRODUCT!$B:$B,PRODUCT!$A:$A,""))</f>
        <v/>
      </c>
      <c r="F149" s="62">
        <f t="array" ref="F149">IF($D149="","",xlookup($D149,PRODUCT!$B:$B,PRODUCT!$C:$C,""))</f>
        <v/>
      </c>
      <c r="G149" s="61" t="n"/>
      <c r="H149" s="61">
        <f t="array" ref="H149">IF($D149="","",xlookup($D149,PRODUCT!$B:$B,PRODUCT!$L:$L,""))</f>
        <v/>
      </c>
      <c r="I149" s="62">
        <f t="array" ref="I149">IF($D149="","",xlookup($D149,PRODUCT!$B:$B,PRODUCT!$M:$M,""))</f>
        <v/>
      </c>
      <c r="J149" s="60" t="n"/>
      <c r="K149" s="61" t="n"/>
      <c r="L149" s="61" t="n"/>
      <c r="M149" s="60" t="n"/>
      <c r="N149" s="2" t="n"/>
    </row>
    <row r="150" ht="15.75" customHeight="1" s="125">
      <c r="A150" s="2" t="n"/>
      <c r="B150" s="62" t="n"/>
      <c r="C150" s="62" t="n"/>
      <c r="D150" s="58" t="n"/>
      <c r="E150" s="62">
        <f t="array" ref="E150">IF($D150="","",xlookup($D150,PRODUCT!$B:$B,PRODUCT!$A:$A,""))</f>
        <v/>
      </c>
      <c r="F150" s="62">
        <f t="array" ref="F150">IF($D150="","",xlookup($D150,PRODUCT!$B:$B,PRODUCT!$C:$C,""))</f>
        <v/>
      </c>
      <c r="G150" s="61" t="n"/>
      <c r="H150" s="61">
        <f t="array" ref="H150">IF($D150="","",xlookup($D150,PRODUCT!$B:$B,PRODUCT!$L:$L,""))</f>
        <v/>
      </c>
      <c r="I150" s="62">
        <f t="array" ref="I150">IF($D150="","",xlookup($D150,PRODUCT!$B:$B,PRODUCT!$M:$M,""))</f>
        <v/>
      </c>
      <c r="J150" s="60" t="n"/>
      <c r="K150" s="61" t="n"/>
      <c r="L150" s="61" t="n"/>
      <c r="M150" s="60" t="n"/>
      <c r="N150" s="2" t="n"/>
    </row>
    <row r="151" ht="15.75" customHeight="1" s="125">
      <c r="A151" s="2" t="n"/>
      <c r="B151" s="62" t="n"/>
      <c r="C151" s="62" t="n"/>
      <c r="D151" s="58" t="n"/>
      <c r="E151" s="62">
        <f t="array" ref="E151">IF($D151="","",xlookup($D151,PRODUCT!$B:$B,PRODUCT!$A:$A,""))</f>
        <v/>
      </c>
      <c r="F151" s="62">
        <f t="array" ref="F151">IF($D151="","",xlookup($D151,PRODUCT!$B:$B,PRODUCT!$C:$C,""))</f>
        <v/>
      </c>
      <c r="G151" s="61" t="n"/>
      <c r="H151" s="61">
        <f t="array" ref="H151">IF($D151="","",xlookup($D151,PRODUCT!$B:$B,PRODUCT!$L:$L,""))</f>
        <v/>
      </c>
      <c r="I151" s="62">
        <f t="array" ref="I151">IF($D151="","",xlookup($D151,PRODUCT!$B:$B,PRODUCT!$M:$M,""))</f>
        <v/>
      </c>
      <c r="J151" s="60" t="n"/>
      <c r="K151" s="61" t="n"/>
      <c r="L151" s="61" t="n"/>
      <c r="M151" s="60" t="n"/>
      <c r="N151" s="2" t="n"/>
    </row>
    <row r="152" ht="15.75" customHeight="1" s="125">
      <c r="A152" s="2" t="n"/>
      <c r="B152" s="62" t="n"/>
      <c r="C152" s="62" t="n"/>
      <c r="D152" s="58" t="n"/>
      <c r="E152" s="62">
        <f t="array" ref="E152">IF($D152="","",xlookup($D152,PRODUCT!$B:$B,PRODUCT!$A:$A,""))</f>
        <v/>
      </c>
      <c r="F152" s="62">
        <f t="array" ref="F152">IF($D152="","",xlookup($D152,PRODUCT!$B:$B,PRODUCT!$C:$C,""))</f>
        <v/>
      </c>
      <c r="G152" s="61" t="n"/>
      <c r="H152" s="61">
        <f t="array" ref="H152">IF($D152="","",xlookup($D152,PRODUCT!$B:$B,PRODUCT!$L:$L,""))</f>
        <v/>
      </c>
      <c r="I152" s="62">
        <f t="array" ref="I152">IF($D152="","",xlookup($D152,PRODUCT!$B:$B,PRODUCT!$M:$M,""))</f>
        <v/>
      </c>
      <c r="J152" s="60" t="n"/>
      <c r="K152" s="61" t="n"/>
      <c r="L152" s="61" t="n"/>
      <c r="M152" s="60" t="n"/>
      <c r="N152" s="2" t="n"/>
    </row>
    <row r="153" ht="15.75" customHeight="1" s="125">
      <c r="A153" s="2" t="n"/>
      <c r="B153" s="62" t="n"/>
      <c r="C153" s="62" t="n"/>
      <c r="D153" s="58" t="n"/>
      <c r="E153" s="62">
        <f t="array" ref="E153">IF($D153="","",xlookup($D153,PRODUCT!$B:$B,PRODUCT!$A:$A,""))</f>
        <v/>
      </c>
      <c r="F153" s="62">
        <f t="array" ref="F153">IF($D153="","",xlookup($D153,PRODUCT!$B:$B,PRODUCT!$C:$C,""))</f>
        <v/>
      </c>
      <c r="G153" s="61" t="n"/>
      <c r="H153" s="61">
        <f t="array" ref="H153">IF($D153="","",xlookup($D153,PRODUCT!$B:$B,PRODUCT!$L:$L,""))</f>
        <v/>
      </c>
      <c r="I153" s="62">
        <f t="array" ref="I153">IF($D153="","",xlookup($D153,PRODUCT!$B:$B,PRODUCT!$M:$M,""))</f>
        <v/>
      </c>
      <c r="J153" s="60" t="n"/>
      <c r="K153" s="61" t="n"/>
      <c r="L153" s="61" t="n"/>
      <c r="M153" s="60" t="n"/>
      <c r="N153" s="2" t="n"/>
    </row>
    <row r="154" ht="15.75" customHeight="1" s="125">
      <c r="A154" s="2" t="n"/>
      <c r="B154" s="62" t="n"/>
      <c r="C154" s="62" t="n"/>
      <c r="D154" s="58" t="n"/>
      <c r="E154" s="62">
        <f t="array" ref="E154">IF($D154="","",xlookup($D154,PRODUCT!$B:$B,PRODUCT!$A:$A,""))</f>
        <v/>
      </c>
      <c r="F154" s="62">
        <f t="array" ref="F154">IF($D154="","",xlookup($D154,PRODUCT!$B:$B,PRODUCT!$C:$C,""))</f>
        <v/>
      </c>
      <c r="G154" s="61" t="n"/>
      <c r="H154" s="61">
        <f t="array" ref="H154">IF($D154="","",xlookup($D154,PRODUCT!$B:$B,PRODUCT!$L:$L,""))</f>
        <v/>
      </c>
      <c r="I154" s="62">
        <f t="array" ref="I154">IF($D154="","",xlookup($D154,PRODUCT!$B:$B,PRODUCT!$M:$M,""))</f>
        <v/>
      </c>
      <c r="J154" s="60" t="n"/>
      <c r="K154" s="61" t="n"/>
      <c r="L154" s="61" t="n"/>
      <c r="M154" s="60" t="n"/>
      <c r="N154" s="2" t="n"/>
    </row>
    <row r="155" ht="15.75" customHeight="1" s="125">
      <c r="A155" s="2" t="n"/>
      <c r="B155" s="62" t="n"/>
      <c r="C155" s="62" t="n"/>
      <c r="D155" s="58" t="n"/>
      <c r="E155" s="62">
        <f t="array" ref="E155">IF($D155="","",xlookup($D155,PRODUCT!$B:$B,PRODUCT!$A:$A,""))</f>
        <v/>
      </c>
      <c r="F155" s="62">
        <f t="array" ref="F155">IF($D155="","",xlookup($D155,PRODUCT!$B:$B,PRODUCT!$C:$C,""))</f>
        <v/>
      </c>
      <c r="G155" s="61" t="n"/>
      <c r="H155" s="61">
        <f t="array" ref="H155">IF($D155="","",xlookup($D155,PRODUCT!$B:$B,PRODUCT!$L:$L,""))</f>
        <v/>
      </c>
      <c r="I155" s="62">
        <f t="array" ref="I155">IF($D155="","",xlookup($D155,PRODUCT!$B:$B,PRODUCT!$M:$M,""))</f>
        <v/>
      </c>
      <c r="J155" s="60" t="n"/>
      <c r="K155" s="61" t="n"/>
      <c r="L155" s="61" t="n"/>
      <c r="M155" s="60" t="n"/>
      <c r="N155" s="2" t="n"/>
    </row>
    <row r="156" ht="15.75" customHeight="1" s="125">
      <c r="A156" s="2" t="n"/>
      <c r="B156" s="62" t="n"/>
      <c r="C156" s="62" t="n"/>
      <c r="D156" s="58" t="n"/>
      <c r="E156" s="62">
        <f t="array" ref="E156">IF($D156="","",xlookup($D156,PRODUCT!$B:$B,PRODUCT!$A:$A,""))</f>
        <v/>
      </c>
      <c r="F156" s="62">
        <f t="array" ref="F156">IF($D156="","",xlookup($D156,PRODUCT!$B:$B,PRODUCT!$C:$C,""))</f>
        <v/>
      </c>
      <c r="G156" s="61" t="n"/>
      <c r="H156" s="61">
        <f t="array" ref="H156">IF($D156="","",xlookup($D156,PRODUCT!$B:$B,PRODUCT!$L:$L,""))</f>
        <v/>
      </c>
      <c r="I156" s="62">
        <f t="array" ref="I156">IF($D156="","",xlookup($D156,PRODUCT!$B:$B,PRODUCT!$M:$M,""))</f>
        <v/>
      </c>
      <c r="J156" s="60" t="n"/>
      <c r="K156" s="61" t="n"/>
      <c r="L156" s="61" t="n"/>
      <c r="M156" s="60" t="n"/>
      <c r="N156" s="2" t="n"/>
    </row>
    <row r="157" ht="15.75" customHeight="1" s="125">
      <c r="A157" s="2" t="n"/>
      <c r="B157" s="62" t="n"/>
      <c r="C157" s="62" t="n"/>
      <c r="D157" s="58" t="n"/>
      <c r="E157" s="62">
        <f t="array" ref="E157">IF($D157="","",xlookup($D157,PRODUCT!$B:$B,PRODUCT!$A:$A,""))</f>
        <v/>
      </c>
      <c r="F157" s="62">
        <f t="array" ref="F157">IF($D157="","",xlookup($D157,PRODUCT!$B:$B,PRODUCT!$C:$C,""))</f>
        <v/>
      </c>
      <c r="G157" s="61" t="n"/>
      <c r="H157" s="61">
        <f t="array" ref="H157">IF($D157="","",xlookup($D157,PRODUCT!$B:$B,PRODUCT!$L:$L,""))</f>
        <v/>
      </c>
      <c r="I157" s="62">
        <f t="array" ref="I157">IF($D157="","",xlookup($D157,PRODUCT!$B:$B,PRODUCT!$M:$M,""))</f>
        <v/>
      </c>
      <c r="J157" s="60" t="n"/>
      <c r="K157" s="61" t="n"/>
      <c r="L157" s="61" t="n"/>
      <c r="M157" s="60" t="n"/>
      <c r="N157" s="2" t="n"/>
    </row>
    <row r="158" ht="15.75" customHeight="1" s="125">
      <c r="A158" s="2" t="n"/>
      <c r="B158" s="62" t="n"/>
      <c r="C158" s="62" t="n"/>
      <c r="D158" s="58" t="n"/>
      <c r="E158" s="62">
        <f t="array" ref="E158">IF($D158="","",xlookup($D158,PRODUCT!$B:$B,PRODUCT!$A:$A,""))</f>
        <v/>
      </c>
      <c r="F158" s="62">
        <f t="array" ref="F158">IF($D158="","",xlookup($D158,PRODUCT!$B:$B,PRODUCT!$C:$C,""))</f>
        <v/>
      </c>
      <c r="G158" s="61" t="n"/>
      <c r="H158" s="61">
        <f t="array" ref="H158">IF($D158="","",xlookup($D158,PRODUCT!$B:$B,PRODUCT!$L:$L,""))</f>
        <v/>
      </c>
      <c r="I158" s="62">
        <f t="array" ref="I158">IF($D158="","",xlookup($D158,PRODUCT!$B:$B,PRODUCT!$M:$M,""))</f>
        <v/>
      </c>
      <c r="J158" s="60" t="n"/>
      <c r="K158" s="61" t="n"/>
      <c r="L158" s="61" t="n"/>
      <c r="M158" s="60" t="n"/>
      <c r="N158" s="2" t="n"/>
    </row>
    <row r="159" ht="15.75" customHeight="1" s="125">
      <c r="A159" s="2" t="n"/>
      <c r="B159" s="62" t="n"/>
      <c r="C159" s="62" t="n"/>
      <c r="D159" s="58" t="n"/>
      <c r="E159" s="62">
        <f t="array" ref="E159">IF($D159="","",xlookup($D159,PRODUCT!$B:$B,PRODUCT!$A:$A,""))</f>
        <v/>
      </c>
      <c r="F159" s="62">
        <f t="array" ref="F159">IF($D159="","",xlookup($D159,PRODUCT!$B:$B,PRODUCT!$C:$C,""))</f>
        <v/>
      </c>
      <c r="G159" s="61" t="n"/>
      <c r="H159" s="61">
        <f t="array" ref="H159">IF($D159="","",xlookup($D159,PRODUCT!$B:$B,PRODUCT!$L:$L,""))</f>
        <v/>
      </c>
      <c r="I159" s="62">
        <f t="array" ref="I159">IF($D159="","",xlookup($D159,PRODUCT!$B:$B,PRODUCT!$M:$M,""))</f>
        <v/>
      </c>
      <c r="J159" s="60" t="n"/>
      <c r="K159" s="61" t="n"/>
      <c r="L159" s="61" t="n"/>
      <c r="M159" s="60" t="n"/>
      <c r="N159" s="2" t="n"/>
    </row>
    <row r="160" ht="15.75" customHeight="1" s="125">
      <c r="A160" s="2" t="n"/>
      <c r="B160" s="62" t="n"/>
      <c r="C160" s="62" t="n"/>
      <c r="D160" s="58" t="n"/>
      <c r="E160" s="62">
        <f t="array" ref="E160">IF($D160="","",xlookup($D160,PRODUCT!$B:$B,PRODUCT!$A:$A,""))</f>
        <v/>
      </c>
      <c r="F160" s="62">
        <f t="array" ref="F160">IF($D160="","",xlookup($D160,PRODUCT!$B:$B,PRODUCT!$C:$C,""))</f>
        <v/>
      </c>
      <c r="G160" s="61" t="n"/>
      <c r="H160" s="61">
        <f t="array" ref="H160">IF($D160="","",xlookup($D160,PRODUCT!$B:$B,PRODUCT!$L:$L,""))</f>
        <v/>
      </c>
      <c r="I160" s="62">
        <f t="array" ref="I160">IF($D160="","",xlookup($D160,PRODUCT!$B:$B,PRODUCT!$M:$M,""))</f>
        <v/>
      </c>
      <c r="J160" s="60" t="n"/>
      <c r="K160" s="61" t="n"/>
      <c r="L160" s="61" t="n"/>
      <c r="M160" s="60" t="n"/>
      <c r="N160" s="2" t="n"/>
    </row>
    <row r="161" ht="15.75" customHeight="1" s="125">
      <c r="A161" s="2" t="n"/>
      <c r="B161" s="62" t="n"/>
      <c r="C161" s="62" t="n"/>
      <c r="D161" s="58" t="n"/>
      <c r="E161" s="62">
        <f t="array" ref="E161">IF($D161="","",xlookup($D161,PRODUCT!$B:$B,PRODUCT!$A:$A,""))</f>
        <v/>
      </c>
      <c r="F161" s="62">
        <f t="array" ref="F161">IF($D161="","",xlookup($D161,PRODUCT!$B:$B,PRODUCT!$C:$C,""))</f>
        <v/>
      </c>
      <c r="G161" s="61" t="n"/>
      <c r="H161" s="61">
        <f t="array" ref="H161">IF($D161="","",xlookup($D161,PRODUCT!$B:$B,PRODUCT!$L:$L,""))</f>
        <v/>
      </c>
      <c r="I161" s="62">
        <f t="array" ref="I161">IF($D161="","",xlookup($D161,PRODUCT!$B:$B,PRODUCT!$M:$M,""))</f>
        <v/>
      </c>
      <c r="J161" s="60" t="n"/>
      <c r="K161" s="61" t="n"/>
      <c r="L161" s="61" t="n"/>
      <c r="M161" s="60" t="n"/>
      <c r="N161" s="2" t="n"/>
    </row>
    <row r="162" ht="15.75" customHeight="1" s="125">
      <c r="A162" s="2" t="n"/>
      <c r="B162" s="62" t="n"/>
      <c r="C162" s="62" t="n"/>
      <c r="D162" s="58" t="n"/>
      <c r="E162" s="62">
        <f t="array" ref="E162">IF($D162="","",xlookup($D162,PRODUCT!$B:$B,PRODUCT!$A:$A,""))</f>
        <v/>
      </c>
      <c r="F162" s="62">
        <f t="array" ref="F162">IF($D162="","",xlookup($D162,PRODUCT!$B:$B,PRODUCT!$C:$C,""))</f>
        <v/>
      </c>
      <c r="G162" s="61" t="n"/>
      <c r="H162" s="61">
        <f t="array" ref="H162">IF($D162="","",xlookup($D162,PRODUCT!$B:$B,PRODUCT!$L:$L,""))</f>
        <v/>
      </c>
      <c r="I162" s="62">
        <f t="array" ref="I162">IF($D162="","",xlookup($D162,PRODUCT!$B:$B,PRODUCT!$M:$M,""))</f>
        <v/>
      </c>
      <c r="J162" s="60" t="n"/>
      <c r="K162" s="61" t="n"/>
      <c r="L162" s="61" t="n"/>
      <c r="M162" s="60" t="n"/>
      <c r="N162" s="2" t="n"/>
    </row>
    <row r="163" ht="15.75" customHeight="1" s="125">
      <c r="A163" s="2" t="n"/>
      <c r="B163" s="62" t="n"/>
      <c r="C163" s="62" t="n"/>
      <c r="D163" s="58" t="n"/>
      <c r="E163" s="62">
        <f t="array" ref="E163">IF($D163="","",xlookup($D163,PRODUCT!$B:$B,PRODUCT!$A:$A,""))</f>
        <v/>
      </c>
      <c r="F163" s="62">
        <f t="array" ref="F163">IF($D163="","",xlookup($D163,PRODUCT!$B:$B,PRODUCT!$C:$C,""))</f>
        <v/>
      </c>
      <c r="G163" s="61" t="n"/>
      <c r="H163" s="61">
        <f t="array" ref="H163">IF($D163="","",xlookup($D163,PRODUCT!$B:$B,PRODUCT!$L:$L,""))</f>
        <v/>
      </c>
      <c r="I163" s="62">
        <f t="array" ref="I163">IF($D163="","",xlookup($D163,PRODUCT!$B:$B,PRODUCT!$M:$M,""))</f>
        <v/>
      </c>
      <c r="J163" s="60" t="n"/>
      <c r="K163" s="61" t="n"/>
      <c r="L163" s="61" t="n"/>
      <c r="M163" s="60" t="n"/>
      <c r="N163" s="2" t="n"/>
    </row>
    <row r="164" ht="15.75" customHeight="1" s="125">
      <c r="A164" s="2" t="n"/>
      <c r="B164" s="62" t="n"/>
      <c r="C164" s="62" t="n"/>
      <c r="D164" s="58" t="n"/>
      <c r="E164" s="62">
        <f t="array" ref="E164">IF($D164="","",xlookup($D164,PRODUCT!$B:$B,PRODUCT!$A:$A,""))</f>
        <v/>
      </c>
      <c r="F164" s="62">
        <f t="array" ref="F164">IF($D164="","",xlookup($D164,PRODUCT!$B:$B,PRODUCT!$C:$C,""))</f>
        <v/>
      </c>
      <c r="G164" s="61" t="n"/>
      <c r="H164" s="61">
        <f t="array" ref="H164">IF($D164="","",xlookup($D164,PRODUCT!$B:$B,PRODUCT!$L:$L,""))</f>
        <v/>
      </c>
      <c r="I164" s="62">
        <f t="array" ref="I164">IF($D164="","",xlookup($D164,PRODUCT!$B:$B,PRODUCT!$M:$M,""))</f>
        <v/>
      </c>
      <c r="J164" s="60" t="n"/>
      <c r="K164" s="61" t="n"/>
      <c r="L164" s="61" t="n"/>
      <c r="M164" s="60" t="n"/>
      <c r="N164" s="2" t="n"/>
    </row>
    <row r="165" ht="15.75" customHeight="1" s="125">
      <c r="A165" s="2" t="n"/>
      <c r="B165" s="62" t="n"/>
      <c r="C165" s="62" t="n"/>
      <c r="D165" s="58" t="n"/>
      <c r="E165" s="62">
        <f t="array" ref="E165">IF($D165="","",xlookup($D165,PRODUCT!$B:$B,PRODUCT!$A:$A,""))</f>
        <v/>
      </c>
      <c r="F165" s="62">
        <f t="array" ref="F165">IF($D165="","",xlookup($D165,PRODUCT!$B:$B,PRODUCT!$C:$C,""))</f>
        <v/>
      </c>
      <c r="G165" s="61" t="n"/>
      <c r="H165" s="61">
        <f t="array" ref="H165">IF($D165="","",xlookup($D165,PRODUCT!$B:$B,PRODUCT!$L:$L,""))</f>
        <v/>
      </c>
      <c r="I165" s="62">
        <f t="array" ref="I165">IF($D165="","",xlookup($D165,PRODUCT!$B:$B,PRODUCT!$M:$M,""))</f>
        <v/>
      </c>
      <c r="J165" s="60" t="n"/>
      <c r="K165" s="61" t="n"/>
      <c r="L165" s="61" t="n"/>
      <c r="M165" s="60" t="n"/>
      <c r="N165" s="2" t="n"/>
    </row>
    <row r="166" ht="15.75" customHeight="1" s="125">
      <c r="A166" s="2" t="n"/>
      <c r="B166" s="62" t="n"/>
      <c r="C166" s="62" t="n"/>
      <c r="D166" s="58" t="n"/>
      <c r="E166" s="62">
        <f t="array" ref="E166">IF($D166="","",xlookup($D166,PRODUCT!$B:$B,PRODUCT!$A:$A,""))</f>
        <v/>
      </c>
      <c r="F166" s="62">
        <f t="array" ref="F166">IF($D166="","",xlookup($D166,PRODUCT!$B:$B,PRODUCT!$C:$C,""))</f>
        <v/>
      </c>
      <c r="G166" s="61" t="n"/>
      <c r="H166" s="61">
        <f t="array" ref="H166">IF($D166="","",xlookup($D166,PRODUCT!$B:$B,PRODUCT!$L:$L,""))</f>
        <v/>
      </c>
      <c r="I166" s="62">
        <f t="array" ref="I166">IF($D166="","",xlookup($D166,PRODUCT!$B:$B,PRODUCT!$M:$M,""))</f>
        <v/>
      </c>
      <c r="J166" s="60" t="n"/>
      <c r="K166" s="61" t="n"/>
      <c r="L166" s="61" t="n"/>
      <c r="M166" s="60" t="n"/>
      <c r="N166" s="2" t="n"/>
    </row>
    <row r="167" ht="15.75" customHeight="1" s="125">
      <c r="A167" s="2" t="n"/>
      <c r="B167" s="62" t="n"/>
      <c r="C167" s="62" t="n"/>
      <c r="D167" s="58" t="n"/>
      <c r="E167" s="62">
        <f t="array" ref="E167">IF($D167="","",xlookup($D167,PRODUCT!$B:$B,PRODUCT!$A:$A,""))</f>
        <v/>
      </c>
      <c r="F167" s="62">
        <f t="array" ref="F167">IF($D167="","",xlookup($D167,PRODUCT!$B:$B,PRODUCT!$C:$C,""))</f>
        <v/>
      </c>
      <c r="G167" s="61" t="n"/>
      <c r="H167" s="61">
        <f t="array" ref="H167">IF($D167="","",xlookup($D167,PRODUCT!$B:$B,PRODUCT!$L:$L,""))</f>
        <v/>
      </c>
      <c r="I167" s="62">
        <f t="array" ref="I167">IF($D167="","",xlookup($D167,PRODUCT!$B:$B,PRODUCT!$M:$M,""))</f>
        <v/>
      </c>
      <c r="J167" s="60" t="n"/>
      <c r="K167" s="61" t="n"/>
      <c r="L167" s="61" t="n"/>
      <c r="M167" s="60" t="n"/>
      <c r="N167" s="2" t="n"/>
    </row>
    <row r="168" ht="15.75" customHeight="1" s="125">
      <c r="A168" s="2" t="n"/>
      <c r="B168" s="62" t="n"/>
      <c r="C168" s="62" t="n"/>
      <c r="D168" s="58" t="n"/>
      <c r="E168" s="62">
        <f t="array" ref="E168">IF($D168="","",xlookup($D168,PRODUCT!$B:$B,PRODUCT!$A:$A,""))</f>
        <v/>
      </c>
      <c r="F168" s="62">
        <f t="array" ref="F168">IF($D168="","",xlookup($D168,PRODUCT!$B:$B,PRODUCT!$C:$C,""))</f>
        <v/>
      </c>
      <c r="G168" s="61" t="n"/>
      <c r="H168" s="61">
        <f t="array" ref="H168">IF($D168="","",xlookup($D168,PRODUCT!$B:$B,PRODUCT!$L:$L,""))</f>
        <v/>
      </c>
      <c r="I168" s="62">
        <f t="array" ref="I168">IF($D168="","",xlookup($D168,PRODUCT!$B:$B,PRODUCT!$M:$M,""))</f>
        <v/>
      </c>
      <c r="J168" s="60" t="n"/>
      <c r="K168" s="61" t="n"/>
      <c r="L168" s="61" t="n"/>
      <c r="M168" s="60" t="n"/>
      <c r="N168" s="2" t="n"/>
    </row>
    <row r="169" ht="15.75" customHeight="1" s="125">
      <c r="A169" s="2" t="n"/>
      <c r="B169" s="62" t="n"/>
      <c r="C169" s="62" t="n"/>
      <c r="D169" s="58" t="n"/>
      <c r="E169" s="62">
        <f t="array" ref="E169">IF($D169="","",xlookup($D169,PRODUCT!$B:$B,PRODUCT!$A:$A,""))</f>
        <v/>
      </c>
      <c r="F169" s="62">
        <f t="array" ref="F169">IF($D169="","",xlookup($D169,PRODUCT!$B:$B,PRODUCT!$C:$C,""))</f>
        <v/>
      </c>
      <c r="G169" s="61" t="n"/>
      <c r="H169" s="61">
        <f t="array" ref="H169">IF($D169="","",xlookup($D169,PRODUCT!$B:$B,PRODUCT!$L:$L,""))</f>
        <v/>
      </c>
      <c r="I169" s="62">
        <f t="array" ref="I169">IF($D169="","",xlookup($D169,PRODUCT!$B:$B,PRODUCT!$M:$M,""))</f>
        <v/>
      </c>
      <c r="J169" s="60" t="n"/>
      <c r="K169" s="61" t="n"/>
      <c r="L169" s="61" t="n"/>
      <c r="M169" s="60" t="n"/>
      <c r="N169" s="2" t="n"/>
    </row>
    <row r="170" ht="15.75" customHeight="1" s="125">
      <c r="A170" s="2" t="n"/>
      <c r="B170" s="62" t="n"/>
      <c r="C170" s="62" t="n"/>
      <c r="D170" s="58" t="n"/>
      <c r="E170" s="62">
        <f t="array" ref="E170">IF($D170="","",xlookup($D170,PRODUCT!$B:$B,PRODUCT!$A:$A,""))</f>
        <v/>
      </c>
      <c r="F170" s="62">
        <f t="array" ref="F170">IF($D170="","",xlookup($D170,PRODUCT!$B:$B,PRODUCT!$C:$C,""))</f>
        <v/>
      </c>
      <c r="G170" s="61" t="n"/>
      <c r="H170" s="61">
        <f t="array" ref="H170">IF($D170="","",xlookup($D170,PRODUCT!$B:$B,PRODUCT!$L:$L,""))</f>
        <v/>
      </c>
      <c r="I170" s="62">
        <f t="array" ref="I170">IF($D170="","",xlookup($D170,PRODUCT!$B:$B,PRODUCT!$M:$M,""))</f>
        <v/>
      </c>
      <c r="J170" s="60" t="n"/>
      <c r="K170" s="61" t="n"/>
      <c r="L170" s="61" t="n"/>
      <c r="M170" s="60" t="n"/>
      <c r="N170" s="2" t="n"/>
    </row>
    <row r="171" ht="15.75" customHeight="1" s="125">
      <c r="A171" s="2" t="n"/>
      <c r="B171" s="62" t="n"/>
      <c r="C171" s="62" t="n"/>
      <c r="D171" s="58" t="n"/>
      <c r="E171" s="62">
        <f t="array" ref="E171">IF($D171="","",xlookup($D171,PRODUCT!$B:$B,PRODUCT!$A:$A,""))</f>
        <v/>
      </c>
      <c r="F171" s="62">
        <f t="array" ref="F171">IF($D171="","",xlookup($D171,PRODUCT!$B:$B,PRODUCT!$C:$C,""))</f>
        <v/>
      </c>
      <c r="G171" s="61" t="n"/>
      <c r="H171" s="61">
        <f t="array" ref="H171">IF($D171="","",xlookup($D171,PRODUCT!$B:$B,PRODUCT!$L:$L,""))</f>
        <v/>
      </c>
      <c r="I171" s="62">
        <f t="array" ref="I171">IF($D171="","",xlookup($D171,PRODUCT!$B:$B,PRODUCT!$M:$M,""))</f>
        <v/>
      </c>
      <c r="J171" s="60" t="n"/>
      <c r="K171" s="61" t="n"/>
      <c r="L171" s="61" t="n"/>
      <c r="M171" s="60" t="n"/>
      <c r="N171" s="2" t="n"/>
    </row>
    <row r="172" ht="15.75" customHeight="1" s="125">
      <c r="A172" s="2" t="n"/>
      <c r="B172" s="62" t="n"/>
      <c r="C172" s="62" t="n"/>
      <c r="D172" s="58" t="n"/>
      <c r="E172" s="62">
        <f t="array" ref="E172">IF($D172="","",xlookup($D172,PRODUCT!$B:$B,PRODUCT!$A:$A,""))</f>
        <v/>
      </c>
      <c r="F172" s="62">
        <f t="array" ref="F172">IF($D172="","",xlookup($D172,PRODUCT!$B:$B,PRODUCT!$C:$C,""))</f>
        <v/>
      </c>
      <c r="G172" s="61" t="n"/>
      <c r="H172" s="61">
        <f t="array" ref="H172">IF($D172="","",xlookup($D172,PRODUCT!$B:$B,PRODUCT!$L:$L,""))</f>
        <v/>
      </c>
      <c r="I172" s="62">
        <f t="array" ref="I172">IF($D172="","",xlookup($D172,PRODUCT!$B:$B,PRODUCT!$M:$M,""))</f>
        <v/>
      </c>
      <c r="J172" s="60" t="n"/>
      <c r="K172" s="61" t="n"/>
      <c r="L172" s="61" t="n"/>
      <c r="M172" s="60" t="n"/>
      <c r="N172" s="2" t="n"/>
    </row>
    <row r="173" ht="15.75" customHeight="1" s="125">
      <c r="A173" s="2" t="n"/>
      <c r="B173" s="62" t="n"/>
      <c r="C173" s="62" t="n"/>
      <c r="D173" s="58" t="n"/>
      <c r="E173" s="62">
        <f t="array" ref="E173">IF($D173="","",xlookup($D173,PRODUCT!$B:$B,PRODUCT!$A:$A,""))</f>
        <v/>
      </c>
      <c r="F173" s="62">
        <f t="array" ref="F173">IF($D173="","",xlookup($D173,PRODUCT!$B:$B,PRODUCT!$C:$C,""))</f>
        <v/>
      </c>
      <c r="G173" s="61" t="n"/>
      <c r="H173" s="61">
        <f t="array" ref="H173">IF($D173="","",xlookup($D173,PRODUCT!$B:$B,PRODUCT!$L:$L,""))</f>
        <v/>
      </c>
      <c r="I173" s="62">
        <f t="array" ref="I173">IF($D173="","",xlookup($D173,PRODUCT!$B:$B,PRODUCT!$M:$M,""))</f>
        <v/>
      </c>
      <c r="J173" s="60" t="n"/>
      <c r="K173" s="61" t="n"/>
      <c r="L173" s="61" t="n"/>
      <c r="M173" s="60" t="n"/>
      <c r="N173" s="2" t="n"/>
    </row>
    <row r="174" ht="15.75" customHeight="1" s="125">
      <c r="A174" s="2" t="n"/>
      <c r="B174" s="62" t="n"/>
      <c r="C174" s="62" t="n"/>
      <c r="D174" s="58" t="n"/>
      <c r="E174" s="62">
        <f t="array" ref="E174">IF($D174="","",xlookup($D174,PRODUCT!$B:$B,PRODUCT!$A:$A,""))</f>
        <v/>
      </c>
      <c r="F174" s="62">
        <f t="array" ref="F174">IF($D174="","",xlookup($D174,PRODUCT!$B:$B,PRODUCT!$C:$C,""))</f>
        <v/>
      </c>
      <c r="G174" s="61" t="n"/>
      <c r="H174" s="61">
        <f t="array" ref="H174">IF($D174="","",xlookup($D174,PRODUCT!$B:$B,PRODUCT!$L:$L,""))</f>
        <v/>
      </c>
      <c r="I174" s="62">
        <f t="array" ref="I174">IF($D174="","",xlookup($D174,PRODUCT!$B:$B,PRODUCT!$M:$M,""))</f>
        <v/>
      </c>
      <c r="J174" s="60" t="n"/>
      <c r="K174" s="61" t="n"/>
      <c r="L174" s="61" t="n"/>
      <c r="M174" s="60" t="n"/>
      <c r="N174" s="2" t="n"/>
    </row>
    <row r="175" ht="15.75" customHeight="1" s="125">
      <c r="A175" s="2" t="n"/>
      <c r="B175" s="62" t="n"/>
      <c r="C175" s="62" t="n"/>
      <c r="D175" s="58" t="n"/>
      <c r="E175" s="62">
        <f t="array" ref="E175">IF($D175="","",xlookup($D175,PRODUCT!$B:$B,PRODUCT!$A:$A,""))</f>
        <v/>
      </c>
      <c r="F175" s="62">
        <f t="array" ref="F175">IF($D175="","",xlookup($D175,PRODUCT!$B:$B,PRODUCT!$C:$C,""))</f>
        <v/>
      </c>
      <c r="G175" s="61" t="n"/>
      <c r="H175" s="61">
        <f t="array" ref="H175">IF($D175="","",xlookup($D175,PRODUCT!$B:$B,PRODUCT!$L:$L,""))</f>
        <v/>
      </c>
      <c r="I175" s="62">
        <f t="array" ref="I175">IF($D175="","",xlookup($D175,PRODUCT!$B:$B,PRODUCT!$M:$M,""))</f>
        <v/>
      </c>
      <c r="J175" s="60" t="n"/>
      <c r="K175" s="61" t="n"/>
      <c r="L175" s="61" t="n"/>
      <c r="M175" s="60" t="n"/>
      <c r="N175" s="2" t="n"/>
    </row>
    <row r="176" ht="15.75" customHeight="1" s="125">
      <c r="A176" s="2" t="n"/>
      <c r="B176" s="62" t="n"/>
      <c r="C176" s="62" t="n"/>
      <c r="D176" s="58" t="n"/>
      <c r="E176" s="62">
        <f t="array" ref="E176">IF($D176="","",xlookup($D176,PRODUCT!$B:$B,PRODUCT!$A:$A,""))</f>
        <v/>
      </c>
      <c r="F176" s="62">
        <f t="array" ref="F176">IF($D176="","",xlookup($D176,PRODUCT!$B:$B,PRODUCT!$C:$C,""))</f>
        <v/>
      </c>
      <c r="G176" s="61" t="n"/>
      <c r="H176" s="61">
        <f t="array" ref="H176">IF($D176="","",xlookup($D176,PRODUCT!$B:$B,PRODUCT!$L:$L,""))</f>
        <v/>
      </c>
      <c r="I176" s="62">
        <f t="array" ref="I176">IF($D176="","",xlookup($D176,PRODUCT!$B:$B,PRODUCT!$M:$M,""))</f>
        <v/>
      </c>
      <c r="J176" s="60" t="n"/>
      <c r="K176" s="61" t="n"/>
      <c r="L176" s="61" t="n"/>
      <c r="M176" s="60" t="n"/>
      <c r="N176" s="2" t="n"/>
    </row>
    <row r="177" ht="15.75" customHeight="1" s="125">
      <c r="A177" s="2" t="n"/>
      <c r="B177" s="62" t="n"/>
      <c r="C177" s="62" t="n"/>
      <c r="D177" s="58" t="n"/>
      <c r="E177" s="62">
        <f t="array" ref="E177">IF($D177="","",xlookup($D177,PRODUCT!$B:$B,PRODUCT!$A:$A,""))</f>
        <v/>
      </c>
      <c r="F177" s="62">
        <f t="array" ref="F177">IF($D177="","",xlookup($D177,PRODUCT!$B:$B,PRODUCT!$C:$C,""))</f>
        <v/>
      </c>
      <c r="G177" s="61" t="n"/>
      <c r="H177" s="61">
        <f t="array" ref="H177">IF($D177="","",xlookup($D177,PRODUCT!$B:$B,PRODUCT!$L:$L,""))</f>
        <v/>
      </c>
      <c r="I177" s="62">
        <f t="array" ref="I177">IF($D177="","",xlookup($D177,PRODUCT!$B:$B,PRODUCT!$M:$M,""))</f>
        <v/>
      </c>
      <c r="J177" s="60" t="n"/>
      <c r="K177" s="61" t="n"/>
      <c r="L177" s="61" t="n"/>
      <c r="M177" s="60" t="n"/>
      <c r="N177" s="2" t="n"/>
    </row>
    <row r="178" ht="15.75" customHeight="1" s="125">
      <c r="A178" s="2" t="n"/>
      <c r="B178" s="62" t="n"/>
      <c r="C178" s="62" t="n"/>
      <c r="D178" s="58" t="n"/>
      <c r="E178" s="62">
        <f t="array" ref="E178">IF($D178="","",xlookup($D178,PRODUCT!$B:$B,PRODUCT!$A:$A,""))</f>
        <v/>
      </c>
      <c r="F178" s="62">
        <f t="array" ref="F178">IF($D178="","",xlookup($D178,PRODUCT!$B:$B,PRODUCT!$C:$C,""))</f>
        <v/>
      </c>
      <c r="G178" s="61" t="n"/>
      <c r="H178" s="61">
        <f t="array" ref="H178">IF($D178="","",xlookup($D178,PRODUCT!$B:$B,PRODUCT!$L:$L,""))</f>
        <v/>
      </c>
      <c r="I178" s="62">
        <f t="array" ref="I178">IF($D178="","",xlookup($D178,PRODUCT!$B:$B,PRODUCT!$M:$M,""))</f>
        <v/>
      </c>
      <c r="J178" s="60" t="n"/>
      <c r="K178" s="61" t="n"/>
      <c r="L178" s="61" t="n"/>
      <c r="M178" s="60" t="n"/>
      <c r="N178" s="2" t="n"/>
    </row>
    <row r="179" ht="15.75" customHeight="1" s="125">
      <c r="A179" s="2" t="n"/>
      <c r="B179" s="62" t="n"/>
      <c r="C179" s="62" t="n"/>
      <c r="D179" s="58" t="n"/>
      <c r="E179" s="62">
        <f t="array" ref="E179">IF($D179="","",xlookup($D179,PRODUCT!$B:$B,PRODUCT!$A:$A,""))</f>
        <v/>
      </c>
      <c r="F179" s="62">
        <f t="array" ref="F179">IF($D179="","",xlookup($D179,PRODUCT!$B:$B,PRODUCT!$C:$C,""))</f>
        <v/>
      </c>
      <c r="G179" s="61" t="n"/>
      <c r="H179" s="61">
        <f t="array" ref="H179">IF($D179="","",xlookup($D179,PRODUCT!$B:$B,PRODUCT!$L:$L,""))</f>
        <v/>
      </c>
      <c r="I179" s="62">
        <f t="array" ref="I179">IF($D179="","",xlookup($D179,PRODUCT!$B:$B,PRODUCT!$M:$M,""))</f>
        <v/>
      </c>
      <c r="J179" s="60" t="n"/>
      <c r="K179" s="61" t="n"/>
      <c r="L179" s="61" t="n"/>
      <c r="M179" s="60" t="n"/>
      <c r="N179" s="2" t="n"/>
    </row>
    <row r="180" ht="15.75" customHeight="1" s="125">
      <c r="A180" s="2" t="n"/>
      <c r="B180" s="62" t="n"/>
      <c r="C180" s="62" t="n"/>
      <c r="D180" s="58" t="n"/>
      <c r="E180" s="62">
        <f t="array" ref="E180">IF($D180="","",xlookup($D180,PRODUCT!$B:$B,PRODUCT!$A:$A,""))</f>
        <v/>
      </c>
      <c r="F180" s="62">
        <f t="array" ref="F180">IF($D180="","",xlookup($D180,PRODUCT!$B:$B,PRODUCT!$C:$C,""))</f>
        <v/>
      </c>
      <c r="G180" s="61" t="n"/>
      <c r="H180" s="61">
        <f t="array" ref="H180">IF($D180="","",xlookup($D180,PRODUCT!$B:$B,PRODUCT!$L:$L,""))</f>
        <v/>
      </c>
      <c r="I180" s="62">
        <f t="array" ref="I180">IF($D180="","",xlookup($D180,PRODUCT!$B:$B,PRODUCT!$M:$M,""))</f>
        <v/>
      </c>
      <c r="J180" s="60" t="n"/>
      <c r="K180" s="61" t="n"/>
      <c r="L180" s="61" t="n"/>
      <c r="M180" s="60" t="n"/>
      <c r="N180" s="2" t="n"/>
    </row>
    <row r="181" ht="15.75" customHeight="1" s="125">
      <c r="A181" s="2" t="n"/>
      <c r="B181" s="62" t="n"/>
      <c r="C181" s="62" t="n"/>
      <c r="D181" s="58" t="n"/>
      <c r="E181" s="62">
        <f t="array" ref="E181">IF($D181="","",xlookup($D181,PRODUCT!$B:$B,PRODUCT!$A:$A,""))</f>
        <v/>
      </c>
      <c r="F181" s="62">
        <f t="array" ref="F181">IF($D181="","",xlookup($D181,PRODUCT!$B:$B,PRODUCT!$C:$C,""))</f>
        <v/>
      </c>
      <c r="G181" s="61" t="n"/>
      <c r="H181" s="61">
        <f t="array" ref="H181">IF($D181="","",xlookup($D181,PRODUCT!$B:$B,PRODUCT!$L:$L,""))</f>
        <v/>
      </c>
      <c r="I181" s="62">
        <f t="array" ref="I181">IF($D181="","",xlookup($D181,PRODUCT!$B:$B,PRODUCT!$M:$M,""))</f>
        <v/>
      </c>
      <c r="J181" s="60" t="n"/>
      <c r="K181" s="61" t="n"/>
      <c r="L181" s="61" t="n"/>
      <c r="M181" s="60" t="n"/>
      <c r="N181" s="2" t="n"/>
    </row>
    <row r="182" ht="15.75" customHeight="1" s="125">
      <c r="A182" s="2" t="n"/>
      <c r="B182" s="62" t="n"/>
      <c r="C182" s="62" t="n"/>
      <c r="D182" s="58" t="n"/>
      <c r="E182" s="62">
        <f t="array" ref="E182">IF($D182="","",xlookup($D182,PRODUCT!$B:$B,PRODUCT!$A:$A,""))</f>
        <v/>
      </c>
      <c r="F182" s="62">
        <f t="array" ref="F182">IF($D182="","",xlookup($D182,PRODUCT!$B:$B,PRODUCT!$C:$C,""))</f>
        <v/>
      </c>
      <c r="G182" s="61" t="n"/>
      <c r="H182" s="61">
        <f t="array" ref="H182">IF($D182="","",xlookup($D182,PRODUCT!$B:$B,PRODUCT!$L:$L,""))</f>
        <v/>
      </c>
      <c r="I182" s="62">
        <f t="array" ref="I182">IF($D182="","",xlookup($D182,PRODUCT!$B:$B,PRODUCT!$M:$M,""))</f>
        <v/>
      </c>
      <c r="J182" s="60" t="n"/>
      <c r="K182" s="61" t="n"/>
      <c r="L182" s="61" t="n"/>
      <c r="M182" s="60" t="n"/>
      <c r="N182" s="2" t="n"/>
    </row>
    <row r="183" ht="15.75" customHeight="1" s="125">
      <c r="A183" s="2" t="n"/>
      <c r="B183" s="62" t="n"/>
      <c r="C183" s="62" t="n"/>
      <c r="D183" s="58" t="n"/>
      <c r="E183" s="62">
        <f t="array" ref="E183">IF($D183="","",xlookup($D183,PRODUCT!$B:$B,PRODUCT!$A:$A,""))</f>
        <v/>
      </c>
      <c r="F183" s="62">
        <f t="array" ref="F183">IF($D183="","",xlookup($D183,PRODUCT!$B:$B,PRODUCT!$C:$C,""))</f>
        <v/>
      </c>
      <c r="G183" s="61" t="n"/>
      <c r="H183" s="61">
        <f t="array" ref="H183">IF($D183="","",xlookup($D183,PRODUCT!$B:$B,PRODUCT!$L:$L,""))</f>
        <v/>
      </c>
      <c r="I183" s="62">
        <f t="array" ref="I183">IF($D183="","",xlookup($D183,PRODUCT!$B:$B,PRODUCT!$M:$M,""))</f>
        <v/>
      </c>
      <c r="J183" s="60" t="n"/>
      <c r="K183" s="61" t="n"/>
      <c r="L183" s="61" t="n"/>
      <c r="M183" s="60" t="n"/>
      <c r="N183" s="2" t="n"/>
    </row>
    <row r="184" ht="15.75" customHeight="1" s="125">
      <c r="A184" s="2" t="n"/>
      <c r="B184" s="62" t="n"/>
      <c r="C184" s="62" t="n"/>
      <c r="D184" s="58" t="n"/>
      <c r="E184" s="62">
        <f t="array" ref="E184">IF($D184="","",xlookup($D184,PRODUCT!$B:$B,PRODUCT!$A:$A,""))</f>
        <v/>
      </c>
      <c r="F184" s="62">
        <f t="array" ref="F184">IF($D184="","",xlookup($D184,PRODUCT!$B:$B,PRODUCT!$C:$C,""))</f>
        <v/>
      </c>
      <c r="G184" s="61" t="n"/>
      <c r="H184" s="61">
        <f t="array" ref="H184">IF($D184="","",xlookup($D184,PRODUCT!$B:$B,PRODUCT!$L:$L,""))</f>
        <v/>
      </c>
      <c r="I184" s="62">
        <f t="array" ref="I184">IF($D184="","",xlookup($D184,PRODUCT!$B:$B,PRODUCT!$M:$M,""))</f>
        <v/>
      </c>
      <c r="J184" s="60" t="n"/>
      <c r="K184" s="61" t="n"/>
      <c r="L184" s="61" t="n"/>
      <c r="M184" s="60" t="n"/>
      <c r="N184" s="2" t="n"/>
    </row>
    <row r="185" ht="15.75" customHeight="1" s="125">
      <c r="A185" s="2" t="n"/>
      <c r="B185" s="62" t="n"/>
      <c r="C185" s="62" t="n"/>
      <c r="D185" s="58" t="n"/>
      <c r="E185" s="62">
        <f t="array" ref="E185">IF($D185="","",xlookup($D185,PRODUCT!$B:$B,PRODUCT!$A:$A,""))</f>
        <v/>
      </c>
      <c r="F185" s="62">
        <f t="array" ref="F185">IF($D185="","",xlookup($D185,PRODUCT!$B:$B,PRODUCT!$C:$C,""))</f>
        <v/>
      </c>
      <c r="G185" s="61" t="n"/>
      <c r="H185" s="61">
        <f t="array" ref="H185">IF($D185="","",xlookup($D185,PRODUCT!$B:$B,PRODUCT!$L:$L,""))</f>
        <v/>
      </c>
      <c r="I185" s="62">
        <f t="array" ref="I185">IF($D185="","",xlookup($D185,PRODUCT!$B:$B,PRODUCT!$M:$M,""))</f>
        <v/>
      </c>
      <c r="J185" s="60" t="n"/>
      <c r="K185" s="61" t="n"/>
      <c r="L185" s="61" t="n"/>
      <c r="M185" s="60" t="n"/>
      <c r="N185" s="2" t="n"/>
    </row>
    <row r="186" ht="15.75" customHeight="1" s="125">
      <c r="A186" s="2" t="n"/>
      <c r="B186" s="62" t="n"/>
      <c r="C186" s="62" t="n"/>
      <c r="D186" s="58" t="n"/>
      <c r="E186" s="62">
        <f t="array" ref="E186">IF($D186="","",xlookup($D186,PRODUCT!$B:$B,PRODUCT!$A:$A,""))</f>
        <v/>
      </c>
      <c r="F186" s="62">
        <f t="array" ref="F186">IF($D186="","",xlookup($D186,PRODUCT!$B:$B,PRODUCT!$C:$C,""))</f>
        <v/>
      </c>
      <c r="G186" s="61" t="n"/>
      <c r="H186" s="61">
        <f t="array" ref="H186">IF($D186="","",xlookup($D186,PRODUCT!$B:$B,PRODUCT!$L:$L,""))</f>
        <v/>
      </c>
      <c r="I186" s="62">
        <f t="array" ref="I186">IF($D186="","",xlookup($D186,PRODUCT!$B:$B,PRODUCT!$M:$M,""))</f>
        <v/>
      </c>
      <c r="J186" s="60" t="n"/>
      <c r="K186" s="61" t="n"/>
      <c r="L186" s="61" t="n"/>
      <c r="M186" s="60" t="n"/>
      <c r="N186" s="2" t="n"/>
    </row>
    <row r="187" ht="15.75" customHeight="1" s="125">
      <c r="A187" s="2" t="n"/>
      <c r="B187" s="62" t="n"/>
      <c r="C187" s="62" t="n"/>
      <c r="D187" s="58" t="n"/>
      <c r="E187" s="62">
        <f t="array" ref="E187">IF($D187="","",xlookup($D187,PRODUCT!$B:$B,PRODUCT!$A:$A,""))</f>
        <v/>
      </c>
      <c r="F187" s="62">
        <f t="array" ref="F187">IF($D187="","",xlookup($D187,PRODUCT!$B:$B,PRODUCT!$C:$C,""))</f>
        <v/>
      </c>
      <c r="G187" s="61" t="n"/>
      <c r="H187" s="61">
        <f t="array" ref="H187">IF($D187="","",xlookup($D187,PRODUCT!$B:$B,PRODUCT!$L:$L,""))</f>
        <v/>
      </c>
      <c r="I187" s="62">
        <f t="array" ref="I187">IF($D187="","",xlookup($D187,PRODUCT!$B:$B,PRODUCT!$M:$M,""))</f>
        <v/>
      </c>
      <c r="J187" s="60" t="n"/>
      <c r="K187" s="61" t="n"/>
      <c r="L187" s="61" t="n"/>
      <c r="M187" s="60" t="n"/>
      <c r="N187" s="2" t="n"/>
    </row>
    <row r="188" ht="15.75" customHeight="1" s="125">
      <c r="A188" s="2" t="n"/>
      <c r="B188" s="2" t="n"/>
      <c r="C188" s="62" t="n"/>
      <c r="D188" s="58" t="n"/>
      <c r="E188" s="62">
        <f t="array" ref="E188">IF($D188="","",xlookup($D188,PRODUCT!$B:$B,PRODUCT!$A:$A,""))</f>
        <v/>
      </c>
      <c r="F188" s="62">
        <f t="array" ref="F188">IF($D188="","",xlookup($D188,PRODUCT!$B:$B,PRODUCT!$C:$C,""))</f>
        <v/>
      </c>
      <c r="G188" s="61" t="n"/>
      <c r="H188" s="61">
        <f t="array" ref="H188">IF($D188="","",xlookup($D188,PRODUCT!$B:$B,PRODUCT!$L:$L,""))</f>
        <v/>
      </c>
      <c r="I188" s="62">
        <f t="array" ref="I188">IF($D188="","",xlookup($D188,PRODUCT!$B:$B,PRODUCT!$M:$M,""))</f>
        <v/>
      </c>
      <c r="J188" s="60" t="n"/>
      <c r="K188" s="61" t="n"/>
      <c r="L188" s="61" t="n"/>
      <c r="M188" s="60" t="n"/>
      <c r="N188" s="2" t="n"/>
    </row>
    <row r="189" ht="15.75" customHeight="1" s="125">
      <c r="A189" s="2" t="n"/>
      <c r="B189" s="2" t="n"/>
      <c r="C189" s="62" t="n"/>
      <c r="D189" s="58" t="n"/>
      <c r="E189" s="62">
        <f t="array" ref="E189">IF($D189="","",xlookup($D189,PRODUCT!$B:$B,PRODUCT!$A:$A,""))</f>
        <v/>
      </c>
      <c r="F189" s="62">
        <f t="array" ref="F189">IF($D189="","",xlookup($D189,PRODUCT!$B:$B,PRODUCT!$C:$C,""))</f>
        <v/>
      </c>
      <c r="G189" s="61" t="n"/>
      <c r="H189" s="61">
        <f t="array" ref="H189">IF($D189="","",xlookup($D189,PRODUCT!$B:$B,PRODUCT!$L:$L,""))</f>
        <v/>
      </c>
      <c r="I189" s="62">
        <f t="array" ref="I189">IF($D189="","",xlookup($D189,PRODUCT!$B:$B,PRODUCT!$M:$M,""))</f>
        <v/>
      </c>
      <c r="J189" s="60" t="n"/>
      <c r="K189" s="61" t="n"/>
      <c r="L189" s="61" t="n"/>
      <c r="M189" s="60" t="n"/>
      <c r="N189" s="2" t="n"/>
    </row>
    <row r="190" ht="15.75" customHeight="1" s="125">
      <c r="A190" s="2" t="n"/>
      <c r="B190" s="2" t="n"/>
      <c r="C190" s="62" t="n"/>
      <c r="D190" s="58" t="n"/>
      <c r="E190" s="62">
        <f t="array" ref="E190">IF($D190="","",xlookup($D190,PRODUCT!$B:$B,PRODUCT!$A:$A,""))</f>
        <v/>
      </c>
      <c r="F190" s="62">
        <f t="array" ref="F190">IF($D190="","",xlookup($D190,PRODUCT!$B:$B,PRODUCT!$C:$C,""))</f>
        <v/>
      </c>
      <c r="G190" s="61" t="n"/>
      <c r="H190" s="61">
        <f t="array" ref="H190">IF($D190="","",xlookup($D190,PRODUCT!$B:$B,PRODUCT!$L:$L,""))</f>
        <v/>
      </c>
      <c r="I190" s="62">
        <f t="array" ref="I190">IF($D190="","",xlookup($D190,PRODUCT!$B:$B,PRODUCT!$M:$M,""))</f>
        <v/>
      </c>
      <c r="J190" s="60" t="n"/>
      <c r="K190" s="61" t="n"/>
      <c r="L190" s="61" t="n"/>
      <c r="M190" s="60" t="n"/>
      <c r="N190" s="2" t="n"/>
    </row>
    <row r="191" ht="15.75" customHeight="1" s="125">
      <c r="A191" s="2" t="n"/>
      <c r="B191" s="2" t="n"/>
      <c r="C191" s="62" t="n"/>
      <c r="D191" s="58" t="n"/>
      <c r="E191" s="62">
        <f t="array" ref="E191">IF($D191="","",xlookup($D191,PRODUCT!$B:$B,PRODUCT!$A:$A,""))</f>
        <v/>
      </c>
      <c r="F191" s="62">
        <f t="array" ref="F191">IF($D191="","",xlookup($D191,PRODUCT!$B:$B,PRODUCT!$C:$C,""))</f>
        <v/>
      </c>
      <c r="G191" s="61" t="n"/>
      <c r="H191" s="61">
        <f t="array" ref="H191">IF($D191="","",xlookup($D191,PRODUCT!$B:$B,PRODUCT!$L:$L,""))</f>
        <v/>
      </c>
      <c r="I191" s="62">
        <f t="array" ref="I191">IF($D191="","",xlookup($D191,PRODUCT!$B:$B,PRODUCT!$M:$M,""))</f>
        <v/>
      </c>
      <c r="J191" s="60" t="n"/>
      <c r="K191" s="61" t="n"/>
      <c r="L191" s="61" t="n"/>
      <c r="M191" s="60" t="n"/>
      <c r="N191" s="2" t="n"/>
    </row>
    <row r="192" ht="15.75" customHeight="1" s="125">
      <c r="A192" s="2" t="n"/>
      <c r="B192" s="2" t="n"/>
      <c r="C192" s="62" t="n"/>
      <c r="D192" s="58" t="n"/>
      <c r="E192" s="62">
        <f t="array" ref="E192">IF($D192="","",xlookup($D192,PRODUCT!$B:$B,PRODUCT!$A:$A,""))</f>
        <v/>
      </c>
      <c r="F192" s="62">
        <f t="array" ref="F192">IF($D192="","",xlookup($D192,PRODUCT!$B:$B,PRODUCT!$C:$C,""))</f>
        <v/>
      </c>
      <c r="G192" s="61" t="n"/>
      <c r="H192" s="61">
        <f t="array" ref="H192">IF($D192="","",xlookup($D192,PRODUCT!$B:$B,PRODUCT!$L:$L,""))</f>
        <v/>
      </c>
      <c r="I192" s="62">
        <f t="array" ref="I192">IF($D192="","",xlookup($D192,PRODUCT!$B:$B,PRODUCT!$M:$M,""))</f>
        <v/>
      </c>
      <c r="J192" s="60" t="n"/>
      <c r="K192" s="61" t="n"/>
      <c r="L192" s="61" t="n"/>
      <c r="M192" s="60" t="n"/>
      <c r="N192" s="2" t="n"/>
    </row>
    <row r="193" ht="15.75" customHeight="1" s="125">
      <c r="A193" s="2" t="n"/>
      <c r="B193" s="2" t="n"/>
      <c r="C193" s="62" t="n"/>
      <c r="D193" s="58" t="n"/>
      <c r="E193" s="62">
        <f t="array" ref="E193">IF($D193="","",xlookup($D193,PRODUCT!$B:$B,PRODUCT!$A:$A,""))</f>
        <v/>
      </c>
      <c r="F193" s="62">
        <f t="array" ref="F193">IF($D193="","",xlookup($D193,PRODUCT!$B:$B,PRODUCT!$C:$C,""))</f>
        <v/>
      </c>
      <c r="G193" s="61" t="n"/>
      <c r="H193" s="61">
        <f t="array" ref="H193">IF($D193="","",xlookup($D193,PRODUCT!$B:$B,PRODUCT!$L:$L,""))</f>
        <v/>
      </c>
      <c r="I193" s="62">
        <f t="array" ref="I193">IF($D193="","",xlookup($D193,PRODUCT!$B:$B,PRODUCT!$M:$M,""))</f>
        <v/>
      </c>
      <c r="J193" s="60" t="n"/>
      <c r="K193" s="61" t="n"/>
      <c r="L193" s="61" t="n"/>
      <c r="M193" s="60" t="n"/>
      <c r="N193" s="2" t="n"/>
    </row>
    <row r="194" ht="15.75" customHeight="1" s="125">
      <c r="A194" s="2" t="n"/>
      <c r="B194" s="2" t="n"/>
      <c r="C194" s="62" t="n"/>
      <c r="D194" s="58" t="n"/>
      <c r="E194" s="62">
        <f t="array" ref="E194">IF($D194="","",xlookup($D194,PRODUCT!$B:$B,PRODUCT!$A:$A,""))</f>
        <v/>
      </c>
      <c r="F194" s="62">
        <f t="array" ref="F194">IF($D194="","",xlookup($D194,PRODUCT!$B:$B,PRODUCT!$C:$C,""))</f>
        <v/>
      </c>
      <c r="G194" s="61" t="n"/>
      <c r="H194" s="61">
        <f t="array" ref="H194">IF($D194="","",xlookup($D194,PRODUCT!$B:$B,PRODUCT!$L:$L,""))</f>
        <v/>
      </c>
      <c r="I194" s="62">
        <f t="array" ref="I194">IF($D194="","",xlookup($D194,PRODUCT!$B:$B,PRODUCT!$M:$M,""))</f>
        <v/>
      </c>
      <c r="J194" s="60" t="n"/>
      <c r="K194" s="61" t="n"/>
      <c r="L194" s="61" t="n"/>
      <c r="M194" s="60" t="n"/>
      <c r="N194" s="2" t="n"/>
    </row>
    <row r="195" ht="15.75" customHeight="1" s="125">
      <c r="A195" s="2" t="n"/>
      <c r="B195" s="2" t="n"/>
      <c r="C195" s="62" t="n"/>
      <c r="D195" s="58" t="n"/>
      <c r="E195" s="62">
        <f t="array" ref="E195">IF($D195="","",xlookup($D195,PRODUCT!$B:$B,PRODUCT!$A:$A,""))</f>
        <v/>
      </c>
      <c r="F195" s="62">
        <f t="array" ref="F195">IF($D195="","",xlookup($D195,PRODUCT!$B:$B,PRODUCT!$C:$C,""))</f>
        <v/>
      </c>
      <c r="G195" s="61" t="n"/>
      <c r="H195" s="61">
        <f t="array" ref="H195">IF($D195="","",xlookup($D195,PRODUCT!$B:$B,PRODUCT!$L:$L,""))</f>
        <v/>
      </c>
      <c r="I195" s="62">
        <f t="array" ref="I195">IF($D195="","",xlookup($D195,PRODUCT!$B:$B,PRODUCT!$M:$M,""))</f>
        <v/>
      </c>
      <c r="J195" s="60" t="n"/>
      <c r="K195" s="61" t="n"/>
      <c r="L195" s="61" t="n"/>
      <c r="M195" s="60" t="n"/>
      <c r="N195" s="2" t="n"/>
    </row>
    <row r="196" ht="15.75" customHeight="1" s="125">
      <c r="A196" s="2" t="n"/>
      <c r="B196" s="2" t="n"/>
      <c r="C196" s="62" t="n"/>
      <c r="D196" s="58" t="n"/>
      <c r="E196" s="62">
        <f t="array" ref="E196">IF($D196="","",xlookup($D196,PRODUCT!$B:$B,PRODUCT!$A:$A,""))</f>
        <v/>
      </c>
      <c r="F196" s="62">
        <f t="array" ref="F196">IF($D196="","",xlookup($D196,PRODUCT!$B:$B,PRODUCT!$C:$C,""))</f>
        <v/>
      </c>
      <c r="G196" s="61" t="n"/>
      <c r="H196" s="61">
        <f t="array" ref="H196">IF($D196="","",xlookup($D196,PRODUCT!$B:$B,PRODUCT!$L:$L,""))</f>
        <v/>
      </c>
      <c r="I196" s="62">
        <f t="array" ref="I196">IF($D196="","",xlookup($D196,PRODUCT!$B:$B,PRODUCT!$M:$M,""))</f>
        <v/>
      </c>
      <c r="J196" s="60" t="n"/>
      <c r="K196" s="61" t="n"/>
      <c r="L196" s="61" t="n"/>
      <c r="M196" s="60" t="n"/>
      <c r="N196" s="2" t="n"/>
    </row>
    <row r="197" ht="15.75" customHeight="1" s="125">
      <c r="A197" s="2" t="n"/>
      <c r="B197" s="2" t="n"/>
      <c r="C197" s="62" t="n"/>
      <c r="D197" s="58" t="n"/>
      <c r="E197" s="62">
        <f t="array" ref="E197">IF($D197="","",xlookup($D197,PRODUCT!$B:$B,PRODUCT!$A:$A,""))</f>
        <v/>
      </c>
      <c r="F197" s="62">
        <f t="array" ref="F197">IF($D197="","",xlookup($D197,PRODUCT!$B:$B,PRODUCT!$C:$C,""))</f>
        <v/>
      </c>
      <c r="G197" s="61" t="n"/>
      <c r="H197" s="61">
        <f t="array" ref="H197">IF($D197="","",xlookup($D197,PRODUCT!$B:$B,PRODUCT!$L:$L,""))</f>
        <v/>
      </c>
      <c r="I197" s="62">
        <f t="array" ref="I197">IF($D197="","",xlookup($D197,PRODUCT!$B:$B,PRODUCT!$M:$M,""))</f>
        <v/>
      </c>
      <c r="J197" s="60" t="n"/>
      <c r="K197" s="61" t="n"/>
      <c r="L197" s="61" t="n"/>
      <c r="M197" s="60" t="n"/>
      <c r="N197" s="2" t="n"/>
    </row>
    <row r="198" ht="15.75" customHeight="1" s="125">
      <c r="A198" s="2" t="n"/>
      <c r="B198" s="2" t="n"/>
      <c r="C198" s="62" t="n"/>
      <c r="D198" s="58" t="n"/>
      <c r="E198" s="62">
        <f t="array" ref="E198">IF($D198="","",xlookup($D198,PRODUCT!$B:$B,PRODUCT!$A:$A,""))</f>
        <v/>
      </c>
      <c r="F198" s="62">
        <f t="array" ref="F198">IF($D198="","",xlookup($D198,PRODUCT!$B:$B,PRODUCT!$C:$C,""))</f>
        <v/>
      </c>
      <c r="G198" s="61" t="n"/>
      <c r="H198" s="61">
        <f t="array" ref="H198">IF($D198="","",xlookup($D198,PRODUCT!$B:$B,PRODUCT!$L:$L,""))</f>
        <v/>
      </c>
      <c r="I198" s="62">
        <f t="array" ref="I198">IF($D198="","",xlookup($D198,PRODUCT!$B:$B,PRODUCT!$M:$M,""))</f>
        <v/>
      </c>
      <c r="J198" s="60" t="n"/>
      <c r="K198" s="61" t="n"/>
      <c r="L198" s="61" t="n"/>
      <c r="M198" s="60" t="n"/>
      <c r="N198" s="2" t="n"/>
    </row>
    <row r="199" ht="15.75" customHeight="1" s="125">
      <c r="A199" s="2" t="n"/>
      <c r="B199" s="2" t="n"/>
      <c r="C199" s="62" t="n"/>
      <c r="D199" s="58" t="n"/>
      <c r="E199" s="62">
        <f t="array" ref="E199">IF($D199="","",xlookup($D199,PRODUCT!$B:$B,PRODUCT!$A:$A,""))</f>
        <v/>
      </c>
      <c r="F199" s="62">
        <f t="array" ref="F199">IF($D199="","",xlookup($D199,PRODUCT!$B:$B,PRODUCT!$C:$C,""))</f>
        <v/>
      </c>
      <c r="G199" s="61" t="n"/>
      <c r="H199" s="61">
        <f t="array" ref="H199">IF($D199="","",xlookup($D199,PRODUCT!$B:$B,PRODUCT!$L:$L,""))</f>
        <v/>
      </c>
      <c r="I199" s="62">
        <f t="array" ref="I199">IF($D199="","",xlookup($D199,PRODUCT!$B:$B,PRODUCT!$M:$M,""))</f>
        <v/>
      </c>
      <c r="J199" s="60" t="n"/>
      <c r="K199" s="61" t="n"/>
      <c r="L199" s="61" t="n"/>
      <c r="M199" s="60" t="n"/>
      <c r="N199" s="2" t="n"/>
    </row>
    <row r="200" ht="15.75" customHeight="1" s="125">
      <c r="A200" s="2" t="n"/>
      <c r="B200" s="2" t="n"/>
      <c r="C200" s="62" t="n"/>
      <c r="D200" s="58" t="n"/>
      <c r="E200" s="62">
        <f t="array" ref="E200">IF($D200="","",xlookup($D200,PRODUCT!$B:$B,PRODUCT!$A:$A,""))</f>
        <v/>
      </c>
      <c r="F200" s="62">
        <f t="array" ref="F200">IF($D200="","",xlookup($D200,PRODUCT!$B:$B,PRODUCT!$C:$C,""))</f>
        <v/>
      </c>
      <c r="G200" s="61" t="n"/>
      <c r="H200" s="61">
        <f t="array" ref="H200">IF($D200="","",xlookup($D200,PRODUCT!$B:$B,PRODUCT!$L:$L,""))</f>
        <v/>
      </c>
      <c r="I200" s="62">
        <f t="array" ref="I200">IF($D200="","",xlookup($D200,PRODUCT!$B:$B,PRODUCT!$M:$M,""))</f>
        <v/>
      </c>
      <c r="J200" s="60" t="n"/>
      <c r="K200" s="61" t="n"/>
      <c r="L200" s="61" t="n"/>
      <c r="M200" s="60" t="n"/>
      <c r="N200" s="2" t="n"/>
    </row>
    <row r="201" ht="15.75" customHeight="1" s="125">
      <c r="A201" s="2" t="n"/>
      <c r="B201" s="2" t="n"/>
      <c r="C201" s="62" t="n"/>
      <c r="D201" s="58" t="n"/>
      <c r="E201" s="62">
        <f t="array" ref="E201">IF($D201="","",xlookup($D201,PRODUCT!$B:$B,PRODUCT!$A:$A,""))</f>
        <v/>
      </c>
      <c r="F201" s="62">
        <f t="array" ref="F201">IF($D201="","",xlookup($D201,PRODUCT!$B:$B,PRODUCT!$C:$C,""))</f>
        <v/>
      </c>
      <c r="G201" s="61" t="n"/>
      <c r="H201" s="61">
        <f t="array" ref="H201">IF($D201="","",xlookup($D201,PRODUCT!$B:$B,PRODUCT!$L:$L,""))</f>
        <v/>
      </c>
      <c r="I201" s="62">
        <f t="array" ref="I201">IF($D201="","",xlookup($D201,PRODUCT!$B:$B,PRODUCT!$M:$M,""))</f>
        <v/>
      </c>
      <c r="J201" s="60" t="n"/>
      <c r="K201" s="61" t="n"/>
      <c r="L201" s="61" t="n"/>
      <c r="M201" s="60" t="n"/>
      <c r="N201" s="2" t="n"/>
    </row>
    <row r="202" ht="15.75" customHeight="1" s="125">
      <c r="A202" s="2" t="n"/>
      <c r="B202" s="2" t="n"/>
      <c r="C202" s="62" t="n"/>
      <c r="D202" s="58" t="n"/>
      <c r="E202" s="62">
        <f t="array" ref="E202">IF($D202="","",xlookup($D202,PRODUCT!$B:$B,PRODUCT!$A:$A,""))</f>
        <v/>
      </c>
      <c r="F202" s="62">
        <f t="array" ref="F202">IF($D202="","",xlookup($D202,PRODUCT!$B:$B,PRODUCT!$C:$C,""))</f>
        <v/>
      </c>
      <c r="G202" s="61" t="n"/>
      <c r="H202" s="61">
        <f t="array" ref="H202">IF($D202="","",xlookup($D202,PRODUCT!$B:$B,PRODUCT!$L:$L,""))</f>
        <v/>
      </c>
      <c r="I202" s="62">
        <f t="array" ref="I202">IF($D202="","",xlookup($D202,PRODUCT!$B:$B,PRODUCT!$M:$M,""))</f>
        <v/>
      </c>
      <c r="J202" s="60" t="n"/>
      <c r="K202" s="61" t="n"/>
      <c r="L202" s="61" t="n"/>
      <c r="M202" s="60" t="n"/>
      <c r="N202" s="2" t="n"/>
    </row>
    <row r="203" ht="15.75" customHeight="1" s="125">
      <c r="A203" s="2" t="n"/>
      <c r="B203" s="2" t="n"/>
      <c r="C203" s="62" t="n"/>
      <c r="D203" s="58" t="n"/>
      <c r="E203" s="62">
        <f t="array" ref="E203">IF($D203="","",xlookup($D203,PRODUCT!$B:$B,PRODUCT!$A:$A,""))</f>
        <v/>
      </c>
      <c r="F203" s="62">
        <f t="array" ref="F203">IF($D203="","",xlookup($D203,PRODUCT!$B:$B,PRODUCT!$C:$C,""))</f>
        <v/>
      </c>
      <c r="G203" s="61" t="n"/>
      <c r="H203" s="61">
        <f t="array" ref="H203">IF($D203="","",xlookup($D203,PRODUCT!$B:$B,PRODUCT!$L:$L,""))</f>
        <v/>
      </c>
      <c r="I203" s="62">
        <f t="array" ref="I203">IF($D203="","",xlookup($D203,PRODUCT!$B:$B,PRODUCT!$M:$M,""))</f>
        <v/>
      </c>
      <c r="J203" s="60" t="n"/>
      <c r="K203" s="61" t="n"/>
      <c r="L203" s="61" t="n"/>
      <c r="M203" s="60" t="n"/>
      <c r="N203" s="2" t="n"/>
    </row>
    <row r="204" ht="15.75" customHeight="1" s="125">
      <c r="A204" s="2" t="n"/>
      <c r="B204" s="2" t="n"/>
      <c r="C204" s="62" t="n"/>
      <c r="D204" s="58" t="n"/>
      <c r="E204" s="62">
        <f t="array" ref="E204">IF($D204="","",xlookup($D204,PRODUCT!$B:$B,PRODUCT!$A:$A,""))</f>
        <v/>
      </c>
      <c r="F204" s="62">
        <f t="array" ref="F204">IF($D204="","",xlookup($D204,PRODUCT!$B:$B,PRODUCT!$C:$C,""))</f>
        <v/>
      </c>
      <c r="G204" s="61" t="n"/>
      <c r="H204" s="61">
        <f t="array" ref="H204">IF($D204="","",xlookup($D204,PRODUCT!$B:$B,PRODUCT!$L:$L,""))</f>
        <v/>
      </c>
      <c r="I204" s="62">
        <f t="array" ref="I204">IF($D204="","",xlookup($D204,PRODUCT!$B:$B,PRODUCT!$M:$M,""))</f>
        <v/>
      </c>
      <c r="J204" s="60" t="n"/>
      <c r="K204" s="61" t="n"/>
      <c r="L204" s="61" t="n"/>
      <c r="M204" s="60" t="n"/>
      <c r="N204" s="2" t="n"/>
    </row>
    <row r="205" ht="15.75" customHeight="1" s="125">
      <c r="A205" s="2" t="n"/>
      <c r="B205" s="2" t="n"/>
      <c r="C205" s="62" t="n"/>
      <c r="D205" s="58" t="n"/>
      <c r="E205" s="62">
        <f t="array" ref="E205">IF($D205="","",xlookup($D205,PRODUCT!$B:$B,PRODUCT!$A:$A,""))</f>
        <v/>
      </c>
      <c r="F205" s="62">
        <f t="array" ref="F205">IF($D205="","",xlookup($D205,PRODUCT!$B:$B,PRODUCT!$C:$C,""))</f>
        <v/>
      </c>
      <c r="G205" s="61" t="n"/>
      <c r="H205" s="61">
        <f t="array" ref="H205">IF($D205="","",xlookup($D205,PRODUCT!$B:$B,PRODUCT!$L:$L,""))</f>
        <v/>
      </c>
      <c r="I205" s="62">
        <f t="array" ref="I205">IF($D205="","",xlookup($D205,PRODUCT!$B:$B,PRODUCT!$M:$M,""))</f>
        <v/>
      </c>
      <c r="J205" s="60" t="n"/>
      <c r="K205" s="61" t="n"/>
      <c r="L205" s="61" t="n"/>
      <c r="M205" s="60" t="n"/>
      <c r="N205" s="2" t="n"/>
    </row>
    <row r="206" ht="15.75" customHeight="1" s="125">
      <c r="A206" s="2" t="n"/>
      <c r="B206" s="2" t="n"/>
      <c r="C206" s="62" t="n"/>
      <c r="D206" s="58" t="n"/>
      <c r="E206" s="62">
        <f t="array" ref="E206">IF($D206="","",xlookup($D206,PRODUCT!$B:$B,PRODUCT!$A:$A,""))</f>
        <v/>
      </c>
      <c r="F206" s="62">
        <f t="array" ref="F206">IF($D206="","",xlookup($D206,PRODUCT!$B:$B,PRODUCT!$C:$C,""))</f>
        <v/>
      </c>
      <c r="G206" s="61" t="n"/>
      <c r="H206" s="61">
        <f t="array" ref="H206">IF($D206="","",xlookup($D206,PRODUCT!$B:$B,PRODUCT!$L:$L,""))</f>
        <v/>
      </c>
      <c r="I206" s="62">
        <f t="array" ref="I206">IF($D206="","",xlookup($D206,PRODUCT!$B:$B,PRODUCT!$M:$M,""))</f>
        <v/>
      </c>
      <c r="J206" s="60" t="n"/>
      <c r="K206" s="61" t="n"/>
      <c r="L206" s="61" t="n"/>
      <c r="M206" s="60" t="n"/>
      <c r="N206" s="2" t="n"/>
    </row>
    <row r="207" ht="15.75" customHeight="1" s="125">
      <c r="A207" s="2" t="n"/>
      <c r="B207" s="2" t="n"/>
      <c r="C207" s="62" t="n"/>
      <c r="D207" s="58" t="n"/>
      <c r="E207" s="62">
        <f t="array" ref="E207">IF($D207="","",xlookup($D207,PRODUCT!$B:$B,PRODUCT!$A:$A,""))</f>
        <v/>
      </c>
      <c r="F207" s="62">
        <f t="array" ref="F207">IF($D207="","",xlookup($D207,PRODUCT!$B:$B,PRODUCT!$C:$C,""))</f>
        <v/>
      </c>
      <c r="G207" s="61" t="n"/>
      <c r="H207" s="61">
        <f t="array" ref="H207">IF($D207="","",xlookup($D207,PRODUCT!$B:$B,PRODUCT!$L:$L,""))</f>
        <v/>
      </c>
      <c r="I207" s="62">
        <f t="array" ref="I207">IF($D207="","",xlookup($D207,PRODUCT!$B:$B,PRODUCT!$M:$M,""))</f>
        <v/>
      </c>
      <c r="J207" s="60" t="n"/>
      <c r="K207" s="61" t="n"/>
      <c r="L207" s="61" t="n"/>
      <c r="M207" s="60" t="n"/>
      <c r="N207" s="2" t="n"/>
    </row>
    <row r="208" ht="15.75" customHeight="1" s="125">
      <c r="A208" s="2" t="n"/>
      <c r="B208" s="2" t="n"/>
      <c r="C208" s="62" t="n"/>
      <c r="D208" s="58" t="n"/>
      <c r="E208" s="62">
        <f t="array" ref="E208">IF($D208="","",xlookup($D208,PRODUCT!$B:$B,PRODUCT!$A:$A,""))</f>
        <v/>
      </c>
      <c r="F208" s="62">
        <f t="array" ref="F208">IF($D208="","",xlookup($D208,PRODUCT!$B:$B,PRODUCT!$C:$C,""))</f>
        <v/>
      </c>
      <c r="G208" s="61" t="n"/>
      <c r="H208" s="61">
        <f t="array" ref="H208">IF($D208="","",xlookup($D208,PRODUCT!$B:$B,PRODUCT!$L:$L,""))</f>
        <v/>
      </c>
      <c r="I208" s="62">
        <f t="array" ref="I208">IF($D208="","",xlookup($D208,PRODUCT!$B:$B,PRODUCT!$M:$M,""))</f>
        <v/>
      </c>
      <c r="J208" s="60" t="n"/>
      <c r="K208" s="61" t="n"/>
      <c r="L208" s="61" t="n"/>
      <c r="M208" s="60" t="n"/>
      <c r="N208" s="2" t="n"/>
    </row>
    <row r="209" ht="15.75" customHeight="1" s="125">
      <c r="A209" s="2" t="n"/>
      <c r="B209" s="2" t="n"/>
      <c r="C209" s="62" t="n"/>
      <c r="D209" s="58" t="n"/>
      <c r="E209" s="62">
        <f t="array" ref="E209">IF($D209="","",xlookup($D209,PRODUCT!$B:$B,PRODUCT!$A:$A,""))</f>
        <v/>
      </c>
      <c r="F209" s="62">
        <f t="array" ref="F209">IF($D209="","",xlookup($D209,PRODUCT!$B:$B,PRODUCT!$C:$C,""))</f>
        <v/>
      </c>
      <c r="G209" s="61" t="n"/>
      <c r="H209" s="61">
        <f t="array" ref="H209">IF($D209="","",xlookup($D209,PRODUCT!$B:$B,PRODUCT!$L:$L,""))</f>
        <v/>
      </c>
      <c r="I209" s="62">
        <f t="array" ref="I209">IF($D209="","",xlookup($D209,PRODUCT!$B:$B,PRODUCT!$M:$M,""))</f>
        <v/>
      </c>
      <c r="J209" s="60" t="n"/>
      <c r="K209" s="61" t="n"/>
      <c r="L209" s="61" t="n"/>
      <c r="M209" s="60" t="n"/>
      <c r="N209" s="2" t="n"/>
    </row>
    <row r="210" ht="15.75" customHeight="1" s="125">
      <c r="A210" s="2" t="n"/>
      <c r="B210" s="2" t="n"/>
      <c r="C210" s="62" t="n"/>
      <c r="D210" s="58" t="n"/>
      <c r="E210" s="62">
        <f t="array" ref="E210">IF($D210="","",xlookup($D210,PRODUCT!$B:$B,PRODUCT!$A:$A,""))</f>
        <v/>
      </c>
      <c r="F210" s="62">
        <f t="array" ref="F210">IF($D210="","",xlookup($D210,PRODUCT!$B:$B,PRODUCT!$C:$C,""))</f>
        <v/>
      </c>
      <c r="G210" s="61" t="n"/>
      <c r="H210" s="61">
        <f t="array" ref="H210">IF($D210="","",xlookup($D210,PRODUCT!$B:$B,PRODUCT!$L:$L,""))</f>
        <v/>
      </c>
      <c r="I210" s="62">
        <f t="array" ref="I210">IF($D210="","",xlookup($D210,PRODUCT!$B:$B,PRODUCT!$M:$M,""))</f>
        <v/>
      </c>
      <c r="J210" s="60" t="n"/>
      <c r="K210" s="61" t="n"/>
      <c r="L210" s="61" t="n"/>
      <c r="M210" s="60" t="n"/>
      <c r="N210" s="2" t="n"/>
    </row>
    <row r="211" ht="15.75" customHeight="1" s="125">
      <c r="A211" s="2" t="n"/>
      <c r="B211" s="2" t="n"/>
      <c r="C211" s="62" t="n"/>
      <c r="D211" s="58" t="n"/>
      <c r="E211" s="62">
        <f t="array" ref="E211">IF($D211="","",xlookup($D211,PRODUCT!$B:$B,PRODUCT!$A:$A,""))</f>
        <v/>
      </c>
      <c r="F211" s="62">
        <f t="array" ref="F211">IF($D211="","",xlookup($D211,PRODUCT!$B:$B,PRODUCT!$C:$C,""))</f>
        <v/>
      </c>
      <c r="G211" s="61" t="n"/>
      <c r="H211" s="61">
        <f t="array" ref="H211">IF($D211="","",xlookup($D211,PRODUCT!$B:$B,PRODUCT!$L:$L,""))</f>
        <v/>
      </c>
      <c r="I211" s="62">
        <f t="array" ref="I211">IF($D211="","",xlookup($D211,PRODUCT!$B:$B,PRODUCT!$M:$M,""))</f>
        <v/>
      </c>
      <c r="J211" s="60" t="n"/>
      <c r="K211" s="61" t="n"/>
      <c r="L211" s="61" t="n"/>
      <c r="M211" s="60" t="n"/>
      <c r="N211" s="2" t="n"/>
    </row>
    <row r="212" ht="15.75" customHeight="1" s="125">
      <c r="A212" s="2" t="n"/>
      <c r="B212" s="2" t="n"/>
      <c r="C212" s="62" t="n"/>
      <c r="D212" s="58" t="n"/>
      <c r="E212" s="62">
        <f t="array" ref="E212">IF($D212="","",xlookup($D212,PRODUCT!$B:$B,PRODUCT!$A:$A,""))</f>
        <v/>
      </c>
      <c r="F212" s="62">
        <f t="array" ref="F212">IF($D212="","",xlookup($D212,PRODUCT!$B:$B,PRODUCT!$C:$C,""))</f>
        <v/>
      </c>
      <c r="G212" s="61" t="n"/>
      <c r="H212" s="61">
        <f t="array" ref="H212">IF($D212="","",xlookup($D212,PRODUCT!$B:$B,PRODUCT!$L:$L,""))</f>
        <v/>
      </c>
      <c r="I212" s="62">
        <f t="array" ref="I212">IF($D212="","",xlookup($D212,PRODUCT!$B:$B,PRODUCT!$M:$M,""))</f>
        <v/>
      </c>
      <c r="J212" s="60" t="n"/>
      <c r="K212" s="61" t="n"/>
      <c r="L212" s="61" t="n"/>
      <c r="M212" s="60" t="n"/>
      <c r="N212" s="2" t="n"/>
    </row>
    <row r="213" ht="15.75" customHeight="1" s="125">
      <c r="A213" s="2" t="n"/>
      <c r="B213" s="2" t="n"/>
      <c r="C213" s="62" t="n"/>
      <c r="D213" s="58" t="n"/>
      <c r="E213" s="62">
        <f t="array" ref="E213">IF($D213="","",xlookup($D213,PRODUCT!$B:$B,PRODUCT!$A:$A,""))</f>
        <v/>
      </c>
      <c r="F213" s="62">
        <f t="array" ref="F213">IF($D213="","",xlookup($D213,PRODUCT!$B:$B,PRODUCT!$C:$C,""))</f>
        <v/>
      </c>
      <c r="G213" s="61" t="n"/>
      <c r="H213" s="61">
        <f t="array" ref="H213">IF($D213="","",xlookup($D213,PRODUCT!$B:$B,PRODUCT!$L:$L,""))</f>
        <v/>
      </c>
      <c r="I213" s="62">
        <f t="array" ref="I213">IF($D213="","",xlookup($D213,PRODUCT!$B:$B,PRODUCT!$M:$M,""))</f>
        <v/>
      </c>
      <c r="J213" s="60" t="n"/>
      <c r="K213" s="61" t="n"/>
      <c r="L213" s="61" t="n"/>
      <c r="M213" s="60" t="n"/>
      <c r="N213" s="2" t="n"/>
    </row>
    <row r="214" ht="15.75" customHeight="1" s="125">
      <c r="A214" s="2" t="n"/>
      <c r="B214" s="2" t="n"/>
      <c r="C214" s="62" t="n"/>
      <c r="D214" s="58" t="n"/>
      <c r="E214" s="62">
        <f t="array" ref="E214">IF($D214="","",xlookup($D214,PRODUCT!$B:$B,PRODUCT!$A:$A,""))</f>
        <v/>
      </c>
      <c r="F214" s="62">
        <f t="array" ref="F214">IF($D214="","",xlookup($D214,PRODUCT!$B:$B,PRODUCT!$C:$C,""))</f>
        <v/>
      </c>
      <c r="G214" s="61" t="n"/>
      <c r="H214" s="61">
        <f t="array" ref="H214">IF($D214="","",xlookup($D214,PRODUCT!$B:$B,PRODUCT!$L:$L,""))</f>
        <v/>
      </c>
      <c r="I214" s="62">
        <f t="array" ref="I214">IF($D214="","",xlookup($D214,PRODUCT!$B:$B,PRODUCT!$M:$M,""))</f>
        <v/>
      </c>
      <c r="J214" s="60" t="n"/>
      <c r="K214" s="61" t="n"/>
      <c r="L214" s="61" t="n"/>
      <c r="M214" s="60" t="n"/>
      <c r="N214" s="2" t="n"/>
    </row>
    <row r="215" ht="15.75" customHeight="1" s="125">
      <c r="A215" s="2" t="n"/>
      <c r="B215" s="2" t="n"/>
      <c r="C215" s="62" t="n"/>
      <c r="D215" s="58" t="n"/>
      <c r="E215" s="62">
        <f t="array" ref="E215">IF($D215="","",xlookup($D215,PRODUCT!$B:$B,PRODUCT!$A:$A,""))</f>
        <v/>
      </c>
      <c r="F215" s="62">
        <f t="array" ref="F215">IF($D215="","",xlookup($D215,PRODUCT!$B:$B,PRODUCT!$C:$C,""))</f>
        <v/>
      </c>
      <c r="G215" s="61" t="n"/>
      <c r="H215" s="61">
        <f t="array" ref="H215">IF($D215="","",xlookup($D215,PRODUCT!$B:$B,PRODUCT!$L:$L,""))</f>
        <v/>
      </c>
      <c r="I215" s="62">
        <f t="array" ref="I215">IF($D215="","",xlookup($D215,PRODUCT!$B:$B,PRODUCT!$M:$M,""))</f>
        <v/>
      </c>
      <c r="J215" s="60" t="n"/>
      <c r="K215" s="61" t="n"/>
      <c r="L215" s="61" t="n"/>
      <c r="M215" s="60" t="n"/>
      <c r="N215" s="2" t="n"/>
    </row>
    <row r="216" ht="15.75" customHeight="1" s="125">
      <c r="A216" s="2" t="n"/>
      <c r="B216" s="2" t="n"/>
      <c r="C216" s="62" t="n"/>
      <c r="D216" s="58" t="n"/>
      <c r="E216" s="62">
        <f t="array" ref="E216">IF($D216="","",xlookup($D216,PRODUCT!$B:$B,PRODUCT!$A:$A,""))</f>
        <v/>
      </c>
      <c r="F216" s="62">
        <f t="array" ref="F216">IF($D216="","",xlookup($D216,PRODUCT!$B:$B,PRODUCT!$C:$C,""))</f>
        <v/>
      </c>
      <c r="G216" s="61" t="n"/>
      <c r="H216" s="61">
        <f t="array" ref="H216">IF($D216="","",xlookup($D216,PRODUCT!$B:$B,PRODUCT!$L:$L,""))</f>
        <v/>
      </c>
      <c r="I216" s="62">
        <f t="array" ref="I216">IF($D216="","",xlookup($D216,PRODUCT!$B:$B,PRODUCT!$M:$M,""))</f>
        <v/>
      </c>
      <c r="J216" s="60" t="n"/>
      <c r="K216" s="61" t="n"/>
      <c r="L216" s="61" t="n"/>
      <c r="M216" s="60" t="n"/>
      <c r="N216" s="2" t="n"/>
    </row>
    <row r="217" ht="15.75" customHeight="1" s="125">
      <c r="A217" s="2" t="n"/>
      <c r="B217" s="2" t="n"/>
      <c r="C217" s="62" t="n"/>
      <c r="D217" s="58" t="n"/>
      <c r="E217" s="62">
        <f t="array" ref="E217">IF($D217="","",xlookup($D217,PRODUCT!$B:$B,PRODUCT!$A:$A,""))</f>
        <v/>
      </c>
      <c r="F217" s="62">
        <f t="array" ref="F217">IF($D217="","",xlookup($D217,PRODUCT!$B:$B,PRODUCT!$C:$C,""))</f>
        <v/>
      </c>
      <c r="G217" s="61" t="n"/>
      <c r="H217" s="61">
        <f t="array" ref="H217">IF($D217="","",xlookup($D217,PRODUCT!$B:$B,PRODUCT!$L:$L,""))</f>
        <v/>
      </c>
      <c r="I217" s="62">
        <f t="array" ref="I217">IF($D217="","",xlookup($D217,PRODUCT!$B:$B,PRODUCT!$M:$M,""))</f>
        <v/>
      </c>
      <c r="J217" s="60" t="n"/>
      <c r="K217" s="61" t="n"/>
      <c r="L217" s="61" t="n"/>
      <c r="M217" s="60" t="n"/>
      <c r="N217" s="2" t="n"/>
    </row>
    <row r="218" ht="15.75" customHeight="1" s="125">
      <c r="A218" s="2" t="n"/>
      <c r="B218" s="2" t="n"/>
      <c r="C218" s="62" t="n"/>
      <c r="D218" s="58" t="n"/>
      <c r="E218" s="62">
        <f t="array" ref="E218">IF($D218="","",xlookup($D218,PRODUCT!$B:$B,PRODUCT!$A:$A,""))</f>
        <v/>
      </c>
      <c r="F218" s="62">
        <f t="array" ref="F218">IF($D218="","",xlookup($D218,PRODUCT!$B:$B,PRODUCT!$C:$C,""))</f>
        <v/>
      </c>
      <c r="G218" s="61" t="n"/>
      <c r="H218" s="61">
        <f t="array" ref="H218">IF($D218="","",xlookup($D218,PRODUCT!$B:$B,PRODUCT!$L:$L,""))</f>
        <v/>
      </c>
      <c r="I218" s="62">
        <f t="array" ref="I218">IF($D218="","",xlookup($D218,PRODUCT!$B:$B,PRODUCT!$M:$M,""))</f>
        <v/>
      </c>
      <c r="J218" s="60" t="n"/>
      <c r="K218" s="61" t="n"/>
      <c r="L218" s="61" t="n"/>
      <c r="M218" s="60" t="n"/>
      <c r="N218" s="2" t="n"/>
    </row>
    <row r="219" ht="15.75" customHeight="1" s="125">
      <c r="A219" s="2" t="n"/>
      <c r="B219" s="2" t="n"/>
      <c r="C219" s="62" t="n"/>
      <c r="D219" s="58" t="n"/>
      <c r="E219" s="62">
        <f t="array" ref="E219">IF($D219="","",xlookup($D219,PRODUCT!$B:$B,PRODUCT!$A:$A,""))</f>
        <v/>
      </c>
      <c r="F219" s="62">
        <f t="array" ref="F219">IF($D219="","",xlookup($D219,PRODUCT!$B:$B,PRODUCT!$C:$C,""))</f>
        <v/>
      </c>
      <c r="G219" s="61" t="n"/>
      <c r="H219" s="61">
        <f t="array" ref="H219">IF($D219="","",xlookup($D219,PRODUCT!$B:$B,PRODUCT!$L:$L,""))</f>
        <v/>
      </c>
      <c r="I219" s="62">
        <f t="array" ref="I219">IF($D219="","",xlookup($D219,PRODUCT!$B:$B,PRODUCT!$M:$M,""))</f>
        <v/>
      </c>
      <c r="J219" s="60" t="n"/>
      <c r="K219" s="61" t="n"/>
      <c r="L219" s="61" t="n"/>
      <c r="M219" s="60" t="n"/>
      <c r="N219" s="2" t="n"/>
    </row>
    <row r="220" ht="15.75" customHeight="1" s="125">
      <c r="A220" s="2" t="n"/>
      <c r="B220" s="2" t="n"/>
      <c r="C220" s="62" t="n"/>
      <c r="D220" s="58" t="n"/>
      <c r="E220" s="62">
        <f t="array" ref="E220">IF($D220="","",xlookup($D220,PRODUCT!$B:$B,PRODUCT!$A:$A,""))</f>
        <v/>
      </c>
      <c r="F220" s="62">
        <f t="array" ref="F220">IF($D220="","",xlookup($D220,PRODUCT!$B:$B,PRODUCT!$C:$C,""))</f>
        <v/>
      </c>
      <c r="G220" s="61" t="n"/>
      <c r="H220" s="61">
        <f t="array" ref="H220">IF($D220="","",xlookup($D220,PRODUCT!$B:$B,PRODUCT!$L:$L,""))</f>
        <v/>
      </c>
      <c r="I220" s="62">
        <f t="array" ref="I220">IF($D220="","",xlookup($D220,PRODUCT!$B:$B,PRODUCT!$M:$M,""))</f>
        <v/>
      </c>
      <c r="J220" s="60" t="n"/>
      <c r="K220" s="61" t="n"/>
      <c r="L220" s="61" t="n"/>
      <c r="M220" s="60" t="n"/>
      <c r="N220" s="2" t="n"/>
    </row>
    <row r="221" ht="15.75" customHeight="1" s="125">
      <c r="A221" s="2" t="n"/>
      <c r="B221" s="2" t="n"/>
      <c r="C221" s="62" t="n"/>
      <c r="D221" s="58" t="n"/>
      <c r="E221" s="62">
        <f t="array" ref="E221">IF($D221="","",xlookup($D221,PRODUCT!$B:$B,PRODUCT!$A:$A,""))</f>
        <v/>
      </c>
      <c r="F221" s="62">
        <f t="array" ref="F221">IF($D221="","",xlookup($D221,PRODUCT!$B:$B,PRODUCT!$C:$C,""))</f>
        <v/>
      </c>
      <c r="G221" s="61" t="n"/>
      <c r="H221" s="61">
        <f t="array" ref="H221">IF($D221="","",xlookup($D221,PRODUCT!$B:$B,PRODUCT!$L:$L,""))</f>
        <v/>
      </c>
      <c r="I221" s="62">
        <f t="array" ref="I221">IF($D221="","",xlookup($D221,PRODUCT!$B:$B,PRODUCT!$M:$M,""))</f>
        <v/>
      </c>
      <c r="J221" s="60" t="n"/>
      <c r="K221" s="61" t="n"/>
      <c r="L221" s="61" t="n"/>
      <c r="M221" s="60" t="n"/>
      <c r="N221" s="2" t="n"/>
    </row>
    <row r="222" ht="15.75" customHeight="1" s="125">
      <c r="A222" s="2" t="n"/>
      <c r="B222" s="2" t="n"/>
      <c r="C222" s="62" t="n"/>
      <c r="D222" s="58" t="n"/>
      <c r="E222" s="62">
        <f t="array" ref="E222">IF($D222="","",xlookup($D222,PRODUCT!$B:$B,PRODUCT!$A:$A,""))</f>
        <v/>
      </c>
      <c r="F222" s="62">
        <f t="array" ref="F222">IF($D222="","",xlookup($D222,PRODUCT!$B:$B,PRODUCT!$C:$C,""))</f>
        <v/>
      </c>
      <c r="G222" s="61" t="n"/>
      <c r="H222" s="61">
        <f t="array" ref="H222">IF($D222="","",xlookup($D222,PRODUCT!$B:$B,PRODUCT!$L:$L,""))</f>
        <v/>
      </c>
      <c r="I222" s="62">
        <f t="array" ref="I222">IF($D222="","",xlookup($D222,PRODUCT!$B:$B,PRODUCT!$M:$M,""))</f>
        <v/>
      </c>
      <c r="J222" s="60" t="n"/>
      <c r="K222" s="61" t="n"/>
      <c r="L222" s="61" t="n"/>
      <c r="M222" s="60" t="n"/>
      <c r="N222" s="2" t="n"/>
    </row>
    <row r="223" ht="15.75" customHeight="1" s="125">
      <c r="A223" s="2" t="n"/>
      <c r="B223" s="2" t="n"/>
      <c r="C223" s="62" t="n"/>
      <c r="D223" s="58" t="n"/>
      <c r="E223" s="62">
        <f t="array" ref="E223">IF($D223="","",xlookup($D223,PRODUCT!$B:$B,PRODUCT!$A:$A,""))</f>
        <v/>
      </c>
      <c r="F223" s="62">
        <f t="array" ref="F223">IF($D223="","",xlookup($D223,PRODUCT!$B:$B,PRODUCT!$C:$C,""))</f>
        <v/>
      </c>
      <c r="G223" s="61" t="n"/>
      <c r="H223" s="61">
        <f t="array" ref="H223">IF($D223="","",xlookup($D223,PRODUCT!$B:$B,PRODUCT!$L:$L,""))</f>
        <v/>
      </c>
      <c r="I223" s="62">
        <f t="array" ref="I223">IF($D223="","",xlookup($D223,PRODUCT!$B:$B,PRODUCT!$M:$M,""))</f>
        <v/>
      </c>
      <c r="J223" s="60" t="n"/>
      <c r="K223" s="61" t="n"/>
      <c r="L223" s="61" t="n"/>
      <c r="M223" s="60" t="n"/>
      <c r="N223" s="2" t="n"/>
    </row>
    <row r="224" ht="15.75" customHeight="1" s="125">
      <c r="A224" s="2" t="n"/>
      <c r="B224" s="2" t="n"/>
      <c r="C224" s="62" t="n"/>
      <c r="D224" s="58" t="n"/>
      <c r="E224" s="62">
        <f t="array" ref="E224">IF($D224="","",xlookup($D224,PRODUCT!$B:$B,PRODUCT!$A:$A,""))</f>
        <v/>
      </c>
      <c r="F224" s="62">
        <f t="array" ref="F224">IF($D224="","",xlookup($D224,PRODUCT!$B:$B,PRODUCT!$C:$C,""))</f>
        <v/>
      </c>
      <c r="G224" s="61" t="n"/>
      <c r="H224" s="61">
        <f t="array" ref="H224">IF($D224="","",xlookup($D224,PRODUCT!$B:$B,PRODUCT!$L:$L,""))</f>
        <v/>
      </c>
      <c r="I224" s="62">
        <f t="array" ref="I224">IF($D224="","",xlookup($D224,PRODUCT!$B:$B,PRODUCT!$M:$M,""))</f>
        <v/>
      </c>
      <c r="J224" s="60" t="n"/>
      <c r="K224" s="61" t="n"/>
      <c r="L224" s="61" t="n"/>
      <c r="M224" s="60" t="n"/>
      <c r="N224" s="2" t="n"/>
    </row>
    <row r="225" ht="15.75" customHeight="1" s="125">
      <c r="A225" s="2" t="n"/>
      <c r="B225" s="2" t="n"/>
      <c r="C225" s="62" t="n"/>
      <c r="D225" s="58" t="n"/>
      <c r="E225" s="62">
        <f t="array" ref="E225">IF($D225="","",xlookup($D225,PRODUCT!$B:$B,PRODUCT!$A:$A,""))</f>
        <v/>
      </c>
      <c r="F225" s="62">
        <f t="array" ref="F225">IF($D225="","",xlookup($D225,PRODUCT!$B:$B,PRODUCT!$C:$C,""))</f>
        <v/>
      </c>
      <c r="G225" s="61" t="n"/>
      <c r="H225" s="61">
        <f t="array" ref="H225">IF($D225="","",xlookup($D225,PRODUCT!$B:$B,PRODUCT!$L:$L,""))</f>
        <v/>
      </c>
      <c r="I225" s="62">
        <f t="array" ref="I225">IF($D225="","",xlookup($D225,PRODUCT!$B:$B,PRODUCT!$M:$M,""))</f>
        <v/>
      </c>
      <c r="J225" s="60" t="n"/>
      <c r="K225" s="61" t="n"/>
      <c r="L225" s="61" t="n"/>
      <c r="M225" s="60" t="n"/>
      <c r="N225" s="2" t="n"/>
    </row>
    <row r="226" ht="15.75" customHeight="1" s="125">
      <c r="A226" s="2" t="n"/>
      <c r="B226" s="2" t="n"/>
      <c r="C226" s="62" t="n"/>
      <c r="D226" s="58" t="n"/>
      <c r="E226" s="62">
        <f t="array" ref="E226">IF($D226="","",xlookup($D226,PRODUCT!$B:$B,PRODUCT!$A:$A,""))</f>
        <v/>
      </c>
      <c r="F226" s="62">
        <f t="array" ref="F226">IF($D226="","",xlookup($D226,PRODUCT!$B:$B,PRODUCT!$C:$C,""))</f>
        <v/>
      </c>
      <c r="G226" s="61" t="n"/>
      <c r="H226" s="61">
        <f t="array" ref="H226">IF($D226="","",xlookup($D226,PRODUCT!$B:$B,PRODUCT!$L:$L,""))</f>
        <v/>
      </c>
      <c r="I226" s="62">
        <f t="array" ref="I226">IF($D226="","",xlookup($D226,PRODUCT!$B:$B,PRODUCT!$M:$M,""))</f>
        <v/>
      </c>
      <c r="J226" s="60" t="n"/>
      <c r="K226" s="61" t="n"/>
      <c r="L226" s="61" t="n"/>
      <c r="M226" s="60" t="n"/>
      <c r="N226" s="2" t="n"/>
    </row>
    <row r="227" ht="15.75" customHeight="1" s="125">
      <c r="A227" s="2" t="n"/>
      <c r="B227" s="2" t="n"/>
      <c r="C227" s="62" t="n"/>
      <c r="D227" s="58" t="n"/>
      <c r="E227" s="62">
        <f t="array" ref="E227">IF($D227="","",xlookup($D227,PRODUCT!$B:$B,PRODUCT!$A:$A,""))</f>
        <v/>
      </c>
      <c r="F227" s="62">
        <f t="array" ref="F227">IF($D227="","",xlookup($D227,PRODUCT!$B:$B,PRODUCT!$C:$C,""))</f>
        <v/>
      </c>
      <c r="G227" s="61" t="n"/>
      <c r="H227" s="61">
        <f t="array" ref="H227">IF($D227="","",xlookup($D227,PRODUCT!$B:$B,PRODUCT!$L:$L,""))</f>
        <v/>
      </c>
      <c r="I227" s="62">
        <f t="array" ref="I227">IF($D227="","",xlookup($D227,PRODUCT!$B:$B,PRODUCT!$M:$M,""))</f>
        <v/>
      </c>
      <c r="J227" s="60" t="n"/>
      <c r="K227" s="61" t="n"/>
      <c r="L227" s="61" t="n"/>
      <c r="M227" s="60" t="n"/>
      <c r="N227" s="2" t="n"/>
    </row>
    <row r="228" ht="15.75" customHeight="1" s="125">
      <c r="A228" s="2" t="n"/>
      <c r="B228" s="2" t="n"/>
      <c r="C228" s="62" t="n"/>
      <c r="D228" s="58" t="n"/>
      <c r="E228" s="62">
        <f t="array" ref="E228">IF($D228="","",xlookup($D228,PRODUCT!$B:$B,PRODUCT!$A:$A,""))</f>
        <v/>
      </c>
      <c r="F228" s="62">
        <f t="array" ref="F228">IF($D228="","",xlookup($D228,PRODUCT!$B:$B,PRODUCT!$C:$C,""))</f>
        <v/>
      </c>
      <c r="G228" s="61" t="n"/>
      <c r="H228" s="61">
        <f t="array" ref="H228">IF($D228="","",xlookup($D228,PRODUCT!$B:$B,PRODUCT!$L:$L,""))</f>
        <v/>
      </c>
      <c r="I228" s="62">
        <f t="array" ref="I228">IF($D228="","",xlookup($D228,PRODUCT!$B:$B,PRODUCT!$M:$M,""))</f>
        <v/>
      </c>
      <c r="J228" s="60" t="n"/>
      <c r="K228" s="61" t="n"/>
      <c r="L228" s="61" t="n"/>
      <c r="M228" s="60" t="n"/>
      <c r="N228" s="2" t="n"/>
    </row>
    <row r="229" ht="15.75" customHeight="1" s="125">
      <c r="A229" s="2" t="n"/>
      <c r="B229" s="2" t="n"/>
      <c r="C229" s="62" t="n"/>
      <c r="D229" s="58" t="n"/>
      <c r="E229" s="62">
        <f t="array" ref="E229">IF($D229="","",xlookup($D229,PRODUCT!$B:$B,PRODUCT!$A:$A,""))</f>
        <v/>
      </c>
      <c r="F229" s="62">
        <f t="array" ref="F229">IF($D229="","",xlookup($D229,PRODUCT!$B:$B,PRODUCT!$C:$C,""))</f>
        <v/>
      </c>
      <c r="G229" s="61" t="n"/>
      <c r="H229" s="61">
        <f t="array" ref="H229">IF($D229="","",xlookup($D229,PRODUCT!$B:$B,PRODUCT!$L:$L,""))</f>
        <v/>
      </c>
      <c r="I229" s="62">
        <f t="array" ref="I229">IF($D229="","",xlookup($D229,PRODUCT!$B:$B,PRODUCT!$M:$M,""))</f>
        <v/>
      </c>
      <c r="J229" s="60" t="n"/>
      <c r="K229" s="61" t="n"/>
      <c r="L229" s="61" t="n"/>
      <c r="M229" s="60" t="n"/>
      <c r="N229" s="2" t="n"/>
    </row>
    <row r="230" ht="15.75" customHeight="1" s="125">
      <c r="A230" s="2" t="n"/>
      <c r="B230" s="2" t="n"/>
      <c r="C230" s="62" t="n"/>
      <c r="D230" s="58" t="n"/>
      <c r="E230" s="62">
        <f t="array" ref="E230">IF($D230="","",xlookup($D230,PRODUCT!$B:$B,PRODUCT!$A:$A,""))</f>
        <v/>
      </c>
      <c r="F230" s="62">
        <f t="array" ref="F230">IF($D230="","",xlookup($D230,PRODUCT!$B:$B,PRODUCT!$C:$C,""))</f>
        <v/>
      </c>
      <c r="G230" s="61" t="n"/>
      <c r="H230" s="61">
        <f t="array" ref="H230">IF($D230="","",xlookup($D230,PRODUCT!$B:$B,PRODUCT!$L:$L,""))</f>
        <v/>
      </c>
      <c r="I230" s="62">
        <f t="array" ref="I230">IF($D230="","",xlookup($D230,PRODUCT!$B:$B,PRODUCT!$M:$M,""))</f>
        <v/>
      </c>
      <c r="J230" s="60" t="n"/>
      <c r="K230" s="61" t="n"/>
      <c r="L230" s="61" t="n"/>
      <c r="M230" s="60" t="n"/>
      <c r="N230" s="2" t="n"/>
    </row>
    <row r="231" ht="15.75" customHeight="1" s="125">
      <c r="A231" s="2" t="n"/>
      <c r="B231" s="2" t="n"/>
      <c r="C231" s="62" t="n"/>
      <c r="D231" s="58" t="n"/>
      <c r="E231" s="62">
        <f t="array" ref="E231">IF($D231="","",xlookup($D231,PRODUCT!$B:$B,PRODUCT!$A:$A,""))</f>
        <v/>
      </c>
      <c r="F231" s="62">
        <f t="array" ref="F231">IF($D231="","",xlookup($D231,PRODUCT!$B:$B,PRODUCT!$C:$C,""))</f>
        <v/>
      </c>
      <c r="G231" s="61" t="n"/>
      <c r="H231" s="61">
        <f t="array" ref="H231">IF($D231="","",xlookup($D231,PRODUCT!$B:$B,PRODUCT!$L:$L,""))</f>
        <v/>
      </c>
      <c r="I231" s="62">
        <f t="array" ref="I231">IF($D231="","",xlookup($D231,PRODUCT!$B:$B,PRODUCT!$M:$M,""))</f>
        <v/>
      </c>
      <c r="J231" s="60" t="n"/>
      <c r="K231" s="61" t="n"/>
      <c r="L231" s="61" t="n"/>
      <c r="M231" s="60" t="n"/>
      <c r="N231" s="2" t="n"/>
    </row>
    <row r="232" ht="15.75" customHeight="1" s="125">
      <c r="A232" s="2" t="n"/>
      <c r="B232" s="2" t="n"/>
      <c r="C232" s="62" t="n"/>
      <c r="D232" s="58" t="n"/>
      <c r="E232" s="62">
        <f t="array" ref="E232">IF($D232="","",xlookup($D232,PRODUCT!$B:$B,PRODUCT!$A:$A,""))</f>
        <v/>
      </c>
      <c r="F232" s="62">
        <f t="array" ref="F232">IF($D232="","",xlookup($D232,PRODUCT!$B:$B,PRODUCT!$C:$C,""))</f>
        <v/>
      </c>
      <c r="G232" s="61" t="n"/>
      <c r="H232" s="61">
        <f t="array" ref="H232">IF($D232="","",xlookup($D232,PRODUCT!$B:$B,PRODUCT!$L:$L,""))</f>
        <v/>
      </c>
      <c r="I232" s="62">
        <f t="array" ref="I232">IF($D232="","",xlookup($D232,PRODUCT!$B:$B,PRODUCT!$M:$M,""))</f>
        <v/>
      </c>
      <c r="J232" s="60" t="n"/>
      <c r="K232" s="61" t="n"/>
      <c r="L232" s="61" t="n"/>
      <c r="M232" s="60" t="n"/>
      <c r="N232" s="2" t="n"/>
    </row>
    <row r="233" ht="15.75" customHeight="1" s="125">
      <c r="A233" s="2" t="n"/>
      <c r="B233" s="2" t="n"/>
      <c r="C233" s="62" t="n"/>
      <c r="D233" s="58" t="n"/>
      <c r="E233" s="62">
        <f t="array" ref="E233">IF($D233="","",xlookup($D233,PRODUCT!$B:$B,PRODUCT!$A:$A,""))</f>
        <v/>
      </c>
      <c r="F233" s="62">
        <f t="array" ref="F233">IF($D233="","",xlookup($D233,PRODUCT!$B:$B,PRODUCT!$C:$C,""))</f>
        <v/>
      </c>
      <c r="G233" s="61" t="n"/>
      <c r="H233" s="61">
        <f t="array" ref="H233">IF($D233="","",xlookup($D233,PRODUCT!$B:$B,PRODUCT!$L:$L,""))</f>
        <v/>
      </c>
      <c r="I233" s="62">
        <f t="array" ref="I233">IF($D233="","",xlookup($D233,PRODUCT!$B:$B,PRODUCT!$M:$M,""))</f>
        <v/>
      </c>
      <c r="J233" s="60" t="n"/>
      <c r="K233" s="61" t="n"/>
      <c r="L233" s="61" t="n"/>
      <c r="M233" s="60" t="n"/>
      <c r="N233" s="2" t="n"/>
    </row>
    <row r="234" ht="15.75" customHeight="1" s="125">
      <c r="A234" s="2" t="n"/>
      <c r="B234" s="2" t="n"/>
      <c r="C234" s="62" t="n"/>
      <c r="D234" s="58" t="n"/>
      <c r="E234" s="62">
        <f t="array" ref="E234">IF($D234="","",xlookup($D234,PRODUCT!$B:$B,PRODUCT!$A:$A,""))</f>
        <v/>
      </c>
      <c r="F234" s="62">
        <f t="array" ref="F234">IF($D234="","",xlookup($D234,PRODUCT!$B:$B,PRODUCT!$C:$C,""))</f>
        <v/>
      </c>
      <c r="G234" s="61" t="n"/>
      <c r="H234" s="61">
        <f t="array" ref="H234">IF($D234="","",xlookup($D234,PRODUCT!$B:$B,PRODUCT!$L:$L,""))</f>
        <v/>
      </c>
      <c r="I234" s="62">
        <f t="array" ref="I234">IF($D234="","",xlookup($D234,PRODUCT!$B:$B,PRODUCT!$M:$M,""))</f>
        <v/>
      </c>
      <c r="J234" s="60" t="n"/>
      <c r="K234" s="61" t="n"/>
      <c r="L234" s="61" t="n"/>
      <c r="M234" s="60" t="n"/>
      <c r="N234" s="2" t="n"/>
    </row>
    <row r="235" ht="15.75" customHeight="1" s="125">
      <c r="A235" s="2" t="n"/>
      <c r="B235" s="2" t="n"/>
      <c r="C235" s="62" t="n"/>
      <c r="D235" s="58" t="n"/>
      <c r="E235" s="62">
        <f t="array" ref="E235">IF($D235="","",xlookup($D235,PRODUCT!$B:$B,PRODUCT!$A:$A,""))</f>
        <v/>
      </c>
      <c r="F235" s="62">
        <f t="array" ref="F235">IF($D235="","",xlookup($D235,PRODUCT!$B:$B,PRODUCT!$C:$C,""))</f>
        <v/>
      </c>
      <c r="G235" s="61" t="n"/>
      <c r="H235" s="61">
        <f t="array" ref="H235">IF($D235="","",xlookup($D235,PRODUCT!$B:$B,PRODUCT!$L:$L,""))</f>
        <v/>
      </c>
      <c r="I235" s="62">
        <f t="array" ref="I235">IF($D235="","",xlookup($D235,PRODUCT!$B:$B,PRODUCT!$M:$M,""))</f>
        <v/>
      </c>
      <c r="J235" s="60" t="n"/>
      <c r="K235" s="61" t="n"/>
      <c r="L235" s="61" t="n"/>
      <c r="M235" s="60" t="n"/>
      <c r="N235" s="2" t="n"/>
    </row>
    <row r="236" ht="15.75" customHeight="1" s="125">
      <c r="A236" s="2" t="n"/>
      <c r="B236" s="2" t="n"/>
      <c r="C236" s="62" t="n"/>
      <c r="D236" s="58" t="n"/>
      <c r="E236" s="62">
        <f t="array" ref="E236">IF($D236="","",xlookup($D236,PRODUCT!$B:$B,PRODUCT!$A:$A,""))</f>
        <v/>
      </c>
      <c r="F236" s="62">
        <f t="array" ref="F236">IF($D236="","",xlookup($D236,PRODUCT!$B:$B,PRODUCT!$C:$C,""))</f>
        <v/>
      </c>
      <c r="G236" s="61" t="n"/>
      <c r="H236" s="61">
        <f t="array" ref="H236">IF($D236="","",xlookup($D236,PRODUCT!$B:$B,PRODUCT!$L:$L,""))</f>
        <v/>
      </c>
      <c r="I236" s="62">
        <f t="array" ref="I236">IF($D236="","",xlookup($D236,PRODUCT!$B:$B,PRODUCT!$M:$M,""))</f>
        <v/>
      </c>
      <c r="J236" s="60" t="n"/>
      <c r="K236" s="61" t="n"/>
      <c r="L236" s="61" t="n"/>
      <c r="M236" s="60" t="n"/>
      <c r="N236" s="2" t="n"/>
    </row>
    <row r="237" ht="15.75" customHeight="1" s="125">
      <c r="A237" s="2" t="n"/>
      <c r="B237" s="2" t="n"/>
      <c r="C237" s="62" t="n"/>
      <c r="D237" s="58" t="n"/>
      <c r="E237" s="62">
        <f t="array" ref="E237">IF($D237="","",xlookup($D237,PRODUCT!$B:$B,PRODUCT!$A:$A,""))</f>
        <v/>
      </c>
      <c r="F237" s="62">
        <f t="array" ref="F237">IF($D237="","",xlookup($D237,PRODUCT!$B:$B,PRODUCT!$C:$C,""))</f>
        <v/>
      </c>
      <c r="G237" s="61" t="n"/>
      <c r="H237" s="61">
        <f t="array" ref="H237">IF($D237="","",xlookup($D237,PRODUCT!$B:$B,PRODUCT!$L:$L,""))</f>
        <v/>
      </c>
      <c r="I237" s="62">
        <f t="array" ref="I237">IF($D237="","",xlookup($D237,PRODUCT!$B:$B,PRODUCT!$M:$M,""))</f>
        <v/>
      </c>
      <c r="J237" s="60" t="n"/>
      <c r="K237" s="61" t="n"/>
      <c r="L237" s="61" t="n"/>
      <c r="M237" s="60" t="n"/>
      <c r="N237" s="2" t="n"/>
    </row>
    <row r="238" ht="15.75" customHeight="1" s="125">
      <c r="A238" s="2" t="n"/>
      <c r="B238" s="2" t="n"/>
      <c r="C238" s="62" t="n"/>
      <c r="D238" s="58" t="n"/>
      <c r="E238" s="62">
        <f t="array" ref="E238">IF($D238="","",xlookup($D238,PRODUCT!$B:$B,PRODUCT!$A:$A,""))</f>
        <v/>
      </c>
      <c r="F238" s="62">
        <f t="array" ref="F238">IF($D238="","",xlookup($D238,PRODUCT!$B:$B,PRODUCT!$C:$C,""))</f>
        <v/>
      </c>
      <c r="G238" s="61" t="n"/>
      <c r="H238" s="61">
        <f t="array" ref="H238">IF($D238="","",xlookup($D238,PRODUCT!$B:$B,PRODUCT!$L:$L,""))</f>
        <v/>
      </c>
      <c r="I238" s="62">
        <f t="array" ref="I238">IF($D238="","",xlookup($D238,PRODUCT!$B:$B,PRODUCT!$M:$M,""))</f>
        <v/>
      </c>
      <c r="J238" s="60" t="n"/>
      <c r="K238" s="61" t="n"/>
      <c r="L238" s="61" t="n"/>
      <c r="M238" s="60" t="n"/>
      <c r="N238" s="2" t="n"/>
    </row>
    <row r="239" ht="15.75" customHeight="1" s="125">
      <c r="A239" s="2" t="n"/>
      <c r="B239" s="2" t="n"/>
      <c r="C239" s="62" t="n"/>
      <c r="D239" s="58" t="n"/>
      <c r="E239" s="62">
        <f t="array" ref="E239">IF($D239="","",xlookup($D239,PRODUCT!$B:$B,PRODUCT!$A:$A,""))</f>
        <v/>
      </c>
      <c r="F239" s="62">
        <f t="array" ref="F239">IF($D239="","",xlookup($D239,PRODUCT!$B:$B,PRODUCT!$C:$C,""))</f>
        <v/>
      </c>
      <c r="G239" s="61" t="n"/>
      <c r="H239" s="61">
        <f t="array" ref="H239">IF($D239="","",xlookup($D239,PRODUCT!$B:$B,PRODUCT!$L:$L,""))</f>
        <v/>
      </c>
      <c r="I239" s="62">
        <f t="array" ref="I239">IF($D239="","",xlookup($D239,PRODUCT!$B:$B,PRODUCT!$M:$M,""))</f>
        <v/>
      </c>
      <c r="J239" s="60" t="n"/>
      <c r="K239" s="61" t="n"/>
      <c r="L239" s="61" t="n"/>
      <c r="M239" s="60" t="n"/>
      <c r="N239" s="2" t="n"/>
    </row>
    <row r="240" ht="15.75" customHeight="1" s="125">
      <c r="A240" s="2" t="n"/>
      <c r="B240" s="2" t="n"/>
      <c r="C240" s="62" t="n"/>
      <c r="D240" s="58" t="n"/>
      <c r="E240" s="62">
        <f t="array" ref="E240">IF($D240="","",xlookup($D240,PRODUCT!$B:$B,PRODUCT!$A:$A,""))</f>
        <v/>
      </c>
      <c r="F240" s="62">
        <f t="array" ref="F240">IF($D240="","",xlookup($D240,PRODUCT!$B:$B,PRODUCT!$C:$C,""))</f>
        <v/>
      </c>
      <c r="G240" s="61" t="n"/>
      <c r="H240" s="61">
        <f t="array" ref="H240">IF($D240="","",xlookup($D240,PRODUCT!$B:$B,PRODUCT!$L:$L,""))</f>
        <v/>
      </c>
      <c r="I240" s="62">
        <f t="array" ref="I240">IF($D240="","",xlookup($D240,PRODUCT!$B:$B,PRODUCT!$M:$M,""))</f>
        <v/>
      </c>
      <c r="J240" s="60" t="n"/>
      <c r="K240" s="61" t="n"/>
      <c r="L240" s="61" t="n"/>
      <c r="M240" s="60" t="n"/>
      <c r="N240" s="2" t="n"/>
    </row>
    <row r="241" ht="15.75" customHeight="1" s="125">
      <c r="A241" s="2" t="n"/>
      <c r="B241" s="2" t="n"/>
      <c r="C241" s="62" t="n"/>
      <c r="D241" s="58" t="n"/>
      <c r="E241" s="62">
        <f t="array" ref="E241">IF($D241="","",xlookup($D241,PRODUCT!$B:$B,PRODUCT!$A:$A,""))</f>
        <v/>
      </c>
      <c r="F241" s="62">
        <f t="array" ref="F241">IF($D241="","",xlookup($D241,PRODUCT!$B:$B,PRODUCT!$C:$C,""))</f>
        <v/>
      </c>
      <c r="G241" s="61" t="n"/>
      <c r="H241" s="61">
        <f t="array" ref="H241">IF($D241="","",xlookup($D241,PRODUCT!$B:$B,PRODUCT!$L:$L,""))</f>
        <v/>
      </c>
      <c r="I241" s="62">
        <f t="array" ref="I241">IF($D241="","",xlookup($D241,PRODUCT!$B:$B,PRODUCT!$M:$M,""))</f>
        <v/>
      </c>
      <c r="J241" s="60" t="n"/>
      <c r="K241" s="61" t="n"/>
      <c r="L241" s="61" t="n"/>
      <c r="M241" s="60" t="n"/>
      <c r="N241" s="2" t="n"/>
    </row>
    <row r="242" ht="15.75" customHeight="1" s="125">
      <c r="A242" s="2" t="n"/>
      <c r="B242" s="2" t="n"/>
      <c r="C242" s="62" t="n"/>
      <c r="D242" s="58" t="n"/>
      <c r="E242" s="62">
        <f t="array" ref="E242">IF($D242="","",xlookup($D242,PRODUCT!$B:$B,PRODUCT!$A:$A,""))</f>
        <v/>
      </c>
      <c r="F242" s="62">
        <f t="array" ref="F242">IF($D242="","",xlookup($D242,PRODUCT!$B:$B,PRODUCT!$C:$C,""))</f>
        <v/>
      </c>
      <c r="G242" s="61" t="n"/>
      <c r="H242" s="61">
        <f t="array" ref="H242">IF($D242="","",xlookup($D242,PRODUCT!$B:$B,PRODUCT!$L:$L,""))</f>
        <v/>
      </c>
      <c r="I242" s="62">
        <f t="array" ref="I242">IF($D242="","",xlookup($D242,PRODUCT!$B:$B,PRODUCT!$M:$M,""))</f>
        <v/>
      </c>
      <c r="J242" s="60" t="n"/>
      <c r="K242" s="61" t="n"/>
      <c r="L242" s="61" t="n"/>
      <c r="M242" s="60" t="n"/>
      <c r="N242" s="2" t="n"/>
    </row>
    <row r="243" ht="15.75" customHeight="1" s="125">
      <c r="A243" s="2" t="n"/>
      <c r="B243" s="2" t="n"/>
      <c r="C243" s="62" t="n"/>
      <c r="D243" s="58" t="n"/>
      <c r="E243" s="62">
        <f t="array" ref="E243">IF($D243="","",xlookup($D243,PRODUCT!$B:$B,PRODUCT!$A:$A,""))</f>
        <v/>
      </c>
      <c r="F243" s="62">
        <f t="array" ref="F243">IF($D243="","",xlookup($D243,PRODUCT!$B:$B,PRODUCT!$C:$C,""))</f>
        <v/>
      </c>
      <c r="G243" s="61" t="n"/>
      <c r="H243" s="61">
        <f t="array" ref="H243">IF($D243="","",xlookup($D243,PRODUCT!$B:$B,PRODUCT!$L:$L,""))</f>
        <v/>
      </c>
      <c r="I243" s="62">
        <f t="array" ref="I243">IF($D243="","",xlookup($D243,PRODUCT!$B:$B,PRODUCT!$M:$M,""))</f>
        <v/>
      </c>
      <c r="J243" s="60" t="n"/>
      <c r="K243" s="61" t="n"/>
      <c r="L243" s="61" t="n"/>
      <c r="M243" s="60" t="n"/>
      <c r="N243" s="2" t="n"/>
    </row>
    <row r="244" ht="15.75" customHeight="1" s="125">
      <c r="A244" s="2" t="n"/>
      <c r="B244" s="2" t="n"/>
      <c r="C244" s="62" t="n"/>
      <c r="D244" s="58" t="n"/>
      <c r="E244" s="62">
        <f t="array" ref="E244">IF($D244="","",xlookup($D244,PRODUCT!$B:$B,PRODUCT!$A:$A,""))</f>
        <v/>
      </c>
      <c r="F244" s="62">
        <f t="array" ref="F244">IF($D244="","",xlookup($D244,PRODUCT!$B:$B,PRODUCT!$C:$C,""))</f>
        <v/>
      </c>
      <c r="G244" s="61" t="n"/>
      <c r="H244" s="61">
        <f t="array" ref="H244">IF($D244="","",xlookup($D244,PRODUCT!$B:$B,PRODUCT!$L:$L,""))</f>
        <v/>
      </c>
      <c r="I244" s="62">
        <f t="array" ref="I244">IF($D244="","",xlookup($D244,PRODUCT!$B:$B,PRODUCT!$M:$M,""))</f>
        <v/>
      </c>
      <c r="J244" s="60" t="n"/>
      <c r="K244" s="61" t="n"/>
      <c r="L244" s="61" t="n"/>
      <c r="M244" s="60" t="n"/>
      <c r="N244" s="2" t="n"/>
    </row>
    <row r="245" ht="15.75" customHeight="1" s="125">
      <c r="A245" s="2" t="n"/>
      <c r="B245" s="2" t="n"/>
      <c r="C245" s="62" t="n"/>
      <c r="D245" s="58" t="n"/>
      <c r="E245" s="62">
        <f t="array" ref="E245">IF($D245="","",xlookup($D245,PRODUCT!$B:$B,PRODUCT!$A:$A,""))</f>
        <v/>
      </c>
      <c r="F245" s="62">
        <f t="array" ref="F245">IF($D245="","",xlookup($D245,PRODUCT!$B:$B,PRODUCT!$C:$C,""))</f>
        <v/>
      </c>
      <c r="G245" s="61" t="n"/>
      <c r="H245" s="61">
        <f t="array" ref="H245">IF($D245="","",xlookup($D245,PRODUCT!$B:$B,PRODUCT!$L:$L,""))</f>
        <v/>
      </c>
      <c r="I245" s="62">
        <f t="array" ref="I245">IF($D245="","",xlookup($D245,PRODUCT!$B:$B,PRODUCT!$M:$M,""))</f>
        <v/>
      </c>
      <c r="J245" s="60" t="n"/>
      <c r="K245" s="61" t="n"/>
      <c r="L245" s="61" t="n"/>
      <c r="M245" s="60" t="n"/>
      <c r="N245" s="2" t="n"/>
    </row>
    <row r="246" ht="15.75" customHeight="1" s="125">
      <c r="A246" s="2" t="n"/>
      <c r="B246" s="2" t="n"/>
      <c r="C246" s="62" t="n"/>
      <c r="D246" s="58" t="n"/>
      <c r="E246" s="62">
        <f t="array" ref="E246">IF($D246="","",xlookup($D246,PRODUCT!$B:$B,PRODUCT!$A:$A,""))</f>
        <v/>
      </c>
      <c r="F246" s="62">
        <f t="array" ref="F246">IF($D246="","",xlookup($D246,PRODUCT!$B:$B,PRODUCT!$C:$C,""))</f>
        <v/>
      </c>
      <c r="G246" s="61" t="n"/>
      <c r="H246" s="61">
        <f t="array" ref="H246">IF($D246="","",xlookup($D246,PRODUCT!$B:$B,PRODUCT!$L:$L,""))</f>
        <v/>
      </c>
      <c r="I246" s="62">
        <f t="array" ref="I246">IF($D246="","",xlookup($D246,PRODUCT!$B:$B,PRODUCT!$M:$M,""))</f>
        <v/>
      </c>
      <c r="J246" s="60" t="n"/>
      <c r="K246" s="61" t="n"/>
      <c r="L246" s="61" t="n"/>
      <c r="M246" s="60" t="n"/>
      <c r="N246" s="2" t="n"/>
    </row>
    <row r="247" ht="15.75" customHeight="1" s="125">
      <c r="A247" s="2" t="n"/>
      <c r="B247" s="2" t="n"/>
      <c r="C247" s="62" t="n"/>
      <c r="D247" s="58" t="n"/>
      <c r="E247" s="62">
        <f t="array" ref="E247">IF($D247="","",xlookup($D247,PRODUCT!$B:$B,PRODUCT!$A:$A,""))</f>
        <v/>
      </c>
      <c r="F247" s="62">
        <f t="array" ref="F247">IF($D247="","",xlookup($D247,PRODUCT!$B:$B,PRODUCT!$C:$C,""))</f>
        <v/>
      </c>
      <c r="G247" s="61" t="n"/>
      <c r="H247" s="61">
        <f t="array" ref="H247">IF($D247="","",xlookup($D247,PRODUCT!$B:$B,PRODUCT!$L:$L,""))</f>
        <v/>
      </c>
      <c r="I247" s="62">
        <f t="array" ref="I247">IF($D247="","",xlookup($D247,PRODUCT!$B:$B,PRODUCT!$M:$M,""))</f>
        <v/>
      </c>
      <c r="J247" s="60" t="n"/>
      <c r="K247" s="61" t="n"/>
      <c r="L247" s="61" t="n"/>
      <c r="M247" s="60" t="n"/>
      <c r="N247" s="2" t="n"/>
    </row>
    <row r="248" ht="15.75" customHeight="1" s="125">
      <c r="A248" s="2" t="n"/>
      <c r="B248" s="2" t="n"/>
      <c r="C248" s="62" t="n"/>
      <c r="D248" s="58" t="n"/>
      <c r="E248" s="62">
        <f t="array" ref="E248">IF($D248="","",xlookup($D248,PRODUCT!$B:$B,PRODUCT!$A:$A,""))</f>
        <v/>
      </c>
      <c r="F248" s="62">
        <f t="array" ref="F248">IF($D248="","",xlookup($D248,PRODUCT!$B:$B,PRODUCT!$C:$C,""))</f>
        <v/>
      </c>
      <c r="G248" s="61" t="n"/>
      <c r="H248" s="61">
        <f t="array" ref="H248">IF($D248="","",xlookup($D248,PRODUCT!$B:$B,PRODUCT!$L:$L,""))</f>
        <v/>
      </c>
      <c r="I248" s="62">
        <f t="array" ref="I248">IF($D248="","",xlookup($D248,PRODUCT!$B:$B,PRODUCT!$M:$M,""))</f>
        <v/>
      </c>
      <c r="J248" s="60" t="n"/>
      <c r="K248" s="61" t="n"/>
      <c r="L248" s="61" t="n"/>
      <c r="M248" s="60" t="n"/>
      <c r="N248" s="2" t="n"/>
    </row>
    <row r="249" ht="15.75" customHeight="1" s="125">
      <c r="A249" s="2" t="n"/>
      <c r="B249" s="2" t="n"/>
      <c r="C249" s="62" t="n"/>
      <c r="D249" s="58" t="n"/>
      <c r="E249" s="62">
        <f t="array" ref="E249">IF($D249="","",xlookup($D249,PRODUCT!$B:$B,PRODUCT!$A:$A,""))</f>
        <v/>
      </c>
      <c r="F249" s="62">
        <f t="array" ref="F249">IF($D249="","",xlookup($D249,PRODUCT!$B:$B,PRODUCT!$C:$C,""))</f>
        <v/>
      </c>
      <c r="G249" s="61" t="n"/>
      <c r="H249" s="61">
        <f t="array" ref="H249">IF($D249="","",xlookup($D249,PRODUCT!$B:$B,PRODUCT!$L:$L,""))</f>
        <v/>
      </c>
      <c r="I249" s="62">
        <f t="array" ref="I249">IF($D249="","",xlookup($D249,PRODUCT!$B:$B,PRODUCT!$M:$M,""))</f>
        <v/>
      </c>
      <c r="J249" s="60" t="n"/>
      <c r="K249" s="61" t="n"/>
      <c r="L249" s="61" t="n"/>
      <c r="M249" s="60" t="n"/>
      <c r="N249" s="2" t="n"/>
    </row>
    <row r="250" ht="15.75" customHeight="1" s="125">
      <c r="A250" s="2" t="n"/>
      <c r="B250" s="2" t="n"/>
      <c r="C250" s="62" t="n"/>
      <c r="D250" s="58" t="n"/>
      <c r="E250" s="62">
        <f t="array" ref="E250">IF($D250="","",xlookup($D250,PRODUCT!$B:$B,PRODUCT!$A:$A,""))</f>
        <v/>
      </c>
      <c r="F250" s="62">
        <f t="array" ref="F250">IF($D250="","",xlookup($D250,PRODUCT!$B:$B,PRODUCT!$C:$C,""))</f>
        <v/>
      </c>
      <c r="G250" s="61" t="n"/>
      <c r="H250" s="61">
        <f t="array" ref="H250">IF($D250="","",xlookup($D250,PRODUCT!$B:$B,PRODUCT!$L:$L,""))</f>
        <v/>
      </c>
      <c r="I250" s="62">
        <f t="array" ref="I250">IF($D250="","",xlookup($D250,PRODUCT!$B:$B,PRODUCT!$M:$M,""))</f>
        <v/>
      </c>
      <c r="J250" s="60" t="n"/>
      <c r="K250" s="61" t="n"/>
      <c r="L250" s="61" t="n"/>
      <c r="M250" s="60" t="n"/>
      <c r="N250" s="2" t="n"/>
    </row>
    <row r="251" ht="15.75" customHeight="1" s="125">
      <c r="A251" s="2" t="n"/>
      <c r="B251" s="2" t="n"/>
      <c r="C251" s="2" t="n"/>
      <c r="D251" s="58" t="n"/>
      <c r="E251" s="62">
        <f t="array" ref="E251">IF($D251="","",xlookup($D251,PRODUCT!$B:$B,PRODUCT!$A:$A,""))</f>
        <v/>
      </c>
      <c r="F251" s="62">
        <f t="array" ref="F251">IF($D251="","",xlookup($D251,PRODUCT!$B:$B,PRODUCT!$C:$C,""))</f>
        <v/>
      </c>
      <c r="G251" s="2" t="n"/>
      <c r="H251" s="62">
        <f t="array" ref="H251">IF($D251="","",xlookup($D251,PRODUCT!$B:$B,PRODUCT!$L:$L,""))</f>
        <v/>
      </c>
      <c r="I251" s="62">
        <f t="array" ref="I251">IF($D251="","",xlookup($D251,PRODUCT!$B:$B,PRODUCT!$M:$M,""))</f>
        <v/>
      </c>
      <c r="J251" s="2" t="n"/>
      <c r="K251" s="2" t="n"/>
      <c r="L251" s="2" t="n"/>
      <c r="M251" s="2" t="n"/>
      <c r="N251" s="2" t="n"/>
    </row>
    <row r="252" ht="15.75" customHeight="1" s="125">
      <c r="A252" s="2" t="n"/>
      <c r="B252" s="2" t="n"/>
      <c r="C252" s="2" t="n"/>
      <c r="D252" s="58" t="n"/>
      <c r="E252" s="62">
        <f t="array" ref="E252">IF($D252="","",xlookup($D252,PRODUCT!$B:$B,PRODUCT!$A:$A,""))</f>
        <v/>
      </c>
      <c r="F252" s="62">
        <f t="array" ref="F252">IF($D252="","",xlookup($D252,PRODUCT!$B:$B,PRODUCT!$C:$C,""))</f>
        <v/>
      </c>
      <c r="G252" s="2" t="n"/>
      <c r="H252" s="62">
        <f t="array" ref="H252">IF($D252="","",xlookup($D252,PRODUCT!$B:$B,PRODUCT!$L:$L,""))</f>
        <v/>
      </c>
      <c r="I252" s="62">
        <f t="array" ref="I252">IF($D252="","",xlookup($D252,PRODUCT!$B:$B,PRODUCT!$M:$M,""))</f>
        <v/>
      </c>
      <c r="J252" s="2" t="n"/>
      <c r="K252" s="2" t="n"/>
      <c r="L252" s="2" t="n"/>
      <c r="M252" s="2" t="n"/>
      <c r="N252" s="2" t="n"/>
    </row>
    <row r="253" ht="15.75" customHeight="1" s="125">
      <c r="A253" s="2" t="n"/>
      <c r="B253" s="2" t="n"/>
      <c r="C253" s="2" t="n"/>
      <c r="D253" s="58" t="n"/>
      <c r="E253" s="62">
        <f t="array" ref="E253">IF($D253="","",xlookup($D253,PRODUCT!$B:$B,PRODUCT!$A:$A,""))</f>
        <v/>
      </c>
      <c r="F253" s="62">
        <f t="array" ref="F253">IF($D253="","",xlookup($D253,PRODUCT!$B:$B,PRODUCT!$C:$C,""))</f>
        <v/>
      </c>
      <c r="G253" s="2" t="n"/>
      <c r="H253" s="62">
        <f t="array" ref="H253">IF($D253="","",xlookup($D253,PRODUCT!$B:$B,PRODUCT!$L:$L,""))</f>
        <v/>
      </c>
      <c r="I253" s="62">
        <f t="array" ref="I253">IF($D253="","",xlookup($D253,PRODUCT!$B:$B,PRODUCT!$M:$M,""))</f>
        <v/>
      </c>
      <c r="J253" s="2" t="n"/>
      <c r="K253" s="2" t="n"/>
      <c r="L253" s="2" t="n"/>
      <c r="M253" s="2" t="n"/>
      <c r="N253" s="2" t="n"/>
    </row>
    <row r="254" ht="15.75" customHeight="1" s="125">
      <c r="A254" s="2" t="n"/>
      <c r="B254" s="2" t="n"/>
      <c r="C254" s="2" t="n"/>
      <c r="D254" s="58" t="n"/>
      <c r="E254" s="62">
        <f t="array" ref="E254">IF($D254="","",xlookup($D254,PRODUCT!$B:$B,PRODUCT!$A:$A,""))</f>
        <v/>
      </c>
      <c r="F254" s="62">
        <f t="array" ref="F254">IF($D254="","",xlookup($D254,PRODUCT!$B:$B,PRODUCT!$C:$C,""))</f>
        <v/>
      </c>
      <c r="G254" s="2" t="n"/>
      <c r="H254" s="62">
        <f t="array" ref="H254">IF($D254="","",xlookup($D254,PRODUCT!$B:$B,PRODUCT!$L:$L,""))</f>
        <v/>
      </c>
      <c r="I254" s="62">
        <f t="array" ref="I254">IF($D254="","",xlookup($D254,PRODUCT!$B:$B,PRODUCT!$M:$M,""))</f>
        <v/>
      </c>
      <c r="J254" s="2" t="n"/>
      <c r="K254" s="2" t="n"/>
      <c r="L254" s="2" t="n"/>
      <c r="M254" s="2" t="n"/>
      <c r="N254" s="2" t="n"/>
    </row>
    <row r="255" ht="15.75" customHeight="1" s="125">
      <c r="A255" s="2" t="n"/>
      <c r="B255" s="2" t="n"/>
      <c r="C255" s="2" t="n"/>
      <c r="D255" s="58" t="n"/>
      <c r="E255" s="62">
        <f t="array" ref="E255">IF($D255="","",xlookup($D255,PRODUCT!$B:$B,PRODUCT!$A:$A,""))</f>
        <v/>
      </c>
      <c r="F255" s="62">
        <f t="array" ref="F255">IF($D255="","",xlookup($D255,PRODUCT!$B:$B,PRODUCT!$C:$C,""))</f>
        <v/>
      </c>
      <c r="G255" s="2" t="n"/>
      <c r="H255" s="62">
        <f t="array" ref="H255">IF($D255="","",xlookup($D255,PRODUCT!$B:$B,PRODUCT!$L:$L,""))</f>
        <v/>
      </c>
      <c r="I255" s="62">
        <f t="array" ref="I255">IF($D255="","",xlookup($D255,PRODUCT!$B:$B,PRODUCT!$M:$M,""))</f>
        <v/>
      </c>
      <c r="J255" s="2" t="n"/>
      <c r="K255" s="2" t="n"/>
      <c r="L255" s="2" t="n"/>
      <c r="M255" s="2" t="n"/>
      <c r="N255" s="2" t="n"/>
    </row>
    <row r="256" ht="15.75" customHeight="1" s="125">
      <c r="A256" s="2" t="n"/>
      <c r="B256" s="2" t="n"/>
      <c r="C256" s="2" t="n"/>
      <c r="D256" s="58" t="n"/>
      <c r="E256" s="62">
        <f t="array" ref="E256">IF($D256="","",xlookup($D256,PRODUCT!$B:$B,PRODUCT!$A:$A,""))</f>
        <v/>
      </c>
      <c r="F256" s="62">
        <f t="array" ref="F256">IF($D256="","",xlookup($D256,PRODUCT!$B:$B,PRODUCT!$C:$C,""))</f>
        <v/>
      </c>
      <c r="G256" s="2" t="n"/>
      <c r="H256" s="62">
        <f t="array" ref="H256">IF($D256="","",xlookup($D256,PRODUCT!$B:$B,PRODUCT!$L:$L,""))</f>
        <v/>
      </c>
      <c r="I256" s="62">
        <f t="array" ref="I256">IF($D256="","",xlookup($D256,PRODUCT!$B:$B,PRODUCT!$M:$M,""))</f>
        <v/>
      </c>
      <c r="J256" s="2" t="n"/>
      <c r="K256" s="2" t="n"/>
      <c r="L256" s="2" t="n"/>
      <c r="M256" s="2" t="n"/>
      <c r="N256" s="2" t="n"/>
    </row>
    <row r="257" ht="15.75" customHeight="1" s="125">
      <c r="A257" s="2" t="n"/>
      <c r="B257" s="2" t="n"/>
      <c r="C257" s="2" t="n"/>
      <c r="D257" s="58" t="n"/>
      <c r="E257" s="62">
        <f t="array" ref="E257">IF($D257="","",xlookup($D257,PRODUCT!$B:$B,PRODUCT!$A:$A,""))</f>
        <v/>
      </c>
      <c r="F257" s="62">
        <f t="array" ref="F257">IF($D257="","",xlookup($D257,PRODUCT!$B:$B,PRODUCT!$C:$C,""))</f>
        <v/>
      </c>
      <c r="G257" s="2" t="n"/>
      <c r="H257" s="62">
        <f t="array" ref="H257">IF($D257="","",xlookup($D257,PRODUCT!$B:$B,PRODUCT!$L:$L,""))</f>
        <v/>
      </c>
      <c r="I257" s="62">
        <f t="array" ref="I257">IF($D257="","",xlookup($D257,PRODUCT!$B:$B,PRODUCT!$M:$M,""))</f>
        <v/>
      </c>
      <c r="J257" s="2" t="n"/>
      <c r="K257" s="2" t="n"/>
      <c r="L257" s="2" t="n"/>
      <c r="M257" s="2" t="n"/>
      <c r="N257" s="2" t="n"/>
    </row>
    <row r="258" ht="15.75" customHeight="1" s="125">
      <c r="A258" s="2" t="n"/>
      <c r="B258" s="2" t="n"/>
      <c r="C258" s="2" t="n"/>
      <c r="D258" s="58" t="n"/>
      <c r="E258" s="62">
        <f t="array" ref="E258">IF($D258="","",xlookup($D258,PRODUCT!$B:$B,PRODUCT!$A:$A,""))</f>
        <v/>
      </c>
      <c r="F258" s="62">
        <f t="array" ref="F258">IF($D258="","",xlookup($D258,PRODUCT!$B:$B,PRODUCT!$C:$C,""))</f>
        <v/>
      </c>
      <c r="G258" s="2" t="n"/>
      <c r="H258" s="62">
        <f t="array" ref="H258">IF($D258="","",xlookup($D258,PRODUCT!$B:$B,PRODUCT!$L:$L,""))</f>
        <v/>
      </c>
      <c r="I258" s="62">
        <f t="array" ref="I258">IF($D258="","",xlookup($D258,PRODUCT!$B:$B,PRODUCT!$M:$M,""))</f>
        <v/>
      </c>
      <c r="J258" s="2" t="n"/>
      <c r="K258" s="2" t="n"/>
      <c r="L258" s="2" t="n"/>
      <c r="M258" s="2" t="n"/>
      <c r="N258" s="2" t="n"/>
    </row>
    <row r="259" ht="15.75" customHeight="1" s="125">
      <c r="A259" s="2" t="n"/>
      <c r="B259" s="2" t="n"/>
      <c r="C259" s="2" t="n"/>
      <c r="D259" s="58" t="n"/>
      <c r="E259" s="62">
        <f t="array" ref="E259">IF($D259="","",xlookup($D259,PRODUCT!$B:$B,PRODUCT!$A:$A,""))</f>
        <v/>
      </c>
      <c r="F259" s="62">
        <f t="array" ref="F259">IF($D259="","",xlookup($D259,PRODUCT!$B:$B,PRODUCT!$C:$C,""))</f>
        <v/>
      </c>
      <c r="G259" s="2" t="n"/>
      <c r="H259" s="62">
        <f t="array" ref="H259">IF($D259="","",xlookup($D259,PRODUCT!$B:$B,PRODUCT!$L:$L,""))</f>
        <v/>
      </c>
      <c r="I259" s="62">
        <f t="array" ref="I259">IF($D259="","",xlookup($D259,PRODUCT!$B:$B,PRODUCT!$M:$M,""))</f>
        <v/>
      </c>
      <c r="J259" s="2" t="n"/>
      <c r="K259" s="2" t="n"/>
      <c r="L259" s="2" t="n"/>
      <c r="M259" s="2" t="n"/>
      <c r="N259" s="2" t="n"/>
    </row>
    <row r="260" ht="15.75" customHeight="1" s="125">
      <c r="A260" s="2" t="n"/>
      <c r="B260" s="2" t="n"/>
      <c r="C260" s="2" t="n"/>
      <c r="D260" s="58" t="n"/>
      <c r="E260" s="62">
        <f t="array" ref="E260">IF($D260="","",xlookup($D260,PRODUCT!$B:$B,PRODUCT!$A:$A,""))</f>
        <v/>
      </c>
      <c r="F260" s="62">
        <f t="array" ref="F260">IF($D260="","",xlookup($D260,PRODUCT!$B:$B,PRODUCT!$C:$C,""))</f>
        <v/>
      </c>
      <c r="G260" s="2" t="n"/>
      <c r="H260" s="62">
        <f t="array" ref="H260">IF($D260="","",xlookup($D260,PRODUCT!$B:$B,PRODUCT!$L:$L,""))</f>
        <v/>
      </c>
      <c r="I260" s="62">
        <f t="array" ref="I260">IF($D260="","",xlookup($D260,PRODUCT!$B:$B,PRODUCT!$M:$M,""))</f>
        <v/>
      </c>
      <c r="J260" s="2" t="n"/>
      <c r="K260" s="2" t="n"/>
      <c r="L260" s="2" t="n"/>
      <c r="M260" s="2" t="n"/>
      <c r="N260" s="2" t="n"/>
    </row>
    <row r="261" ht="15.75" customHeight="1" s="125">
      <c r="A261" s="2" t="n"/>
      <c r="B261" s="2" t="n"/>
      <c r="C261" s="2" t="n"/>
      <c r="D261" s="58" t="n"/>
      <c r="E261" s="62">
        <f t="array" ref="E261">IF($D261="","",xlookup($D261,PRODUCT!$B:$B,PRODUCT!$A:$A,""))</f>
        <v/>
      </c>
      <c r="F261" s="62">
        <f t="array" ref="F261">IF($D261="","",xlookup($D261,PRODUCT!$B:$B,PRODUCT!$C:$C,""))</f>
        <v/>
      </c>
      <c r="G261" s="2" t="n"/>
      <c r="H261" s="62">
        <f t="array" ref="H261">IF($D261="","",xlookup($D261,PRODUCT!$B:$B,PRODUCT!$L:$L,""))</f>
        <v/>
      </c>
      <c r="I261" s="62">
        <f t="array" ref="I261">IF($D261="","",xlookup($D261,PRODUCT!$B:$B,PRODUCT!$M:$M,""))</f>
        <v/>
      </c>
      <c r="J261" s="2" t="n"/>
      <c r="K261" s="2" t="n"/>
      <c r="L261" s="2" t="n"/>
      <c r="M261" s="2" t="n"/>
      <c r="N261" s="2" t="n"/>
    </row>
    <row r="262" ht="15.75" customHeight="1" s="125">
      <c r="A262" s="2" t="n"/>
      <c r="B262" s="2" t="n"/>
      <c r="C262" s="2" t="n"/>
      <c r="D262" s="58" t="n"/>
      <c r="E262" s="62">
        <f t="array" ref="E262">IF($D262="","",xlookup($D262,PRODUCT!$B:$B,PRODUCT!$A:$A,""))</f>
        <v/>
      </c>
      <c r="F262" s="62">
        <f t="array" ref="F262">IF($D262="","",xlookup($D262,PRODUCT!$B:$B,PRODUCT!$C:$C,""))</f>
        <v/>
      </c>
      <c r="G262" s="2" t="n"/>
      <c r="H262" s="62">
        <f t="array" ref="H262">IF($D262="","",xlookup($D262,PRODUCT!$B:$B,PRODUCT!$L:$L,""))</f>
        <v/>
      </c>
      <c r="I262" s="62">
        <f t="array" ref="I262">IF($D262="","",xlookup($D262,PRODUCT!$B:$B,PRODUCT!$M:$M,""))</f>
        <v/>
      </c>
      <c r="J262" s="2" t="n"/>
      <c r="K262" s="2" t="n"/>
      <c r="L262" s="2" t="n"/>
      <c r="M262" s="2" t="n"/>
      <c r="N262" s="2" t="n"/>
    </row>
    <row r="263" ht="15.75" customHeight="1" s="125">
      <c r="A263" s="2" t="n"/>
      <c r="B263" s="2" t="n"/>
      <c r="C263" s="2" t="n"/>
      <c r="D263" s="58" t="n"/>
      <c r="E263" s="62">
        <f t="array" ref="E263">IF($D263="","",xlookup($D263,PRODUCT!$B:$B,PRODUCT!$A:$A,""))</f>
        <v/>
      </c>
      <c r="F263" s="62">
        <f t="array" ref="F263">IF($D263="","",xlookup($D263,PRODUCT!$B:$B,PRODUCT!$C:$C,""))</f>
        <v/>
      </c>
      <c r="G263" s="2" t="n"/>
      <c r="H263" s="62">
        <f t="array" ref="H263">IF($D263="","",xlookup($D263,PRODUCT!$B:$B,PRODUCT!$L:$L,""))</f>
        <v/>
      </c>
      <c r="I263" s="62">
        <f t="array" ref="I263">IF($D263="","",xlookup($D263,PRODUCT!$B:$B,PRODUCT!$M:$M,""))</f>
        <v/>
      </c>
      <c r="J263" s="2" t="n"/>
      <c r="K263" s="2" t="n"/>
      <c r="L263" s="2" t="n"/>
      <c r="M263" s="2" t="n"/>
      <c r="N263" s="2" t="n"/>
    </row>
    <row r="264" ht="15.75" customHeight="1" s="125">
      <c r="A264" s="2" t="n"/>
      <c r="B264" s="2" t="n"/>
      <c r="C264" s="2" t="n"/>
      <c r="D264" s="58" t="n"/>
      <c r="E264" s="62">
        <f t="array" ref="E264">IF($D264="","",xlookup($D264,PRODUCT!$B:$B,PRODUCT!$A:$A,""))</f>
        <v/>
      </c>
      <c r="F264" s="62">
        <f t="array" ref="F264">IF($D264="","",xlookup($D264,PRODUCT!$B:$B,PRODUCT!$C:$C,""))</f>
        <v/>
      </c>
      <c r="G264" s="2" t="n"/>
      <c r="H264" s="62">
        <f t="array" ref="H264">IF($D264="","",xlookup($D264,PRODUCT!$B:$B,PRODUCT!$L:$L,""))</f>
        <v/>
      </c>
      <c r="I264" s="62">
        <f t="array" ref="I264">IF($D264="","",xlookup($D264,PRODUCT!$B:$B,PRODUCT!$M:$M,""))</f>
        <v/>
      </c>
      <c r="J264" s="2" t="n"/>
      <c r="K264" s="2" t="n"/>
      <c r="L264" s="2" t="n"/>
      <c r="M264" s="2" t="n"/>
      <c r="N264" s="2" t="n"/>
    </row>
    <row r="265" ht="15.75" customHeight="1" s="125">
      <c r="A265" s="2" t="n"/>
      <c r="B265" s="2" t="n"/>
      <c r="C265" s="2" t="n"/>
      <c r="D265" s="58" t="n"/>
      <c r="E265" s="62">
        <f t="array" ref="E265">IF($D265="","",xlookup($D265,PRODUCT!$B:$B,PRODUCT!$A:$A,""))</f>
        <v/>
      </c>
      <c r="F265" s="62">
        <f t="array" ref="F265">IF($D265="","",xlookup($D265,PRODUCT!$B:$B,PRODUCT!$C:$C,""))</f>
        <v/>
      </c>
      <c r="G265" s="2" t="n"/>
      <c r="H265" s="62">
        <f t="array" ref="H265">IF($D265="","",xlookup($D265,PRODUCT!$B:$B,PRODUCT!$L:$L,""))</f>
        <v/>
      </c>
      <c r="I265" s="62">
        <f t="array" ref="I265">IF($D265="","",xlookup($D265,PRODUCT!$B:$B,PRODUCT!$M:$M,""))</f>
        <v/>
      </c>
      <c r="J265" s="2" t="n"/>
      <c r="K265" s="2" t="n"/>
      <c r="L265" s="2" t="n"/>
      <c r="M265" s="2" t="n"/>
      <c r="N265" s="2" t="n"/>
    </row>
    <row r="266" ht="15.75" customHeight="1" s="125">
      <c r="A266" s="2" t="n"/>
      <c r="B266" s="2" t="n"/>
      <c r="C266" s="2" t="n"/>
      <c r="D266" s="58" t="n"/>
      <c r="E266" s="62">
        <f t="array" ref="E266">IF($D266="","",xlookup($D266,PRODUCT!$B:$B,PRODUCT!$A:$A,""))</f>
        <v/>
      </c>
      <c r="F266" s="62">
        <f t="array" ref="F266">IF($D266="","",xlookup($D266,PRODUCT!$B:$B,PRODUCT!$C:$C,""))</f>
        <v/>
      </c>
      <c r="G266" s="2" t="n"/>
      <c r="H266" s="62">
        <f t="array" ref="H266">IF($D266="","",xlookup($D266,PRODUCT!$B:$B,PRODUCT!$L:$L,""))</f>
        <v/>
      </c>
      <c r="I266" s="62">
        <f t="array" ref="I266">IF($D266="","",xlookup($D266,PRODUCT!$B:$B,PRODUCT!$M:$M,""))</f>
        <v/>
      </c>
      <c r="J266" s="2" t="n"/>
      <c r="K266" s="2" t="n"/>
      <c r="L266" s="2" t="n"/>
      <c r="M266" s="2" t="n"/>
      <c r="N266" s="2" t="n"/>
    </row>
    <row r="267" ht="15.75" customHeight="1" s="125">
      <c r="A267" s="2" t="n"/>
      <c r="B267" s="2" t="n"/>
      <c r="C267" s="2" t="n"/>
      <c r="D267" s="58" t="n"/>
      <c r="E267" s="62">
        <f t="array" ref="E267">IF($D267="","",xlookup($D267,PRODUCT!$B:$B,PRODUCT!$A:$A,""))</f>
        <v/>
      </c>
      <c r="F267" s="62">
        <f t="array" ref="F267">IF($D267="","",xlookup($D267,PRODUCT!$B:$B,PRODUCT!$C:$C,""))</f>
        <v/>
      </c>
      <c r="G267" s="2" t="n"/>
      <c r="H267" s="62">
        <f t="array" ref="H267">IF($D267="","",xlookup($D267,PRODUCT!$B:$B,PRODUCT!$L:$L,""))</f>
        <v/>
      </c>
      <c r="I267" s="62">
        <f t="array" ref="I267">IF($D267="","",xlookup($D267,PRODUCT!$B:$B,PRODUCT!$M:$M,""))</f>
        <v/>
      </c>
      <c r="J267" s="2" t="n"/>
      <c r="K267" s="2" t="n"/>
      <c r="L267" s="2" t="n"/>
      <c r="M267" s="2" t="n"/>
      <c r="N267" s="2" t="n"/>
    </row>
    <row r="268" ht="15.75" customHeight="1" s="125">
      <c r="A268" s="2" t="n"/>
      <c r="B268" s="2" t="n"/>
      <c r="C268" s="2" t="n"/>
      <c r="D268" s="58" t="n"/>
      <c r="E268" s="62">
        <f t="array" ref="E268">IF($D268="","",xlookup($D268,PRODUCT!$B:$B,PRODUCT!$A:$A,""))</f>
        <v/>
      </c>
      <c r="F268" s="62">
        <f t="array" ref="F268">IF($D268="","",xlookup($D268,PRODUCT!$B:$B,PRODUCT!$C:$C,""))</f>
        <v/>
      </c>
      <c r="G268" s="2" t="n"/>
      <c r="H268" s="62">
        <f t="array" ref="H268">IF($D268="","",xlookup($D268,PRODUCT!$B:$B,PRODUCT!$L:$L,""))</f>
        <v/>
      </c>
      <c r="I268" s="62">
        <f t="array" ref="I268">IF($D268="","",xlookup($D268,PRODUCT!$B:$B,PRODUCT!$M:$M,""))</f>
        <v/>
      </c>
      <c r="J268" s="2" t="n"/>
      <c r="K268" s="2" t="n"/>
      <c r="L268" s="2" t="n"/>
      <c r="M268" s="2" t="n"/>
      <c r="N268" s="2" t="n"/>
    </row>
    <row r="269" ht="15.75" customHeight="1" s="125">
      <c r="A269" s="2" t="n"/>
      <c r="B269" s="2" t="n"/>
      <c r="C269" s="2" t="n"/>
      <c r="D269" s="58" t="n"/>
      <c r="E269" s="62">
        <f t="array" ref="E269">IF($D269="","",xlookup($D269,PRODUCT!$B:$B,PRODUCT!$A:$A,""))</f>
        <v/>
      </c>
      <c r="F269" s="62">
        <f t="array" ref="F269">IF($D269="","",xlookup($D269,PRODUCT!$B:$B,PRODUCT!$C:$C,""))</f>
        <v/>
      </c>
      <c r="G269" s="2" t="n"/>
      <c r="H269" s="62">
        <f t="array" ref="H269">IF($D269="","",xlookup($D269,PRODUCT!$B:$B,PRODUCT!$L:$L,""))</f>
        <v/>
      </c>
      <c r="I269" s="62">
        <f t="array" ref="I269">IF($D269="","",xlookup($D269,PRODUCT!$B:$B,PRODUCT!$M:$M,""))</f>
        <v/>
      </c>
      <c r="J269" s="2" t="n"/>
      <c r="K269" s="2" t="n"/>
      <c r="L269" s="2" t="n"/>
      <c r="M269" s="2" t="n"/>
      <c r="N269" s="2" t="n"/>
    </row>
    <row r="270" ht="15.75" customHeight="1" s="125">
      <c r="A270" s="2" t="n"/>
      <c r="B270" s="2" t="n"/>
      <c r="C270" s="2" t="n"/>
      <c r="D270" s="58" t="n"/>
      <c r="E270" s="62">
        <f t="array" ref="E270">IF($D270="","",xlookup($D270,PRODUCT!$B:$B,PRODUCT!$A:$A,""))</f>
        <v/>
      </c>
      <c r="F270" s="62">
        <f t="array" ref="F270">IF($D270="","",xlookup($D270,PRODUCT!$B:$B,PRODUCT!$C:$C,""))</f>
        <v/>
      </c>
      <c r="G270" s="2" t="n"/>
      <c r="H270" s="62">
        <f t="array" ref="H270">IF($D270="","",xlookup($D270,PRODUCT!$B:$B,PRODUCT!$L:$L,""))</f>
        <v/>
      </c>
      <c r="I270" s="62">
        <f t="array" ref="I270">IF($D270="","",xlookup($D270,PRODUCT!$B:$B,PRODUCT!$M:$M,""))</f>
        <v/>
      </c>
      <c r="J270" s="2" t="n"/>
      <c r="K270" s="2" t="n"/>
      <c r="L270" s="2" t="n"/>
      <c r="M270" s="2" t="n"/>
      <c r="N270" s="2" t="n"/>
    </row>
    <row r="271" ht="15.75" customHeight="1" s="125">
      <c r="A271" s="2" t="n"/>
      <c r="B271" s="2" t="n"/>
      <c r="C271" s="2" t="n"/>
      <c r="D271" s="58" t="n"/>
      <c r="E271" s="62">
        <f t="array" ref="E271">IF($D271="","",xlookup($D271,PRODUCT!$B:$B,PRODUCT!$A:$A,""))</f>
        <v/>
      </c>
      <c r="F271" s="62">
        <f t="array" ref="F271">IF($D271="","",xlookup($D271,PRODUCT!$B:$B,PRODUCT!$C:$C,""))</f>
        <v/>
      </c>
      <c r="G271" s="2" t="n"/>
      <c r="H271" s="62">
        <f t="array" ref="H271">IF($D271="","",xlookup($D271,PRODUCT!$B:$B,PRODUCT!$L:$L,""))</f>
        <v/>
      </c>
      <c r="I271" s="62">
        <f t="array" ref="I271">IF($D271="","",xlookup($D271,PRODUCT!$B:$B,PRODUCT!$M:$M,""))</f>
        <v/>
      </c>
      <c r="J271" s="2" t="n"/>
      <c r="K271" s="2" t="n"/>
      <c r="L271" s="2" t="n"/>
      <c r="M271" s="2" t="n"/>
      <c r="N271" s="2" t="n"/>
    </row>
    <row r="272" ht="15.75" customHeight="1" s="125">
      <c r="A272" s="2" t="n"/>
      <c r="B272" s="2" t="n"/>
      <c r="C272" s="2" t="n"/>
      <c r="D272" s="58" t="n"/>
      <c r="E272" s="62">
        <f t="array" ref="E272">IF($D272="","",xlookup($D272,PRODUCT!$B:$B,PRODUCT!$A:$A,""))</f>
        <v/>
      </c>
      <c r="F272" s="62">
        <f t="array" ref="F272">IF($D272="","",xlookup($D272,PRODUCT!$B:$B,PRODUCT!$C:$C,""))</f>
        <v/>
      </c>
      <c r="G272" s="2" t="n"/>
      <c r="H272" s="62">
        <f t="array" ref="H272">IF($D272="","",xlookup($D272,PRODUCT!$B:$B,PRODUCT!$L:$L,""))</f>
        <v/>
      </c>
      <c r="I272" s="62">
        <f t="array" ref="I272">IF($D272="","",xlookup($D272,PRODUCT!$B:$B,PRODUCT!$M:$M,""))</f>
        <v/>
      </c>
      <c r="J272" s="2" t="n"/>
      <c r="K272" s="2" t="n"/>
      <c r="L272" s="2" t="n"/>
      <c r="M272" s="2" t="n"/>
      <c r="N272" s="2" t="n"/>
    </row>
    <row r="273" ht="15.75" customHeight="1" s="125">
      <c r="A273" s="2" t="n"/>
      <c r="B273" s="2" t="n"/>
      <c r="C273" s="2" t="n"/>
      <c r="D273" s="58" t="n"/>
      <c r="E273" s="62">
        <f t="array" ref="E273">IF($D273="","",xlookup($D273,PRODUCT!$B:$B,PRODUCT!$A:$A,""))</f>
        <v/>
      </c>
      <c r="F273" s="62">
        <f t="array" ref="F273">IF($D273="","",xlookup($D273,PRODUCT!$B:$B,PRODUCT!$C:$C,""))</f>
        <v/>
      </c>
      <c r="G273" s="2" t="n"/>
      <c r="H273" s="62">
        <f t="array" ref="H273">IF($D273="","",xlookup($D273,PRODUCT!$B:$B,PRODUCT!$L:$L,""))</f>
        <v/>
      </c>
      <c r="I273" s="62">
        <f t="array" ref="I273">IF($D273="","",xlookup($D273,PRODUCT!$B:$B,PRODUCT!$M:$M,""))</f>
        <v/>
      </c>
      <c r="J273" s="2" t="n"/>
      <c r="K273" s="2" t="n"/>
      <c r="L273" s="2" t="n"/>
      <c r="M273" s="2" t="n"/>
      <c r="N273" s="2" t="n"/>
    </row>
    <row r="274" ht="15.75" customHeight="1" s="125">
      <c r="A274" s="2" t="n"/>
      <c r="B274" s="2" t="n"/>
      <c r="C274" s="2" t="n"/>
      <c r="D274" s="58" t="n"/>
      <c r="E274" s="62">
        <f t="array" ref="E274">IF($D274="","",xlookup($D274,PRODUCT!$B:$B,PRODUCT!$A:$A,""))</f>
        <v/>
      </c>
      <c r="F274" s="62">
        <f t="array" ref="F274">IF($D274="","",xlookup($D274,PRODUCT!$B:$B,PRODUCT!$C:$C,""))</f>
        <v/>
      </c>
      <c r="G274" s="2" t="n"/>
      <c r="H274" s="62">
        <f t="array" ref="H274">IF($D274="","",xlookup($D274,PRODUCT!$B:$B,PRODUCT!$L:$L,""))</f>
        <v/>
      </c>
      <c r="I274" s="62">
        <f t="array" ref="I274">IF($D274="","",xlookup($D274,PRODUCT!$B:$B,PRODUCT!$M:$M,""))</f>
        <v/>
      </c>
      <c r="J274" s="2" t="n"/>
      <c r="K274" s="2" t="n"/>
      <c r="L274" s="2" t="n"/>
      <c r="M274" s="2" t="n"/>
      <c r="N274" s="2" t="n"/>
    </row>
    <row r="275" ht="15.75" customHeight="1" s="125">
      <c r="A275" s="2" t="n"/>
      <c r="B275" s="2" t="n"/>
      <c r="C275" s="2" t="n"/>
      <c r="D275" s="58" t="n"/>
      <c r="E275" s="62">
        <f t="array" ref="E275">IF($D275="","",xlookup($D275,PRODUCT!$B:$B,PRODUCT!$A:$A,""))</f>
        <v/>
      </c>
      <c r="F275" s="62">
        <f t="array" ref="F275">IF($D275="","",xlookup($D275,PRODUCT!$B:$B,PRODUCT!$C:$C,""))</f>
        <v/>
      </c>
      <c r="G275" s="2" t="n"/>
      <c r="H275" s="62">
        <f t="array" ref="H275">IF($D275="","",xlookup($D275,PRODUCT!$B:$B,PRODUCT!$L:$L,""))</f>
        <v/>
      </c>
      <c r="I275" s="62">
        <f t="array" ref="I275">IF($D275="","",xlookup($D275,PRODUCT!$B:$B,PRODUCT!$M:$M,""))</f>
        <v/>
      </c>
      <c r="J275" s="2" t="n"/>
      <c r="K275" s="2" t="n"/>
      <c r="L275" s="2" t="n"/>
      <c r="M275" s="2" t="n"/>
      <c r="N275" s="2" t="n"/>
    </row>
    <row r="276" ht="15.75" customHeight="1" s="125">
      <c r="A276" s="2" t="n"/>
      <c r="B276" s="2" t="n"/>
      <c r="C276" s="2" t="n"/>
      <c r="D276" s="58" t="n"/>
      <c r="E276" s="62">
        <f t="array" ref="E276">IF($D276="","",xlookup($D276,PRODUCT!$B:$B,PRODUCT!$A:$A,""))</f>
        <v/>
      </c>
      <c r="F276" s="62">
        <f t="array" ref="F276">IF($D276="","",xlookup($D276,PRODUCT!$B:$B,PRODUCT!$C:$C,""))</f>
        <v/>
      </c>
      <c r="G276" s="2" t="n"/>
      <c r="H276" s="62">
        <f t="array" ref="H276">IF($D276="","",xlookup($D276,PRODUCT!$B:$B,PRODUCT!$L:$L,""))</f>
        <v/>
      </c>
      <c r="I276" s="62">
        <f t="array" ref="I276">IF($D276="","",xlookup($D276,PRODUCT!$B:$B,PRODUCT!$M:$M,""))</f>
        <v/>
      </c>
      <c r="J276" s="2" t="n"/>
      <c r="K276" s="2" t="n"/>
      <c r="L276" s="2" t="n"/>
      <c r="M276" s="2" t="n"/>
      <c r="N276" s="2" t="n"/>
    </row>
    <row r="277" ht="15.75" customHeight="1" s="125">
      <c r="A277" s="2" t="n"/>
      <c r="B277" s="2" t="n"/>
      <c r="C277" s="2" t="n"/>
      <c r="D277" s="58" t="n"/>
      <c r="E277" s="62">
        <f t="array" ref="E277">IF($D277="","",xlookup($D277,PRODUCT!$B:$B,PRODUCT!$A:$A,""))</f>
        <v/>
      </c>
      <c r="F277" s="62">
        <f t="array" ref="F277">IF($D277="","",xlookup($D277,PRODUCT!$B:$B,PRODUCT!$C:$C,""))</f>
        <v/>
      </c>
      <c r="G277" s="2" t="n"/>
      <c r="H277" s="62">
        <f t="array" ref="H277">IF($D277="","",xlookup($D277,PRODUCT!$B:$B,PRODUCT!$L:$L,""))</f>
        <v/>
      </c>
      <c r="I277" s="62">
        <f t="array" ref="I277">IF($D277="","",xlookup($D277,PRODUCT!$B:$B,PRODUCT!$M:$M,""))</f>
        <v/>
      </c>
      <c r="J277" s="2" t="n"/>
      <c r="K277" s="2" t="n"/>
      <c r="L277" s="2" t="n"/>
      <c r="M277" s="2" t="n"/>
      <c r="N277" s="2" t="n"/>
    </row>
    <row r="278" ht="15.75" customHeight="1" s="125">
      <c r="A278" s="2" t="n"/>
      <c r="B278" s="2" t="n"/>
      <c r="C278" s="2" t="n"/>
      <c r="D278" s="58" t="n"/>
      <c r="E278" s="62">
        <f t="array" ref="E278">IF($D278="","",xlookup($D278,PRODUCT!$B:$B,PRODUCT!$A:$A,""))</f>
        <v/>
      </c>
      <c r="F278" s="62">
        <f t="array" ref="F278">IF($D278="","",xlookup($D278,PRODUCT!$B:$B,PRODUCT!$C:$C,""))</f>
        <v/>
      </c>
      <c r="G278" s="2" t="n"/>
      <c r="H278" s="62">
        <f t="array" ref="H278">IF($D278="","",xlookup($D278,PRODUCT!$B:$B,PRODUCT!$L:$L,""))</f>
        <v/>
      </c>
      <c r="I278" s="62">
        <f t="array" ref="I278">IF($D278="","",xlookup($D278,PRODUCT!$B:$B,PRODUCT!$M:$M,""))</f>
        <v/>
      </c>
      <c r="J278" s="2" t="n"/>
      <c r="K278" s="2" t="n"/>
      <c r="L278" s="2" t="n"/>
      <c r="M278" s="2" t="n"/>
      <c r="N278" s="2" t="n"/>
    </row>
    <row r="279" ht="15.75" customHeight="1" s="125">
      <c r="A279" s="2" t="n"/>
      <c r="B279" s="2" t="n"/>
      <c r="C279" s="2" t="n"/>
      <c r="D279" s="58" t="n"/>
      <c r="E279" s="62">
        <f t="array" ref="E279">IF($D279="","",xlookup($D279,PRODUCT!$B:$B,PRODUCT!$A:$A,""))</f>
        <v/>
      </c>
      <c r="F279" s="62">
        <f t="array" ref="F279">IF($D279="","",xlookup($D279,PRODUCT!$B:$B,PRODUCT!$C:$C,""))</f>
        <v/>
      </c>
      <c r="G279" s="2" t="n"/>
      <c r="H279" s="62">
        <f t="array" ref="H279">IF($D279="","",xlookup($D279,PRODUCT!$B:$B,PRODUCT!$L:$L,""))</f>
        <v/>
      </c>
      <c r="I279" s="62">
        <f t="array" ref="I279">IF($D279="","",xlookup($D279,PRODUCT!$B:$B,PRODUCT!$M:$M,""))</f>
        <v/>
      </c>
      <c r="J279" s="2" t="n"/>
      <c r="K279" s="2" t="n"/>
      <c r="L279" s="2" t="n"/>
      <c r="M279" s="2" t="n"/>
      <c r="N279" s="2" t="n"/>
    </row>
    <row r="280" ht="15.75" customHeight="1" s="125">
      <c r="A280" s="2" t="n"/>
      <c r="B280" s="2" t="n"/>
      <c r="C280" s="2" t="n"/>
      <c r="D280" s="58" t="n"/>
      <c r="E280" s="62">
        <f t="array" ref="E280">IF($D280="","",xlookup($D280,PRODUCT!$B:$B,PRODUCT!$A:$A,""))</f>
        <v/>
      </c>
      <c r="F280" s="62">
        <f t="array" ref="F280">IF($D280="","",xlookup($D280,PRODUCT!$B:$B,PRODUCT!$C:$C,""))</f>
        <v/>
      </c>
      <c r="G280" s="2" t="n"/>
      <c r="H280" s="62">
        <f t="array" ref="H280">IF($D280="","",xlookup($D280,PRODUCT!$B:$B,PRODUCT!$L:$L,""))</f>
        <v/>
      </c>
      <c r="I280" s="62">
        <f t="array" ref="I280">IF($D280="","",xlookup($D280,PRODUCT!$B:$B,PRODUCT!$M:$M,""))</f>
        <v/>
      </c>
      <c r="J280" s="2" t="n"/>
      <c r="K280" s="2" t="n"/>
      <c r="L280" s="2" t="n"/>
      <c r="M280" s="2" t="n"/>
      <c r="N280" s="2" t="n"/>
    </row>
    <row r="281" ht="15.75" customHeight="1" s="125">
      <c r="A281" s="2" t="n"/>
      <c r="B281" s="2" t="n"/>
      <c r="C281" s="2" t="n"/>
      <c r="D281" s="58" t="n"/>
      <c r="E281" s="62">
        <f t="array" ref="E281">IF($D281="","",xlookup($D281,PRODUCT!$B:$B,PRODUCT!$A:$A,""))</f>
        <v/>
      </c>
      <c r="F281" s="62">
        <f t="array" ref="F281">IF($D281="","",xlookup($D281,PRODUCT!$B:$B,PRODUCT!$C:$C,""))</f>
        <v/>
      </c>
      <c r="G281" s="2" t="n"/>
      <c r="H281" s="62">
        <f t="array" ref="H281">IF($D281="","",xlookup($D281,PRODUCT!$B:$B,PRODUCT!$L:$L,""))</f>
        <v/>
      </c>
      <c r="I281" s="62">
        <f t="array" ref="I281">IF($D281="","",xlookup($D281,PRODUCT!$B:$B,PRODUCT!$M:$M,""))</f>
        <v/>
      </c>
      <c r="J281" s="2" t="n"/>
      <c r="K281" s="2" t="n"/>
      <c r="L281" s="2" t="n"/>
      <c r="M281" s="2" t="n"/>
      <c r="N281" s="2" t="n"/>
    </row>
    <row r="282" ht="15.75" customHeight="1" s="125">
      <c r="A282" s="2" t="n"/>
      <c r="B282" s="2" t="n"/>
      <c r="C282" s="2" t="n"/>
      <c r="D282" s="58" t="n"/>
      <c r="E282" s="62">
        <f t="array" ref="E282">IF($D282="","",xlookup($D282,PRODUCT!$B:$B,PRODUCT!$A:$A,""))</f>
        <v/>
      </c>
      <c r="F282" s="62">
        <f t="array" ref="F282">IF($D282="","",xlookup($D282,PRODUCT!$B:$B,PRODUCT!$C:$C,""))</f>
        <v/>
      </c>
      <c r="G282" s="2" t="n"/>
      <c r="H282" s="62">
        <f t="array" ref="H282">IF($D282="","",xlookup($D282,PRODUCT!$B:$B,PRODUCT!$L:$L,""))</f>
        <v/>
      </c>
      <c r="I282" s="62">
        <f t="array" ref="I282">IF($D282="","",xlookup($D282,PRODUCT!$B:$B,PRODUCT!$M:$M,""))</f>
        <v/>
      </c>
      <c r="J282" s="2" t="n"/>
      <c r="K282" s="2" t="n"/>
      <c r="L282" s="2" t="n"/>
      <c r="M282" s="2" t="n"/>
      <c r="N282" s="2" t="n"/>
    </row>
    <row r="283" ht="15.75" customHeight="1" s="125">
      <c r="A283" s="2" t="n"/>
      <c r="B283" s="2" t="n"/>
      <c r="C283" s="2" t="n"/>
      <c r="D283" s="58" t="n"/>
      <c r="E283" s="62">
        <f t="array" ref="E283">IF($D283="","",xlookup($D283,PRODUCT!$B:$B,PRODUCT!$A:$A,""))</f>
        <v/>
      </c>
      <c r="F283" s="62">
        <f t="array" ref="F283">IF($D283="","",xlookup($D283,PRODUCT!$B:$B,PRODUCT!$C:$C,""))</f>
        <v/>
      </c>
      <c r="G283" s="2" t="n"/>
      <c r="H283" s="62">
        <f t="array" ref="H283">IF($D283="","",xlookup($D283,PRODUCT!$B:$B,PRODUCT!$L:$L,""))</f>
        <v/>
      </c>
      <c r="I283" s="62">
        <f t="array" ref="I283">IF($D283="","",xlookup($D283,PRODUCT!$B:$B,PRODUCT!$M:$M,""))</f>
        <v/>
      </c>
      <c r="J283" s="2" t="n"/>
      <c r="K283" s="2" t="n"/>
      <c r="L283" s="2" t="n"/>
      <c r="M283" s="2" t="n"/>
      <c r="N283" s="2" t="n"/>
    </row>
    <row r="284" ht="15.75" customHeight="1" s="125">
      <c r="A284" s="2" t="n"/>
      <c r="B284" s="2" t="n"/>
      <c r="C284" s="2" t="n"/>
      <c r="D284" s="58" t="n"/>
      <c r="E284" s="62">
        <f t="array" ref="E284">IF($D284="","",xlookup($D284,PRODUCT!$B:$B,PRODUCT!$A:$A,""))</f>
        <v/>
      </c>
      <c r="F284" s="62">
        <f t="array" ref="F284">IF($D284="","",xlookup($D284,PRODUCT!$B:$B,PRODUCT!$C:$C,""))</f>
        <v/>
      </c>
      <c r="G284" s="2" t="n"/>
      <c r="H284" s="62">
        <f t="array" ref="H284">IF($D284="","",xlookup($D284,PRODUCT!$B:$B,PRODUCT!$L:$L,""))</f>
        <v/>
      </c>
      <c r="I284" s="62">
        <f t="array" ref="I284">IF($D284="","",xlookup($D284,PRODUCT!$B:$B,PRODUCT!$M:$M,""))</f>
        <v/>
      </c>
      <c r="J284" s="2" t="n"/>
      <c r="K284" s="2" t="n"/>
      <c r="L284" s="2" t="n"/>
      <c r="M284" s="2" t="n"/>
      <c r="N284" s="2" t="n"/>
    </row>
    <row r="285" ht="15.75" customHeight="1" s="125">
      <c r="A285" s="2" t="n"/>
      <c r="B285" s="2" t="n"/>
      <c r="C285" s="2" t="n"/>
      <c r="D285" s="58" t="n"/>
      <c r="E285" s="62">
        <f t="array" ref="E285">IF($D285="","",xlookup($D285,PRODUCT!$B:$B,PRODUCT!$A:$A,""))</f>
        <v/>
      </c>
      <c r="F285" s="62">
        <f t="array" ref="F285">IF($D285="","",xlookup($D285,PRODUCT!$B:$B,PRODUCT!$C:$C,""))</f>
        <v/>
      </c>
      <c r="G285" s="2" t="n"/>
      <c r="H285" s="62">
        <f t="array" ref="H285">IF($D285="","",xlookup($D285,PRODUCT!$B:$B,PRODUCT!$L:$L,""))</f>
        <v/>
      </c>
      <c r="I285" s="62">
        <f t="array" ref="I285">IF($D285="","",xlookup($D285,PRODUCT!$B:$B,PRODUCT!$M:$M,""))</f>
        <v/>
      </c>
      <c r="J285" s="2" t="n"/>
      <c r="K285" s="2" t="n"/>
      <c r="L285" s="2" t="n"/>
      <c r="M285" s="2" t="n"/>
      <c r="N285" s="2" t="n"/>
    </row>
    <row r="286" ht="15.75" customHeight="1" s="125">
      <c r="A286" s="2" t="n"/>
      <c r="B286" s="2" t="n"/>
      <c r="C286" s="2" t="n"/>
      <c r="D286" s="58" t="n"/>
      <c r="E286" s="62">
        <f t="array" ref="E286">IF($D286="","",xlookup($D286,PRODUCT!$B:$B,PRODUCT!$A:$A,""))</f>
        <v/>
      </c>
      <c r="F286" s="62">
        <f t="array" ref="F286">IF($D286="","",xlookup($D286,PRODUCT!$B:$B,PRODUCT!$C:$C,""))</f>
        <v/>
      </c>
      <c r="G286" s="2" t="n"/>
      <c r="H286" s="62">
        <f t="array" ref="H286">IF($D286="","",xlookup($D286,PRODUCT!$B:$B,PRODUCT!$L:$L,""))</f>
        <v/>
      </c>
      <c r="I286" s="62">
        <f t="array" ref="I286">IF($D286="","",xlookup($D286,PRODUCT!$B:$B,PRODUCT!$M:$M,""))</f>
        <v/>
      </c>
      <c r="J286" s="2" t="n"/>
      <c r="K286" s="2" t="n"/>
      <c r="L286" s="2" t="n"/>
      <c r="M286" s="2" t="n"/>
      <c r="N286" s="2" t="n"/>
    </row>
    <row r="287" ht="15.75" customHeight="1" s="125">
      <c r="A287" s="2" t="n"/>
      <c r="B287" s="2" t="n"/>
      <c r="C287" s="2" t="n"/>
      <c r="D287" s="58" t="n"/>
      <c r="E287" s="62">
        <f t="array" ref="E287">IF($D287="","",xlookup($D287,PRODUCT!$B:$B,PRODUCT!$A:$A,""))</f>
        <v/>
      </c>
      <c r="F287" s="62">
        <f t="array" ref="F287">IF($D287="","",xlookup($D287,PRODUCT!$B:$B,PRODUCT!$C:$C,""))</f>
        <v/>
      </c>
      <c r="G287" s="2" t="n"/>
      <c r="H287" s="62">
        <f t="array" ref="H287">IF($D287="","",xlookup($D287,PRODUCT!$B:$B,PRODUCT!$L:$L,""))</f>
        <v/>
      </c>
      <c r="I287" s="62">
        <f t="array" ref="I287">IF($D287="","",xlookup($D287,PRODUCT!$B:$B,PRODUCT!$M:$M,""))</f>
        <v/>
      </c>
      <c r="J287" s="2" t="n"/>
      <c r="K287" s="2" t="n"/>
      <c r="L287" s="2" t="n"/>
      <c r="M287" s="2" t="n"/>
      <c r="N287" s="2" t="n"/>
    </row>
    <row r="288" ht="15.75" customHeight="1" s="125">
      <c r="A288" s="2" t="n"/>
      <c r="B288" s="2" t="n"/>
      <c r="C288" s="2" t="n"/>
      <c r="D288" s="58" t="n"/>
      <c r="E288" s="62">
        <f t="array" ref="E288">IF($D288="","",xlookup($D288,PRODUCT!$B:$B,PRODUCT!$A:$A,""))</f>
        <v/>
      </c>
      <c r="F288" s="62">
        <f t="array" ref="F288">IF($D288="","",xlookup($D288,PRODUCT!$B:$B,PRODUCT!$C:$C,""))</f>
        <v/>
      </c>
      <c r="G288" s="2" t="n"/>
      <c r="H288" s="62">
        <f t="array" ref="H288">IF($D288="","",xlookup($D288,PRODUCT!$B:$B,PRODUCT!$L:$L,""))</f>
        <v/>
      </c>
      <c r="I288" s="62">
        <f t="array" ref="I288">IF($D288="","",xlookup($D288,PRODUCT!$B:$B,PRODUCT!$M:$M,""))</f>
        <v/>
      </c>
      <c r="J288" s="2" t="n"/>
      <c r="K288" s="2" t="n"/>
      <c r="L288" s="2" t="n"/>
      <c r="M288" s="2" t="n"/>
      <c r="N288" s="2" t="n"/>
    </row>
    <row r="289" ht="15.75" customHeight="1" s="125">
      <c r="A289" s="2" t="n"/>
      <c r="B289" s="2" t="n"/>
      <c r="C289" s="2" t="n"/>
      <c r="D289" s="58" t="n"/>
      <c r="E289" s="62">
        <f t="array" ref="E289">IF($D289="","",xlookup($D289,PRODUCT!$B:$B,PRODUCT!$A:$A,""))</f>
        <v/>
      </c>
      <c r="F289" s="62">
        <f t="array" ref="F289">IF($D289="","",xlookup($D289,PRODUCT!$B:$B,PRODUCT!$C:$C,""))</f>
        <v/>
      </c>
      <c r="G289" s="2" t="n"/>
      <c r="H289" s="62">
        <f t="array" ref="H289">IF($D289="","",xlookup($D289,PRODUCT!$B:$B,PRODUCT!$L:$L,""))</f>
        <v/>
      </c>
      <c r="I289" s="62">
        <f t="array" ref="I289">IF($D289="","",xlookup($D289,PRODUCT!$B:$B,PRODUCT!$M:$M,""))</f>
        <v/>
      </c>
      <c r="J289" s="2" t="n"/>
      <c r="K289" s="2" t="n"/>
      <c r="L289" s="2" t="n"/>
      <c r="M289" s="2" t="n"/>
      <c r="N289" s="2" t="n"/>
    </row>
    <row r="290" ht="15.75" customHeight="1" s="125">
      <c r="A290" s="2" t="n"/>
      <c r="B290" s="2" t="n"/>
      <c r="C290" s="2" t="n"/>
      <c r="D290" s="58" t="n"/>
      <c r="E290" s="62">
        <f t="array" ref="E290">IF($D290="","",xlookup($D290,PRODUCT!$B:$B,PRODUCT!$A:$A,""))</f>
        <v/>
      </c>
      <c r="F290" s="62">
        <f t="array" ref="F290">IF($D290="","",xlookup($D290,PRODUCT!$B:$B,PRODUCT!$C:$C,""))</f>
        <v/>
      </c>
      <c r="G290" s="2" t="n"/>
      <c r="H290" s="62">
        <f t="array" ref="H290">IF($D290="","",xlookup($D290,PRODUCT!$B:$B,PRODUCT!$L:$L,""))</f>
        <v/>
      </c>
      <c r="I290" s="62">
        <f t="array" ref="I290">IF($D290="","",xlookup($D290,PRODUCT!$B:$B,PRODUCT!$M:$M,""))</f>
        <v/>
      </c>
      <c r="J290" s="2" t="n"/>
      <c r="K290" s="2" t="n"/>
      <c r="L290" s="2" t="n"/>
      <c r="M290" s="2" t="n"/>
      <c r="N290" s="2" t="n"/>
    </row>
    <row r="291" ht="15.75" customHeight="1" s="125">
      <c r="A291" s="2" t="n"/>
      <c r="B291" s="2" t="n"/>
      <c r="C291" s="2" t="n"/>
      <c r="D291" s="58" t="n"/>
      <c r="E291" s="62">
        <f t="array" ref="E291">IF($D291="","",xlookup($D291,PRODUCT!$B:$B,PRODUCT!$A:$A,""))</f>
        <v/>
      </c>
      <c r="F291" s="62">
        <f t="array" ref="F291">IF($D291="","",xlookup($D291,PRODUCT!$B:$B,PRODUCT!$C:$C,""))</f>
        <v/>
      </c>
      <c r="G291" s="2" t="n"/>
      <c r="H291" s="62">
        <f t="array" ref="H291">IF($D291="","",xlookup($D291,PRODUCT!$B:$B,PRODUCT!$L:$L,""))</f>
        <v/>
      </c>
      <c r="I291" s="62">
        <f t="array" ref="I291">IF($D291="","",xlookup($D291,PRODUCT!$B:$B,PRODUCT!$M:$M,""))</f>
        <v/>
      </c>
      <c r="J291" s="2" t="n"/>
      <c r="K291" s="2" t="n"/>
      <c r="L291" s="2" t="n"/>
      <c r="M291" s="2" t="n"/>
      <c r="N291" s="2" t="n"/>
    </row>
    <row r="292" ht="15.75" customHeight="1" s="125">
      <c r="A292" s="2" t="n"/>
      <c r="B292" s="2" t="n"/>
      <c r="C292" s="2" t="n"/>
      <c r="D292" s="58" t="n"/>
      <c r="E292" s="62">
        <f t="array" ref="E292">IF($D292="","",xlookup($D292,PRODUCT!$B:$B,PRODUCT!$A:$A,""))</f>
        <v/>
      </c>
      <c r="F292" s="62">
        <f t="array" ref="F292">IF($D292="","",xlookup($D292,PRODUCT!$B:$B,PRODUCT!$C:$C,""))</f>
        <v/>
      </c>
      <c r="G292" s="2" t="n"/>
      <c r="H292" s="62">
        <f t="array" ref="H292">IF($D292="","",xlookup($D292,PRODUCT!$B:$B,PRODUCT!$L:$L,""))</f>
        <v/>
      </c>
      <c r="I292" s="62">
        <f t="array" ref="I292">IF($D292="","",xlookup($D292,PRODUCT!$B:$B,PRODUCT!$M:$M,""))</f>
        <v/>
      </c>
      <c r="J292" s="2" t="n"/>
      <c r="K292" s="2" t="n"/>
      <c r="L292" s="2" t="n"/>
      <c r="M292" s="2" t="n"/>
      <c r="N292" s="2" t="n"/>
    </row>
    <row r="293" ht="15.75" customHeight="1" s="125">
      <c r="A293" s="2" t="n"/>
      <c r="B293" s="2" t="n"/>
      <c r="C293" s="2" t="n"/>
      <c r="D293" s="58" t="n"/>
      <c r="E293" s="62">
        <f t="array" ref="E293">IF($D293="","",xlookup($D293,PRODUCT!$B:$B,PRODUCT!$A:$A,""))</f>
        <v/>
      </c>
      <c r="F293" s="62">
        <f t="array" ref="F293">IF($D293="","",xlookup($D293,PRODUCT!$B:$B,PRODUCT!$C:$C,""))</f>
        <v/>
      </c>
      <c r="G293" s="2" t="n"/>
      <c r="H293" s="62">
        <f t="array" ref="H293">IF($D293="","",xlookup($D293,PRODUCT!$B:$B,PRODUCT!$L:$L,""))</f>
        <v/>
      </c>
      <c r="I293" s="62">
        <f t="array" ref="I293">IF($D293="","",xlookup($D293,PRODUCT!$B:$B,PRODUCT!$M:$M,""))</f>
        <v/>
      </c>
      <c r="J293" s="2" t="n"/>
      <c r="K293" s="2" t="n"/>
      <c r="L293" s="2" t="n"/>
      <c r="M293" s="2" t="n"/>
      <c r="N293" s="2" t="n"/>
    </row>
    <row r="294" ht="15.75" customHeight="1" s="125">
      <c r="A294" s="2" t="n"/>
      <c r="B294" s="2" t="n"/>
      <c r="C294" s="2" t="n"/>
      <c r="D294" s="58" t="n"/>
      <c r="E294" s="62">
        <f t="array" ref="E294">IF($D294="","",xlookup($D294,PRODUCT!$B:$B,PRODUCT!$A:$A,""))</f>
        <v/>
      </c>
      <c r="F294" s="62">
        <f t="array" ref="F294">IF($D294="","",xlookup($D294,PRODUCT!$B:$B,PRODUCT!$C:$C,""))</f>
        <v/>
      </c>
      <c r="G294" s="2" t="n"/>
      <c r="H294" s="62">
        <f t="array" ref="H294">IF($D294="","",xlookup($D294,PRODUCT!$B:$B,PRODUCT!$L:$L,""))</f>
        <v/>
      </c>
      <c r="I294" s="62">
        <f t="array" ref="I294">IF($D294="","",xlookup($D294,PRODUCT!$B:$B,PRODUCT!$M:$M,""))</f>
        <v/>
      </c>
      <c r="J294" s="2" t="n"/>
      <c r="K294" s="2" t="n"/>
      <c r="L294" s="2" t="n"/>
      <c r="M294" s="2" t="n"/>
      <c r="N294" s="2" t="n"/>
    </row>
    <row r="295" ht="15.75" customHeight="1" s="125">
      <c r="A295" s="2" t="n"/>
      <c r="B295" s="2" t="n"/>
      <c r="C295" s="2" t="n"/>
      <c r="D295" s="58" t="n"/>
      <c r="E295" s="62">
        <f t="array" ref="E295">IF($D295="","",xlookup($D295,PRODUCT!$B:$B,PRODUCT!$A:$A,""))</f>
        <v/>
      </c>
      <c r="F295" s="62">
        <f t="array" ref="F295">IF($D295="","",xlookup($D295,PRODUCT!$B:$B,PRODUCT!$C:$C,""))</f>
        <v/>
      </c>
      <c r="G295" s="2" t="n"/>
      <c r="H295" s="62">
        <f t="array" ref="H295">IF($D295="","",xlookup($D295,PRODUCT!$B:$B,PRODUCT!$L:$L,""))</f>
        <v/>
      </c>
      <c r="I295" s="62">
        <f t="array" ref="I295">IF($D295="","",xlookup($D295,PRODUCT!$B:$B,PRODUCT!$M:$M,""))</f>
        <v/>
      </c>
      <c r="J295" s="2" t="n"/>
      <c r="K295" s="2" t="n"/>
      <c r="L295" s="2" t="n"/>
      <c r="M295" s="2" t="n"/>
      <c r="N295" s="2" t="n"/>
    </row>
    <row r="296" ht="15.75" customHeight="1" s="125">
      <c r="A296" s="2" t="n"/>
      <c r="B296" s="2" t="n"/>
      <c r="C296" s="2" t="n"/>
      <c r="D296" s="58" t="n"/>
      <c r="E296" s="62">
        <f t="array" ref="E296">IF($D296="","",xlookup($D296,PRODUCT!$B:$B,PRODUCT!$A:$A,""))</f>
        <v/>
      </c>
      <c r="F296" s="62">
        <f t="array" ref="F296">IF($D296="","",xlookup($D296,PRODUCT!$B:$B,PRODUCT!$C:$C,""))</f>
        <v/>
      </c>
      <c r="G296" s="2" t="n"/>
      <c r="H296" s="62">
        <f t="array" ref="H296">IF($D296="","",xlookup($D296,PRODUCT!$B:$B,PRODUCT!$L:$L,""))</f>
        <v/>
      </c>
      <c r="I296" s="62">
        <f t="array" ref="I296">IF($D296="","",xlookup($D296,PRODUCT!$B:$B,PRODUCT!$M:$M,""))</f>
        <v/>
      </c>
      <c r="J296" s="2" t="n"/>
      <c r="K296" s="2" t="n"/>
      <c r="L296" s="2" t="n"/>
      <c r="M296" s="2" t="n"/>
      <c r="N296" s="2" t="n"/>
    </row>
    <row r="297" ht="15.75" customHeight="1" s="125">
      <c r="A297" s="2" t="n"/>
      <c r="B297" s="2" t="n"/>
      <c r="C297" s="2" t="n"/>
      <c r="D297" s="58" t="n"/>
      <c r="E297" s="62">
        <f t="array" ref="E297">IF($D297="","",xlookup($D297,PRODUCT!$B:$B,PRODUCT!$A:$A,""))</f>
        <v/>
      </c>
      <c r="F297" s="62">
        <f t="array" ref="F297">IF($D297="","",xlookup($D297,PRODUCT!$B:$B,PRODUCT!$C:$C,""))</f>
        <v/>
      </c>
      <c r="G297" s="2" t="n"/>
      <c r="H297" s="62">
        <f t="array" ref="H297">IF($D297="","",xlookup($D297,PRODUCT!$B:$B,PRODUCT!$L:$L,""))</f>
        <v/>
      </c>
      <c r="I297" s="62">
        <f t="array" ref="I297">IF($D297="","",xlookup($D297,PRODUCT!$B:$B,PRODUCT!$M:$M,""))</f>
        <v/>
      </c>
      <c r="J297" s="2" t="n"/>
      <c r="K297" s="2" t="n"/>
      <c r="L297" s="2" t="n"/>
      <c r="M297" s="2" t="n"/>
      <c r="N297" s="2" t="n"/>
    </row>
    <row r="298" ht="15.75" customHeight="1" s="125">
      <c r="A298" s="2" t="n"/>
      <c r="B298" s="2" t="n"/>
      <c r="C298" s="2" t="n"/>
      <c r="D298" s="58" t="n"/>
      <c r="E298" s="62">
        <f t="array" ref="E298">IF($D298="","",xlookup($D298,PRODUCT!$B:$B,PRODUCT!$A:$A,""))</f>
        <v/>
      </c>
      <c r="F298" s="62">
        <f t="array" ref="F298">IF($D298="","",xlookup($D298,PRODUCT!$B:$B,PRODUCT!$C:$C,""))</f>
        <v/>
      </c>
      <c r="G298" s="2" t="n"/>
      <c r="H298" s="62">
        <f t="array" ref="H298">IF($D298="","",xlookup($D298,PRODUCT!$B:$B,PRODUCT!$L:$L,""))</f>
        <v/>
      </c>
      <c r="I298" s="62">
        <f t="array" ref="I298">IF($D298="","",xlookup($D298,PRODUCT!$B:$B,PRODUCT!$M:$M,""))</f>
        <v/>
      </c>
      <c r="J298" s="2" t="n"/>
      <c r="K298" s="2" t="n"/>
      <c r="L298" s="2" t="n"/>
      <c r="M298" s="2" t="n"/>
      <c r="N298" s="2" t="n"/>
    </row>
    <row r="299" ht="15.75" customHeight="1" s="125">
      <c r="A299" s="2" t="n"/>
      <c r="B299" s="2" t="n"/>
      <c r="C299" s="2" t="n"/>
      <c r="D299" s="58" t="n"/>
      <c r="E299" s="62">
        <f t="array" ref="E299">IF($D299="","",xlookup($D299,PRODUCT!$B:$B,PRODUCT!$A:$A,""))</f>
        <v/>
      </c>
      <c r="F299" s="62">
        <f t="array" ref="F299">IF($D299="","",xlookup($D299,PRODUCT!$B:$B,PRODUCT!$C:$C,""))</f>
        <v/>
      </c>
      <c r="G299" s="2" t="n"/>
      <c r="H299" s="62">
        <f t="array" ref="H299">IF($D299="","",xlookup($D299,PRODUCT!$B:$B,PRODUCT!$L:$L,""))</f>
        <v/>
      </c>
      <c r="I299" s="62">
        <f t="array" ref="I299">IF($D299="","",xlookup($D299,PRODUCT!$B:$B,PRODUCT!$M:$M,""))</f>
        <v/>
      </c>
      <c r="J299" s="2" t="n"/>
      <c r="K299" s="2" t="n"/>
      <c r="L299" s="2" t="n"/>
      <c r="M299" s="2" t="n"/>
      <c r="N299" s="2" t="n"/>
    </row>
    <row r="300" ht="15.75" customHeight="1" s="125">
      <c r="A300" s="2" t="n"/>
      <c r="B300" s="2" t="n"/>
      <c r="C300" s="2" t="n"/>
      <c r="D300" s="58" t="n"/>
      <c r="E300" s="62">
        <f t="array" ref="E300">IF($D300="","",xlookup($D300,PRODUCT!$B:$B,PRODUCT!$A:$A,""))</f>
        <v/>
      </c>
      <c r="F300" s="62">
        <f t="array" ref="F300">IF($D300="","",xlookup($D300,PRODUCT!$B:$B,PRODUCT!$C:$C,""))</f>
        <v/>
      </c>
      <c r="G300" s="2" t="n"/>
      <c r="H300" s="62">
        <f t="array" ref="H300">IF($D300="","",xlookup($D300,PRODUCT!$B:$B,PRODUCT!$L:$L,""))</f>
        <v/>
      </c>
      <c r="I300" s="62">
        <f t="array" ref="I300">IF($D300="","",xlookup($D300,PRODUCT!$B:$B,PRODUCT!$M:$M,""))</f>
        <v/>
      </c>
      <c r="J300" s="2" t="n"/>
      <c r="K300" s="2" t="n"/>
      <c r="L300" s="2" t="n"/>
      <c r="M300" s="2" t="n"/>
      <c r="N300" s="2" t="n"/>
    </row>
    <row r="301" ht="15.75" customHeight="1" s="125">
      <c r="A301" s="2" t="n"/>
      <c r="B301" s="2" t="n"/>
      <c r="C301" s="2" t="n"/>
      <c r="D301" s="58" t="n"/>
      <c r="E301" s="62">
        <f t="array" ref="E301">IF($D301="","",xlookup($D301,PRODUCT!$B:$B,PRODUCT!$A:$A,""))</f>
        <v/>
      </c>
      <c r="F301" s="62">
        <f t="array" ref="F301">IF($D301="","",xlookup($D301,PRODUCT!$B:$B,PRODUCT!$C:$C,""))</f>
        <v/>
      </c>
      <c r="G301" s="2" t="n"/>
      <c r="H301" s="62">
        <f t="array" ref="H301">IF($D301="","",xlookup($D301,PRODUCT!$B:$B,PRODUCT!$L:$L,""))</f>
        <v/>
      </c>
      <c r="I301" s="62">
        <f t="array" ref="I301">IF($D301="","",xlookup($D301,PRODUCT!$B:$B,PRODUCT!$M:$M,""))</f>
        <v/>
      </c>
      <c r="J301" s="2" t="n"/>
      <c r="K301" s="2" t="n"/>
      <c r="L301" s="2" t="n"/>
      <c r="M301" s="2" t="n"/>
      <c r="N301" s="2" t="n"/>
    </row>
    <row r="302" ht="15.75" customHeight="1" s="125">
      <c r="A302" s="2" t="n"/>
      <c r="B302" s="2" t="n"/>
      <c r="C302" s="2" t="n"/>
      <c r="D302" s="58" t="n"/>
      <c r="E302" s="62">
        <f t="array" ref="E302">IF($D302="","",xlookup($D302,PRODUCT!$B:$B,PRODUCT!$A:$A,""))</f>
        <v/>
      </c>
      <c r="F302" s="62">
        <f t="array" ref="F302">IF($D302="","",xlookup($D302,PRODUCT!$B:$B,PRODUCT!$C:$C,""))</f>
        <v/>
      </c>
      <c r="G302" s="2" t="n"/>
      <c r="H302" s="62">
        <f t="array" ref="H302">IF($D302="","",xlookup($D302,PRODUCT!$B:$B,PRODUCT!$L:$L,""))</f>
        <v/>
      </c>
      <c r="I302" s="62">
        <f t="array" ref="I302">IF($D302="","",xlookup($D302,PRODUCT!$B:$B,PRODUCT!$M:$M,""))</f>
        <v/>
      </c>
      <c r="J302" s="2" t="n"/>
      <c r="K302" s="2" t="n"/>
      <c r="L302" s="2" t="n"/>
      <c r="M302" s="2" t="n"/>
      <c r="N302" s="2" t="n"/>
    </row>
    <row r="303" ht="15.75" customHeight="1" s="125">
      <c r="A303" s="2" t="n"/>
      <c r="B303" s="2" t="n"/>
      <c r="C303" s="2" t="n"/>
      <c r="D303" s="58" t="n"/>
      <c r="E303" s="62">
        <f t="array" ref="E303">IF($D303="","",xlookup($D303,PRODUCT!$B:$B,PRODUCT!$A:$A,""))</f>
        <v/>
      </c>
      <c r="F303" s="62">
        <f t="array" ref="F303">IF($D303="","",xlookup($D303,PRODUCT!$B:$B,PRODUCT!$C:$C,""))</f>
        <v/>
      </c>
      <c r="G303" s="2" t="n"/>
      <c r="H303" s="62">
        <f t="array" ref="H303">IF($D303="","",xlookup($D303,PRODUCT!$B:$B,PRODUCT!$L:$L,""))</f>
        <v/>
      </c>
      <c r="I303" s="62">
        <f t="array" ref="I303">IF($D303="","",xlookup($D303,PRODUCT!$B:$B,PRODUCT!$M:$M,""))</f>
        <v/>
      </c>
      <c r="J303" s="2" t="n"/>
      <c r="K303" s="2" t="n"/>
      <c r="L303" s="2" t="n"/>
      <c r="M303" s="2" t="n"/>
      <c r="N303" s="2" t="n"/>
    </row>
    <row r="304" ht="15.75" customHeight="1" s="125">
      <c r="A304" s="2" t="n"/>
      <c r="B304" s="2" t="n"/>
      <c r="C304" s="2" t="n"/>
      <c r="D304" s="58" t="n"/>
      <c r="E304" s="62">
        <f t="array" ref="E304">IF($D304="","",xlookup($D304,PRODUCT!$B:$B,PRODUCT!$A:$A,""))</f>
        <v/>
      </c>
      <c r="F304" s="62">
        <f t="array" ref="F304">IF($D304="","",xlookup($D304,PRODUCT!$B:$B,PRODUCT!$C:$C,""))</f>
        <v/>
      </c>
      <c r="G304" s="2" t="n"/>
      <c r="H304" s="62">
        <f t="array" ref="H304">IF($D304="","",xlookup($D304,PRODUCT!$B:$B,PRODUCT!$L:$L,""))</f>
        <v/>
      </c>
      <c r="I304" s="62">
        <f t="array" ref="I304">IF($D304="","",xlookup($D304,PRODUCT!$B:$B,PRODUCT!$M:$M,""))</f>
        <v/>
      </c>
      <c r="J304" s="2" t="n"/>
      <c r="K304" s="2" t="n"/>
      <c r="L304" s="2" t="n"/>
      <c r="M304" s="2" t="n"/>
      <c r="N304" s="2" t="n"/>
    </row>
    <row r="305" ht="15.75" customHeight="1" s="125">
      <c r="A305" s="2" t="n"/>
      <c r="B305" s="2" t="n"/>
      <c r="C305" s="2" t="n"/>
      <c r="D305" s="58" t="n"/>
      <c r="E305" s="62">
        <f t="array" ref="E305">IF($D305="","",xlookup($D305,PRODUCT!$B:$B,PRODUCT!$A:$A,""))</f>
        <v/>
      </c>
      <c r="F305" s="62">
        <f t="array" ref="F305">IF($D305="","",xlookup($D305,PRODUCT!$B:$B,PRODUCT!$C:$C,""))</f>
        <v/>
      </c>
      <c r="G305" s="2" t="n"/>
      <c r="H305" s="62">
        <f t="array" ref="H305">IF($D305="","",xlookup($D305,PRODUCT!$B:$B,PRODUCT!$L:$L,""))</f>
        <v/>
      </c>
      <c r="I305" s="62">
        <f t="array" ref="I305">IF($D305="","",xlookup($D305,PRODUCT!$B:$B,PRODUCT!$M:$M,""))</f>
        <v/>
      </c>
      <c r="J305" s="2" t="n"/>
      <c r="K305" s="2" t="n"/>
      <c r="L305" s="2" t="n"/>
      <c r="M305" s="2" t="n"/>
      <c r="N305" s="2" t="n"/>
    </row>
    <row r="306" ht="15.75" customHeight="1" s="125">
      <c r="A306" s="2" t="n"/>
      <c r="B306" s="2" t="n"/>
      <c r="C306" s="2" t="n"/>
      <c r="D306" s="58" t="n"/>
      <c r="E306" s="62">
        <f t="array" ref="E306">IF($D306="","",xlookup($D306,PRODUCT!$B:$B,PRODUCT!$A:$A,""))</f>
        <v/>
      </c>
      <c r="F306" s="62">
        <f t="array" ref="F306">IF($D306="","",xlookup($D306,PRODUCT!$B:$B,PRODUCT!$C:$C,""))</f>
        <v/>
      </c>
      <c r="G306" s="2" t="n"/>
      <c r="H306" s="62">
        <f t="array" ref="H306">IF($D306="","",xlookup($D306,PRODUCT!$B:$B,PRODUCT!$L:$L,""))</f>
        <v/>
      </c>
      <c r="I306" s="62">
        <f t="array" ref="I306">IF($D306="","",xlookup($D306,PRODUCT!$B:$B,PRODUCT!$M:$M,""))</f>
        <v/>
      </c>
      <c r="J306" s="2" t="n"/>
      <c r="K306" s="2" t="n"/>
      <c r="L306" s="2" t="n"/>
      <c r="M306" s="2" t="n"/>
      <c r="N306" s="2" t="n"/>
    </row>
    <row r="307" ht="15.75" customHeight="1" s="125">
      <c r="A307" s="2" t="n"/>
      <c r="B307" s="2" t="n"/>
      <c r="C307" s="2" t="n"/>
      <c r="D307" s="58" t="n"/>
      <c r="E307" s="62">
        <f t="array" ref="E307">IF($D307="","",xlookup($D307,PRODUCT!$B:$B,PRODUCT!$A:$A,""))</f>
        <v/>
      </c>
      <c r="F307" s="62">
        <f t="array" ref="F307">IF($D307="","",xlookup($D307,PRODUCT!$B:$B,PRODUCT!$C:$C,""))</f>
        <v/>
      </c>
      <c r="G307" s="2" t="n"/>
      <c r="H307" s="62">
        <f t="array" ref="H307">IF($D307="","",xlookup($D307,PRODUCT!$B:$B,PRODUCT!$L:$L,""))</f>
        <v/>
      </c>
      <c r="I307" s="62">
        <f t="array" ref="I307">IF($D307="","",xlookup($D307,PRODUCT!$B:$B,PRODUCT!$M:$M,""))</f>
        <v/>
      </c>
      <c r="J307" s="2" t="n"/>
      <c r="K307" s="2" t="n"/>
      <c r="L307" s="2" t="n"/>
      <c r="M307" s="2" t="n"/>
      <c r="N307" s="2" t="n"/>
    </row>
    <row r="308" ht="15.75" customHeight="1" s="125">
      <c r="A308" s="2" t="n"/>
      <c r="B308" s="2" t="n"/>
      <c r="C308" s="2" t="n"/>
      <c r="D308" s="58" t="n"/>
      <c r="E308" s="62">
        <f t="array" ref="E308">IF($D308="","",xlookup($D308,PRODUCT!$B:$B,PRODUCT!$A:$A,""))</f>
        <v/>
      </c>
      <c r="F308" s="62">
        <f t="array" ref="F308">IF($D308="","",xlookup($D308,PRODUCT!$B:$B,PRODUCT!$C:$C,""))</f>
        <v/>
      </c>
      <c r="G308" s="2" t="n"/>
      <c r="H308" s="62">
        <f t="array" ref="H308">IF($D308="","",xlookup($D308,PRODUCT!$B:$B,PRODUCT!$L:$L,""))</f>
        <v/>
      </c>
      <c r="I308" s="62">
        <f t="array" ref="I308">IF($D308="","",xlookup($D308,PRODUCT!$B:$B,PRODUCT!$M:$M,""))</f>
        <v/>
      </c>
      <c r="J308" s="2" t="n"/>
      <c r="K308" s="2" t="n"/>
      <c r="L308" s="2" t="n"/>
      <c r="M308" s="2" t="n"/>
      <c r="N308" s="2" t="n"/>
    </row>
    <row r="309" ht="15.75" customHeight="1" s="125">
      <c r="A309" s="2" t="n"/>
      <c r="B309" s="2" t="n"/>
      <c r="C309" s="2" t="n"/>
      <c r="D309" s="58" t="n"/>
      <c r="E309" s="62">
        <f t="array" ref="E309">IF($D309="","",xlookup($D309,PRODUCT!$B:$B,PRODUCT!$A:$A,""))</f>
        <v/>
      </c>
      <c r="F309" s="62">
        <f t="array" ref="F309">IF($D309="","",xlookup($D309,PRODUCT!$B:$B,PRODUCT!$C:$C,""))</f>
        <v/>
      </c>
      <c r="G309" s="2" t="n"/>
      <c r="H309" s="62">
        <f t="array" ref="H309">IF($D309="","",xlookup($D309,PRODUCT!$B:$B,PRODUCT!$L:$L,""))</f>
        <v/>
      </c>
      <c r="I309" s="62">
        <f t="array" ref="I309">IF($D309="","",xlookup($D309,PRODUCT!$B:$B,PRODUCT!$M:$M,""))</f>
        <v/>
      </c>
      <c r="J309" s="2" t="n"/>
      <c r="K309" s="2" t="n"/>
      <c r="L309" s="2" t="n"/>
      <c r="M309" s="2" t="n"/>
      <c r="N309" s="2" t="n"/>
    </row>
    <row r="310" ht="15.75" customHeight="1" s="125">
      <c r="A310" s="2" t="n"/>
      <c r="B310" s="2" t="n"/>
      <c r="C310" s="2" t="n"/>
      <c r="D310" s="58" t="n"/>
      <c r="E310" s="62">
        <f t="array" ref="E310">IF($D310="","",xlookup($D310,PRODUCT!$B:$B,PRODUCT!$A:$A,""))</f>
        <v/>
      </c>
      <c r="F310" s="62">
        <f t="array" ref="F310">IF($D310="","",xlookup($D310,PRODUCT!$B:$B,PRODUCT!$C:$C,""))</f>
        <v/>
      </c>
      <c r="G310" s="2" t="n"/>
      <c r="H310" s="62">
        <f t="array" ref="H310">IF($D310="","",xlookup($D310,PRODUCT!$B:$B,PRODUCT!$L:$L,""))</f>
        <v/>
      </c>
      <c r="I310" s="62">
        <f t="array" ref="I310">IF($D310="","",xlookup($D310,PRODUCT!$B:$B,PRODUCT!$M:$M,""))</f>
        <v/>
      </c>
      <c r="J310" s="2" t="n"/>
      <c r="K310" s="2" t="n"/>
      <c r="L310" s="2" t="n"/>
      <c r="M310" s="2" t="n"/>
      <c r="N310" s="2" t="n"/>
    </row>
    <row r="311" ht="15.75" customHeight="1" s="125">
      <c r="A311" s="2" t="n"/>
      <c r="B311" s="2" t="n"/>
      <c r="C311" s="2" t="n"/>
      <c r="D311" s="58" t="n"/>
      <c r="E311" s="62">
        <f t="array" ref="E311">IF($D311="","",xlookup($D311,PRODUCT!$B:$B,PRODUCT!$A:$A,""))</f>
        <v/>
      </c>
      <c r="F311" s="62">
        <f t="array" ref="F311">IF($D311="","",xlookup($D311,PRODUCT!$B:$B,PRODUCT!$C:$C,""))</f>
        <v/>
      </c>
      <c r="G311" s="2" t="n"/>
      <c r="H311" s="62">
        <f t="array" ref="H311">IF($D311="","",xlookup($D311,PRODUCT!$B:$B,PRODUCT!$L:$L,""))</f>
        <v/>
      </c>
      <c r="I311" s="62">
        <f t="array" ref="I311">IF($D311="","",xlookup($D311,PRODUCT!$B:$B,PRODUCT!$M:$M,""))</f>
        <v/>
      </c>
      <c r="J311" s="2" t="n"/>
      <c r="K311" s="2" t="n"/>
      <c r="L311" s="2" t="n"/>
      <c r="M311" s="2" t="n"/>
      <c r="N311" s="2" t="n"/>
    </row>
    <row r="312" ht="15.75" customHeight="1" s="125">
      <c r="A312" s="2" t="n"/>
      <c r="B312" s="2" t="n"/>
      <c r="C312" s="2" t="n"/>
      <c r="D312" s="58" t="n"/>
      <c r="E312" s="62">
        <f t="array" ref="E312">IF($D312="","",xlookup($D312,PRODUCT!$B:$B,PRODUCT!$A:$A,""))</f>
        <v/>
      </c>
      <c r="F312" s="62">
        <f t="array" ref="F312">IF($D312="","",xlookup($D312,PRODUCT!$B:$B,PRODUCT!$C:$C,""))</f>
        <v/>
      </c>
      <c r="G312" s="2" t="n"/>
      <c r="H312" s="62">
        <f t="array" ref="H312">IF($D312="","",xlookup($D312,PRODUCT!$B:$B,PRODUCT!$L:$L,""))</f>
        <v/>
      </c>
      <c r="I312" s="62">
        <f t="array" ref="I312">IF($D312="","",xlookup($D312,PRODUCT!$B:$B,PRODUCT!$M:$M,""))</f>
        <v/>
      </c>
      <c r="J312" s="2" t="n"/>
      <c r="K312" s="2" t="n"/>
      <c r="L312" s="2" t="n"/>
      <c r="M312" s="2" t="n"/>
      <c r="N312" s="2" t="n"/>
    </row>
    <row r="313" ht="15.75" customHeight="1" s="125">
      <c r="A313" s="2" t="n"/>
      <c r="B313" s="2" t="n"/>
      <c r="C313" s="2" t="n"/>
      <c r="D313" s="58" t="n"/>
      <c r="E313" s="62">
        <f t="array" ref="E313">IF($D313="","",xlookup($D313,PRODUCT!$B:$B,PRODUCT!$A:$A,""))</f>
        <v/>
      </c>
      <c r="F313" s="62">
        <f t="array" ref="F313">IF($D313="","",xlookup($D313,PRODUCT!$B:$B,PRODUCT!$C:$C,""))</f>
        <v/>
      </c>
      <c r="G313" s="2" t="n"/>
      <c r="H313" s="62">
        <f t="array" ref="H313">IF($D313="","",xlookup($D313,PRODUCT!$B:$B,PRODUCT!$L:$L,""))</f>
        <v/>
      </c>
      <c r="I313" s="62">
        <f t="array" ref="I313">IF($D313="","",xlookup($D313,PRODUCT!$B:$B,PRODUCT!$M:$M,""))</f>
        <v/>
      </c>
      <c r="J313" s="2" t="n"/>
      <c r="K313" s="2" t="n"/>
      <c r="L313" s="2" t="n"/>
      <c r="M313" s="2" t="n"/>
      <c r="N313" s="2" t="n"/>
    </row>
    <row r="314" ht="15.75" customHeight="1" s="125">
      <c r="A314" s="2" t="n"/>
      <c r="B314" s="2" t="n"/>
      <c r="C314" s="2" t="n"/>
      <c r="D314" s="58" t="n"/>
      <c r="E314" s="62">
        <f t="array" ref="E314">IF($D314="","",xlookup($D314,PRODUCT!$B:$B,PRODUCT!$A:$A,""))</f>
        <v/>
      </c>
      <c r="F314" s="62">
        <f t="array" ref="F314">IF($D314="","",xlookup($D314,PRODUCT!$B:$B,PRODUCT!$C:$C,""))</f>
        <v/>
      </c>
      <c r="G314" s="2" t="n"/>
      <c r="H314" s="62">
        <f t="array" ref="H314">IF($D314="","",xlookup($D314,PRODUCT!$B:$B,PRODUCT!$L:$L,""))</f>
        <v/>
      </c>
      <c r="I314" s="62">
        <f t="array" ref="I314">IF($D314="","",xlookup($D314,PRODUCT!$B:$B,PRODUCT!$M:$M,""))</f>
        <v/>
      </c>
      <c r="J314" s="2" t="n"/>
      <c r="K314" s="2" t="n"/>
      <c r="L314" s="2" t="n"/>
      <c r="M314" s="2" t="n"/>
      <c r="N314" s="2" t="n"/>
    </row>
    <row r="315" ht="15.75" customHeight="1" s="125">
      <c r="A315" s="2" t="n"/>
      <c r="B315" s="2" t="n"/>
      <c r="C315" s="2" t="n"/>
      <c r="D315" s="58" t="n"/>
      <c r="E315" s="62">
        <f t="array" ref="E315">IF($D315="","",xlookup($D315,PRODUCT!$B:$B,PRODUCT!$A:$A,""))</f>
        <v/>
      </c>
      <c r="F315" s="62">
        <f t="array" ref="F315">IF($D315="","",xlookup($D315,PRODUCT!$B:$B,PRODUCT!$C:$C,""))</f>
        <v/>
      </c>
      <c r="G315" s="2" t="n"/>
      <c r="H315" s="62">
        <f t="array" ref="H315">IF($D315="","",xlookup($D315,PRODUCT!$B:$B,PRODUCT!$L:$L,""))</f>
        <v/>
      </c>
      <c r="I315" s="62">
        <f t="array" ref="I315">IF($D315="","",xlookup($D315,PRODUCT!$B:$B,PRODUCT!$M:$M,""))</f>
        <v/>
      </c>
      <c r="J315" s="2" t="n"/>
      <c r="K315" s="2" t="n"/>
      <c r="L315" s="2" t="n"/>
      <c r="M315" s="2" t="n"/>
      <c r="N315" s="2" t="n"/>
    </row>
    <row r="316" ht="15.75" customHeight="1" s="125">
      <c r="A316" s="2" t="n"/>
      <c r="B316" s="2" t="n"/>
      <c r="C316" s="2" t="n"/>
      <c r="D316" s="58" t="n"/>
      <c r="E316" s="62">
        <f t="array" ref="E316">IF($D316="","",xlookup($D316,PRODUCT!$B:$B,PRODUCT!$A:$A,""))</f>
        <v/>
      </c>
      <c r="F316" s="62">
        <f t="array" ref="F316">IF($D316="","",xlookup($D316,PRODUCT!$B:$B,PRODUCT!$C:$C,""))</f>
        <v/>
      </c>
      <c r="G316" s="2" t="n"/>
      <c r="H316" s="62">
        <f t="array" ref="H316">IF($D316="","",xlookup($D316,PRODUCT!$B:$B,PRODUCT!$L:$L,""))</f>
        <v/>
      </c>
      <c r="I316" s="62">
        <f t="array" ref="I316">IF($D316="","",xlookup($D316,PRODUCT!$B:$B,PRODUCT!$M:$M,""))</f>
        <v/>
      </c>
      <c r="J316" s="2" t="n"/>
      <c r="K316" s="2" t="n"/>
      <c r="L316" s="2" t="n"/>
      <c r="M316" s="2" t="n"/>
      <c r="N316" s="2" t="n"/>
    </row>
    <row r="317" ht="15.75" customHeight="1" s="125">
      <c r="A317" s="2" t="n"/>
      <c r="B317" s="2" t="n"/>
      <c r="C317" s="2" t="n"/>
      <c r="D317" s="58" t="n"/>
      <c r="E317" s="62">
        <f t="array" ref="E317">IF($D317="","",xlookup($D317,PRODUCT!$B:$B,PRODUCT!$A:$A,""))</f>
        <v/>
      </c>
      <c r="F317" s="62">
        <f t="array" ref="F317">IF($D317="","",xlookup($D317,PRODUCT!$B:$B,PRODUCT!$C:$C,""))</f>
        <v/>
      </c>
      <c r="G317" s="2" t="n"/>
      <c r="H317" s="62">
        <f t="array" ref="H317">IF($D317="","",xlookup($D317,PRODUCT!$B:$B,PRODUCT!$L:$L,""))</f>
        <v/>
      </c>
      <c r="I317" s="62">
        <f t="array" ref="I317">IF($D317="","",xlookup($D317,PRODUCT!$B:$B,PRODUCT!$M:$M,""))</f>
        <v/>
      </c>
      <c r="J317" s="2" t="n"/>
      <c r="K317" s="2" t="n"/>
      <c r="L317" s="2" t="n"/>
      <c r="M317" s="2" t="n"/>
      <c r="N317" s="2" t="n"/>
    </row>
    <row r="318" ht="15.75" customHeight="1" s="125">
      <c r="A318" s="2" t="n"/>
      <c r="B318" s="2" t="n"/>
      <c r="C318" s="2" t="n"/>
      <c r="D318" s="58" t="n"/>
      <c r="E318" s="62">
        <f t="array" ref="E318">IF($D318="","",xlookup($D318,PRODUCT!$B:$B,PRODUCT!$A:$A,""))</f>
        <v/>
      </c>
      <c r="F318" s="62">
        <f t="array" ref="F318">IF($D318="","",xlookup($D318,PRODUCT!$B:$B,PRODUCT!$C:$C,""))</f>
        <v/>
      </c>
      <c r="G318" s="2" t="n"/>
      <c r="H318" s="62">
        <f t="array" ref="H318">IF($D318="","",xlookup($D318,PRODUCT!$B:$B,PRODUCT!$L:$L,""))</f>
        <v/>
      </c>
      <c r="I318" s="62">
        <f t="array" ref="I318">IF($D318="","",xlookup($D318,PRODUCT!$B:$B,PRODUCT!$M:$M,""))</f>
        <v/>
      </c>
      <c r="J318" s="2" t="n"/>
      <c r="K318" s="2" t="n"/>
      <c r="L318" s="2" t="n"/>
      <c r="M318" s="2" t="n"/>
      <c r="N318" s="2" t="n"/>
    </row>
    <row r="319" ht="15.75" customHeight="1" s="125">
      <c r="A319" s="2" t="n"/>
      <c r="B319" s="2" t="n"/>
      <c r="C319" s="2" t="n"/>
      <c r="D319" s="58" t="n"/>
      <c r="E319" s="62">
        <f t="array" ref="E319">IF($D319="","",xlookup($D319,PRODUCT!$B:$B,PRODUCT!$A:$A,""))</f>
        <v/>
      </c>
      <c r="F319" s="62">
        <f t="array" ref="F319">IF($D319="","",xlookup($D319,PRODUCT!$B:$B,PRODUCT!$C:$C,""))</f>
        <v/>
      </c>
      <c r="G319" s="2" t="n"/>
      <c r="H319" s="62">
        <f t="array" ref="H319">IF($D319="","",xlookup($D319,PRODUCT!$B:$B,PRODUCT!$L:$L,""))</f>
        <v/>
      </c>
      <c r="I319" s="62">
        <f t="array" ref="I319">IF($D319="","",xlookup($D319,PRODUCT!$B:$B,PRODUCT!$M:$M,""))</f>
        <v/>
      </c>
      <c r="J319" s="2" t="n"/>
      <c r="K319" s="2" t="n"/>
      <c r="L319" s="2" t="n"/>
      <c r="M319" s="2" t="n"/>
      <c r="N319" s="2" t="n"/>
    </row>
    <row r="320" ht="15.75" customHeight="1" s="125">
      <c r="A320" s="2" t="n"/>
      <c r="B320" s="2" t="n"/>
      <c r="C320" s="2" t="n"/>
      <c r="D320" s="58" t="n"/>
      <c r="E320" s="62">
        <f t="array" ref="E320">IF($D320="","",xlookup($D320,PRODUCT!$B:$B,PRODUCT!$A:$A,""))</f>
        <v/>
      </c>
      <c r="F320" s="62">
        <f t="array" ref="F320">IF($D320="","",xlookup($D320,PRODUCT!$B:$B,PRODUCT!$C:$C,""))</f>
        <v/>
      </c>
      <c r="G320" s="2" t="n"/>
      <c r="H320" s="62">
        <f t="array" ref="H320">IF($D320="","",xlookup($D320,PRODUCT!$B:$B,PRODUCT!$L:$L,""))</f>
        <v/>
      </c>
      <c r="I320" s="62">
        <f t="array" ref="I320">IF($D320="","",xlookup($D320,PRODUCT!$B:$B,PRODUCT!$M:$M,""))</f>
        <v/>
      </c>
      <c r="J320" s="2" t="n"/>
      <c r="K320" s="2" t="n"/>
      <c r="L320" s="2" t="n"/>
      <c r="M320" s="2" t="n"/>
      <c r="N320" s="2" t="n"/>
    </row>
    <row r="321" ht="15.75" customHeight="1" s="125">
      <c r="A321" s="2" t="n"/>
      <c r="B321" s="2" t="n"/>
      <c r="C321" s="2" t="n"/>
      <c r="D321" s="58" t="n"/>
      <c r="E321" s="62">
        <f t="array" ref="E321">IF($D321="","",xlookup($D321,PRODUCT!$B:$B,PRODUCT!$A:$A,""))</f>
        <v/>
      </c>
      <c r="F321" s="62">
        <f t="array" ref="F321">IF($D321="","",xlookup($D321,PRODUCT!$B:$B,PRODUCT!$C:$C,""))</f>
        <v/>
      </c>
      <c r="G321" s="2" t="n"/>
      <c r="H321" s="62">
        <f t="array" ref="H321">IF($D321="","",xlookup($D321,PRODUCT!$B:$B,PRODUCT!$L:$L,""))</f>
        <v/>
      </c>
      <c r="I321" s="62">
        <f t="array" ref="I321">IF($D321="","",xlookup($D321,PRODUCT!$B:$B,PRODUCT!$M:$M,""))</f>
        <v/>
      </c>
      <c r="J321" s="2" t="n"/>
      <c r="K321" s="2" t="n"/>
      <c r="L321" s="2" t="n"/>
      <c r="M321" s="2" t="n"/>
      <c r="N321" s="2" t="n"/>
    </row>
    <row r="322" ht="15.75" customHeight="1" s="125">
      <c r="A322" s="2" t="n"/>
      <c r="B322" s="2" t="n"/>
      <c r="C322" s="2" t="n"/>
      <c r="D322" s="58" t="n"/>
      <c r="E322" s="62">
        <f t="array" ref="E322">IF($D322="","",xlookup($D322,PRODUCT!$B:$B,PRODUCT!$A:$A,""))</f>
        <v/>
      </c>
      <c r="F322" s="62">
        <f t="array" ref="F322">IF($D322="","",xlookup($D322,PRODUCT!$B:$B,PRODUCT!$C:$C,""))</f>
        <v/>
      </c>
      <c r="G322" s="2" t="n"/>
      <c r="H322" s="62">
        <f t="array" ref="H322">IF($D322="","",xlookup($D322,PRODUCT!$B:$B,PRODUCT!$L:$L,""))</f>
        <v/>
      </c>
      <c r="I322" s="62">
        <f t="array" ref="I322">IF($D322="","",xlookup($D322,PRODUCT!$B:$B,PRODUCT!$M:$M,""))</f>
        <v/>
      </c>
      <c r="J322" s="2" t="n"/>
      <c r="K322" s="2" t="n"/>
      <c r="L322" s="2" t="n"/>
      <c r="M322" s="2" t="n"/>
      <c r="N322" s="2" t="n"/>
    </row>
    <row r="323" ht="15.75" customHeight="1" s="125">
      <c r="A323" s="2" t="n"/>
      <c r="B323" s="2" t="n"/>
      <c r="C323" s="2" t="n"/>
      <c r="D323" s="58" t="n"/>
      <c r="E323" s="62">
        <f t="array" ref="E323">IF($D323="","",xlookup($D323,PRODUCT!$B:$B,PRODUCT!$A:$A,""))</f>
        <v/>
      </c>
      <c r="F323" s="62">
        <f t="array" ref="F323">IF($D323="","",xlookup($D323,PRODUCT!$B:$B,PRODUCT!$C:$C,""))</f>
        <v/>
      </c>
      <c r="G323" s="2" t="n"/>
      <c r="H323" s="62">
        <f t="array" ref="H323">IF($D323="","",xlookup($D323,PRODUCT!$B:$B,PRODUCT!$L:$L,""))</f>
        <v/>
      </c>
      <c r="I323" s="62">
        <f t="array" ref="I323">IF($D323="","",xlookup($D323,PRODUCT!$B:$B,PRODUCT!$M:$M,""))</f>
        <v/>
      </c>
      <c r="J323" s="2" t="n"/>
      <c r="K323" s="2" t="n"/>
      <c r="L323" s="2" t="n"/>
      <c r="M323" s="2" t="n"/>
      <c r="N323" s="2" t="n"/>
    </row>
    <row r="324" ht="15.75" customHeight="1" s="125">
      <c r="A324" s="2" t="n"/>
      <c r="B324" s="2" t="n"/>
      <c r="C324" s="2" t="n"/>
      <c r="D324" s="58" t="n"/>
      <c r="E324" s="62">
        <f t="array" ref="E324">IF($D324="","",xlookup($D324,PRODUCT!$B:$B,PRODUCT!$A:$A,""))</f>
        <v/>
      </c>
      <c r="F324" s="62">
        <f t="array" ref="F324">IF($D324="","",xlookup($D324,PRODUCT!$B:$B,PRODUCT!$C:$C,""))</f>
        <v/>
      </c>
      <c r="G324" s="2" t="n"/>
      <c r="H324" s="62">
        <f t="array" ref="H324">IF($D324="","",xlookup($D324,PRODUCT!$B:$B,PRODUCT!$L:$L,""))</f>
        <v/>
      </c>
      <c r="I324" s="62">
        <f t="array" ref="I324">IF($D324="","",xlookup($D324,PRODUCT!$B:$B,PRODUCT!$M:$M,""))</f>
        <v/>
      </c>
      <c r="J324" s="2" t="n"/>
      <c r="K324" s="2" t="n"/>
      <c r="L324" s="2" t="n"/>
      <c r="M324" s="2" t="n"/>
      <c r="N324" s="2" t="n"/>
    </row>
    <row r="325" ht="15.75" customHeight="1" s="125">
      <c r="A325" s="2" t="n"/>
      <c r="B325" s="2" t="n"/>
      <c r="C325" s="2" t="n"/>
      <c r="D325" s="58" t="n"/>
      <c r="E325" s="62">
        <f t="array" ref="E325">IF($D325="","",xlookup($D325,PRODUCT!$B:$B,PRODUCT!$A:$A,""))</f>
        <v/>
      </c>
      <c r="F325" s="62">
        <f t="array" ref="F325">IF($D325="","",xlookup($D325,PRODUCT!$B:$B,PRODUCT!$C:$C,""))</f>
        <v/>
      </c>
      <c r="G325" s="2" t="n"/>
      <c r="H325" s="62">
        <f t="array" ref="H325">IF($D325="","",xlookup($D325,PRODUCT!$B:$B,PRODUCT!$L:$L,""))</f>
        <v/>
      </c>
      <c r="I325" s="62">
        <f t="array" ref="I325">IF($D325="","",xlookup($D325,PRODUCT!$B:$B,PRODUCT!$M:$M,""))</f>
        <v/>
      </c>
      <c r="J325" s="2" t="n"/>
      <c r="K325" s="2" t="n"/>
      <c r="L325" s="2" t="n"/>
      <c r="M325" s="2" t="n"/>
      <c r="N325" s="2" t="n"/>
    </row>
    <row r="326" ht="15.75" customHeight="1" s="125">
      <c r="A326" s="2" t="n"/>
      <c r="B326" s="2" t="n"/>
      <c r="C326" s="2" t="n"/>
      <c r="D326" s="58" t="n"/>
      <c r="E326" s="62">
        <f t="array" ref="E326">IF($D326="","",xlookup($D326,PRODUCT!$B:$B,PRODUCT!$A:$A,""))</f>
        <v/>
      </c>
      <c r="F326" s="62">
        <f t="array" ref="F326">IF($D326="","",xlookup($D326,PRODUCT!$B:$B,PRODUCT!$C:$C,""))</f>
        <v/>
      </c>
      <c r="G326" s="2" t="n"/>
      <c r="H326" s="62">
        <f t="array" ref="H326">IF($D326="","",xlookup($D326,PRODUCT!$B:$B,PRODUCT!$L:$L,""))</f>
        <v/>
      </c>
      <c r="I326" s="62">
        <f t="array" ref="I326">IF($D326="","",xlookup($D326,PRODUCT!$B:$B,PRODUCT!$M:$M,""))</f>
        <v/>
      </c>
      <c r="J326" s="2" t="n"/>
      <c r="K326" s="2" t="n"/>
      <c r="L326" s="2" t="n"/>
      <c r="M326" s="2" t="n"/>
      <c r="N326" s="2" t="n"/>
    </row>
    <row r="327" ht="15.75" customHeight="1" s="125">
      <c r="A327" s="2" t="n"/>
      <c r="B327" s="2" t="n"/>
      <c r="C327" s="2" t="n"/>
      <c r="D327" s="58" t="n"/>
      <c r="E327" s="62">
        <f t="array" ref="E327">IF($D327="","",xlookup($D327,PRODUCT!$B:$B,PRODUCT!$A:$A,""))</f>
        <v/>
      </c>
      <c r="F327" s="62">
        <f t="array" ref="F327">IF($D327="","",xlookup($D327,PRODUCT!$B:$B,PRODUCT!$C:$C,""))</f>
        <v/>
      </c>
      <c r="G327" s="2" t="n"/>
      <c r="H327" s="62">
        <f t="array" ref="H327">IF($D327="","",xlookup($D327,PRODUCT!$B:$B,PRODUCT!$L:$L,""))</f>
        <v/>
      </c>
      <c r="I327" s="62">
        <f t="array" ref="I327">IF($D327="","",xlookup($D327,PRODUCT!$B:$B,PRODUCT!$M:$M,""))</f>
        <v/>
      </c>
      <c r="J327" s="2" t="n"/>
      <c r="K327" s="2" t="n"/>
      <c r="L327" s="2" t="n"/>
      <c r="M327" s="2" t="n"/>
      <c r="N327" s="2" t="n"/>
    </row>
    <row r="328" ht="15.75" customHeight="1" s="125">
      <c r="A328" s="2" t="n"/>
      <c r="B328" s="2" t="n"/>
      <c r="C328" s="2" t="n"/>
      <c r="D328" s="58" t="n"/>
      <c r="E328" s="62">
        <f t="array" ref="E328">IF($D328="","",xlookup($D328,PRODUCT!$B:$B,PRODUCT!$A:$A,""))</f>
        <v/>
      </c>
      <c r="F328" s="62">
        <f t="array" ref="F328">IF($D328="","",xlookup($D328,PRODUCT!$B:$B,PRODUCT!$C:$C,""))</f>
        <v/>
      </c>
      <c r="G328" s="2" t="n"/>
      <c r="H328" s="62">
        <f t="array" ref="H328">IF($D328="","",xlookup($D328,PRODUCT!$B:$B,PRODUCT!$L:$L,""))</f>
        <v/>
      </c>
      <c r="I328" s="62">
        <f t="array" ref="I328">IF($D328="","",xlookup($D328,PRODUCT!$B:$B,PRODUCT!$M:$M,""))</f>
        <v/>
      </c>
      <c r="J328" s="2" t="n"/>
      <c r="K328" s="2" t="n"/>
      <c r="L328" s="2" t="n"/>
      <c r="M328" s="2" t="n"/>
      <c r="N328" s="2" t="n"/>
    </row>
    <row r="329" ht="15.75" customHeight="1" s="125">
      <c r="A329" s="2" t="n"/>
      <c r="B329" s="2" t="n"/>
      <c r="C329" s="2" t="n"/>
      <c r="D329" s="58" t="n"/>
      <c r="E329" s="62">
        <f t="array" ref="E329">IF($D329="","",xlookup($D329,PRODUCT!$B:$B,PRODUCT!$A:$A,""))</f>
        <v/>
      </c>
      <c r="F329" s="62">
        <f t="array" ref="F329">IF($D329="","",xlookup($D329,PRODUCT!$B:$B,PRODUCT!$C:$C,""))</f>
        <v/>
      </c>
      <c r="G329" s="2" t="n"/>
      <c r="H329" s="62">
        <f t="array" ref="H329">IF($D329="","",xlookup($D329,PRODUCT!$B:$B,PRODUCT!$L:$L,""))</f>
        <v/>
      </c>
      <c r="I329" s="62">
        <f t="array" ref="I329">IF($D329="","",xlookup($D329,PRODUCT!$B:$B,PRODUCT!$M:$M,""))</f>
        <v/>
      </c>
      <c r="J329" s="2" t="n"/>
      <c r="K329" s="2" t="n"/>
      <c r="L329" s="2" t="n"/>
      <c r="M329" s="2" t="n"/>
      <c r="N329" s="2" t="n"/>
    </row>
    <row r="330" ht="15.75" customHeight="1" s="125">
      <c r="A330" s="2" t="n"/>
      <c r="B330" s="2" t="n"/>
      <c r="C330" s="2" t="n"/>
      <c r="D330" s="58" t="n"/>
      <c r="E330" s="62">
        <f t="array" ref="E330">IF($D330="","",xlookup($D330,PRODUCT!$B:$B,PRODUCT!$A:$A,""))</f>
        <v/>
      </c>
      <c r="F330" s="62">
        <f t="array" ref="F330">IF($D330="","",xlookup($D330,PRODUCT!$B:$B,PRODUCT!$C:$C,""))</f>
        <v/>
      </c>
      <c r="G330" s="2" t="n"/>
      <c r="H330" s="62">
        <f t="array" ref="H330">IF($D330="","",xlookup($D330,PRODUCT!$B:$B,PRODUCT!$L:$L,""))</f>
        <v/>
      </c>
      <c r="I330" s="62">
        <f t="array" ref="I330">IF($D330="","",xlookup($D330,PRODUCT!$B:$B,PRODUCT!$M:$M,""))</f>
        <v/>
      </c>
      <c r="J330" s="2" t="n"/>
      <c r="K330" s="2" t="n"/>
      <c r="L330" s="2" t="n"/>
      <c r="M330" s="2" t="n"/>
      <c r="N330" s="2" t="n"/>
    </row>
    <row r="331" ht="15.75" customHeight="1" s="125">
      <c r="A331" s="2" t="n"/>
      <c r="B331" s="2" t="n"/>
      <c r="C331" s="2" t="n"/>
      <c r="D331" s="58" t="n"/>
      <c r="E331" s="62">
        <f t="array" ref="E331">IF($D331="","",xlookup($D331,PRODUCT!$B:$B,PRODUCT!$A:$A,""))</f>
        <v/>
      </c>
      <c r="F331" s="62">
        <f t="array" ref="F331">IF($D331="","",xlookup($D331,PRODUCT!$B:$B,PRODUCT!$C:$C,""))</f>
        <v/>
      </c>
      <c r="G331" s="2" t="n"/>
      <c r="H331" s="62">
        <f t="array" ref="H331">IF($D331="","",xlookup($D331,PRODUCT!$B:$B,PRODUCT!$L:$L,""))</f>
        <v/>
      </c>
      <c r="I331" s="62">
        <f t="array" ref="I331">IF($D331="","",xlookup($D331,PRODUCT!$B:$B,PRODUCT!$M:$M,""))</f>
        <v/>
      </c>
      <c r="J331" s="2" t="n"/>
      <c r="K331" s="2" t="n"/>
      <c r="L331" s="2" t="n"/>
      <c r="M331" s="2" t="n"/>
      <c r="N331" s="2" t="n"/>
    </row>
    <row r="332" ht="15.75" customHeight="1" s="125">
      <c r="A332" s="2" t="n"/>
      <c r="B332" s="2" t="n"/>
      <c r="C332" s="2" t="n"/>
      <c r="D332" s="58" t="n"/>
      <c r="E332" s="62">
        <f t="array" ref="E332">IF($D332="","",xlookup($D332,PRODUCT!$B:$B,PRODUCT!$A:$A,""))</f>
        <v/>
      </c>
      <c r="F332" s="62">
        <f t="array" ref="F332">IF($D332="","",xlookup($D332,PRODUCT!$B:$B,PRODUCT!$C:$C,""))</f>
        <v/>
      </c>
      <c r="G332" s="2" t="n"/>
      <c r="H332" s="62">
        <f t="array" ref="H332">IF($D332="","",xlookup($D332,PRODUCT!$B:$B,PRODUCT!$L:$L,""))</f>
        <v/>
      </c>
      <c r="I332" s="62">
        <f t="array" ref="I332">IF($D332="","",xlookup($D332,PRODUCT!$B:$B,PRODUCT!$M:$M,""))</f>
        <v/>
      </c>
      <c r="J332" s="2" t="n"/>
      <c r="K332" s="2" t="n"/>
      <c r="L332" s="2" t="n"/>
      <c r="M332" s="2" t="n"/>
      <c r="N332" s="2" t="n"/>
    </row>
    <row r="333" ht="15.75" customHeight="1" s="125">
      <c r="A333" s="2" t="n"/>
      <c r="B333" s="2" t="n"/>
      <c r="C333" s="2" t="n"/>
      <c r="D333" s="58" t="n"/>
      <c r="E333" s="62">
        <f t="array" ref="E333">IF($D333="","",xlookup($D333,PRODUCT!$B:$B,PRODUCT!$A:$A,""))</f>
        <v/>
      </c>
      <c r="F333" s="62">
        <f t="array" ref="F333">IF($D333="","",xlookup($D333,PRODUCT!$B:$B,PRODUCT!$C:$C,""))</f>
        <v/>
      </c>
      <c r="G333" s="2" t="n"/>
      <c r="H333" s="62">
        <f t="array" ref="H333">IF($D333="","",xlookup($D333,PRODUCT!$B:$B,PRODUCT!$L:$L,""))</f>
        <v/>
      </c>
      <c r="I333" s="62">
        <f t="array" ref="I333">IF($D333="","",xlookup($D333,PRODUCT!$B:$B,PRODUCT!$M:$M,""))</f>
        <v/>
      </c>
      <c r="J333" s="2" t="n"/>
      <c r="K333" s="2" t="n"/>
      <c r="L333" s="2" t="n"/>
      <c r="M333" s="2" t="n"/>
      <c r="N333" s="2" t="n"/>
    </row>
    <row r="334" ht="15.75" customHeight="1" s="125">
      <c r="A334" s="2" t="n"/>
      <c r="B334" s="2" t="n"/>
      <c r="C334" s="2" t="n"/>
      <c r="D334" s="58" t="n"/>
      <c r="E334" s="62">
        <f t="array" ref="E334">IF($D334="","",xlookup($D334,PRODUCT!$B:$B,PRODUCT!$A:$A,""))</f>
        <v/>
      </c>
      <c r="F334" s="62">
        <f t="array" ref="F334">IF($D334="","",xlookup($D334,PRODUCT!$B:$B,PRODUCT!$C:$C,""))</f>
        <v/>
      </c>
      <c r="G334" s="2" t="n"/>
      <c r="H334" s="62">
        <f t="array" ref="H334">IF($D334="","",xlookup($D334,PRODUCT!$B:$B,PRODUCT!$L:$L,""))</f>
        <v/>
      </c>
      <c r="I334" s="62">
        <f t="array" ref="I334">IF($D334="","",xlookup($D334,PRODUCT!$B:$B,PRODUCT!$M:$M,""))</f>
        <v/>
      </c>
      <c r="J334" s="2" t="n"/>
      <c r="K334" s="2" t="n"/>
      <c r="L334" s="2" t="n"/>
      <c r="M334" s="2" t="n"/>
      <c r="N334" s="2" t="n"/>
    </row>
    <row r="335" ht="15.75" customHeight="1" s="125">
      <c r="A335" s="2" t="n"/>
      <c r="B335" s="2" t="n"/>
      <c r="C335" s="2" t="n"/>
      <c r="D335" s="58" t="n"/>
      <c r="E335" s="62">
        <f t="array" ref="E335">IF($D335="","",xlookup($D335,PRODUCT!$B:$B,PRODUCT!$A:$A,""))</f>
        <v/>
      </c>
      <c r="F335" s="62">
        <f t="array" ref="F335">IF($D335="","",xlookup($D335,PRODUCT!$B:$B,PRODUCT!$C:$C,""))</f>
        <v/>
      </c>
      <c r="G335" s="2" t="n"/>
      <c r="H335" s="62">
        <f t="array" ref="H335">IF($D335="","",xlookup($D335,PRODUCT!$B:$B,PRODUCT!$L:$L,""))</f>
        <v/>
      </c>
      <c r="I335" s="62">
        <f t="array" ref="I335">IF($D335="","",xlookup($D335,PRODUCT!$B:$B,PRODUCT!$M:$M,""))</f>
        <v/>
      </c>
      <c r="J335" s="2" t="n"/>
      <c r="K335" s="2" t="n"/>
      <c r="L335" s="2" t="n"/>
      <c r="M335" s="2" t="n"/>
      <c r="N335" s="2" t="n"/>
    </row>
    <row r="336" ht="15.75" customHeight="1" s="125">
      <c r="A336" s="2" t="n"/>
      <c r="B336" s="2" t="n"/>
      <c r="C336" s="2" t="n"/>
      <c r="D336" s="58" t="n"/>
      <c r="E336" s="62">
        <f t="array" ref="E336">IF($D336="","",xlookup($D336,PRODUCT!$B:$B,PRODUCT!$A:$A,""))</f>
        <v/>
      </c>
      <c r="F336" s="62">
        <f t="array" ref="F336">IF($D336="","",xlookup($D336,PRODUCT!$B:$B,PRODUCT!$C:$C,""))</f>
        <v/>
      </c>
      <c r="G336" s="2" t="n"/>
      <c r="H336" s="62">
        <f t="array" ref="H336">IF($D336="","",xlookup($D336,PRODUCT!$B:$B,PRODUCT!$L:$L,""))</f>
        <v/>
      </c>
      <c r="I336" s="62">
        <f t="array" ref="I336">IF($D336="","",xlookup($D336,PRODUCT!$B:$B,PRODUCT!$M:$M,""))</f>
        <v/>
      </c>
      <c r="J336" s="2" t="n"/>
      <c r="K336" s="2" t="n"/>
      <c r="L336" s="2" t="n"/>
      <c r="M336" s="2" t="n"/>
      <c r="N336" s="2" t="n"/>
    </row>
    <row r="337" ht="15.75" customHeight="1" s="125">
      <c r="A337" s="2" t="n"/>
      <c r="B337" s="2" t="n"/>
      <c r="C337" s="2" t="n"/>
      <c r="D337" s="58" t="n"/>
      <c r="E337" s="62">
        <f t="array" ref="E337">IF($D337="","",xlookup($D337,PRODUCT!$B:$B,PRODUCT!$A:$A,""))</f>
        <v/>
      </c>
      <c r="F337" s="62">
        <f t="array" ref="F337">IF($D337="","",xlookup($D337,PRODUCT!$B:$B,PRODUCT!$C:$C,""))</f>
        <v/>
      </c>
      <c r="G337" s="2" t="n"/>
      <c r="H337" s="62">
        <f t="array" ref="H337">IF($D337="","",xlookup($D337,PRODUCT!$B:$B,PRODUCT!$L:$L,""))</f>
        <v/>
      </c>
      <c r="I337" s="62">
        <f t="array" ref="I337">IF($D337="","",xlookup($D337,PRODUCT!$B:$B,PRODUCT!$M:$M,""))</f>
        <v/>
      </c>
      <c r="J337" s="2" t="n"/>
      <c r="K337" s="2" t="n"/>
      <c r="L337" s="2" t="n"/>
      <c r="M337" s="2" t="n"/>
      <c r="N337" s="2" t="n"/>
    </row>
    <row r="338" ht="15.75" customHeight="1" s="125">
      <c r="A338" s="2" t="n"/>
      <c r="B338" s="2" t="n"/>
      <c r="C338" s="2" t="n"/>
      <c r="D338" s="58" t="n"/>
      <c r="E338" s="62">
        <f t="array" ref="E338">IF($D338="","",xlookup($D338,PRODUCT!$B:$B,PRODUCT!$A:$A,""))</f>
        <v/>
      </c>
      <c r="F338" s="62">
        <f t="array" ref="F338">IF($D338="","",xlookup($D338,PRODUCT!$B:$B,PRODUCT!$C:$C,""))</f>
        <v/>
      </c>
      <c r="G338" s="2" t="n"/>
      <c r="H338" s="62">
        <f t="array" ref="H338">IF($D338="","",xlookup($D338,PRODUCT!$B:$B,PRODUCT!$L:$L,""))</f>
        <v/>
      </c>
      <c r="I338" s="62">
        <f t="array" ref="I338">IF($D338="","",xlookup($D338,PRODUCT!$B:$B,PRODUCT!$M:$M,""))</f>
        <v/>
      </c>
      <c r="J338" s="2" t="n"/>
      <c r="K338" s="2" t="n"/>
      <c r="L338" s="2" t="n"/>
      <c r="M338" s="2" t="n"/>
      <c r="N338" s="2" t="n"/>
    </row>
    <row r="339" ht="15.75" customHeight="1" s="125">
      <c r="A339" s="2" t="n"/>
      <c r="B339" s="2" t="n"/>
      <c r="C339" s="2" t="n"/>
      <c r="D339" s="58" t="n"/>
      <c r="E339" s="62">
        <f t="array" ref="E339">IF($D339="","",xlookup($D339,PRODUCT!$B:$B,PRODUCT!$A:$A,""))</f>
        <v/>
      </c>
      <c r="F339" s="62">
        <f t="array" ref="F339">IF($D339="","",xlookup($D339,PRODUCT!$B:$B,PRODUCT!$C:$C,""))</f>
        <v/>
      </c>
      <c r="G339" s="2" t="n"/>
      <c r="H339" s="62">
        <f t="array" ref="H339">IF($D339="","",xlookup($D339,PRODUCT!$B:$B,PRODUCT!$L:$L,""))</f>
        <v/>
      </c>
      <c r="I339" s="62">
        <f t="array" ref="I339">IF($D339="","",xlookup($D339,PRODUCT!$B:$B,PRODUCT!$M:$M,""))</f>
        <v/>
      </c>
      <c r="J339" s="2" t="n"/>
      <c r="K339" s="2" t="n"/>
      <c r="L339" s="2" t="n"/>
      <c r="M339" s="2" t="n"/>
      <c r="N339" s="2" t="n"/>
    </row>
    <row r="340" ht="15.75" customHeight="1" s="125">
      <c r="A340" s="2" t="n"/>
      <c r="B340" s="2" t="n"/>
      <c r="C340" s="2" t="n"/>
      <c r="D340" s="58" t="n"/>
      <c r="E340" s="62">
        <f t="array" ref="E340">IF($D340="","",xlookup($D340,PRODUCT!$B:$B,PRODUCT!$A:$A,""))</f>
        <v/>
      </c>
      <c r="F340" s="62">
        <f t="array" ref="F340">IF($D340="","",xlookup($D340,PRODUCT!$B:$B,PRODUCT!$C:$C,""))</f>
        <v/>
      </c>
      <c r="G340" s="2" t="n"/>
      <c r="H340" s="62">
        <f t="array" ref="H340">IF($D340="","",xlookup($D340,PRODUCT!$B:$B,PRODUCT!$L:$L,""))</f>
        <v/>
      </c>
      <c r="I340" s="62">
        <f t="array" ref="I340">IF($D340="","",xlookup($D340,PRODUCT!$B:$B,PRODUCT!$M:$M,""))</f>
        <v/>
      </c>
      <c r="J340" s="2" t="n"/>
      <c r="K340" s="2" t="n"/>
      <c r="L340" s="2" t="n"/>
      <c r="M340" s="2" t="n"/>
      <c r="N340" s="2" t="n"/>
    </row>
    <row r="341" ht="15.75" customHeight="1" s="125">
      <c r="A341" s="2" t="n"/>
      <c r="B341" s="2" t="n"/>
      <c r="C341" s="2" t="n"/>
      <c r="D341" s="58" t="n"/>
      <c r="E341" s="62">
        <f t="array" ref="E341">IF($D341="","",xlookup($D341,PRODUCT!$B:$B,PRODUCT!$A:$A,""))</f>
        <v/>
      </c>
      <c r="F341" s="62">
        <f t="array" ref="F341">IF($D341="","",xlookup($D341,PRODUCT!$B:$B,PRODUCT!$C:$C,""))</f>
        <v/>
      </c>
      <c r="G341" s="2" t="n"/>
      <c r="H341" s="62">
        <f t="array" ref="H341">IF($D341="","",xlookup($D341,PRODUCT!$B:$B,PRODUCT!$L:$L,""))</f>
        <v/>
      </c>
      <c r="I341" s="62">
        <f t="array" ref="I341">IF($D341="","",xlookup($D341,PRODUCT!$B:$B,PRODUCT!$M:$M,""))</f>
        <v/>
      </c>
      <c r="J341" s="2" t="n"/>
      <c r="K341" s="2" t="n"/>
      <c r="L341" s="2" t="n"/>
      <c r="M341" s="2" t="n"/>
      <c r="N341" s="2" t="n"/>
    </row>
    <row r="342" ht="15.75" customHeight="1" s="125">
      <c r="A342" s="2" t="n"/>
      <c r="B342" s="2" t="n"/>
      <c r="C342" s="2" t="n"/>
      <c r="D342" s="58" t="n"/>
      <c r="E342" s="62">
        <f t="array" ref="E342">IF($D342="","",xlookup($D342,PRODUCT!$B:$B,PRODUCT!$A:$A,""))</f>
        <v/>
      </c>
      <c r="F342" s="62">
        <f t="array" ref="F342">IF($D342="","",xlookup($D342,PRODUCT!$B:$B,PRODUCT!$C:$C,""))</f>
        <v/>
      </c>
      <c r="G342" s="2" t="n"/>
      <c r="H342" s="62">
        <f t="array" ref="H342">IF($D342="","",xlookup($D342,PRODUCT!$B:$B,PRODUCT!$L:$L,""))</f>
        <v/>
      </c>
      <c r="I342" s="62">
        <f t="array" ref="I342">IF($D342="","",xlookup($D342,PRODUCT!$B:$B,PRODUCT!$M:$M,""))</f>
        <v/>
      </c>
      <c r="J342" s="2" t="n"/>
      <c r="K342" s="2" t="n"/>
      <c r="L342" s="2" t="n"/>
      <c r="M342" s="2" t="n"/>
      <c r="N342" s="2" t="n"/>
    </row>
    <row r="343" ht="15.75" customHeight="1" s="125">
      <c r="A343" s="2" t="n"/>
      <c r="B343" s="2" t="n"/>
      <c r="C343" s="2" t="n"/>
      <c r="D343" s="58" t="n"/>
      <c r="E343" s="62">
        <f t="array" ref="E343">IF($D343="","",xlookup($D343,PRODUCT!$B:$B,PRODUCT!$A:$A,""))</f>
        <v/>
      </c>
      <c r="F343" s="62">
        <f t="array" ref="F343">IF($D343="","",xlookup($D343,PRODUCT!$B:$B,PRODUCT!$C:$C,""))</f>
        <v/>
      </c>
      <c r="G343" s="2" t="n"/>
      <c r="H343" s="62">
        <f t="array" ref="H343">IF($D343="","",xlookup($D343,PRODUCT!$B:$B,PRODUCT!$L:$L,""))</f>
        <v/>
      </c>
      <c r="I343" s="62">
        <f t="array" ref="I343">IF($D343="","",xlookup($D343,PRODUCT!$B:$B,PRODUCT!$M:$M,""))</f>
        <v/>
      </c>
      <c r="J343" s="2" t="n"/>
      <c r="K343" s="2" t="n"/>
      <c r="L343" s="2" t="n"/>
      <c r="M343" s="2" t="n"/>
      <c r="N343" s="2" t="n"/>
    </row>
    <row r="344" ht="15.75" customHeight="1" s="125">
      <c r="A344" s="2" t="n"/>
      <c r="B344" s="2" t="n"/>
      <c r="C344" s="2" t="n"/>
      <c r="D344" s="58" t="n"/>
      <c r="E344" s="62">
        <f t="array" ref="E344">IF($D344="","",xlookup($D344,PRODUCT!$B:$B,PRODUCT!$A:$A,""))</f>
        <v/>
      </c>
      <c r="F344" s="62">
        <f t="array" ref="F344">IF($D344="","",xlookup($D344,PRODUCT!$B:$B,PRODUCT!$C:$C,""))</f>
        <v/>
      </c>
      <c r="G344" s="2" t="n"/>
      <c r="H344" s="62">
        <f t="array" ref="H344">IF($D344="","",xlookup($D344,PRODUCT!$B:$B,PRODUCT!$L:$L,""))</f>
        <v/>
      </c>
      <c r="I344" s="62">
        <f t="array" ref="I344">IF($D344="","",xlookup($D344,PRODUCT!$B:$B,PRODUCT!$M:$M,""))</f>
        <v/>
      </c>
      <c r="J344" s="2" t="n"/>
      <c r="K344" s="2" t="n"/>
      <c r="L344" s="2" t="n"/>
      <c r="M344" s="2" t="n"/>
      <c r="N344" s="2" t="n"/>
    </row>
    <row r="345" ht="15.75" customHeight="1" s="125">
      <c r="A345" s="2" t="n"/>
      <c r="B345" s="2" t="n"/>
      <c r="C345" s="2" t="n"/>
      <c r="D345" s="58" t="n"/>
      <c r="E345" s="62">
        <f t="array" ref="E345">IF($D345="","",xlookup($D345,PRODUCT!$B:$B,PRODUCT!$A:$A,""))</f>
        <v/>
      </c>
      <c r="F345" s="62">
        <f t="array" ref="F345">IF($D345="","",xlookup($D345,PRODUCT!$B:$B,PRODUCT!$C:$C,""))</f>
        <v/>
      </c>
      <c r="G345" s="2" t="n"/>
      <c r="H345" s="62">
        <f t="array" ref="H345">IF($D345="","",xlookup($D345,PRODUCT!$B:$B,PRODUCT!$L:$L,""))</f>
        <v/>
      </c>
      <c r="I345" s="62">
        <f t="array" ref="I345">IF($D345="","",xlookup($D345,PRODUCT!$B:$B,PRODUCT!$M:$M,""))</f>
        <v/>
      </c>
      <c r="J345" s="2" t="n"/>
      <c r="K345" s="2" t="n"/>
      <c r="L345" s="2" t="n"/>
      <c r="M345" s="2" t="n"/>
      <c r="N345" s="2" t="n"/>
    </row>
    <row r="346" ht="15.75" customHeight="1" s="125">
      <c r="A346" s="2" t="n"/>
      <c r="B346" s="2" t="n"/>
      <c r="C346" s="2" t="n"/>
      <c r="D346" s="58" t="n"/>
      <c r="E346" s="62">
        <f t="array" ref="E346">IF($D346="","",xlookup($D346,PRODUCT!$B:$B,PRODUCT!$A:$A,""))</f>
        <v/>
      </c>
      <c r="F346" s="62">
        <f t="array" ref="F346">IF($D346="","",xlookup($D346,PRODUCT!$B:$B,PRODUCT!$C:$C,""))</f>
        <v/>
      </c>
      <c r="G346" s="2" t="n"/>
      <c r="H346" s="62">
        <f t="array" ref="H346">IF($D346="","",xlookup($D346,PRODUCT!$B:$B,PRODUCT!$L:$L,""))</f>
        <v/>
      </c>
      <c r="I346" s="62">
        <f t="array" ref="I346">IF($D346="","",xlookup($D346,PRODUCT!$B:$B,PRODUCT!$M:$M,""))</f>
        <v/>
      </c>
      <c r="J346" s="2" t="n"/>
      <c r="K346" s="2" t="n"/>
      <c r="L346" s="2" t="n"/>
      <c r="M346" s="2" t="n"/>
      <c r="N346" s="2" t="n"/>
    </row>
    <row r="347" ht="15.75" customHeight="1" s="125">
      <c r="A347" s="2" t="n"/>
      <c r="B347" s="2" t="n"/>
      <c r="C347" s="2" t="n"/>
      <c r="D347" s="58" t="n"/>
      <c r="E347" s="62">
        <f t="array" ref="E347">IF($D347="","",xlookup($D347,PRODUCT!$B:$B,PRODUCT!$A:$A,""))</f>
        <v/>
      </c>
      <c r="F347" s="62">
        <f t="array" ref="F347">IF($D347="","",xlookup($D347,PRODUCT!$B:$B,PRODUCT!$C:$C,""))</f>
        <v/>
      </c>
      <c r="G347" s="2" t="n"/>
      <c r="H347" s="62">
        <f t="array" ref="H347">IF($D347="","",xlookup($D347,PRODUCT!$B:$B,PRODUCT!$L:$L,""))</f>
        <v/>
      </c>
      <c r="I347" s="62">
        <f t="array" ref="I347">IF($D347="","",xlookup($D347,PRODUCT!$B:$B,PRODUCT!$M:$M,""))</f>
        <v/>
      </c>
      <c r="J347" s="2" t="n"/>
      <c r="K347" s="2" t="n"/>
      <c r="L347" s="2" t="n"/>
      <c r="M347" s="2" t="n"/>
      <c r="N347" s="2" t="n"/>
    </row>
    <row r="348" ht="15.75" customHeight="1" s="125">
      <c r="A348" s="2" t="n"/>
      <c r="B348" s="2" t="n"/>
      <c r="C348" s="2" t="n"/>
      <c r="D348" s="58" t="n"/>
      <c r="E348" s="62">
        <f t="array" ref="E348">IF($D348="","",xlookup($D348,PRODUCT!$B:$B,PRODUCT!$A:$A,""))</f>
        <v/>
      </c>
      <c r="F348" s="62">
        <f t="array" ref="F348">IF($D348="","",xlookup($D348,PRODUCT!$B:$B,PRODUCT!$C:$C,""))</f>
        <v/>
      </c>
      <c r="G348" s="2" t="n"/>
      <c r="H348" s="62">
        <f t="array" ref="H348">IF($D348="","",xlookup($D348,PRODUCT!$B:$B,PRODUCT!$L:$L,""))</f>
        <v/>
      </c>
      <c r="I348" s="62">
        <f t="array" ref="I348">IF($D348="","",xlookup($D348,PRODUCT!$B:$B,PRODUCT!$M:$M,""))</f>
        <v/>
      </c>
      <c r="J348" s="2" t="n"/>
      <c r="K348" s="2" t="n"/>
      <c r="L348" s="2" t="n"/>
      <c r="M348" s="2" t="n"/>
      <c r="N348" s="2" t="n"/>
    </row>
    <row r="349" ht="15.75" customHeight="1" s="125">
      <c r="A349" s="2" t="n"/>
      <c r="B349" s="2" t="n"/>
      <c r="C349" s="2" t="n"/>
      <c r="D349" s="58" t="n"/>
      <c r="E349" s="62">
        <f t="array" ref="E349">IF($D349="","",xlookup($D349,PRODUCT!$B:$B,PRODUCT!$A:$A,""))</f>
        <v/>
      </c>
      <c r="F349" s="62">
        <f t="array" ref="F349">IF($D349="","",xlookup($D349,PRODUCT!$B:$B,PRODUCT!$C:$C,""))</f>
        <v/>
      </c>
      <c r="G349" s="2" t="n"/>
      <c r="H349" s="62">
        <f t="array" ref="H349">IF($D349="","",xlookup($D349,PRODUCT!$B:$B,PRODUCT!$L:$L,""))</f>
        <v/>
      </c>
      <c r="I349" s="62">
        <f t="array" ref="I349">IF($D349="","",xlookup($D349,PRODUCT!$B:$B,PRODUCT!$M:$M,""))</f>
        <v/>
      </c>
      <c r="J349" s="2" t="n"/>
      <c r="K349" s="2" t="n"/>
      <c r="L349" s="2" t="n"/>
      <c r="M349" s="2" t="n"/>
      <c r="N349" s="2" t="n"/>
    </row>
    <row r="350" ht="15.75" customHeight="1" s="125">
      <c r="A350" s="2" t="n"/>
      <c r="B350" s="2" t="n"/>
      <c r="C350" s="2" t="n"/>
      <c r="D350" s="58" t="n"/>
      <c r="E350" s="62">
        <f t="array" ref="E350">IF($D350="","",xlookup($D350,PRODUCT!$B:$B,PRODUCT!$A:$A,""))</f>
        <v/>
      </c>
      <c r="F350" s="62">
        <f t="array" ref="F350">IF($D350="","",xlookup($D350,PRODUCT!$B:$B,PRODUCT!$C:$C,""))</f>
        <v/>
      </c>
      <c r="G350" s="2" t="n"/>
      <c r="H350" s="62">
        <f t="array" ref="H350">IF($D350="","",xlookup($D350,PRODUCT!$B:$B,PRODUCT!$L:$L,""))</f>
        <v/>
      </c>
      <c r="I350" s="62">
        <f t="array" ref="I350">IF($D350="","",xlookup($D350,PRODUCT!$B:$B,PRODUCT!$M:$M,""))</f>
        <v/>
      </c>
      <c r="J350" s="2" t="n"/>
      <c r="K350" s="2" t="n"/>
      <c r="L350" s="2" t="n"/>
      <c r="M350" s="2" t="n"/>
      <c r="N350" s="2" t="n"/>
    </row>
    <row r="351" ht="15.75" customHeight="1" s="125">
      <c r="A351" s="2" t="n"/>
      <c r="B351" s="2" t="n"/>
      <c r="C351" s="2" t="n"/>
      <c r="D351" s="58" t="n"/>
      <c r="E351" s="62">
        <f t="array" ref="E351">IF($D351="","",xlookup($D351,PRODUCT!$B:$B,PRODUCT!$A:$A,""))</f>
        <v/>
      </c>
      <c r="F351" s="62">
        <f t="array" ref="F351">IF($D351="","",xlookup($D351,PRODUCT!$B:$B,PRODUCT!$C:$C,""))</f>
        <v/>
      </c>
      <c r="G351" s="2" t="n"/>
      <c r="H351" s="62">
        <f t="array" ref="H351">IF($D351="","",xlookup($D351,PRODUCT!$B:$B,PRODUCT!$L:$L,""))</f>
        <v/>
      </c>
      <c r="I351" s="62">
        <f t="array" ref="I351">IF($D351="","",xlookup($D351,PRODUCT!$B:$B,PRODUCT!$M:$M,""))</f>
        <v/>
      </c>
      <c r="J351" s="2" t="n"/>
      <c r="K351" s="2" t="n"/>
      <c r="L351" s="2" t="n"/>
      <c r="M351" s="2" t="n"/>
      <c r="N351" s="2" t="n"/>
    </row>
    <row r="352" ht="15.75" customHeight="1" s="125">
      <c r="A352" s="2" t="n"/>
      <c r="B352" s="2" t="n"/>
      <c r="C352" s="2" t="n"/>
      <c r="D352" s="58" t="n"/>
      <c r="E352" s="62">
        <f t="array" ref="E352">IF($D352="","",xlookup($D352,PRODUCT!$B:$B,PRODUCT!$A:$A,""))</f>
        <v/>
      </c>
      <c r="F352" s="62">
        <f t="array" ref="F352">IF($D352="","",xlookup($D352,PRODUCT!$B:$B,PRODUCT!$C:$C,""))</f>
        <v/>
      </c>
      <c r="G352" s="2" t="n"/>
      <c r="H352" s="62">
        <f t="array" ref="H352">IF($D352="","",xlookup($D352,PRODUCT!$B:$B,PRODUCT!$L:$L,""))</f>
        <v/>
      </c>
      <c r="I352" s="62">
        <f t="array" ref="I352">IF($D352="","",xlookup($D352,PRODUCT!$B:$B,PRODUCT!$M:$M,""))</f>
        <v/>
      </c>
      <c r="J352" s="2" t="n"/>
      <c r="K352" s="2" t="n"/>
      <c r="L352" s="2" t="n"/>
      <c r="M352" s="2" t="n"/>
      <c r="N352" s="2" t="n"/>
    </row>
    <row r="353" ht="15.75" customHeight="1" s="125">
      <c r="A353" s="2" t="n"/>
      <c r="B353" s="2" t="n"/>
      <c r="C353" s="2" t="n"/>
      <c r="D353" s="58" t="n"/>
      <c r="E353" s="62">
        <f t="array" ref="E353">IF($D353="","",xlookup($D353,PRODUCT!$B:$B,PRODUCT!$A:$A,""))</f>
        <v/>
      </c>
      <c r="F353" s="62">
        <f t="array" ref="F353">IF($D353="","",xlookup($D353,PRODUCT!$B:$B,PRODUCT!$C:$C,""))</f>
        <v/>
      </c>
      <c r="G353" s="2" t="n"/>
      <c r="H353" s="62">
        <f t="array" ref="H353">IF($D353="","",xlookup($D353,PRODUCT!$B:$B,PRODUCT!$L:$L,""))</f>
        <v/>
      </c>
      <c r="I353" s="62">
        <f t="array" ref="I353">IF($D353="","",xlookup($D353,PRODUCT!$B:$B,PRODUCT!$M:$M,""))</f>
        <v/>
      </c>
      <c r="J353" s="2" t="n"/>
      <c r="K353" s="2" t="n"/>
      <c r="L353" s="2" t="n"/>
      <c r="M353" s="2" t="n"/>
      <c r="N353" s="2" t="n"/>
    </row>
    <row r="354" ht="15.75" customHeight="1" s="125">
      <c r="A354" s="2" t="n"/>
      <c r="B354" s="2" t="n"/>
      <c r="C354" s="2" t="n"/>
      <c r="D354" s="58" t="n"/>
      <c r="E354" s="62">
        <f t="array" ref="E354">IF($D354="","",xlookup($D354,PRODUCT!$B:$B,PRODUCT!$A:$A,""))</f>
        <v/>
      </c>
      <c r="F354" s="62">
        <f t="array" ref="F354">IF($D354="","",xlookup($D354,PRODUCT!$B:$B,PRODUCT!$C:$C,""))</f>
        <v/>
      </c>
      <c r="G354" s="2" t="n"/>
      <c r="H354" s="62">
        <f t="array" ref="H354">IF($D354="","",xlookup($D354,PRODUCT!$B:$B,PRODUCT!$L:$L,""))</f>
        <v/>
      </c>
      <c r="I354" s="62">
        <f t="array" ref="I354">IF($D354="","",xlookup($D354,PRODUCT!$B:$B,PRODUCT!$M:$M,""))</f>
        <v/>
      </c>
      <c r="J354" s="2" t="n"/>
      <c r="K354" s="2" t="n"/>
      <c r="L354" s="2" t="n"/>
      <c r="M354" s="2" t="n"/>
      <c r="N354" s="2" t="n"/>
    </row>
    <row r="355" ht="15.75" customHeight="1" s="125">
      <c r="A355" s="2" t="n"/>
      <c r="B355" s="2" t="n"/>
      <c r="C355" s="2" t="n"/>
      <c r="D355" s="58" t="n"/>
      <c r="E355" s="62">
        <f t="array" ref="E355">IF($D355="","",xlookup($D355,PRODUCT!$B:$B,PRODUCT!$A:$A,""))</f>
        <v/>
      </c>
      <c r="F355" s="62">
        <f t="array" ref="F355">IF($D355="","",xlookup($D355,PRODUCT!$B:$B,PRODUCT!$C:$C,""))</f>
        <v/>
      </c>
      <c r="G355" s="2" t="n"/>
      <c r="H355" s="62">
        <f t="array" ref="H355">IF($D355="","",xlookup($D355,PRODUCT!$B:$B,PRODUCT!$L:$L,""))</f>
        <v/>
      </c>
      <c r="I355" s="62">
        <f t="array" ref="I355">IF($D355="","",xlookup($D355,PRODUCT!$B:$B,PRODUCT!$M:$M,""))</f>
        <v/>
      </c>
      <c r="J355" s="2" t="n"/>
      <c r="K355" s="2" t="n"/>
      <c r="L355" s="2" t="n"/>
      <c r="M355" s="2" t="n"/>
      <c r="N355" s="2" t="n"/>
    </row>
    <row r="356" ht="15.75" customHeight="1" s="125">
      <c r="A356" s="2" t="n"/>
      <c r="B356" s="2" t="n"/>
      <c r="C356" s="2" t="n"/>
      <c r="D356" s="58" t="n"/>
      <c r="E356" s="62">
        <f t="array" ref="E356">IF($D356="","",xlookup($D356,PRODUCT!$B:$B,PRODUCT!$A:$A,""))</f>
        <v/>
      </c>
      <c r="F356" s="62">
        <f t="array" ref="F356">IF($D356="","",xlookup($D356,PRODUCT!$B:$B,PRODUCT!$C:$C,""))</f>
        <v/>
      </c>
      <c r="G356" s="2" t="n"/>
      <c r="H356" s="62">
        <f t="array" ref="H356">IF($D356="","",xlookup($D356,PRODUCT!$B:$B,PRODUCT!$L:$L,""))</f>
        <v/>
      </c>
      <c r="I356" s="62">
        <f t="array" ref="I356">IF($D356="","",xlookup($D356,PRODUCT!$B:$B,PRODUCT!$M:$M,""))</f>
        <v/>
      </c>
      <c r="J356" s="2" t="n"/>
      <c r="K356" s="2" t="n"/>
      <c r="L356" s="2" t="n"/>
      <c r="M356" s="2" t="n"/>
      <c r="N356" s="2" t="n"/>
    </row>
    <row r="357" ht="15.75" customHeight="1" s="125">
      <c r="A357" s="2" t="n"/>
      <c r="B357" s="2" t="n"/>
      <c r="C357" s="2" t="n"/>
      <c r="D357" s="58" t="n"/>
      <c r="E357" s="62">
        <f t="array" ref="E357">IF($D357="","",xlookup($D357,PRODUCT!$B:$B,PRODUCT!$A:$A,""))</f>
        <v/>
      </c>
      <c r="F357" s="62">
        <f t="array" ref="F357">IF($D357="","",xlookup($D357,PRODUCT!$B:$B,PRODUCT!$C:$C,""))</f>
        <v/>
      </c>
      <c r="G357" s="2" t="n"/>
      <c r="H357" s="62">
        <f t="array" ref="H357">IF($D357="","",xlookup($D357,PRODUCT!$B:$B,PRODUCT!$L:$L,""))</f>
        <v/>
      </c>
      <c r="I357" s="62">
        <f t="array" ref="I357">IF($D357="","",xlookup($D357,PRODUCT!$B:$B,PRODUCT!$M:$M,""))</f>
        <v/>
      </c>
      <c r="J357" s="2" t="n"/>
      <c r="K357" s="2" t="n"/>
      <c r="L357" s="2" t="n"/>
      <c r="M357" s="2" t="n"/>
      <c r="N357" s="2" t="n"/>
    </row>
    <row r="358" ht="15.75" customHeight="1" s="125">
      <c r="A358" s="2" t="n"/>
      <c r="B358" s="2" t="n"/>
      <c r="C358" s="2" t="n"/>
      <c r="D358" s="58" t="n"/>
      <c r="E358" s="62">
        <f t="array" ref="E358">IF($D358="","",xlookup($D358,PRODUCT!$B:$B,PRODUCT!$A:$A,""))</f>
        <v/>
      </c>
      <c r="F358" s="62">
        <f t="array" ref="F358">IF($D358="","",xlookup($D358,PRODUCT!$B:$B,PRODUCT!$C:$C,""))</f>
        <v/>
      </c>
      <c r="G358" s="2" t="n"/>
      <c r="H358" s="62">
        <f t="array" ref="H358">IF($D358="","",xlookup($D358,PRODUCT!$B:$B,PRODUCT!$L:$L,""))</f>
        <v/>
      </c>
      <c r="I358" s="62">
        <f t="array" ref="I358">IF($D358="","",xlookup($D358,PRODUCT!$B:$B,PRODUCT!$M:$M,""))</f>
        <v/>
      </c>
      <c r="J358" s="2" t="n"/>
      <c r="K358" s="2" t="n"/>
      <c r="L358" s="2" t="n"/>
      <c r="M358" s="2" t="n"/>
      <c r="N358" s="2" t="n"/>
    </row>
    <row r="359" ht="15.75" customHeight="1" s="125">
      <c r="A359" s="2" t="n"/>
      <c r="B359" s="2" t="n"/>
      <c r="C359" s="2" t="n"/>
      <c r="D359" s="58" t="n"/>
      <c r="E359" s="62">
        <f t="array" ref="E359">IF($D359="","",xlookup($D359,PRODUCT!$B:$B,PRODUCT!$A:$A,""))</f>
        <v/>
      </c>
      <c r="F359" s="62">
        <f t="array" ref="F359">IF($D359="","",xlookup($D359,PRODUCT!$B:$B,PRODUCT!$C:$C,""))</f>
        <v/>
      </c>
      <c r="G359" s="2" t="n"/>
      <c r="H359" s="62">
        <f t="array" ref="H359">IF($D359="","",xlookup($D359,PRODUCT!$B:$B,PRODUCT!$L:$L,""))</f>
        <v/>
      </c>
      <c r="I359" s="62">
        <f t="array" ref="I359">IF($D359="","",xlookup($D359,PRODUCT!$B:$B,PRODUCT!$M:$M,""))</f>
        <v/>
      </c>
      <c r="J359" s="2" t="n"/>
      <c r="K359" s="2" t="n"/>
      <c r="L359" s="2" t="n"/>
      <c r="M359" s="2" t="n"/>
      <c r="N359" s="2" t="n"/>
    </row>
    <row r="360" ht="15.75" customHeight="1" s="125">
      <c r="A360" s="2" t="n"/>
      <c r="B360" s="2" t="n"/>
      <c r="C360" s="2" t="n"/>
      <c r="D360" s="58" t="n"/>
      <c r="E360" s="62">
        <f t="array" ref="E360">IF($D360="","",xlookup($D360,PRODUCT!$B:$B,PRODUCT!$A:$A,""))</f>
        <v/>
      </c>
      <c r="F360" s="62">
        <f t="array" ref="F360">IF($D360="","",xlookup($D360,PRODUCT!$B:$B,PRODUCT!$C:$C,""))</f>
        <v/>
      </c>
      <c r="G360" s="2" t="n"/>
      <c r="H360" s="62">
        <f t="array" ref="H360">IF($D360="","",xlookup($D360,PRODUCT!$B:$B,PRODUCT!$L:$L,""))</f>
        <v/>
      </c>
      <c r="I360" s="62">
        <f t="array" ref="I360">IF($D360="","",xlookup($D360,PRODUCT!$B:$B,PRODUCT!$M:$M,""))</f>
        <v/>
      </c>
      <c r="J360" s="2" t="n"/>
      <c r="K360" s="2" t="n"/>
      <c r="L360" s="2" t="n"/>
      <c r="M360" s="2" t="n"/>
      <c r="N360" s="2" t="n"/>
    </row>
    <row r="361" ht="15.75" customHeight="1" s="125">
      <c r="A361" s="2" t="n"/>
      <c r="B361" s="2" t="n"/>
      <c r="C361" s="2" t="n"/>
      <c r="D361" s="58" t="n"/>
      <c r="E361" s="62">
        <f t="array" ref="E361">IF($D361="","",xlookup($D361,PRODUCT!$B:$B,PRODUCT!$A:$A,""))</f>
        <v/>
      </c>
      <c r="F361" s="62">
        <f t="array" ref="F361">IF($D361="","",xlookup($D361,PRODUCT!$B:$B,PRODUCT!$C:$C,""))</f>
        <v/>
      </c>
      <c r="G361" s="2" t="n"/>
      <c r="H361" s="62">
        <f t="array" ref="H361">IF($D361="","",xlookup($D361,PRODUCT!$B:$B,PRODUCT!$L:$L,""))</f>
        <v/>
      </c>
      <c r="I361" s="62">
        <f t="array" ref="I361">IF($D361="","",xlookup($D361,PRODUCT!$B:$B,PRODUCT!$M:$M,""))</f>
        <v/>
      </c>
      <c r="J361" s="2" t="n"/>
      <c r="K361" s="2" t="n"/>
      <c r="L361" s="2" t="n"/>
      <c r="M361" s="2" t="n"/>
      <c r="N361" s="2" t="n"/>
    </row>
    <row r="362" ht="15.75" customHeight="1" s="125">
      <c r="A362" s="2" t="n"/>
      <c r="B362" s="2" t="n"/>
      <c r="C362" s="2" t="n"/>
      <c r="D362" s="58" t="n"/>
      <c r="E362" s="62">
        <f t="array" ref="E362">IF($D362="","",xlookup($D362,PRODUCT!$B:$B,PRODUCT!$A:$A,""))</f>
        <v/>
      </c>
      <c r="F362" s="62">
        <f t="array" ref="F362">IF($D362="","",xlookup($D362,PRODUCT!$B:$B,PRODUCT!$C:$C,""))</f>
        <v/>
      </c>
      <c r="G362" s="2" t="n"/>
      <c r="H362" s="62">
        <f t="array" ref="H362">IF($D362="","",xlookup($D362,PRODUCT!$B:$B,PRODUCT!$L:$L,""))</f>
        <v/>
      </c>
      <c r="I362" s="62">
        <f t="array" ref="I362">IF($D362="","",xlookup($D362,PRODUCT!$B:$B,PRODUCT!$M:$M,""))</f>
        <v/>
      </c>
      <c r="J362" s="2" t="n"/>
      <c r="K362" s="2" t="n"/>
      <c r="L362" s="2" t="n"/>
      <c r="M362" s="2" t="n"/>
      <c r="N362" s="2" t="n"/>
    </row>
    <row r="363" ht="15.75" customHeight="1" s="125">
      <c r="A363" s="2" t="n"/>
      <c r="B363" s="2" t="n"/>
      <c r="C363" s="2" t="n"/>
      <c r="D363" s="58" t="n"/>
      <c r="E363" s="62">
        <f t="array" ref="E363">IF($D363="","",xlookup($D363,PRODUCT!$B:$B,PRODUCT!$A:$A,""))</f>
        <v/>
      </c>
      <c r="F363" s="62">
        <f t="array" ref="F363">IF($D363="","",xlookup($D363,PRODUCT!$B:$B,PRODUCT!$C:$C,""))</f>
        <v/>
      </c>
      <c r="G363" s="2" t="n"/>
      <c r="H363" s="62">
        <f t="array" ref="H363">IF($D363="","",xlookup($D363,PRODUCT!$B:$B,PRODUCT!$L:$L,""))</f>
        <v/>
      </c>
      <c r="I363" s="62">
        <f t="array" ref="I363">IF($D363="","",xlookup($D363,PRODUCT!$B:$B,PRODUCT!$M:$M,""))</f>
        <v/>
      </c>
      <c r="J363" s="2" t="n"/>
      <c r="K363" s="2" t="n"/>
      <c r="L363" s="2" t="n"/>
      <c r="M363" s="2" t="n"/>
      <c r="N363" s="2" t="n"/>
    </row>
    <row r="364" ht="15.75" customHeight="1" s="125">
      <c r="A364" s="2" t="n"/>
      <c r="B364" s="2" t="n"/>
      <c r="C364" s="2" t="n"/>
      <c r="D364" s="58" t="n"/>
      <c r="E364" s="62">
        <f t="array" ref="E364">IF($D364="","",xlookup($D364,PRODUCT!$B:$B,PRODUCT!$A:$A,""))</f>
        <v/>
      </c>
      <c r="F364" s="62">
        <f t="array" ref="F364">IF($D364="","",xlookup($D364,PRODUCT!$B:$B,PRODUCT!$C:$C,""))</f>
        <v/>
      </c>
      <c r="G364" s="2" t="n"/>
      <c r="H364" s="62">
        <f t="array" ref="H364">IF($D364="","",xlookup($D364,PRODUCT!$B:$B,PRODUCT!$L:$L,""))</f>
        <v/>
      </c>
      <c r="I364" s="62">
        <f t="array" ref="I364">IF($D364="","",xlookup($D364,PRODUCT!$B:$B,PRODUCT!$M:$M,""))</f>
        <v/>
      </c>
      <c r="J364" s="2" t="n"/>
      <c r="K364" s="2" t="n"/>
      <c r="L364" s="2" t="n"/>
      <c r="M364" s="2" t="n"/>
      <c r="N364" s="2" t="n"/>
    </row>
    <row r="365" ht="15.75" customHeight="1" s="125">
      <c r="A365" s="2" t="n"/>
      <c r="B365" s="2" t="n"/>
      <c r="C365" s="2" t="n"/>
      <c r="D365" s="58" t="n"/>
      <c r="E365" s="62">
        <f t="array" ref="E365">IF($D365="","",xlookup($D365,PRODUCT!$B:$B,PRODUCT!$A:$A,""))</f>
        <v/>
      </c>
      <c r="F365" s="62">
        <f t="array" ref="F365">IF($D365="","",xlookup($D365,PRODUCT!$B:$B,PRODUCT!$C:$C,""))</f>
        <v/>
      </c>
      <c r="G365" s="2" t="n"/>
      <c r="H365" s="62">
        <f t="array" ref="H365">IF($D365="","",xlookup($D365,PRODUCT!$B:$B,PRODUCT!$L:$L,""))</f>
        <v/>
      </c>
      <c r="I365" s="62">
        <f t="array" ref="I365">IF($D365="","",xlookup($D365,PRODUCT!$B:$B,PRODUCT!$M:$M,""))</f>
        <v/>
      </c>
      <c r="J365" s="2" t="n"/>
      <c r="K365" s="2" t="n"/>
      <c r="L365" s="2" t="n"/>
      <c r="M365" s="2" t="n"/>
      <c r="N365" s="2" t="n"/>
    </row>
    <row r="366" ht="15.75" customHeight="1" s="125">
      <c r="A366" s="2" t="n"/>
      <c r="B366" s="2" t="n"/>
      <c r="C366" s="2" t="n"/>
      <c r="D366" s="58" t="n"/>
      <c r="E366" s="62">
        <f t="array" ref="E366">IF($D366="","",xlookup($D366,PRODUCT!$B:$B,PRODUCT!$A:$A,""))</f>
        <v/>
      </c>
      <c r="F366" s="62">
        <f t="array" ref="F366">IF($D366="","",xlookup($D366,PRODUCT!$B:$B,PRODUCT!$C:$C,""))</f>
        <v/>
      </c>
      <c r="G366" s="2" t="n"/>
      <c r="H366" s="62">
        <f t="array" ref="H366">IF($D366="","",xlookup($D366,PRODUCT!$B:$B,PRODUCT!$L:$L,""))</f>
        <v/>
      </c>
      <c r="I366" s="62">
        <f t="array" ref="I366">IF($D366="","",xlookup($D366,PRODUCT!$B:$B,PRODUCT!$M:$M,""))</f>
        <v/>
      </c>
      <c r="J366" s="2" t="n"/>
      <c r="K366" s="2" t="n"/>
      <c r="L366" s="2" t="n"/>
      <c r="M366" s="2" t="n"/>
      <c r="N366" s="2" t="n"/>
    </row>
    <row r="367" ht="15.75" customHeight="1" s="125">
      <c r="A367" s="2" t="n"/>
      <c r="B367" s="2" t="n"/>
      <c r="C367" s="2" t="n"/>
      <c r="D367" s="58" t="n"/>
      <c r="E367" s="62">
        <f t="array" ref="E367">IF($D367="","",xlookup($D367,PRODUCT!$B:$B,PRODUCT!$A:$A,""))</f>
        <v/>
      </c>
      <c r="F367" s="62">
        <f t="array" ref="F367">IF($D367="","",xlookup($D367,PRODUCT!$B:$B,PRODUCT!$C:$C,""))</f>
        <v/>
      </c>
      <c r="G367" s="2" t="n"/>
      <c r="H367" s="62">
        <f t="array" ref="H367">IF($D367="","",xlookup($D367,PRODUCT!$B:$B,PRODUCT!$L:$L,""))</f>
        <v/>
      </c>
      <c r="I367" s="62">
        <f t="array" ref="I367">IF($D367="","",xlookup($D367,PRODUCT!$B:$B,PRODUCT!$M:$M,""))</f>
        <v/>
      </c>
      <c r="J367" s="2" t="n"/>
      <c r="K367" s="2" t="n"/>
      <c r="L367" s="2" t="n"/>
      <c r="M367" s="2" t="n"/>
      <c r="N367" s="2" t="n"/>
    </row>
    <row r="368" ht="15.75" customHeight="1" s="125">
      <c r="A368" s="2" t="n"/>
      <c r="B368" s="2" t="n"/>
      <c r="C368" s="2" t="n"/>
      <c r="D368" s="58" t="n"/>
      <c r="E368" s="62">
        <f t="array" ref="E368">IF($D368="","",xlookup($D368,PRODUCT!$B:$B,PRODUCT!$A:$A,""))</f>
        <v/>
      </c>
      <c r="F368" s="62">
        <f t="array" ref="F368">IF($D368="","",xlookup($D368,PRODUCT!$B:$B,PRODUCT!$C:$C,""))</f>
        <v/>
      </c>
      <c r="G368" s="2" t="n"/>
      <c r="H368" s="62">
        <f t="array" ref="H368">IF($D368="","",xlookup($D368,PRODUCT!$B:$B,PRODUCT!$L:$L,""))</f>
        <v/>
      </c>
      <c r="I368" s="62">
        <f t="array" ref="I368">IF($D368="","",xlookup($D368,PRODUCT!$B:$B,PRODUCT!$M:$M,""))</f>
        <v/>
      </c>
      <c r="J368" s="2" t="n"/>
      <c r="K368" s="2" t="n"/>
      <c r="L368" s="2" t="n"/>
      <c r="M368" s="2" t="n"/>
      <c r="N368" s="2" t="n"/>
    </row>
    <row r="369" ht="15.75" customHeight="1" s="125">
      <c r="A369" s="2" t="n"/>
      <c r="B369" s="2" t="n"/>
      <c r="C369" s="2" t="n"/>
      <c r="D369" s="58" t="n"/>
      <c r="E369" s="62">
        <f t="array" ref="E369">IF($D369="","",xlookup($D369,PRODUCT!$B:$B,PRODUCT!$A:$A,""))</f>
        <v/>
      </c>
      <c r="F369" s="62">
        <f t="array" ref="F369">IF($D369="","",xlookup($D369,PRODUCT!$B:$B,PRODUCT!$C:$C,""))</f>
        <v/>
      </c>
      <c r="G369" s="2" t="n"/>
      <c r="H369" s="62">
        <f t="array" ref="H369">IF($D369="","",xlookup($D369,PRODUCT!$B:$B,PRODUCT!$L:$L,""))</f>
        <v/>
      </c>
      <c r="I369" s="62">
        <f t="array" ref="I369">IF($D369="","",xlookup($D369,PRODUCT!$B:$B,PRODUCT!$M:$M,""))</f>
        <v/>
      </c>
      <c r="J369" s="2" t="n"/>
      <c r="K369" s="2" t="n"/>
      <c r="L369" s="2" t="n"/>
      <c r="M369" s="2" t="n"/>
      <c r="N369" s="2" t="n"/>
    </row>
    <row r="370" ht="15.75" customHeight="1" s="125">
      <c r="A370" s="2" t="n"/>
      <c r="B370" s="2" t="n"/>
      <c r="C370" s="2" t="n"/>
      <c r="D370" s="58" t="n"/>
      <c r="E370" s="62">
        <f t="array" ref="E370">IF($D370="","",xlookup($D370,PRODUCT!$B:$B,PRODUCT!$A:$A,""))</f>
        <v/>
      </c>
      <c r="F370" s="62">
        <f t="array" ref="F370">IF($D370="","",xlookup($D370,PRODUCT!$B:$B,PRODUCT!$C:$C,""))</f>
        <v/>
      </c>
      <c r="G370" s="2" t="n"/>
      <c r="H370" s="62">
        <f t="array" ref="H370">IF($D370="","",xlookup($D370,PRODUCT!$B:$B,PRODUCT!$L:$L,""))</f>
        <v/>
      </c>
      <c r="I370" s="62">
        <f t="array" ref="I370">IF($D370="","",xlookup($D370,PRODUCT!$B:$B,PRODUCT!$M:$M,""))</f>
        <v/>
      </c>
      <c r="J370" s="2" t="n"/>
      <c r="K370" s="2" t="n"/>
      <c r="L370" s="2" t="n"/>
      <c r="M370" s="2" t="n"/>
      <c r="N370" s="2" t="n"/>
    </row>
    <row r="371" ht="15.75" customHeight="1" s="125">
      <c r="A371" s="2" t="n"/>
      <c r="B371" s="2" t="n"/>
      <c r="C371" s="2" t="n"/>
      <c r="D371" s="58" t="n"/>
      <c r="E371" s="62">
        <f t="array" ref="E371">IF($D371="","",xlookup($D371,PRODUCT!$B:$B,PRODUCT!$A:$A,""))</f>
        <v/>
      </c>
      <c r="F371" s="62">
        <f t="array" ref="F371">IF($D371="","",xlookup($D371,PRODUCT!$B:$B,PRODUCT!$C:$C,""))</f>
        <v/>
      </c>
      <c r="G371" s="2" t="n"/>
      <c r="H371" s="62">
        <f t="array" ref="H371">IF($D371="","",xlookup($D371,PRODUCT!$B:$B,PRODUCT!$L:$L,""))</f>
        <v/>
      </c>
      <c r="I371" s="62">
        <f t="array" ref="I371">IF($D371="","",xlookup($D371,PRODUCT!$B:$B,PRODUCT!$M:$M,""))</f>
        <v/>
      </c>
      <c r="J371" s="2" t="n"/>
      <c r="K371" s="2" t="n"/>
      <c r="L371" s="2" t="n"/>
      <c r="M371" s="2" t="n"/>
      <c r="N371" s="2" t="n"/>
    </row>
    <row r="372" ht="15.75" customHeight="1" s="125">
      <c r="A372" s="2" t="n"/>
      <c r="B372" s="2" t="n"/>
      <c r="C372" s="2" t="n"/>
      <c r="D372" s="58" t="n"/>
      <c r="E372" s="62">
        <f t="array" ref="E372">IF($D372="","",xlookup($D372,PRODUCT!$B:$B,PRODUCT!$A:$A,""))</f>
        <v/>
      </c>
      <c r="F372" s="62">
        <f t="array" ref="F372">IF($D372="","",xlookup($D372,PRODUCT!$B:$B,PRODUCT!$C:$C,""))</f>
        <v/>
      </c>
      <c r="G372" s="2" t="n"/>
      <c r="H372" s="62">
        <f t="array" ref="H372">IF($D372="","",xlookup($D372,PRODUCT!$B:$B,PRODUCT!$L:$L,""))</f>
        <v/>
      </c>
      <c r="I372" s="62">
        <f t="array" ref="I372">IF($D372="","",xlookup($D372,PRODUCT!$B:$B,PRODUCT!$M:$M,""))</f>
        <v/>
      </c>
      <c r="J372" s="2" t="n"/>
      <c r="K372" s="2" t="n"/>
      <c r="L372" s="2" t="n"/>
      <c r="M372" s="2" t="n"/>
      <c r="N372" s="2" t="n"/>
    </row>
    <row r="373" ht="15.75" customHeight="1" s="125">
      <c r="A373" s="2" t="n"/>
      <c r="B373" s="2" t="n"/>
      <c r="C373" s="2" t="n"/>
      <c r="D373" s="58" t="n"/>
      <c r="E373" s="62">
        <f t="array" ref="E373">IF($D373="","",xlookup($D373,PRODUCT!$B:$B,PRODUCT!$A:$A,""))</f>
        <v/>
      </c>
      <c r="F373" s="62">
        <f t="array" ref="F373">IF($D373="","",xlookup($D373,PRODUCT!$B:$B,PRODUCT!$C:$C,""))</f>
        <v/>
      </c>
      <c r="G373" s="2" t="n"/>
      <c r="H373" s="62">
        <f t="array" ref="H373">IF($D373="","",xlookup($D373,PRODUCT!$B:$B,PRODUCT!$L:$L,""))</f>
        <v/>
      </c>
      <c r="I373" s="62">
        <f t="array" ref="I373">IF($D373="","",xlookup($D373,PRODUCT!$B:$B,PRODUCT!$M:$M,""))</f>
        <v/>
      </c>
      <c r="J373" s="2" t="n"/>
      <c r="K373" s="2" t="n"/>
      <c r="L373" s="2" t="n"/>
      <c r="M373" s="2" t="n"/>
      <c r="N373" s="2" t="n"/>
    </row>
    <row r="374" ht="15.75" customHeight="1" s="125">
      <c r="A374" s="2" t="n"/>
      <c r="B374" s="2" t="n"/>
      <c r="C374" s="2" t="n"/>
      <c r="D374" s="58" t="n"/>
      <c r="E374" s="62">
        <f t="array" ref="E374">IF($D374="","",xlookup($D374,PRODUCT!$B:$B,PRODUCT!$A:$A,""))</f>
        <v/>
      </c>
      <c r="F374" s="62">
        <f t="array" ref="F374">IF($D374="","",xlookup($D374,PRODUCT!$B:$B,PRODUCT!$C:$C,""))</f>
        <v/>
      </c>
      <c r="G374" s="2" t="n"/>
      <c r="H374" s="62">
        <f t="array" ref="H374">IF($D374="","",xlookup($D374,PRODUCT!$B:$B,PRODUCT!$L:$L,""))</f>
        <v/>
      </c>
      <c r="I374" s="62">
        <f t="array" ref="I374">IF($D374="","",xlookup($D374,PRODUCT!$B:$B,PRODUCT!$M:$M,""))</f>
        <v/>
      </c>
      <c r="J374" s="2" t="n"/>
      <c r="K374" s="2" t="n"/>
      <c r="L374" s="2" t="n"/>
      <c r="M374" s="2" t="n"/>
      <c r="N374" s="2" t="n"/>
    </row>
    <row r="375" ht="15.75" customHeight="1" s="125">
      <c r="A375" s="2" t="n"/>
      <c r="B375" s="2" t="n"/>
      <c r="C375" s="2" t="n"/>
      <c r="D375" s="58" t="n"/>
      <c r="E375" s="62">
        <f t="array" ref="E375">IF($D375="","",xlookup($D375,PRODUCT!$B:$B,PRODUCT!$A:$A,""))</f>
        <v/>
      </c>
      <c r="F375" s="62">
        <f t="array" ref="F375">IF($D375="","",xlookup($D375,PRODUCT!$B:$B,PRODUCT!$C:$C,""))</f>
        <v/>
      </c>
      <c r="G375" s="2" t="n"/>
      <c r="H375" s="62">
        <f t="array" ref="H375">IF($D375="","",xlookup($D375,PRODUCT!$B:$B,PRODUCT!$L:$L,""))</f>
        <v/>
      </c>
      <c r="I375" s="62">
        <f t="array" ref="I375">IF($D375="","",xlookup($D375,PRODUCT!$B:$B,PRODUCT!$M:$M,""))</f>
        <v/>
      </c>
      <c r="J375" s="2" t="n"/>
      <c r="K375" s="2" t="n"/>
      <c r="L375" s="2" t="n"/>
      <c r="M375" s="2" t="n"/>
      <c r="N375" s="2" t="n"/>
    </row>
    <row r="376" ht="15.75" customHeight="1" s="125">
      <c r="A376" s="2" t="n"/>
      <c r="B376" s="2" t="n"/>
      <c r="C376" s="2" t="n"/>
      <c r="D376" s="58" t="n"/>
      <c r="E376" s="62">
        <f t="array" ref="E376">IF($D376="","",xlookup($D376,PRODUCT!$B:$B,PRODUCT!$A:$A,""))</f>
        <v/>
      </c>
      <c r="F376" s="62">
        <f t="array" ref="F376">IF($D376="","",xlookup($D376,PRODUCT!$B:$B,PRODUCT!$C:$C,""))</f>
        <v/>
      </c>
      <c r="G376" s="2" t="n"/>
      <c r="H376" s="62">
        <f t="array" ref="H376">IF($D376="","",xlookup($D376,PRODUCT!$B:$B,PRODUCT!$L:$L,""))</f>
        <v/>
      </c>
      <c r="I376" s="62">
        <f t="array" ref="I376">IF($D376="","",xlookup($D376,PRODUCT!$B:$B,PRODUCT!$M:$M,""))</f>
        <v/>
      </c>
      <c r="J376" s="2" t="n"/>
      <c r="K376" s="2" t="n"/>
      <c r="L376" s="2" t="n"/>
      <c r="M376" s="2" t="n"/>
      <c r="N376" s="2" t="n"/>
    </row>
    <row r="377" ht="15.75" customHeight="1" s="125">
      <c r="A377" s="2" t="n"/>
      <c r="B377" s="2" t="n"/>
      <c r="C377" s="2" t="n"/>
      <c r="D377" s="58" t="n"/>
      <c r="E377" s="62">
        <f t="array" ref="E377">IF($D377="","",xlookup($D377,PRODUCT!$B:$B,PRODUCT!$A:$A,""))</f>
        <v/>
      </c>
      <c r="F377" s="62">
        <f t="array" ref="F377">IF($D377="","",xlookup($D377,PRODUCT!$B:$B,PRODUCT!$C:$C,""))</f>
        <v/>
      </c>
      <c r="G377" s="2" t="n"/>
      <c r="H377" s="62">
        <f t="array" ref="H377">IF($D377="","",xlookup($D377,PRODUCT!$B:$B,PRODUCT!$L:$L,""))</f>
        <v/>
      </c>
      <c r="I377" s="62">
        <f t="array" ref="I377">IF($D377="","",xlookup($D377,PRODUCT!$B:$B,PRODUCT!$M:$M,""))</f>
        <v/>
      </c>
      <c r="J377" s="2" t="n"/>
      <c r="K377" s="2" t="n"/>
      <c r="L377" s="2" t="n"/>
      <c r="M377" s="2" t="n"/>
      <c r="N377" s="2" t="n"/>
    </row>
    <row r="378" ht="15.75" customHeight="1" s="125">
      <c r="A378" s="2" t="n"/>
      <c r="B378" s="2" t="n"/>
      <c r="C378" s="2" t="n"/>
      <c r="D378" s="58" t="n"/>
      <c r="E378" s="62">
        <f t="array" ref="E378">IF($D378="","",xlookup($D378,PRODUCT!$B:$B,PRODUCT!$A:$A,""))</f>
        <v/>
      </c>
      <c r="F378" s="62">
        <f t="array" ref="F378">IF($D378="","",xlookup($D378,PRODUCT!$B:$B,PRODUCT!$C:$C,""))</f>
        <v/>
      </c>
      <c r="G378" s="2" t="n"/>
      <c r="H378" s="62">
        <f t="array" ref="H378">IF($D378="","",xlookup($D378,PRODUCT!$B:$B,PRODUCT!$L:$L,""))</f>
        <v/>
      </c>
      <c r="I378" s="62">
        <f t="array" ref="I378">IF($D378="","",xlookup($D378,PRODUCT!$B:$B,PRODUCT!$M:$M,""))</f>
        <v/>
      </c>
      <c r="J378" s="2" t="n"/>
      <c r="K378" s="2" t="n"/>
      <c r="L378" s="2" t="n"/>
      <c r="M378" s="2" t="n"/>
      <c r="N378" s="2" t="n"/>
    </row>
    <row r="379" ht="15.75" customHeight="1" s="125">
      <c r="A379" s="2" t="n"/>
      <c r="B379" s="2" t="n"/>
      <c r="C379" s="2" t="n"/>
      <c r="D379" s="58" t="n"/>
      <c r="E379" s="62">
        <f t="array" ref="E379">IF($D379="","",xlookup($D379,PRODUCT!$B:$B,PRODUCT!$A:$A,""))</f>
        <v/>
      </c>
      <c r="F379" s="62">
        <f t="array" ref="F379">IF($D379="","",xlookup($D379,PRODUCT!$B:$B,PRODUCT!$C:$C,""))</f>
        <v/>
      </c>
      <c r="G379" s="2" t="n"/>
      <c r="H379" s="62">
        <f t="array" ref="H379">IF($D379="","",xlookup($D379,PRODUCT!$B:$B,PRODUCT!$L:$L,""))</f>
        <v/>
      </c>
      <c r="I379" s="62">
        <f t="array" ref="I379">IF($D379="","",xlookup($D379,PRODUCT!$B:$B,PRODUCT!$M:$M,""))</f>
        <v/>
      </c>
      <c r="J379" s="2" t="n"/>
      <c r="K379" s="2" t="n"/>
      <c r="L379" s="2" t="n"/>
      <c r="M379" s="2" t="n"/>
      <c r="N379" s="2" t="n"/>
    </row>
    <row r="380" ht="15.75" customHeight="1" s="125">
      <c r="A380" s="2" t="n"/>
      <c r="B380" s="2" t="n"/>
      <c r="C380" s="2" t="n"/>
      <c r="D380" s="58" t="n"/>
      <c r="E380" s="62">
        <f t="array" ref="E380">IF($D380="","",xlookup($D380,PRODUCT!$B:$B,PRODUCT!$A:$A,""))</f>
        <v/>
      </c>
      <c r="F380" s="62">
        <f t="array" ref="F380">IF($D380="","",xlookup($D380,PRODUCT!$B:$B,PRODUCT!$C:$C,""))</f>
        <v/>
      </c>
      <c r="G380" s="2" t="n"/>
      <c r="H380" s="62">
        <f t="array" ref="H380">IF($D380="","",xlookup($D380,PRODUCT!$B:$B,PRODUCT!$L:$L,""))</f>
        <v/>
      </c>
      <c r="I380" s="62">
        <f t="array" ref="I380">IF($D380="","",xlookup($D380,PRODUCT!$B:$B,PRODUCT!$M:$M,""))</f>
        <v/>
      </c>
      <c r="J380" s="2" t="n"/>
      <c r="K380" s="2" t="n"/>
      <c r="L380" s="2" t="n"/>
      <c r="M380" s="2" t="n"/>
      <c r="N380" s="2" t="n"/>
    </row>
    <row r="381" ht="15.75" customHeight="1" s="125">
      <c r="A381" s="2" t="n"/>
      <c r="B381" s="2" t="n"/>
      <c r="C381" s="2" t="n"/>
      <c r="D381" s="58" t="n"/>
      <c r="E381" s="62">
        <f t="array" ref="E381">IF($D381="","",xlookup($D381,PRODUCT!$B:$B,PRODUCT!$A:$A,""))</f>
        <v/>
      </c>
      <c r="F381" s="62">
        <f t="array" ref="F381">IF($D381="","",xlookup($D381,PRODUCT!$B:$B,PRODUCT!$C:$C,""))</f>
        <v/>
      </c>
      <c r="G381" s="2" t="n"/>
      <c r="H381" s="62">
        <f t="array" ref="H381">IF($D381="","",xlookup($D381,PRODUCT!$B:$B,PRODUCT!$L:$L,""))</f>
        <v/>
      </c>
      <c r="I381" s="62">
        <f t="array" ref="I381">IF($D381="","",xlookup($D381,PRODUCT!$B:$B,PRODUCT!$M:$M,""))</f>
        <v/>
      </c>
      <c r="J381" s="2" t="n"/>
      <c r="K381" s="2" t="n"/>
      <c r="L381" s="2" t="n"/>
      <c r="M381" s="2" t="n"/>
      <c r="N381" s="2" t="n"/>
    </row>
    <row r="382" ht="15.75" customHeight="1" s="125">
      <c r="A382" s="2" t="n"/>
      <c r="B382" s="2" t="n"/>
      <c r="C382" s="2" t="n"/>
      <c r="D382" s="58" t="n"/>
      <c r="E382" s="62">
        <f t="array" ref="E382">IF($D382="","",xlookup($D382,PRODUCT!$B:$B,PRODUCT!$A:$A,""))</f>
        <v/>
      </c>
      <c r="F382" s="62">
        <f t="array" ref="F382">IF($D382="","",xlookup($D382,PRODUCT!$B:$B,PRODUCT!$C:$C,""))</f>
        <v/>
      </c>
      <c r="G382" s="2" t="n"/>
      <c r="H382" s="62">
        <f t="array" ref="H382">IF($D382="","",xlookup($D382,PRODUCT!$B:$B,PRODUCT!$L:$L,""))</f>
        <v/>
      </c>
      <c r="I382" s="62">
        <f t="array" ref="I382">IF($D382="","",xlookup($D382,PRODUCT!$B:$B,PRODUCT!$M:$M,""))</f>
        <v/>
      </c>
      <c r="J382" s="2" t="n"/>
      <c r="K382" s="2" t="n"/>
      <c r="L382" s="2" t="n"/>
      <c r="M382" s="2" t="n"/>
      <c r="N382" s="2" t="n"/>
    </row>
    <row r="383" ht="15.75" customHeight="1" s="125">
      <c r="A383" s="2" t="n"/>
      <c r="B383" s="2" t="n"/>
      <c r="C383" s="2" t="n"/>
      <c r="D383" s="58" t="n"/>
      <c r="E383" s="62">
        <f t="array" ref="E383">IF($D383="","",xlookup($D383,PRODUCT!$B:$B,PRODUCT!$A:$A,""))</f>
        <v/>
      </c>
      <c r="F383" s="62">
        <f t="array" ref="F383">IF($D383="","",xlookup($D383,PRODUCT!$B:$B,PRODUCT!$C:$C,""))</f>
        <v/>
      </c>
      <c r="G383" s="2" t="n"/>
      <c r="H383" s="62">
        <f t="array" ref="H383">IF($D383="","",xlookup($D383,PRODUCT!$B:$B,PRODUCT!$L:$L,""))</f>
        <v/>
      </c>
      <c r="I383" s="62">
        <f t="array" ref="I383">IF($D383="","",xlookup($D383,PRODUCT!$B:$B,PRODUCT!$M:$M,""))</f>
        <v/>
      </c>
      <c r="J383" s="2" t="n"/>
      <c r="K383" s="2" t="n"/>
      <c r="L383" s="2" t="n"/>
      <c r="M383" s="2" t="n"/>
      <c r="N383" s="2" t="n"/>
    </row>
    <row r="384" ht="15.75" customHeight="1" s="125">
      <c r="A384" s="2" t="n"/>
      <c r="B384" s="2" t="n"/>
      <c r="C384" s="2" t="n"/>
      <c r="D384" s="58" t="n"/>
      <c r="E384" s="62">
        <f t="array" ref="E384">IF($D384="","",xlookup($D384,PRODUCT!$B:$B,PRODUCT!$A:$A,""))</f>
        <v/>
      </c>
      <c r="F384" s="62">
        <f t="array" ref="F384">IF($D384="","",xlookup($D384,PRODUCT!$B:$B,PRODUCT!$C:$C,""))</f>
        <v/>
      </c>
      <c r="G384" s="2" t="n"/>
      <c r="H384" s="62">
        <f t="array" ref="H384">IF($D384="","",xlookup($D384,PRODUCT!$B:$B,PRODUCT!$L:$L,""))</f>
        <v/>
      </c>
      <c r="I384" s="62">
        <f t="array" ref="I384">IF($D384="","",xlookup($D384,PRODUCT!$B:$B,PRODUCT!$M:$M,""))</f>
        <v/>
      </c>
      <c r="J384" s="2" t="n"/>
      <c r="K384" s="2" t="n"/>
      <c r="L384" s="2" t="n"/>
      <c r="M384" s="2" t="n"/>
      <c r="N384" s="2" t="n"/>
    </row>
    <row r="385" ht="15.75" customHeight="1" s="125">
      <c r="A385" s="2" t="n"/>
      <c r="B385" s="2" t="n"/>
      <c r="C385" s="2" t="n"/>
      <c r="D385" s="58" t="n"/>
      <c r="E385" s="62">
        <f t="array" ref="E385">IF($D385="","",xlookup($D385,PRODUCT!$B:$B,PRODUCT!$A:$A,""))</f>
        <v/>
      </c>
      <c r="F385" s="62">
        <f t="array" ref="F385">IF($D385="","",xlookup($D385,PRODUCT!$B:$B,PRODUCT!$C:$C,""))</f>
        <v/>
      </c>
      <c r="G385" s="2" t="n"/>
      <c r="H385" s="62">
        <f t="array" ref="H385">IF($D385="","",xlookup($D385,PRODUCT!$B:$B,PRODUCT!$L:$L,""))</f>
        <v/>
      </c>
      <c r="I385" s="62">
        <f t="array" ref="I385">IF($D385="","",xlookup($D385,PRODUCT!$B:$B,PRODUCT!$M:$M,""))</f>
        <v/>
      </c>
      <c r="J385" s="2" t="n"/>
      <c r="K385" s="2" t="n"/>
      <c r="L385" s="2" t="n"/>
      <c r="M385" s="2" t="n"/>
      <c r="N385" s="2" t="n"/>
    </row>
    <row r="386" ht="15.75" customHeight="1" s="125">
      <c r="A386" s="2" t="n"/>
      <c r="B386" s="2" t="n"/>
      <c r="C386" s="2" t="n"/>
      <c r="D386" s="58" t="n"/>
      <c r="E386" s="62">
        <f t="array" ref="E386">IF($D386="","",xlookup($D386,PRODUCT!$B:$B,PRODUCT!$A:$A,""))</f>
        <v/>
      </c>
      <c r="F386" s="62">
        <f t="array" ref="F386">IF($D386="","",xlookup($D386,PRODUCT!$B:$B,PRODUCT!$C:$C,""))</f>
        <v/>
      </c>
      <c r="G386" s="2" t="n"/>
      <c r="H386" s="62">
        <f t="array" ref="H386">IF($D386="","",xlookup($D386,PRODUCT!$B:$B,PRODUCT!$L:$L,""))</f>
        <v/>
      </c>
      <c r="I386" s="62">
        <f t="array" ref="I386">IF($D386="","",xlookup($D386,PRODUCT!$B:$B,PRODUCT!$M:$M,""))</f>
        <v/>
      </c>
      <c r="J386" s="2" t="n"/>
      <c r="K386" s="2" t="n"/>
      <c r="L386" s="2" t="n"/>
      <c r="M386" s="2" t="n"/>
      <c r="N386" s="2" t="n"/>
    </row>
    <row r="387" ht="15.75" customHeight="1" s="125">
      <c r="A387" s="2" t="n"/>
      <c r="B387" s="2" t="n"/>
      <c r="C387" s="2" t="n"/>
      <c r="D387" s="58" t="n"/>
      <c r="E387" s="62">
        <f t="array" ref="E387">IF($D387="","",xlookup($D387,PRODUCT!$B:$B,PRODUCT!$A:$A,""))</f>
        <v/>
      </c>
      <c r="F387" s="62">
        <f t="array" ref="F387">IF($D387="","",xlookup($D387,PRODUCT!$B:$B,PRODUCT!$C:$C,""))</f>
        <v/>
      </c>
      <c r="G387" s="2" t="n"/>
      <c r="H387" s="62">
        <f t="array" ref="H387">IF($D387="","",xlookup($D387,PRODUCT!$B:$B,PRODUCT!$L:$L,""))</f>
        <v/>
      </c>
      <c r="I387" s="62">
        <f t="array" ref="I387">IF($D387="","",xlookup($D387,PRODUCT!$B:$B,PRODUCT!$M:$M,""))</f>
        <v/>
      </c>
      <c r="J387" s="2" t="n"/>
      <c r="K387" s="2" t="n"/>
      <c r="L387" s="2" t="n"/>
      <c r="M387" s="2" t="n"/>
      <c r="N387" s="2" t="n"/>
    </row>
    <row r="388" ht="15.75" customHeight="1" s="125">
      <c r="A388" s="2" t="n"/>
      <c r="B388" s="2" t="n"/>
      <c r="C388" s="2" t="n"/>
      <c r="D388" s="58" t="n"/>
      <c r="E388" s="62">
        <f t="array" ref="E388">IF($D388="","",xlookup($D388,PRODUCT!$B:$B,PRODUCT!$A:$A,""))</f>
        <v/>
      </c>
      <c r="F388" s="62">
        <f t="array" ref="F388">IF($D388="","",xlookup($D388,PRODUCT!$B:$B,PRODUCT!$C:$C,""))</f>
        <v/>
      </c>
      <c r="G388" s="2" t="n"/>
      <c r="H388" s="62">
        <f t="array" ref="H388">IF($D388="","",xlookup($D388,PRODUCT!$B:$B,PRODUCT!$L:$L,""))</f>
        <v/>
      </c>
      <c r="I388" s="62">
        <f t="array" ref="I388">IF($D388="","",xlookup($D388,PRODUCT!$B:$B,PRODUCT!$M:$M,""))</f>
        <v/>
      </c>
      <c r="J388" s="2" t="n"/>
      <c r="K388" s="2" t="n"/>
      <c r="L388" s="2" t="n"/>
      <c r="M388" s="2" t="n"/>
      <c r="N388" s="2" t="n"/>
    </row>
    <row r="389" ht="15.75" customHeight="1" s="125">
      <c r="A389" s="2" t="n"/>
      <c r="B389" s="2" t="n"/>
      <c r="C389" s="2" t="n"/>
      <c r="D389" s="58" t="n"/>
      <c r="E389" s="62">
        <f t="array" ref="E389">IF($D389="","",xlookup($D389,PRODUCT!$B:$B,PRODUCT!$A:$A,""))</f>
        <v/>
      </c>
      <c r="F389" s="62">
        <f t="array" ref="F389">IF($D389="","",xlookup($D389,PRODUCT!$B:$B,PRODUCT!$C:$C,""))</f>
        <v/>
      </c>
      <c r="G389" s="2" t="n"/>
      <c r="H389" s="62">
        <f t="array" ref="H389">IF($D389="","",xlookup($D389,PRODUCT!$B:$B,PRODUCT!$L:$L,""))</f>
        <v/>
      </c>
      <c r="I389" s="62">
        <f t="array" ref="I389">IF($D389="","",xlookup($D389,PRODUCT!$B:$B,PRODUCT!$M:$M,""))</f>
        <v/>
      </c>
      <c r="J389" s="2" t="n"/>
      <c r="K389" s="2" t="n"/>
      <c r="L389" s="2" t="n"/>
      <c r="M389" s="2" t="n"/>
      <c r="N389" s="2" t="n"/>
    </row>
    <row r="390" ht="15.75" customHeight="1" s="125">
      <c r="A390" s="2" t="n"/>
      <c r="B390" s="2" t="n"/>
      <c r="C390" s="2" t="n"/>
      <c r="D390" s="58" t="n"/>
      <c r="E390" s="62">
        <f t="array" ref="E390">IF($D390="","",xlookup($D390,PRODUCT!$B:$B,PRODUCT!$A:$A,""))</f>
        <v/>
      </c>
      <c r="F390" s="62">
        <f t="array" ref="F390">IF($D390="","",xlookup($D390,PRODUCT!$B:$B,PRODUCT!$C:$C,""))</f>
        <v/>
      </c>
      <c r="G390" s="2" t="n"/>
      <c r="H390" s="62">
        <f t="array" ref="H390">IF($D390="","",xlookup($D390,PRODUCT!$B:$B,PRODUCT!$L:$L,""))</f>
        <v/>
      </c>
      <c r="I390" s="62">
        <f t="array" ref="I390">IF($D390="","",xlookup($D390,PRODUCT!$B:$B,PRODUCT!$M:$M,""))</f>
        <v/>
      </c>
      <c r="J390" s="2" t="n"/>
      <c r="K390" s="2" t="n"/>
      <c r="L390" s="2" t="n"/>
      <c r="M390" s="2" t="n"/>
      <c r="N390" s="2" t="n"/>
    </row>
    <row r="391" ht="15.75" customHeight="1" s="125">
      <c r="A391" s="2" t="n"/>
      <c r="B391" s="2" t="n"/>
      <c r="C391" s="2" t="n"/>
      <c r="D391" s="58" t="n"/>
      <c r="E391" s="62">
        <f t="array" ref="E391">IF($D391="","",xlookup($D391,PRODUCT!$B:$B,PRODUCT!$A:$A,""))</f>
        <v/>
      </c>
      <c r="F391" s="62">
        <f t="array" ref="F391">IF($D391="","",xlookup($D391,PRODUCT!$B:$B,PRODUCT!$C:$C,""))</f>
        <v/>
      </c>
      <c r="G391" s="2" t="n"/>
      <c r="H391" s="62">
        <f t="array" ref="H391">IF($D391="","",xlookup($D391,PRODUCT!$B:$B,PRODUCT!$L:$L,""))</f>
        <v/>
      </c>
      <c r="I391" s="62">
        <f t="array" ref="I391">IF($D391="","",xlookup($D391,PRODUCT!$B:$B,PRODUCT!$M:$M,""))</f>
        <v/>
      </c>
      <c r="J391" s="2" t="n"/>
      <c r="K391" s="2" t="n"/>
      <c r="L391" s="2" t="n"/>
      <c r="M391" s="2" t="n"/>
      <c r="N391" s="2" t="n"/>
    </row>
    <row r="392" ht="15.75" customHeight="1" s="125">
      <c r="A392" s="2" t="n"/>
      <c r="B392" s="2" t="n"/>
      <c r="C392" s="2" t="n"/>
      <c r="D392" s="58" t="n"/>
      <c r="E392" s="62">
        <f t="array" ref="E392">IF($D392="","",xlookup($D392,PRODUCT!$B:$B,PRODUCT!$A:$A,""))</f>
        <v/>
      </c>
      <c r="F392" s="62">
        <f t="array" ref="F392">IF($D392="","",xlookup($D392,PRODUCT!$B:$B,PRODUCT!$C:$C,""))</f>
        <v/>
      </c>
      <c r="G392" s="2" t="n"/>
      <c r="H392" s="62">
        <f t="array" ref="H392">IF($D392="","",xlookup($D392,PRODUCT!$B:$B,PRODUCT!$L:$L,""))</f>
        <v/>
      </c>
      <c r="I392" s="62">
        <f t="array" ref="I392">IF($D392="","",xlookup($D392,PRODUCT!$B:$B,PRODUCT!$M:$M,""))</f>
        <v/>
      </c>
      <c r="J392" s="2" t="n"/>
      <c r="K392" s="2" t="n"/>
      <c r="L392" s="2" t="n"/>
      <c r="M392" s="2" t="n"/>
      <c r="N392" s="2" t="n"/>
    </row>
    <row r="393" ht="15.75" customHeight="1" s="125">
      <c r="A393" s="2" t="n"/>
      <c r="B393" s="2" t="n"/>
      <c r="C393" s="2" t="n"/>
      <c r="D393" s="58" t="n"/>
      <c r="E393" s="62">
        <f t="array" ref="E393">IF($D393="","",xlookup($D393,PRODUCT!$B:$B,PRODUCT!$A:$A,""))</f>
        <v/>
      </c>
      <c r="F393" s="62">
        <f t="array" ref="F393">IF($D393="","",xlookup($D393,PRODUCT!$B:$B,PRODUCT!$C:$C,""))</f>
        <v/>
      </c>
      <c r="G393" s="2" t="n"/>
      <c r="H393" s="62">
        <f t="array" ref="H393">IF($D393="","",xlookup($D393,PRODUCT!$B:$B,PRODUCT!$L:$L,""))</f>
        <v/>
      </c>
      <c r="I393" s="62">
        <f t="array" ref="I393">IF($D393="","",xlookup($D393,PRODUCT!$B:$B,PRODUCT!$M:$M,""))</f>
        <v/>
      </c>
      <c r="J393" s="2" t="n"/>
      <c r="K393" s="2" t="n"/>
      <c r="L393" s="2" t="n"/>
      <c r="M393" s="2" t="n"/>
      <c r="N393" s="2" t="n"/>
    </row>
    <row r="394" ht="15.75" customHeight="1" s="125">
      <c r="A394" s="2" t="n"/>
      <c r="B394" s="2" t="n"/>
      <c r="C394" s="2" t="n"/>
      <c r="D394" s="58" t="n"/>
      <c r="E394" s="62">
        <f t="array" ref="E394">IF($D394="","",xlookup($D394,PRODUCT!$B:$B,PRODUCT!$A:$A,""))</f>
        <v/>
      </c>
      <c r="F394" s="62">
        <f t="array" ref="F394">IF($D394="","",xlookup($D394,PRODUCT!$B:$B,PRODUCT!$C:$C,""))</f>
        <v/>
      </c>
      <c r="G394" s="2" t="n"/>
      <c r="H394" s="62">
        <f t="array" ref="H394">IF($D394="","",xlookup($D394,PRODUCT!$B:$B,PRODUCT!$L:$L,""))</f>
        <v/>
      </c>
      <c r="I394" s="62">
        <f t="array" ref="I394">IF($D394="","",xlookup($D394,PRODUCT!$B:$B,PRODUCT!$M:$M,""))</f>
        <v/>
      </c>
      <c r="J394" s="2" t="n"/>
      <c r="K394" s="2" t="n"/>
      <c r="L394" s="2" t="n"/>
      <c r="M394" s="2" t="n"/>
      <c r="N394" s="2" t="n"/>
    </row>
    <row r="395" ht="15.75" customHeight="1" s="125">
      <c r="A395" s="2" t="n"/>
      <c r="B395" s="2" t="n"/>
      <c r="C395" s="2" t="n"/>
      <c r="D395" s="58" t="n"/>
      <c r="E395" s="62">
        <f t="array" ref="E395">IF($D395="","",xlookup($D395,PRODUCT!$B:$B,PRODUCT!$A:$A,""))</f>
        <v/>
      </c>
      <c r="F395" s="62">
        <f t="array" ref="F395">IF($D395="","",xlookup($D395,PRODUCT!$B:$B,PRODUCT!$C:$C,""))</f>
        <v/>
      </c>
      <c r="G395" s="2" t="n"/>
      <c r="H395" s="62">
        <f t="array" ref="H395">IF($D395="","",xlookup($D395,PRODUCT!$B:$B,PRODUCT!$L:$L,""))</f>
        <v/>
      </c>
      <c r="I395" s="62">
        <f t="array" ref="I395">IF($D395="","",xlookup($D395,PRODUCT!$B:$B,PRODUCT!$M:$M,""))</f>
        <v/>
      </c>
      <c r="J395" s="2" t="n"/>
      <c r="K395" s="2" t="n"/>
      <c r="L395" s="2" t="n"/>
      <c r="M395" s="2" t="n"/>
      <c r="N395" s="2" t="n"/>
    </row>
    <row r="396" ht="15.75" customHeight="1" s="125">
      <c r="A396" s="2" t="n"/>
      <c r="B396" s="2" t="n"/>
      <c r="C396" s="2" t="n"/>
      <c r="D396" s="58" t="n"/>
      <c r="E396" s="62">
        <f t="array" ref="E396">IF($D396="","",xlookup($D396,PRODUCT!$B:$B,PRODUCT!$A:$A,""))</f>
        <v/>
      </c>
      <c r="F396" s="62">
        <f t="array" ref="F396">IF($D396="","",xlookup($D396,PRODUCT!$B:$B,PRODUCT!$C:$C,""))</f>
        <v/>
      </c>
      <c r="G396" s="2" t="n"/>
      <c r="H396" s="62">
        <f t="array" ref="H396">IF($D396="","",xlookup($D396,PRODUCT!$B:$B,PRODUCT!$L:$L,""))</f>
        <v/>
      </c>
      <c r="I396" s="62">
        <f t="array" ref="I396">IF($D396="","",xlookup($D396,PRODUCT!$B:$B,PRODUCT!$M:$M,""))</f>
        <v/>
      </c>
      <c r="J396" s="2" t="n"/>
      <c r="K396" s="2" t="n"/>
      <c r="L396" s="2" t="n"/>
      <c r="M396" s="2" t="n"/>
      <c r="N396" s="2" t="n"/>
    </row>
    <row r="397" ht="15.75" customHeight="1" s="125">
      <c r="A397" s="2" t="n"/>
      <c r="B397" s="2" t="n"/>
      <c r="C397" s="2" t="n"/>
      <c r="D397" s="58" t="n"/>
      <c r="E397" s="62">
        <f t="array" ref="E397">IF($D397="","",xlookup($D397,PRODUCT!$B:$B,PRODUCT!$A:$A,""))</f>
        <v/>
      </c>
      <c r="F397" s="62">
        <f t="array" ref="F397">IF($D397="","",xlookup($D397,PRODUCT!$B:$B,PRODUCT!$C:$C,""))</f>
        <v/>
      </c>
      <c r="G397" s="2" t="n"/>
      <c r="H397" s="62">
        <f t="array" ref="H397">IF($D397="","",xlookup($D397,PRODUCT!$B:$B,PRODUCT!$L:$L,""))</f>
        <v/>
      </c>
      <c r="I397" s="62">
        <f t="array" ref="I397">IF($D397="","",xlookup($D397,PRODUCT!$B:$B,PRODUCT!$M:$M,""))</f>
        <v/>
      </c>
      <c r="J397" s="2" t="n"/>
      <c r="K397" s="2" t="n"/>
      <c r="L397" s="2" t="n"/>
      <c r="M397" s="2" t="n"/>
      <c r="N397" s="2" t="n"/>
    </row>
    <row r="398" ht="15.75" customHeight="1" s="125">
      <c r="A398" s="2" t="n"/>
      <c r="B398" s="2" t="n"/>
      <c r="C398" s="2" t="n"/>
      <c r="D398" s="58" t="n"/>
      <c r="E398" s="62">
        <f t="array" ref="E398">IF($D398="","",xlookup($D398,PRODUCT!$B:$B,PRODUCT!$A:$A,""))</f>
        <v/>
      </c>
      <c r="F398" s="62">
        <f t="array" ref="F398">IF($D398="","",xlookup($D398,PRODUCT!$B:$B,PRODUCT!$C:$C,""))</f>
        <v/>
      </c>
      <c r="G398" s="2" t="n"/>
      <c r="H398" s="62">
        <f t="array" ref="H398">IF($D398="","",xlookup($D398,PRODUCT!$B:$B,PRODUCT!$L:$L,""))</f>
        <v/>
      </c>
      <c r="I398" s="62">
        <f t="array" ref="I398">IF($D398="","",xlookup($D398,PRODUCT!$B:$B,PRODUCT!$M:$M,""))</f>
        <v/>
      </c>
      <c r="J398" s="2" t="n"/>
      <c r="K398" s="2" t="n"/>
      <c r="L398" s="2" t="n"/>
      <c r="M398" s="2" t="n"/>
      <c r="N398" s="2" t="n"/>
    </row>
    <row r="399" ht="15.75" customHeight="1" s="125">
      <c r="A399" s="2" t="n"/>
      <c r="B399" s="2" t="n"/>
      <c r="C399" s="2" t="n"/>
      <c r="D399" s="58" t="n"/>
      <c r="E399" s="62">
        <f t="array" ref="E399">IF($D399="","",xlookup($D399,PRODUCT!$B:$B,PRODUCT!$A:$A,""))</f>
        <v/>
      </c>
      <c r="F399" s="62">
        <f t="array" ref="F399">IF($D399="","",xlookup($D399,PRODUCT!$B:$B,PRODUCT!$C:$C,""))</f>
        <v/>
      </c>
      <c r="G399" s="2" t="n"/>
      <c r="H399" s="62">
        <f t="array" ref="H399">IF($D399="","",xlookup($D399,PRODUCT!$B:$B,PRODUCT!$L:$L,""))</f>
        <v/>
      </c>
      <c r="I399" s="62">
        <f t="array" ref="I399">IF($D399="","",xlookup($D399,PRODUCT!$B:$B,PRODUCT!$M:$M,""))</f>
        <v/>
      </c>
      <c r="J399" s="2" t="n"/>
      <c r="K399" s="2" t="n"/>
      <c r="L399" s="2" t="n"/>
      <c r="M399" s="2" t="n"/>
      <c r="N399" s="2" t="n"/>
    </row>
    <row r="400" ht="15.75" customHeight="1" s="125">
      <c r="A400" s="2" t="n"/>
      <c r="B400" s="2" t="n"/>
      <c r="C400" s="2" t="n"/>
      <c r="D400" s="58" t="n"/>
      <c r="E400" s="62">
        <f t="array" ref="E400">IF($D400="","",xlookup($D400,PRODUCT!$B:$B,PRODUCT!$A:$A,""))</f>
        <v/>
      </c>
      <c r="F400" s="62">
        <f t="array" ref="F400">IF($D400="","",xlookup($D400,PRODUCT!$B:$B,PRODUCT!$C:$C,""))</f>
        <v/>
      </c>
      <c r="G400" s="2" t="n"/>
      <c r="H400" s="62">
        <f t="array" ref="H400">IF($D400="","",xlookup($D400,PRODUCT!$B:$B,PRODUCT!$L:$L,""))</f>
        <v/>
      </c>
      <c r="I400" s="62">
        <f t="array" ref="I400">IF($D400="","",xlookup($D400,PRODUCT!$B:$B,PRODUCT!$M:$M,""))</f>
        <v/>
      </c>
      <c r="J400" s="2" t="n"/>
      <c r="K400" s="2" t="n"/>
      <c r="L400" s="2" t="n"/>
      <c r="M400" s="2" t="n"/>
      <c r="N400" s="2" t="n"/>
    </row>
    <row r="401" ht="15.75" customHeight="1" s="125">
      <c r="A401" s="2" t="n"/>
      <c r="B401" s="2" t="n"/>
      <c r="C401" s="2" t="n"/>
      <c r="D401" s="58" t="n"/>
      <c r="E401" s="62">
        <f t="array" ref="E401">IF($D401="","",xlookup($D401,PRODUCT!$B:$B,PRODUCT!$A:$A,""))</f>
        <v/>
      </c>
      <c r="F401" s="62">
        <f t="array" ref="F401">IF($D401="","",xlookup($D401,PRODUCT!$B:$B,PRODUCT!$C:$C,""))</f>
        <v/>
      </c>
      <c r="G401" s="2" t="n"/>
      <c r="H401" s="62">
        <f t="array" ref="H401">IF($D401="","",xlookup($D401,PRODUCT!$B:$B,PRODUCT!$L:$L,""))</f>
        <v/>
      </c>
      <c r="I401" s="62">
        <f t="array" ref="I401">IF($D401="","",xlookup($D401,PRODUCT!$B:$B,PRODUCT!$M:$M,""))</f>
        <v/>
      </c>
      <c r="J401" s="2" t="n"/>
      <c r="K401" s="2" t="n"/>
      <c r="L401" s="2" t="n"/>
      <c r="M401" s="2" t="n"/>
      <c r="N401" s="2" t="n"/>
    </row>
    <row r="402" ht="15.75" customHeight="1" s="125">
      <c r="A402" s="2" t="n"/>
      <c r="B402" s="2" t="n"/>
      <c r="C402" s="2" t="n"/>
      <c r="D402" s="58" t="n"/>
      <c r="E402" s="62">
        <f t="array" ref="E402">IF($D402="","",xlookup($D402,PRODUCT!$B:$B,PRODUCT!$A:$A,""))</f>
        <v/>
      </c>
      <c r="F402" s="62">
        <f t="array" ref="F402">IF($D402="","",xlookup($D402,PRODUCT!$B:$B,PRODUCT!$C:$C,""))</f>
        <v/>
      </c>
      <c r="G402" s="2" t="n"/>
      <c r="H402" s="62">
        <f t="array" ref="H402">IF($D402="","",xlookup($D402,PRODUCT!$B:$B,PRODUCT!$L:$L,""))</f>
        <v/>
      </c>
      <c r="I402" s="62">
        <f t="array" ref="I402">IF($D402="","",xlookup($D402,PRODUCT!$B:$B,PRODUCT!$M:$M,""))</f>
        <v/>
      </c>
      <c r="J402" s="2" t="n"/>
      <c r="K402" s="2" t="n"/>
      <c r="L402" s="2" t="n"/>
      <c r="M402" s="2" t="n"/>
      <c r="N402" s="2" t="n"/>
    </row>
    <row r="403" ht="15.75" customHeight="1" s="125">
      <c r="A403" s="2" t="n"/>
      <c r="B403" s="2" t="n"/>
      <c r="C403" s="2" t="n"/>
      <c r="D403" s="58" t="n"/>
      <c r="E403" s="62">
        <f t="array" ref="E403">IF($D403="","",xlookup($D403,PRODUCT!$B:$B,PRODUCT!$A:$A,""))</f>
        <v/>
      </c>
      <c r="F403" s="62">
        <f t="array" ref="F403">IF($D403="","",xlookup($D403,PRODUCT!$B:$B,PRODUCT!$C:$C,""))</f>
        <v/>
      </c>
      <c r="G403" s="2" t="n"/>
      <c r="H403" s="62">
        <f t="array" ref="H403">IF($D403="","",xlookup($D403,PRODUCT!$B:$B,PRODUCT!$L:$L,""))</f>
        <v/>
      </c>
      <c r="I403" s="62">
        <f t="array" ref="I403">IF($D403="","",xlookup($D403,PRODUCT!$B:$B,PRODUCT!$M:$M,""))</f>
        <v/>
      </c>
      <c r="J403" s="2" t="n"/>
      <c r="K403" s="2" t="n"/>
      <c r="L403" s="2" t="n"/>
      <c r="M403" s="2" t="n"/>
      <c r="N403" s="2" t="n"/>
    </row>
    <row r="404" ht="15.75" customHeight="1" s="125">
      <c r="A404" s="2" t="n"/>
      <c r="B404" s="2" t="n"/>
      <c r="C404" s="2" t="n"/>
      <c r="D404" s="58" t="n"/>
      <c r="E404" s="62">
        <f t="array" ref="E404">IF($D404="","",xlookup($D404,PRODUCT!$B:$B,PRODUCT!$A:$A,""))</f>
        <v/>
      </c>
      <c r="F404" s="62">
        <f t="array" ref="F404">IF($D404="","",xlookup($D404,PRODUCT!$B:$B,PRODUCT!$C:$C,""))</f>
        <v/>
      </c>
      <c r="G404" s="2" t="n"/>
      <c r="H404" s="62">
        <f t="array" ref="H404">IF($D404="","",xlookup($D404,PRODUCT!$B:$B,PRODUCT!$L:$L,""))</f>
        <v/>
      </c>
      <c r="I404" s="62">
        <f t="array" ref="I404">IF($D404="","",xlookup($D404,PRODUCT!$B:$B,PRODUCT!$M:$M,""))</f>
        <v/>
      </c>
      <c r="J404" s="2" t="n"/>
      <c r="K404" s="2" t="n"/>
      <c r="L404" s="2" t="n"/>
      <c r="M404" s="2" t="n"/>
      <c r="N404" s="2" t="n"/>
    </row>
    <row r="405" ht="15.75" customHeight="1" s="125">
      <c r="A405" s="2" t="n"/>
      <c r="B405" s="2" t="n"/>
      <c r="C405" s="2" t="n"/>
      <c r="D405" s="58" t="n"/>
      <c r="E405" s="62">
        <f t="array" ref="E405">IF($D405="","",xlookup($D405,PRODUCT!$B:$B,PRODUCT!$A:$A,""))</f>
        <v/>
      </c>
      <c r="F405" s="62">
        <f t="array" ref="F405">IF($D405="","",xlookup($D405,PRODUCT!$B:$B,PRODUCT!$C:$C,""))</f>
        <v/>
      </c>
      <c r="G405" s="2" t="n"/>
      <c r="H405" s="62">
        <f t="array" ref="H405">IF($D405="","",xlookup($D405,PRODUCT!$B:$B,PRODUCT!$L:$L,""))</f>
        <v/>
      </c>
      <c r="I405" s="62">
        <f t="array" ref="I405">IF($D405="","",xlookup($D405,PRODUCT!$B:$B,PRODUCT!$M:$M,""))</f>
        <v/>
      </c>
      <c r="J405" s="2" t="n"/>
      <c r="K405" s="2" t="n"/>
      <c r="L405" s="2" t="n"/>
      <c r="M405" s="2" t="n"/>
      <c r="N405" s="2" t="n"/>
    </row>
    <row r="406" ht="15.75" customHeight="1" s="125">
      <c r="A406" s="2" t="n"/>
      <c r="B406" s="2" t="n"/>
      <c r="C406" s="2" t="n"/>
      <c r="D406" s="58" t="n"/>
      <c r="E406" s="62">
        <f t="array" ref="E406">IF($D406="","",xlookup($D406,PRODUCT!$B:$B,PRODUCT!$A:$A,""))</f>
        <v/>
      </c>
      <c r="F406" s="62">
        <f t="array" ref="F406">IF($D406="","",xlookup($D406,PRODUCT!$B:$B,PRODUCT!$C:$C,""))</f>
        <v/>
      </c>
      <c r="G406" s="2" t="n"/>
      <c r="H406" s="62">
        <f t="array" ref="H406">IF($D406="","",xlookup($D406,PRODUCT!$B:$B,PRODUCT!$L:$L,""))</f>
        <v/>
      </c>
      <c r="I406" s="62">
        <f t="array" ref="I406">IF($D406="","",xlookup($D406,PRODUCT!$B:$B,PRODUCT!$M:$M,""))</f>
        <v/>
      </c>
      <c r="J406" s="2" t="n"/>
      <c r="K406" s="2" t="n"/>
      <c r="L406" s="2" t="n"/>
      <c r="M406" s="2" t="n"/>
      <c r="N406" s="2" t="n"/>
    </row>
    <row r="407" ht="15.75" customHeight="1" s="125">
      <c r="A407" s="2" t="n"/>
      <c r="B407" s="2" t="n"/>
      <c r="C407" s="2" t="n"/>
      <c r="D407" s="58" t="n"/>
      <c r="E407" s="62">
        <f t="array" ref="E407">IF($D407="","",xlookup($D407,PRODUCT!$B:$B,PRODUCT!$A:$A,""))</f>
        <v/>
      </c>
      <c r="F407" s="62">
        <f t="array" ref="F407">IF($D407="","",xlookup($D407,PRODUCT!$B:$B,PRODUCT!$C:$C,""))</f>
        <v/>
      </c>
      <c r="G407" s="2" t="n"/>
      <c r="H407" s="62">
        <f t="array" ref="H407">IF($D407="","",xlookup($D407,PRODUCT!$B:$B,PRODUCT!$L:$L,""))</f>
        <v/>
      </c>
      <c r="I407" s="62">
        <f t="array" ref="I407">IF($D407="","",xlookup($D407,PRODUCT!$B:$B,PRODUCT!$M:$M,""))</f>
        <v/>
      </c>
      <c r="J407" s="2" t="n"/>
      <c r="K407" s="2" t="n"/>
      <c r="L407" s="2" t="n"/>
      <c r="M407" s="2" t="n"/>
      <c r="N407" s="2" t="n"/>
    </row>
    <row r="408" ht="15.75" customHeight="1" s="125">
      <c r="A408" s="2" t="n"/>
      <c r="B408" s="2" t="n"/>
      <c r="C408" s="2" t="n"/>
      <c r="D408" s="58" t="n"/>
      <c r="E408" s="62">
        <f t="array" ref="E408">IF($D408="","",xlookup($D408,PRODUCT!$B:$B,PRODUCT!$A:$A,""))</f>
        <v/>
      </c>
      <c r="F408" s="62">
        <f t="array" ref="F408">IF($D408="","",xlookup($D408,PRODUCT!$B:$B,PRODUCT!$C:$C,""))</f>
        <v/>
      </c>
      <c r="G408" s="2" t="n"/>
      <c r="H408" s="62">
        <f t="array" ref="H408">IF($D408="","",xlookup($D408,PRODUCT!$B:$B,PRODUCT!$L:$L,""))</f>
        <v/>
      </c>
      <c r="I408" s="62">
        <f t="array" ref="I408">IF($D408="","",xlookup($D408,PRODUCT!$B:$B,PRODUCT!$M:$M,""))</f>
        <v/>
      </c>
      <c r="J408" s="2" t="n"/>
      <c r="K408" s="2" t="n"/>
      <c r="L408" s="2" t="n"/>
      <c r="M408" s="2" t="n"/>
      <c r="N408" s="2" t="n"/>
    </row>
    <row r="409" ht="15.75" customHeight="1" s="125">
      <c r="A409" s="2" t="n"/>
      <c r="B409" s="2" t="n"/>
      <c r="C409" s="2" t="n"/>
      <c r="D409" s="58" t="n"/>
      <c r="E409" s="62">
        <f t="array" ref="E409">IF($D409="","",xlookup($D409,PRODUCT!$B:$B,PRODUCT!$A:$A,""))</f>
        <v/>
      </c>
      <c r="F409" s="62">
        <f t="array" ref="F409">IF($D409="","",xlookup($D409,PRODUCT!$B:$B,PRODUCT!$C:$C,""))</f>
        <v/>
      </c>
      <c r="G409" s="2" t="n"/>
      <c r="H409" s="62">
        <f t="array" ref="H409">IF($D409="","",xlookup($D409,PRODUCT!$B:$B,PRODUCT!$L:$L,""))</f>
        <v/>
      </c>
      <c r="I409" s="62">
        <f t="array" ref="I409">IF($D409="","",xlookup($D409,PRODUCT!$B:$B,PRODUCT!$M:$M,""))</f>
        <v/>
      </c>
      <c r="J409" s="2" t="n"/>
      <c r="K409" s="2" t="n"/>
      <c r="L409" s="2" t="n"/>
      <c r="M409" s="2" t="n"/>
      <c r="N409" s="2" t="n"/>
    </row>
    <row r="410" ht="15.75" customHeight="1" s="125">
      <c r="A410" s="2" t="n"/>
      <c r="B410" s="2" t="n"/>
      <c r="C410" s="2" t="n"/>
      <c r="D410" s="58" t="n"/>
      <c r="E410" s="62">
        <f t="array" ref="E410">IF($D410="","",xlookup($D410,PRODUCT!$B:$B,PRODUCT!$A:$A,""))</f>
        <v/>
      </c>
      <c r="F410" s="62">
        <f t="array" ref="F410">IF($D410="","",xlookup($D410,PRODUCT!$B:$B,PRODUCT!$C:$C,""))</f>
        <v/>
      </c>
      <c r="G410" s="2" t="n"/>
      <c r="H410" s="62">
        <f t="array" ref="H410">IF($D410="","",xlookup($D410,PRODUCT!$B:$B,PRODUCT!$L:$L,""))</f>
        <v/>
      </c>
      <c r="I410" s="62">
        <f t="array" ref="I410">IF($D410="","",xlookup($D410,PRODUCT!$B:$B,PRODUCT!$M:$M,""))</f>
        <v/>
      </c>
      <c r="J410" s="2" t="n"/>
      <c r="K410" s="2" t="n"/>
      <c r="L410" s="2" t="n"/>
      <c r="M410" s="2" t="n"/>
      <c r="N410" s="2" t="n"/>
    </row>
    <row r="411" ht="15.75" customHeight="1" s="125">
      <c r="A411" s="2" t="n"/>
      <c r="B411" s="2" t="n"/>
      <c r="C411" s="2" t="n"/>
      <c r="D411" s="58" t="n"/>
      <c r="E411" s="62">
        <f t="array" ref="E411">IF($D411="","",xlookup($D411,PRODUCT!$B:$B,PRODUCT!$A:$A,""))</f>
        <v/>
      </c>
      <c r="F411" s="62">
        <f t="array" ref="F411">IF($D411="","",xlookup($D411,PRODUCT!$B:$B,PRODUCT!$C:$C,""))</f>
        <v/>
      </c>
      <c r="G411" s="2" t="n"/>
      <c r="H411" s="62">
        <f t="array" ref="H411">IF($D411="","",xlookup($D411,PRODUCT!$B:$B,PRODUCT!$L:$L,""))</f>
        <v/>
      </c>
      <c r="I411" s="62">
        <f t="array" ref="I411">IF($D411="","",xlookup($D411,PRODUCT!$B:$B,PRODUCT!$M:$M,""))</f>
        <v/>
      </c>
      <c r="J411" s="2" t="n"/>
      <c r="K411" s="2" t="n"/>
      <c r="L411" s="2" t="n"/>
      <c r="M411" s="2" t="n"/>
      <c r="N411" s="2" t="n"/>
    </row>
    <row r="412" ht="15.75" customHeight="1" s="125">
      <c r="A412" s="2" t="n"/>
      <c r="B412" s="2" t="n"/>
      <c r="C412" s="2" t="n"/>
      <c r="D412" s="58" t="n"/>
      <c r="E412" s="62">
        <f t="array" ref="E412">IF($D412="","",xlookup($D412,PRODUCT!$B:$B,PRODUCT!$A:$A,""))</f>
        <v/>
      </c>
      <c r="F412" s="62">
        <f t="array" ref="F412">IF($D412="","",xlookup($D412,PRODUCT!$B:$B,PRODUCT!$C:$C,""))</f>
        <v/>
      </c>
      <c r="G412" s="2" t="n"/>
      <c r="H412" s="62">
        <f t="array" ref="H412">IF($D412="","",xlookup($D412,PRODUCT!$B:$B,PRODUCT!$L:$L,""))</f>
        <v/>
      </c>
      <c r="I412" s="62">
        <f t="array" ref="I412">IF($D412="","",xlookup($D412,PRODUCT!$B:$B,PRODUCT!$M:$M,""))</f>
        <v/>
      </c>
      <c r="J412" s="2" t="n"/>
      <c r="K412" s="2" t="n"/>
      <c r="L412" s="2" t="n"/>
      <c r="M412" s="2" t="n"/>
      <c r="N412" s="2" t="n"/>
    </row>
    <row r="413" ht="15.75" customHeight="1" s="125">
      <c r="A413" s="2" t="n"/>
      <c r="B413" s="2" t="n"/>
      <c r="C413" s="2" t="n"/>
      <c r="D413" s="58" t="n"/>
      <c r="E413" s="62">
        <f t="array" ref="E413">IF($D413="","",xlookup($D413,PRODUCT!$B:$B,PRODUCT!$A:$A,""))</f>
        <v/>
      </c>
      <c r="F413" s="62">
        <f t="array" ref="F413">IF($D413="","",xlookup($D413,PRODUCT!$B:$B,PRODUCT!$C:$C,""))</f>
        <v/>
      </c>
      <c r="G413" s="2" t="n"/>
      <c r="H413" s="62">
        <f t="array" ref="H413">IF($D413="","",xlookup($D413,PRODUCT!$B:$B,PRODUCT!$L:$L,""))</f>
        <v/>
      </c>
      <c r="I413" s="62">
        <f t="array" ref="I413">IF($D413="","",xlookup($D413,PRODUCT!$B:$B,PRODUCT!$M:$M,""))</f>
        <v/>
      </c>
      <c r="J413" s="2" t="n"/>
      <c r="K413" s="2" t="n"/>
      <c r="L413" s="2" t="n"/>
      <c r="M413" s="2" t="n"/>
      <c r="N413" s="2" t="n"/>
    </row>
    <row r="414" ht="15.75" customHeight="1" s="125">
      <c r="A414" s="2" t="n"/>
      <c r="B414" s="2" t="n"/>
      <c r="C414" s="2" t="n"/>
      <c r="D414" s="58" t="n"/>
      <c r="E414" s="62">
        <f t="array" ref="E414">IF($D414="","",xlookup($D414,PRODUCT!$B:$B,PRODUCT!$A:$A,""))</f>
        <v/>
      </c>
      <c r="F414" s="62">
        <f t="array" ref="F414">IF($D414="","",xlookup($D414,PRODUCT!$B:$B,PRODUCT!$C:$C,""))</f>
        <v/>
      </c>
      <c r="G414" s="2" t="n"/>
      <c r="H414" s="62">
        <f t="array" ref="H414">IF($D414="","",xlookup($D414,PRODUCT!$B:$B,PRODUCT!$L:$L,""))</f>
        <v/>
      </c>
      <c r="I414" s="62">
        <f t="array" ref="I414">IF($D414="","",xlookup($D414,PRODUCT!$B:$B,PRODUCT!$M:$M,""))</f>
        <v/>
      </c>
      <c r="J414" s="2" t="n"/>
      <c r="K414" s="2" t="n"/>
      <c r="L414" s="2" t="n"/>
      <c r="M414" s="2" t="n"/>
      <c r="N414" s="2" t="n"/>
    </row>
    <row r="415" ht="15.75" customHeight="1" s="125">
      <c r="A415" s="2" t="n"/>
      <c r="B415" s="2" t="n"/>
      <c r="C415" s="2" t="n"/>
      <c r="D415" s="58" t="n"/>
      <c r="E415" s="62">
        <f t="array" ref="E415">IF($D415="","",xlookup($D415,PRODUCT!$B:$B,PRODUCT!$A:$A,""))</f>
        <v/>
      </c>
      <c r="F415" s="62">
        <f t="array" ref="F415">IF($D415="","",xlookup($D415,PRODUCT!$B:$B,PRODUCT!$C:$C,""))</f>
        <v/>
      </c>
      <c r="G415" s="2" t="n"/>
      <c r="H415" s="62">
        <f t="array" ref="H415">IF($D415="","",xlookup($D415,PRODUCT!$B:$B,PRODUCT!$L:$L,""))</f>
        <v/>
      </c>
      <c r="I415" s="62">
        <f t="array" ref="I415">IF($D415="","",xlookup($D415,PRODUCT!$B:$B,PRODUCT!$M:$M,""))</f>
        <v/>
      </c>
      <c r="J415" s="2" t="n"/>
      <c r="K415" s="2" t="n"/>
      <c r="L415" s="2" t="n"/>
      <c r="M415" s="2" t="n"/>
      <c r="N415" s="2" t="n"/>
    </row>
    <row r="416" ht="15.75" customHeight="1" s="125">
      <c r="A416" s="2" t="n"/>
      <c r="B416" s="2" t="n"/>
      <c r="C416" s="2" t="n"/>
      <c r="D416" s="58" t="n"/>
      <c r="E416" s="62">
        <f t="array" ref="E416">IF($D416="","",xlookup($D416,PRODUCT!$B:$B,PRODUCT!$A:$A,""))</f>
        <v/>
      </c>
      <c r="F416" s="62">
        <f t="array" ref="F416">IF($D416="","",xlookup($D416,PRODUCT!$B:$B,PRODUCT!$C:$C,""))</f>
        <v/>
      </c>
      <c r="G416" s="2" t="n"/>
      <c r="H416" s="62">
        <f t="array" ref="H416">IF($D416="","",xlookup($D416,PRODUCT!$B:$B,PRODUCT!$L:$L,""))</f>
        <v/>
      </c>
      <c r="I416" s="62">
        <f t="array" ref="I416">IF($D416="","",xlookup($D416,PRODUCT!$B:$B,PRODUCT!$M:$M,""))</f>
        <v/>
      </c>
      <c r="J416" s="2" t="n"/>
      <c r="K416" s="2" t="n"/>
      <c r="L416" s="2" t="n"/>
      <c r="M416" s="2" t="n"/>
      <c r="N416" s="2" t="n"/>
    </row>
    <row r="417" ht="15.75" customHeight="1" s="125">
      <c r="A417" s="2" t="n"/>
      <c r="B417" s="2" t="n"/>
      <c r="C417" s="2" t="n"/>
      <c r="D417" s="58" t="n"/>
      <c r="E417" s="62">
        <f t="array" ref="E417">IF($D417="","",xlookup($D417,PRODUCT!$B:$B,PRODUCT!$A:$A,""))</f>
        <v/>
      </c>
      <c r="F417" s="62">
        <f t="array" ref="F417">IF($D417="","",xlookup($D417,PRODUCT!$B:$B,PRODUCT!$C:$C,""))</f>
        <v/>
      </c>
      <c r="G417" s="2" t="n"/>
      <c r="H417" s="62">
        <f t="array" ref="H417">IF($D417="","",xlookup($D417,PRODUCT!$B:$B,PRODUCT!$L:$L,""))</f>
        <v/>
      </c>
      <c r="I417" s="62">
        <f t="array" ref="I417">IF($D417="","",xlookup($D417,PRODUCT!$B:$B,PRODUCT!$M:$M,""))</f>
        <v/>
      </c>
      <c r="J417" s="2" t="n"/>
      <c r="K417" s="2" t="n"/>
      <c r="L417" s="2" t="n"/>
      <c r="M417" s="2" t="n"/>
      <c r="N417" s="2" t="n"/>
    </row>
    <row r="418" ht="15.75" customHeight="1" s="125">
      <c r="A418" s="2" t="n"/>
      <c r="B418" s="2" t="n"/>
      <c r="C418" s="2" t="n"/>
      <c r="D418" s="58" t="n"/>
      <c r="E418" s="62">
        <f t="array" ref="E418">IF($D418="","",xlookup($D418,PRODUCT!$B:$B,PRODUCT!$A:$A,""))</f>
        <v/>
      </c>
      <c r="F418" s="62">
        <f t="array" ref="F418">IF($D418="","",xlookup($D418,PRODUCT!$B:$B,PRODUCT!$C:$C,""))</f>
        <v/>
      </c>
      <c r="G418" s="2" t="n"/>
      <c r="H418" s="62">
        <f t="array" ref="H418">IF($D418="","",xlookup($D418,PRODUCT!$B:$B,PRODUCT!$L:$L,""))</f>
        <v/>
      </c>
      <c r="I418" s="62">
        <f t="array" ref="I418">IF($D418="","",xlookup($D418,PRODUCT!$B:$B,PRODUCT!$M:$M,""))</f>
        <v/>
      </c>
      <c r="J418" s="2" t="n"/>
      <c r="K418" s="2" t="n"/>
      <c r="L418" s="2" t="n"/>
      <c r="M418" s="2" t="n"/>
      <c r="N418" s="2" t="n"/>
    </row>
    <row r="419" ht="15.75" customHeight="1" s="125">
      <c r="A419" s="2" t="n"/>
      <c r="B419" s="2" t="n"/>
      <c r="C419" s="2" t="n"/>
      <c r="D419" s="58" t="n"/>
      <c r="E419" s="62">
        <f t="array" ref="E419">IF($D419="","",xlookup($D419,PRODUCT!$B:$B,PRODUCT!$A:$A,""))</f>
        <v/>
      </c>
      <c r="F419" s="62">
        <f t="array" ref="F419">IF($D419="","",xlookup($D419,PRODUCT!$B:$B,PRODUCT!$C:$C,""))</f>
        <v/>
      </c>
      <c r="G419" s="2" t="n"/>
      <c r="H419" s="62">
        <f t="array" ref="H419">IF($D419="","",xlookup($D419,PRODUCT!$B:$B,PRODUCT!$L:$L,""))</f>
        <v/>
      </c>
      <c r="I419" s="62">
        <f t="array" ref="I419">IF($D419="","",xlookup($D419,PRODUCT!$B:$B,PRODUCT!$M:$M,""))</f>
        <v/>
      </c>
      <c r="J419" s="2" t="n"/>
      <c r="K419" s="2" t="n"/>
      <c r="L419" s="2" t="n"/>
      <c r="M419" s="2" t="n"/>
      <c r="N419" s="2" t="n"/>
    </row>
    <row r="420" ht="15.75" customHeight="1" s="125">
      <c r="A420" s="2" t="n"/>
      <c r="B420" s="2" t="n"/>
      <c r="C420" s="2" t="n"/>
      <c r="D420" s="58" t="n"/>
      <c r="E420" s="62">
        <f t="array" ref="E420">IF($D420="","",xlookup($D420,PRODUCT!$B:$B,PRODUCT!$A:$A,""))</f>
        <v/>
      </c>
      <c r="F420" s="62">
        <f t="array" ref="F420">IF($D420="","",xlookup($D420,PRODUCT!$B:$B,PRODUCT!$C:$C,""))</f>
        <v/>
      </c>
      <c r="G420" s="2" t="n"/>
      <c r="H420" s="62">
        <f t="array" ref="H420">IF($D420="","",xlookup($D420,PRODUCT!$B:$B,PRODUCT!$L:$L,""))</f>
        <v/>
      </c>
      <c r="I420" s="62">
        <f t="array" ref="I420">IF($D420="","",xlookup($D420,PRODUCT!$B:$B,PRODUCT!$M:$M,""))</f>
        <v/>
      </c>
      <c r="J420" s="2" t="n"/>
      <c r="K420" s="2" t="n"/>
      <c r="L420" s="2" t="n"/>
      <c r="M420" s="2" t="n"/>
      <c r="N420" s="2" t="n"/>
    </row>
    <row r="421" ht="15.75" customHeight="1" s="125">
      <c r="A421" s="2" t="n"/>
      <c r="B421" s="2" t="n"/>
      <c r="C421" s="2" t="n"/>
      <c r="D421" s="58" t="n"/>
      <c r="E421" s="62">
        <f t="array" ref="E421">IF($D421="","",xlookup($D421,PRODUCT!$B:$B,PRODUCT!$A:$A,""))</f>
        <v/>
      </c>
      <c r="F421" s="62">
        <f t="array" ref="F421">IF($D421="","",xlookup($D421,PRODUCT!$B:$B,PRODUCT!$C:$C,""))</f>
        <v/>
      </c>
      <c r="G421" s="2" t="n"/>
      <c r="H421" s="62">
        <f t="array" ref="H421">IF($D421="","",xlookup($D421,PRODUCT!$B:$B,PRODUCT!$L:$L,""))</f>
        <v/>
      </c>
      <c r="I421" s="62">
        <f t="array" ref="I421">IF($D421="","",xlookup($D421,PRODUCT!$B:$B,PRODUCT!$M:$M,""))</f>
        <v/>
      </c>
      <c r="J421" s="2" t="n"/>
      <c r="K421" s="2" t="n"/>
      <c r="L421" s="2" t="n"/>
      <c r="M421" s="2" t="n"/>
      <c r="N421" s="2" t="n"/>
    </row>
    <row r="422" ht="15.75" customHeight="1" s="125">
      <c r="A422" s="2" t="n"/>
      <c r="B422" s="2" t="n"/>
      <c r="C422" s="2" t="n"/>
      <c r="D422" s="58" t="n"/>
      <c r="E422" s="62">
        <f t="array" ref="E422">IF($D422="","",xlookup($D422,PRODUCT!$B:$B,PRODUCT!$A:$A,""))</f>
        <v/>
      </c>
      <c r="F422" s="62">
        <f t="array" ref="F422">IF($D422="","",xlookup($D422,PRODUCT!$B:$B,PRODUCT!$C:$C,""))</f>
        <v/>
      </c>
      <c r="G422" s="2" t="n"/>
      <c r="H422" s="62">
        <f t="array" ref="H422">IF($D422="","",xlookup($D422,PRODUCT!$B:$B,PRODUCT!$L:$L,""))</f>
        <v/>
      </c>
      <c r="I422" s="62">
        <f t="array" ref="I422">IF($D422="","",xlookup($D422,PRODUCT!$B:$B,PRODUCT!$M:$M,""))</f>
        <v/>
      </c>
      <c r="J422" s="2" t="n"/>
      <c r="K422" s="2" t="n"/>
      <c r="L422" s="2" t="n"/>
      <c r="M422" s="2" t="n"/>
      <c r="N422" s="2" t="n"/>
    </row>
    <row r="423" ht="15.75" customHeight="1" s="125">
      <c r="A423" s="2" t="n"/>
      <c r="B423" s="2" t="n"/>
      <c r="C423" s="2" t="n"/>
      <c r="D423" s="58" t="n"/>
      <c r="E423" s="62">
        <f t="array" ref="E423">IF($D423="","",xlookup($D423,PRODUCT!$B:$B,PRODUCT!$A:$A,""))</f>
        <v/>
      </c>
      <c r="F423" s="62">
        <f t="array" ref="F423">IF($D423="","",xlookup($D423,PRODUCT!$B:$B,PRODUCT!$C:$C,""))</f>
        <v/>
      </c>
      <c r="G423" s="2" t="n"/>
      <c r="H423" s="62">
        <f t="array" ref="H423">IF($D423="","",xlookup($D423,PRODUCT!$B:$B,PRODUCT!$L:$L,""))</f>
        <v/>
      </c>
      <c r="I423" s="62">
        <f t="array" ref="I423">IF($D423="","",xlookup($D423,PRODUCT!$B:$B,PRODUCT!$M:$M,""))</f>
        <v/>
      </c>
      <c r="J423" s="2" t="n"/>
      <c r="K423" s="2" t="n"/>
      <c r="L423" s="2" t="n"/>
      <c r="M423" s="2" t="n"/>
      <c r="N423" s="2" t="n"/>
    </row>
    <row r="424" ht="15.75" customHeight="1" s="125">
      <c r="A424" s="2" t="n"/>
      <c r="B424" s="2" t="n"/>
      <c r="C424" s="2" t="n"/>
      <c r="D424" s="58" t="n"/>
      <c r="E424" s="62">
        <f t="array" ref="E424">IF($D424="","",xlookup($D424,PRODUCT!$B:$B,PRODUCT!$A:$A,""))</f>
        <v/>
      </c>
      <c r="F424" s="62">
        <f t="array" ref="F424">IF($D424="","",xlookup($D424,PRODUCT!$B:$B,PRODUCT!$C:$C,""))</f>
        <v/>
      </c>
      <c r="G424" s="2" t="n"/>
      <c r="H424" s="62">
        <f t="array" ref="H424">IF($D424="","",xlookup($D424,PRODUCT!$B:$B,PRODUCT!$L:$L,""))</f>
        <v/>
      </c>
      <c r="I424" s="62">
        <f t="array" ref="I424">IF($D424="","",xlookup($D424,PRODUCT!$B:$B,PRODUCT!$M:$M,""))</f>
        <v/>
      </c>
      <c r="J424" s="2" t="n"/>
      <c r="K424" s="2" t="n"/>
      <c r="L424" s="2" t="n"/>
      <c r="M424" s="2" t="n"/>
      <c r="N424" s="2" t="n"/>
    </row>
    <row r="425" ht="15.75" customHeight="1" s="125">
      <c r="A425" s="2" t="n"/>
      <c r="B425" s="2" t="n"/>
      <c r="C425" s="2" t="n"/>
      <c r="D425" s="58" t="n"/>
      <c r="E425" s="62">
        <f t="array" ref="E425">IF($D425="","",xlookup($D425,PRODUCT!$B:$B,PRODUCT!$A:$A,""))</f>
        <v/>
      </c>
      <c r="F425" s="62">
        <f t="array" ref="F425">IF($D425="","",xlookup($D425,PRODUCT!$B:$B,PRODUCT!$C:$C,""))</f>
        <v/>
      </c>
      <c r="G425" s="2" t="n"/>
      <c r="H425" s="62">
        <f t="array" ref="H425">IF($D425="","",xlookup($D425,PRODUCT!$B:$B,PRODUCT!$L:$L,""))</f>
        <v/>
      </c>
      <c r="I425" s="62">
        <f t="array" ref="I425">IF($D425="","",xlookup($D425,PRODUCT!$B:$B,PRODUCT!$M:$M,""))</f>
        <v/>
      </c>
      <c r="J425" s="2" t="n"/>
      <c r="K425" s="2" t="n"/>
      <c r="L425" s="2" t="n"/>
      <c r="M425" s="2" t="n"/>
      <c r="N425" s="2" t="n"/>
    </row>
    <row r="426" ht="15.75" customHeight="1" s="125">
      <c r="A426" s="2" t="n"/>
      <c r="B426" s="2" t="n"/>
      <c r="C426" s="2" t="n"/>
      <c r="D426" s="58" t="n"/>
      <c r="E426" s="62">
        <f t="array" ref="E426">IF($D426="","",xlookup($D426,PRODUCT!$B:$B,PRODUCT!$A:$A,""))</f>
        <v/>
      </c>
      <c r="F426" s="62">
        <f t="array" ref="F426">IF($D426="","",xlookup($D426,PRODUCT!$B:$B,PRODUCT!$C:$C,""))</f>
        <v/>
      </c>
      <c r="G426" s="2" t="n"/>
      <c r="H426" s="62">
        <f t="array" ref="H426">IF($D426="","",xlookup($D426,PRODUCT!$B:$B,PRODUCT!$L:$L,""))</f>
        <v/>
      </c>
      <c r="I426" s="62">
        <f t="array" ref="I426">IF($D426="","",xlookup($D426,PRODUCT!$B:$B,PRODUCT!$M:$M,""))</f>
        <v/>
      </c>
      <c r="J426" s="2" t="n"/>
      <c r="K426" s="2" t="n"/>
      <c r="L426" s="2" t="n"/>
      <c r="M426" s="2" t="n"/>
      <c r="N426" s="2" t="n"/>
    </row>
    <row r="427" ht="15.75" customHeight="1" s="125">
      <c r="A427" s="2" t="n"/>
      <c r="B427" s="2" t="n"/>
      <c r="C427" s="2" t="n"/>
      <c r="D427" s="58" t="n"/>
      <c r="E427" s="62">
        <f t="array" ref="E427">IF($D427="","",xlookup($D427,PRODUCT!$B:$B,PRODUCT!$A:$A,""))</f>
        <v/>
      </c>
      <c r="F427" s="62">
        <f t="array" ref="F427">IF($D427="","",xlookup($D427,PRODUCT!$B:$B,PRODUCT!$C:$C,""))</f>
        <v/>
      </c>
      <c r="G427" s="2" t="n"/>
      <c r="H427" s="62">
        <f t="array" ref="H427">IF($D427="","",xlookup($D427,PRODUCT!$B:$B,PRODUCT!$L:$L,""))</f>
        <v/>
      </c>
      <c r="I427" s="62">
        <f t="array" ref="I427">IF($D427="","",xlookup($D427,PRODUCT!$B:$B,PRODUCT!$M:$M,""))</f>
        <v/>
      </c>
      <c r="J427" s="2" t="n"/>
      <c r="K427" s="2" t="n"/>
      <c r="L427" s="2" t="n"/>
      <c r="M427" s="2" t="n"/>
      <c r="N427" s="2" t="n"/>
    </row>
    <row r="428" ht="15.75" customHeight="1" s="125">
      <c r="A428" s="2" t="n"/>
      <c r="B428" s="2" t="n"/>
      <c r="C428" s="2" t="n"/>
      <c r="D428" s="58" t="n"/>
      <c r="E428" s="62">
        <f t="array" ref="E428">IF($D428="","",xlookup($D428,PRODUCT!$B:$B,PRODUCT!$A:$A,""))</f>
        <v/>
      </c>
      <c r="F428" s="62">
        <f t="array" ref="F428">IF($D428="","",xlookup($D428,PRODUCT!$B:$B,PRODUCT!$C:$C,""))</f>
        <v/>
      </c>
      <c r="G428" s="2" t="n"/>
      <c r="H428" s="62">
        <f t="array" ref="H428">IF($D428="","",xlookup($D428,PRODUCT!$B:$B,PRODUCT!$L:$L,""))</f>
        <v/>
      </c>
      <c r="I428" s="62">
        <f t="array" ref="I428">IF($D428="","",xlookup($D428,PRODUCT!$B:$B,PRODUCT!$M:$M,""))</f>
        <v/>
      </c>
      <c r="J428" s="2" t="n"/>
      <c r="K428" s="2" t="n"/>
      <c r="L428" s="2" t="n"/>
      <c r="M428" s="2" t="n"/>
      <c r="N428" s="2" t="n"/>
    </row>
    <row r="429" ht="15.75" customHeight="1" s="125">
      <c r="A429" s="2" t="n"/>
      <c r="B429" s="2" t="n"/>
      <c r="C429" s="2" t="n"/>
      <c r="D429" s="58" t="n"/>
      <c r="E429" s="62">
        <f t="array" ref="E429">IF($D429="","",xlookup($D429,PRODUCT!$B:$B,PRODUCT!$A:$A,""))</f>
        <v/>
      </c>
      <c r="F429" s="62">
        <f t="array" ref="F429">IF($D429="","",xlookup($D429,PRODUCT!$B:$B,PRODUCT!$C:$C,""))</f>
        <v/>
      </c>
      <c r="G429" s="2" t="n"/>
      <c r="H429" s="62">
        <f t="array" ref="H429">IF($D429="","",xlookup($D429,PRODUCT!$B:$B,PRODUCT!$L:$L,""))</f>
        <v/>
      </c>
      <c r="I429" s="62">
        <f t="array" ref="I429">IF($D429="","",xlookup($D429,PRODUCT!$B:$B,PRODUCT!$M:$M,""))</f>
        <v/>
      </c>
      <c r="J429" s="2" t="n"/>
      <c r="K429" s="2" t="n"/>
      <c r="L429" s="2" t="n"/>
      <c r="M429" s="2" t="n"/>
      <c r="N429" s="2" t="n"/>
    </row>
    <row r="430" ht="15.75" customHeight="1" s="125">
      <c r="A430" s="2" t="n"/>
      <c r="B430" s="2" t="n"/>
      <c r="C430" s="2" t="n"/>
      <c r="D430" s="58" t="n"/>
      <c r="E430" s="62">
        <f t="array" ref="E430">IF($D430="","",xlookup($D430,PRODUCT!$B:$B,PRODUCT!$A:$A,""))</f>
        <v/>
      </c>
      <c r="F430" s="62">
        <f t="array" ref="F430">IF($D430="","",xlookup($D430,PRODUCT!$B:$B,PRODUCT!$C:$C,""))</f>
        <v/>
      </c>
      <c r="G430" s="2" t="n"/>
      <c r="H430" s="62">
        <f t="array" ref="H430">IF($D430="","",xlookup($D430,PRODUCT!$B:$B,PRODUCT!$L:$L,""))</f>
        <v/>
      </c>
      <c r="I430" s="62">
        <f t="array" ref="I430">IF($D430="","",xlookup($D430,PRODUCT!$B:$B,PRODUCT!$M:$M,""))</f>
        <v/>
      </c>
      <c r="J430" s="2" t="n"/>
      <c r="K430" s="2" t="n"/>
      <c r="L430" s="2" t="n"/>
      <c r="M430" s="2" t="n"/>
      <c r="N430" s="2" t="n"/>
    </row>
    <row r="431" ht="15.75" customHeight="1" s="125">
      <c r="A431" s="2" t="n"/>
      <c r="B431" s="2" t="n"/>
      <c r="C431" s="2" t="n"/>
      <c r="D431" s="58" t="n"/>
      <c r="E431" s="62">
        <f t="array" ref="E431">IF($D431="","",xlookup($D431,PRODUCT!$B:$B,PRODUCT!$A:$A,""))</f>
        <v/>
      </c>
      <c r="F431" s="62">
        <f t="array" ref="F431">IF($D431="","",xlookup($D431,PRODUCT!$B:$B,PRODUCT!$C:$C,""))</f>
        <v/>
      </c>
      <c r="G431" s="2" t="n"/>
      <c r="H431" s="62">
        <f t="array" ref="H431">IF($D431="","",xlookup($D431,PRODUCT!$B:$B,PRODUCT!$L:$L,""))</f>
        <v/>
      </c>
      <c r="I431" s="62">
        <f t="array" ref="I431">IF($D431="","",xlookup($D431,PRODUCT!$B:$B,PRODUCT!$M:$M,""))</f>
        <v/>
      </c>
      <c r="J431" s="2" t="n"/>
      <c r="K431" s="2" t="n"/>
      <c r="L431" s="2" t="n"/>
      <c r="M431" s="2" t="n"/>
      <c r="N431" s="2" t="n"/>
    </row>
    <row r="432" ht="15.75" customHeight="1" s="125">
      <c r="A432" s="2" t="n"/>
      <c r="B432" s="2" t="n"/>
      <c r="C432" s="2" t="n"/>
      <c r="D432" s="58" t="n"/>
      <c r="E432" s="62">
        <f t="array" ref="E432">IF($D432="","",xlookup($D432,PRODUCT!$B:$B,PRODUCT!$A:$A,""))</f>
        <v/>
      </c>
      <c r="F432" s="62">
        <f t="array" ref="F432">IF($D432="","",xlookup($D432,PRODUCT!$B:$B,PRODUCT!$C:$C,""))</f>
        <v/>
      </c>
      <c r="G432" s="2" t="n"/>
      <c r="H432" s="62">
        <f t="array" ref="H432">IF($D432="","",xlookup($D432,PRODUCT!$B:$B,PRODUCT!$L:$L,""))</f>
        <v/>
      </c>
      <c r="I432" s="62">
        <f t="array" ref="I432">IF($D432="","",xlookup($D432,PRODUCT!$B:$B,PRODUCT!$M:$M,""))</f>
        <v/>
      </c>
      <c r="J432" s="2" t="n"/>
      <c r="K432" s="2" t="n"/>
      <c r="L432" s="2" t="n"/>
      <c r="M432" s="2" t="n"/>
      <c r="N432" s="2" t="n"/>
    </row>
    <row r="433" ht="15.75" customHeight="1" s="125">
      <c r="A433" s="2" t="n"/>
      <c r="B433" s="2" t="n"/>
      <c r="C433" s="2" t="n"/>
      <c r="D433" s="58" t="n"/>
      <c r="E433" s="62">
        <f t="array" ref="E433">IF($D433="","",xlookup($D433,PRODUCT!$B:$B,PRODUCT!$A:$A,""))</f>
        <v/>
      </c>
      <c r="F433" s="62">
        <f t="array" ref="F433">IF($D433="","",xlookup($D433,PRODUCT!$B:$B,PRODUCT!$C:$C,""))</f>
        <v/>
      </c>
      <c r="G433" s="2" t="n"/>
      <c r="H433" s="62">
        <f t="array" ref="H433">IF($D433="","",xlookup($D433,PRODUCT!$B:$B,PRODUCT!$L:$L,""))</f>
        <v/>
      </c>
      <c r="I433" s="62">
        <f t="array" ref="I433">IF($D433="","",xlookup($D433,PRODUCT!$B:$B,PRODUCT!$M:$M,""))</f>
        <v/>
      </c>
      <c r="J433" s="2" t="n"/>
      <c r="K433" s="2" t="n"/>
      <c r="L433" s="2" t="n"/>
      <c r="M433" s="2" t="n"/>
      <c r="N433" s="2" t="n"/>
    </row>
    <row r="434" ht="15.75" customHeight="1" s="125">
      <c r="A434" s="2" t="n"/>
      <c r="B434" s="2" t="n"/>
      <c r="C434" s="2" t="n"/>
      <c r="D434" s="58" t="n"/>
      <c r="E434" s="62">
        <f t="array" ref="E434">IF($D434="","",xlookup($D434,PRODUCT!$B:$B,PRODUCT!$A:$A,""))</f>
        <v/>
      </c>
      <c r="F434" s="62">
        <f t="array" ref="F434">IF($D434="","",xlookup($D434,PRODUCT!$B:$B,PRODUCT!$C:$C,""))</f>
        <v/>
      </c>
      <c r="G434" s="2" t="n"/>
      <c r="H434" s="62">
        <f t="array" ref="H434">IF($D434="","",xlookup($D434,PRODUCT!$B:$B,PRODUCT!$L:$L,""))</f>
        <v/>
      </c>
      <c r="I434" s="62">
        <f t="array" ref="I434">IF($D434="","",xlookup($D434,PRODUCT!$B:$B,PRODUCT!$M:$M,""))</f>
        <v/>
      </c>
      <c r="J434" s="2" t="n"/>
      <c r="K434" s="2" t="n"/>
      <c r="L434" s="2" t="n"/>
      <c r="M434" s="2" t="n"/>
      <c r="N434" s="2" t="n"/>
    </row>
    <row r="435" ht="15.75" customHeight="1" s="125">
      <c r="A435" s="2" t="n"/>
      <c r="B435" s="2" t="n"/>
      <c r="C435" s="2" t="n"/>
      <c r="D435" s="58" t="n"/>
      <c r="E435" s="62">
        <f t="array" ref="E435">IF($D435="","",xlookup($D435,PRODUCT!$B:$B,PRODUCT!$A:$A,""))</f>
        <v/>
      </c>
      <c r="F435" s="62">
        <f t="array" ref="F435">IF($D435="","",xlookup($D435,PRODUCT!$B:$B,PRODUCT!$C:$C,""))</f>
        <v/>
      </c>
      <c r="G435" s="2" t="n"/>
      <c r="H435" s="62">
        <f t="array" ref="H435">IF($D435="","",xlookup($D435,PRODUCT!$B:$B,PRODUCT!$L:$L,""))</f>
        <v/>
      </c>
      <c r="I435" s="62">
        <f t="array" ref="I435">IF($D435="","",xlookup($D435,PRODUCT!$B:$B,PRODUCT!$M:$M,""))</f>
        <v/>
      </c>
      <c r="J435" s="2" t="n"/>
      <c r="K435" s="2" t="n"/>
      <c r="L435" s="2" t="n"/>
      <c r="M435" s="2" t="n"/>
      <c r="N435" s="2" t="n"/>
    </row>
    <row r="436" ht="15.75" customHeight="1" s="125">
      <c r="A436" s="2" t="n"/>
      <c r="B436" s="2" t="n"/>
      <c r="C436" s="2" t="n"/>
      <c r="D436" s="58" t="n"/>
      <c r="E436" s="62">
        <f t="array" ref="E436">IF($D436="","",xlookup($D436,PRODUCT!$B:$B,PRODUCT!$A:$A,""))</f>
        <v/>
      </c>
      <c r="F436" s="62">
        <f t="array" ref="F436">IF($D436="","",xlookup($D436,PRODUCT!$B:$B,PRODUCT!$C:$C,""))</f>
        <v/>
      </c>
      <c r="G436" s="2" t="n"/>
      <c r="H436" s="62">
        <f t="array" ref="H436">IF($D436="","",xlookup($D436,PRODUCT!$B:$B,PRODUCT!$L:$L,""))</f>
        <v/>
      </c>
      <c r="I436" s="62">
        <f t="array" ref="I436">IF($D436="","",xlookup($D436,PRODUCT!$B:$B,PRODUCT!$M:$M,""))</f>
        <v/>
      </c>
      <c r="J436" s="2" t="n"/>
      <c r="K436" s="2" t="n"/>
      <c r="L436" s="2" t="n"/>
      <c r="M436" s="2" t="n"/>
      <c r="N436" s="2" t="n"/>
    </row>
    <row r="437" ht="15.75" customHeight="1" s="125">
      <c r="A437" s="2" t="n"/>
      <c r="B437" s="2" t="n"/>
      <c r="C437" s="2" t="n"/>
      <c r="D437" s="58" t="n"/>
      <c r="E437" s="62">
        <f t="array" ref="E437">IF($D437="","",xlookup($D437,PRODUCT!$B:$B,PRODUCT!$A:$A,""))</f>
        <v/>
      </c>
      <c r="F437" s="62">
        <f t="array" ref="F437">IF($D437="","",xlookup($D437,PRODUCT!$B:$B,PRODUCT!$C:$C,""))</f>
        <v/>
      </c>
      <c r="G437" s="2" t="n"/>
      <c r="H437" s="62">
        <f t="array" ref="H437">IF($D437="","",xlookup($D437,PRODUCT!$B:$B,PRODUCT!$L:$L,""))</f>
        <v/>
      </c>
      <c r="I437" s="62">
        <f t="array" ref="I437">IF($D437="","",xlookup($D437,PRODUCT!$B:$B,PRODUCT!$M:$M,""))</f>
        <v/>
      </c>
      <c r="J437" s="2" t="n"/>
      <c r="K437" s="2" t="n"/>
      <c r="L437" s="2" t="n"/>
      <c r="M437" s="2" t="n"/>
      <c r="N437" s="2" t="n"/>
    </row>
    <row r="438" ht="15.75" customHeight="1" s="125">
      <c r="A438" s="2" t="n"/>
      <c r="B438" s="2" t="n"/>
      <c r="C438" s="2" t="n"/>
      <c r="D438" s="58" t="n"/>
      <c r="E438" s="62">
        <f t="array" ref="E438">IF($D438="","",xlookup($D438,PRODUCT!$B:$B,PRODUCT!$A:$A,""))</f>
        <v/>
      </c>
      <c r="F438" s="62">
        <f t="array" ref="F438">IF($D438="","",xlookup($D438,PRODUCT!$B:$B,PRODUCT!$C:$C,""))</f>
        <v/>
      </c>
      <c r="G438" s="2" t="n"/>
      <c r="H438" s="62">
        <f t="array" ref="H438">IF($D438="","",xlookup($D438,PRODUCT!$B:$B,PRODUCT!$L:$L,""))</f>
        <v/>
      </c>
      <c r="I438" s="62">
        <f t="array" ref="I438">IF($D438="","",xlookup($D438,PRODUCT!$B:$B,PRODUCT!$M:$M,""))</f>
        <v/>
      </c>
      <c r="J438" s="2" t="n"/>
      <c r="K438" s="2" t="n"/>
      <c r="L438" s="2" t="n"/>
      <c r="M438" s="2" t="n"/>
      <c r="N438" s="2" t="n"/>
    </row>
    <row r="439" ht="15.75" customHeight="1" s="125">
      <c r="A439" s="2" t="n"/>
      <c r="B439" s="2" t="n"/>
      <c r="C439" s="2" t="n"/>
      <c r="D439" s="58" t="n"/>
      <c r="E439" s="62">
        <f t="array" ref="E439">IF($D439="","",xlookup($D439,PRODUCT!$B:$B,PRODUCT!$A:$A,""))</f>
        <v/>
      </c>
      <c r="F439" s="62">
        <f t="array" ref="F439">IF($D439="","",xlookup($D439,PRODUCT!$B:$B,PRODUCT!$C:$C,""))</f>
        <v/>
      </c>
      <c r="G439" s="2" t="n"/>
      <c r="H439" s="62">
        <f t="array" ref="H439">IF($D439="","",xlookup($D439,PRODUCT!$B:$B,PRODUCT!$L:$L,""))</f>
        <v/>
      </c>
      <c r="I439" s="62">
        <f t="array" ref="I439">IF($D439="","",xlookup($D439,PRODUCT!$B:$B,PRODUCT!$M:$M,""))</f>
        <v/>
      </c>
      <c r="J439" s="2" t="n"/>
      <c r="K439" s="2" t="n"/>
      <c r="L439" s="2" t="n"/>
      <c r="M439" s="2" t="n"/>
      <c r="N439" s="2" t="n"/>
    </row>
    <row r="440" ht="15.75" customHeight="1" s="125">
      <c r="A440" s="2" t="n"/>
      <c r="B440" s="2" t="n"/>
      <c r="C440" s="2" t="n"/>
      <c r="D440" s="58" t="n"/>
      <c r="E440" s="62">
        <f t="array" ref="E440">IF($D440="","",xlookup($D440,PRODUCT!$B:$B,PRODUCT!$A:$A,""))</f>
        <v/>
      </c>
      <c r="F440" s="62">
        <f t="array" ref="F440">IF($D440="","",xlookup($D440,PRODUCT!$B:$B,PRODUCT!$C:$C,""))</f>
        <v/>
      </c>
      <c r="G440" s="2" t="n"/>
      <c r="H440" s="62">
        <f t="array" ref="H440">IF($D440="","",xlookup($D440,PRODUCT!$B:$B,PRODUCT!$L:$L,""))</f>
        <v/>
      </c>
      <c r="I440" s="62">
        <f t="array" ref="I440">IF($D440="","",xlookup($D440,PRODUCT!$B:$B,PRODUCT!$M:$M,""))</f>
        <v/>
      </c>
      <c r="J440" s="2" t="n"/>
      <c r="K440" s="2" t="n"/>
      <c r="L440" s="2" t="n"/>
      <c r="M440" s="2" t="n"/>
      <c r="N440" s="2" t="n"/>
    </row>
    <row r="441" ht="15.75" customHeight="1" s="125">
      <c r="A441" s="2" t="n"/>
      <c r="B441" s="2" t="n"/>
      <c r="C441" s="2" t="n"/>
      <c r="D441" s="58" t="n"/>
      <c r="E441" s="62">
        <f t="array" ref="E441">IF($D441="","",xlookup($D441,PRODUCT!$B:$B,PRODUCT!$A:$A,""))</f>
        <v/>
      </c>
      <c r="F441" s="62">
        <f t="array" ref="F441">IF($D441="","",xlookup($D441,PRODUCT!$B:$B,PRODUCT!$C:$C,""))</f>
        <v/>
      </c>
      <c r="G441" s="2" t="n"/>
      <c r="H441" s="62">
        <f t="array" ref="H441">IF($D441="","",xlookup($D441,PRODUCT!$B:$B,PRODUCT!$L:$L,""))</f>
        <v/>
      </c>
      <c r="I441" s="62">
        <f t="array" ref="I441">IF($D441="","",xlookup($D441,PRODUCT!$B:$B,PRODUCT!$M:$M,""))</f>
        <v/>
      </c>
      <c r="J441" s="2" t="n"/>
      <c r="K441" s="2" t="n"/>
      <c r="L441" s="2" t="n"/>
      <c r="M441" s="2" t="n"/>
      <c r="N441" s="2" t="n"/>
    </row>
    <row r="442" ht="15.75" customHeight="1" s="125">
      <c r="A442" s="2" t="n"/>
      <c r="B442" s="2" t="n"/>
      <c r="C442" s="2" t="n"/>
      <c r="D442" s="58" t="n"/>
      <c r="E442" s="62">
        <f t="array" ref="E442">IF($D442="","",xlookup($D442,PRODUCT!$B:$B,PRODUCT!$A:$A,""))</f>
        <v/>
      </c>
      <c r="F442" s="62">
        <f t="array" ref="F442">IF($D442="","",xlookup($D442,PRODUCT!$B:$B,PRODUCT!$C:$C,""))</f>
        <v/>
      </c>
      <c r="G442" s="2" t="n"/>
      <c r="H442" s="62">
        <f t="array" ref="H442">IF($D442="","",xlookup($D442,PRODUCT!$B:$B,PRODUCT!$L:$L,""))</f>
        <v/>
      </c>
      <c r="I442" s="62">
        <f t="array" ref="I442">IF($D442="","",xlookup($D442,PRODUCT!$B:$B,PRODUCT!$M:$M,""))</f>
        <v/>
      </c>
      <c r="J442" s="2" t="n"/>
      <c r="K442" s="2" t="n"/>
      <c r="L442" s="2" t="n"/>
      <c r="M442" s="2" t="n"/>
      <c r="N442" s="2" t="n"/>
    </row>
    <row r="443" ht="15.75" customHeight="1" s="125">
      <c r="A443" s="2" t="n"/>
      <c r="B443" s="2" t="n"/>
      <c r="C443" s="2" t="n"/>
      <c r="D443" s="58" t="n"/>
      <c r="E443" s="62">
        <f t="array" ref="E443">IF($D443="","",xlookup($D443,PRODUCT!$B:$B,PRODUCT!$A:$A,""))</f>
        <v/>
      </c>
      <c r="F443" s="62">
        <f t="array" ref="F443">IF($D443="","",xlookup($D443,PRODUCT!$B:$B,PRODUCT!$C:$C,""))</f>
        <v/>
      </c>
      <c r="G443" s="2" t="n"/>
      <c r="H443" s="62">
        <f t="array" ref="H443">IF($D443="","",xlookup($D443,PRODUCT!$B:$B,PRODUCT!$L:$L,""))</f>
        <v/>
      </c>
      <c r="I443" s="62">
        <f t="array" ref="I443">IF($D443="","",xlookup($D443,PRODUCT!$B:$B,PRODUCT!$M:$M,""))</f>
        <v/>
      </c>
      <c r="J443" s="2" t="n"/>
      <c r="K443" s="2" t="n"/>
      <c r="L443" s="2" t="n"/>
      <c r="M443" s="2" t="n"/>
      <c r="N443" s="2" t="n"/>
    </row>
    <row r="444" ht="15.75" customHeight="1" s="125">
      <c r="A444" s="2" t="n"/>
      <c r="B444" s="2" t="n"/>
      <c r="C444" s="2" t="n"/>
      <c r="D444" s="58" t="n"/>
      <c r="E444" s="62">
        <f t="array" ref="E444">IF($D444="","",xlookup($D444,PRODUCT!$B:$B,PRODUCT!$A:$A,""))</f>
        <v/>
      </c>
      <c r="F444" s="62">
        <f t="array" ref="F444">IF($D444="","",xlookup($D444,PRODUCT!$B:$B,PRODUCT!$C:$C,""))</f>
        <v/>
      </c>
      <c r="G444" s="2" t="n"/>
      <c r="H444" s="62">
        <f t="array" ref="H444">IF($D444="","",xlookup($D444,PRODUCT!$B:$B,PRODUCT!$L:$L,""))</f>
        <v/>
      </c>
      <c r="I444" s="62">
        <f t="array" ref="I444">IF($D444="","",xlookup($D444,PRODUCT!$B:$B,PRODUCT!$M:$M,""))</f>
        <v/>
      </c>
      <c r="J444" s="2" t="n"/>
      <c r="K444" s="2" t="n"/>
      <c r="L444" s="2" t="n"/>
      <c r="M444" s="2" t="n"/>
      <c r="N444" s="2" t="n"/>
    </row>
    <row r="445" ht="15.75" customHeight="1" s="125">
      <c r="A445" s="2" t="n"/>
      <c r="B445" s="2" t="n"/>
      <c r="C445" s="2" t="n"/>
      <c r="D445" s="58" t="n"/>
      <c r="E445" s="62">
        <f t="array" ref="E445">IF($D445="","",xlookup($D445,PRODUCT!$B:$B,PRODUCT!$A:$A,""))</f>
        <v/>
      </c>
      <c r="F445" s="62">
        <f t="array" ref="F445">IF($D445="","",xlookup($D445,PRODUCT!$B:$B,PRODUCT!$C:$C,""))</f>
        <v/>
      </c>
      <c r="G445" s="2" t="n"/>
      <c r="H445" s="62">
        <f t="array" ref="H445">IF($D445="","",xlookup($D445,PRODUCT!$B:$B,PRODUCT!$L:$L,""))</f>
        <v/>
      </c>
      <c r="I445" s="62">
        <f t="array" ref="I445">IF($D445="","",xlookup($D445,PRODUCT!$B:$B,PRODUCT!$M:$M,""))</f>
        <v/>
      </c>
      <c r="J445" s="2" t="n"/>
      <c r="K445" s="2" t="n"/>
      <c r="L445" s="2" t="n"/>
      <c r="M445" s="2" t="n"/>
      <c r="N445" s="2" t="n"/>
    </row>
    <row r="446" ht="15.75" customHeight="1" s="125">
      <c r="A446" s="2" t="n"/>
      <c r="B446" s="2" t="n"/>
      <c r="C446" s="2" t="n"/>
      <c r="D446" s="58" t="n"/>
      <c r="E446" s="62">
        <f t="array" ref="E446">IF($D446="","",xlookup($D446,PRODUCT!$B:$B,PRODUCT!$A:$A,""))</f>
        <v/>
      </c>
      <c r="F446" s="62">
        <f t="array" ref="F446">IF($D446="","",xlookup($D446,PRODUCT!$B:$B,PRODUCT!$C:$C,""))</f>
        <v/>
      </c>
      <c r="G446" s="2" t="n"/>
      <c r="H446" s="62">
        <f t="array" ref="H446">IF($D446="","",xlookup($D446,PRODUCT!$B:$B,PRODUCT!$L:$L,""))</f>
        <v/>
      </c>
      <c r="I446" s="62">
        <f t="array" ref="I446">IF($D446="","",xlookup($D446,PRODUCT!$B:$B,PRODUCT!$M:$M,""))</f>
        <v/>
      </c>
      <c r="J446" s="2" t="n"/>
      <c r="K446" s="2" t="n"/>
      <c r="L446" s="2" t="n"/>
      <c r="M446" s="2" t="n"/>
      <c r="N446" s="2" t="n"/>
    </row>
    <row r="447" ht="15.75" customHeight="1" s="125">
      <c r="A447" s="2" t="n"/>
      <c r="B447" s="2" t="n"/>
      <c r="C447" s="2" t="n"/>
      <c r="D447" s="58" t="n"/>
      <c r="E447" s="62">
        <f t="array" ref="E447">IF($D447="","",xlookup($D447,PRODUCT!$B:$B,PRODUCT!$A:$A,""))</f>
        <v/>
      </c>
      <c r="F447" s="62">
        <f t="array" ref="F447">IF($D447="","",xlookup($D447,PRODUCT!$B:$B,PRODUCT!$C:$C,""))</f>
        <v/>
      </c>
      <c r="G447" s="2" t="n"/>
      <c r="H447" s="62">
        <f t="array" ref="H447">IF($D447="","",xlookup($D447,PRODUCT!$B:$B,PRODUCT!$L:$L,""))</f>
        <v/>
      </c>
      <c r="I447" s="62">
        <f t="array" ref="I447">IF($D447="","",xlookup($D447,PRODUCT!$B:$B,PRODUCT!$M:$M,""))</f>
        <v/>
      </c>
      <c r="J447" s="2" t="n"/>
      <c r="K447" s="2" t="n"/>
      <c r="L447" s="2" t="n"/>
      <c r="M447" s="2" t="n"/>
      <c r="N447" s="2" t="n"/>
    </row>
    <row r="448" ht="15.75" customHeight="1" s="125">
      <c r="A448" s="2" t="n"/>
      <c r="B448" s="2" t="n"/>
      <c r="C448" s="2" t="n"/>
      <c r="D448" s="58" t="n"/>
      <c r="E448" s="62">
        <f t="array" ref="E448">IF($D448="","",xlookup($D448,PRODUCT!$B:$B,PRODUCT!$A:$A,""))</f>
        <v/>
      </c>
      <c r="F448" s="62">
        <f t="array" ref="F448">IF($D448="","",xlookup($D448,PRODUCT!$B:$B,PRODUCT!$C:$C,""))</f>
        <v/>
      </c>
      <c r="G448" s="2" t="n"/>
      <c r="H448" s="62">
        <f t="array" ref="H448">IF($D448="","",xlookup($D448,PRODUCT!$B:$B,PRODUCT!$L:$L,""))</f>
        <v/>
      </c>
      <c r="I448" s="62">
        <f t="array" ref="I448">IF($D448="","",xlookup($D448,PRODUCT!$B:$B,PRODUCT!$M:$M,""))</f>
        <v/>
      </c>
      <c r="J448" s="2" t="n"/>
      <c r="K448" s="2" t="n"/>
      <c r="L448" s="2" t="n"/>
      <c r="M448" s="2" t="n"/>
      <c r="N448" s="2" t="n"/>
    </row>
    <row r="449" ht="15.75" customHeight="1" s="125">
      <c r="A449" s="2" t="n"/>
      <c r="B449" s="2" t="n"/>
      <c r="C449" s="2" t="n"/>
      <c r="D449" s="58" t="n"/>
      <c r="E449" s="62">
        <f t="array" ref="E449">IF($D449="","",xlookup($D449,PRODUCT!$B:$B,PRODUCT!$A:$A,""))</f>
        <v/>
      </c>
      <c r="F449" s="62">
        <f t="array" ref="F449">IF($D449="","",xlookup($D449,PRODUCT!$B:$B,PRODUCT!$C:$C,""))</f>
        <v/>
      </c>
      <c r="G449" s="2" t="n"/>
      <c r="H449" s="62">
        <f t="array" ref="H449">IF($D449="","",xlookup($D449,PRODUCT!$B:$B,PRODUCT!$L:$L,""))</f>
        <v/>
      </c>
      <c r="I449" s="62">
        <f t="array" ref="I449">IF($D449="","",xlookup($D449,PRODUCT!$B:$B,PRODUCT!$M:$M,""))</f>
        <v/>
      </c>
      <c r="J449" s="2" t="n"/>
      <c r="K449" s="2" t="n"/>
      <c r="L449" s="2" t="n"/>
      <c r="M449" s="2" t="n"/>
      <c r="N449" s="2" t="n"/>
    </row>
    <row r="450" ht="15.75" customHeight="1" s="125">
      <c r="A450" s="2" t="n"/>
      <c r="B450" s="2" t="n"/>
      <c r="C450" s="2" t="n"/>
      <c r="D450" s="58" t="n"/>
      <c r="E450" s="62">
        <f t="array" ref="E450">IF($D450="","",xlookup($D450,PRODUCT!$B:$B,PRODUCT!$A:$A,""))</f>
        <v/>
      </c>
      <c r="F450" s="62">
        <f t="array" ref="F450">IF($D450="","",xlookup($D450,PRODUCT!$B:$B,PRODUCT!$C:$C,""))</f>
        <v/>
      </c>
      <c r="G450" s="2" t="n"/>
      <c r="H450" s="62">
        <f t="array" ref="H450">IF($D450="","",xlookup($D450,PRODUCT!$B:$B,PRODUCT!$L:$L,""))</f>
        <v/>
      </c>
      <c r="I450" s="62">
        <f t="array" ref="I450">IF($D450="","",xlookup($D450,PRODUCT!$B:$B,PRODUCT!$M:$M,""))</f>
        <v/>
      </c>
      <c r="J450" s="2" t="n"/>
      <c r="K450" s="2" t="n"/>
      <c r="L450" s="2" t="n"/>
      <c r="M450" s="2" t="n"/>
      <c r="N450" s="2" t="n"/>
    </row>
    <row r="451" ht="15.75" customHeight="1" s="125">
      <c r="A451" s="2" t="n"/>
      <c r="B451" s="2" t="n"/>
      <c r="C451" s="2" t="n"/>
      <c r="D451" s="58" t="n"/>
      <c r="E451" s="62">
        <f t="array" ref="E451">IF($D451="","",xlookup($D451,PRODUCT!$B:$B,PRODUCT!$A:$A,""))</f>
        <v/>
      </c>
      <c r="F451" s="62">
        <f t="array" ref="F451">IF($D451="","",xlookup($D451,PRODUCT!$B:$B,PRODUCT!$C:$C,""))</f>
        <v/>
      </c>
      <c r="G451" s="2" t="n"/>
      <c r="H451" s="62">
        <f t="array" ref="H451">IF($D451="","",xlookup($D451,PRODUCT!$B:$B,PRODUCT!$L:$L,""))</f>
        <v/>
      </c>
      <c r="I451" s="62">
        <f t="array" ref="I451">IF($D451="","",xlookup($D451,PRODUCT!$B:$B,PRODUCT!$M:$M,""))</f>
        <v/>
      </c>
      <c r="J451" s="2" t="n"/>
      <c r="K451" s="2" t="n"/>
      <c r="L451" s="2" t="n"/>
      <c r="M451" s="2" t="n"/>
      <c r="N451" s="2" t="n"/>
    </row>
    <row r="452" ht="15.75" customHeight="1" s="125">
      <c r="A452" s="2" t="n"/>
      <c r="B452" s="2" t="n"/>
      <c r="C452" s="2" t="n"/>
      <c r="D452" s="58" t="n"/>
      <c r="E452" s="62">
        <f t="array" ref="E452">IF($D452="","",xlookup($D452,PRODUCT!$B:$B,PRODUCT!$A:$A,""))</f>
        <v/>
      </c>
      <c r="F452" s="62">
        <f t="array" ref="F452">IF($D452="","",xlookup($D452,PRODUCT!$B:$B,PRODUCT!$C:$C,""))</f>
        <v/>
      </c>
      <c r="G452" s="2" t="n"/>
      <c r="H452" s="62">
        <f t="array" ref="H452">IF($D452="","",xlookup($D452,PRODUCT!$B:$B,PRODUCT!$L:$L,""))</f>
        <v/>
      </c>
      <c r="I452" s="62">
        <f t="array" ref="I452">IF($D452="","",xlookup($D452,PRODUCT!$B:$B,PRODUCT!$M:$M,""))</f>
        <v/>
      </c>
      <c r="J452" s="2" t="n"/>
      <c r="K452" s="2" t="n"/>
      <c r="L452" s="2" t="n"/>
      <c r="M452" s="2" t="n"/>
      <c r="N452" s="2" t="n"/>
    </row>
    <row r="453" ht="15.75" customHeight="1" s="125">
      <c r="A453" s="2" t="n"/>
      <c r="B453" s="2" t="n"/>
      <c r="C453" s="2" t="n"/>
      <c r="D453" s="58" t="n"/>
      <c r="E453" s="62">
        <f t="array" ref="E453">IF($D453="","",xlookup($D453,PRODUCT!$B:$B,PRODUCT!$A:$A,""))</f>
        <v/>
      </c>
      <c r="F453" s="62">
        <f t="array" ref="F453">IF($D453="","",xlookup($D453,PRODUCT!$B:$B,PRODUCT!$C:$C,""))</f>
        <v/>
      </c>
      <c r="G453" s="2" t="n"/>
      <c r="H453" s="62">
        <f t="array" ref="H453">IF($D453="","",xlookup($D453,PRODUCT!$B:$B,PRODUCT!$L:$L,""))</f>
        <v/>
      </c>
      <c r="I453" s="62">
        <f t="array" ref="I453">IF($D453="","",xlookup($D453,PRODUCT!$B:$B,PRODUCT!$M:$M,""))</f>
        <v/>
      </c>
      <c r="J453" s="2" t="n"/>
      <c r="K453" s="2" t="n"/>
      <c r="L453" s="2" t="n"/>
      <c r="M453" s="2" t="n"/>
      <c r="N453" s="2" t="n"/>
    </row>
    <row r="454" ht="15.75" customHeight="1" s="125">
      <c r="A454" s="2" t="n"/>
      <c r="B454" s="2" t="n"/>
      <c r="C454" s="2" t="n"/>
      <c r="D454" s="58" t="n"/>
      <c r="E454" s="62">
        <f t="array" ref="E454">IF($D454="","",xlookup($D454,PRODUCT!$B:$B,PRODUCT!$A:$A,""))</f>
        <v/>
      </c>
      <c r="F454" s="62">
        <f t="array" ref="F454">IF($D454="","",xlookup($D454,PRODUCT!$B:$B,PRODUCT!$C:$C,""))</f>
        <v/>
      </c>
      <c r="G454" s="2" t="n"/>
      <c r="H454" s="62">
        <f t="array" ref="H454">IF($D454="","",xlookup($D454,PRODUCT!$B:$B,PRODUCT!$L:$L,""))</f>
        <v/>
      </c>
      <c r="I454" s="62">
        <f t="array" ref="I454">IF($D454="","",xlookup($D454,PRODUCT!$B:$B,PRODUCT!$M:$M,""))</f>
        <v/>
      </c>
      <c r="J454" s="2" t="n"/>
      <c r="K454" s="2" t="n"/>
      <c r="L454" s="2" t="n"/>
      <c r="M454" s="2" t="n"/>
      <c r="N454" s="2" t="n"/>
    </row>
    <row r="455" ht="15.75" customHeight="1" s="125">
      <c r="A455" s="2" t="n"/>
      <c r="B455" s="2" t="n"/>
      <c r="C455" s="2" t="n"/>
      <c r="D455" s="58" t="n"/>
      <c r="E455" s="62">
        <f t="array" ref="E455">IF($D455="","",xlookup($D455,PRODUCT!$B:$B,PRODUCT!$A:$A,""))</f>
        <v/>
      </c>
      <c r="F455" s="62">
        <f t="array" ref="F455">IF($D455="","",xlookup($D455,PRODUCT!$B:$B,PRODUCT!$C:$C,""))</f>
        <v/>
      </c>
      <c r="G455" s="2" t="n"/>
      <c r="H455" s="62">
        <f t="array" ref="H455">IF($D455="","",xlookup($D455,PRODUCT!$B:$B,PRODUCT!$L:$L,""))</f>
        <v/>
      </c>
      <c r="I455" s="62">
        <f t="array" ref="I455">IF($D455="","",xlookup($D455,PRODUCT!$B:$B,PRODUCT!$M:$M,""))</f>
        <v/>
      </c>
      <c r="J455" s="2" t="n"/>
      <c r="K455" s="2" t="n"/>
      <c r="L455" s="2" t="n"/>
      <c r="M455" s="2" t="n"/>
      <c r="N455" s="2" t="n"/>
    </row>
    <row r="456" ht="15.75" customHeight="1" s="125">
      <c r="A456" s="2" t="n"/>
      <c r="B456" s="2" t="n"/>
      <c r="C456" s="2" t="n"/>
      <c r="D456" s="58" t="n"/>
      <c r="E456" s="62">
        <f t="array" ref="E456">IF($D456="","",xlookup($D456,PRODUCT!$B:$B,PRODUCT!$A:$A,""))</f>
        <v/>
      </c>
      <c r="F456" s="62">
        <f t="array" ref="F456">IF($D456="","",xlookup($D456,PRODUCT!$B:$B,PRODUCT!$C:$C,""))</f>
        <v/>
      </c>
      <c r="G456" s="2" t="n"/>
      <c r="H456" s="62">
        <f t="array" ref="H456">IF($D456="","",xlookup($D456,PRODUCT!$B:$B,PRODUCT!$L:$L,""))</f>
        <v/>
      </c>
      <c r="I456" s="62">
        <f t="array" ref="I456">IF($D456="","",xlookup($D456,PRODUCT!$B:$B,PRODUCT!$M:$M,""))</f>
        <v/>
      </c>
      <c r="J456" s="2" t="n"/>
      <c r="K456" s="2" t="n"/>
      <c r="L456" s="2" t="n"/>
      <c r="M456" s="2" t="n"/>
      <c r="N456" s="2" t="n"/>
    </row>
    <row r="457" ht="15.75" customHeight="1" s="125">
      <c r="A457" s="2" t="n"/>
      <c r="B457" s="2" t="n"/>
      <c r="C457" s="2" t="n"/>
      <c r="D457" s="58" t="n"/>
      <c r="E457" s="62">
        <f t="array" ref="E457">IF($D457="","",xlookup($D457,PRODUCT!$B:$B,PRODUCT!$A:$A,""))</f>
        <v/>
      </c>
      <c r="F457" s="62">
        <f t="array" ref="F457">IF($D457="","",xlookup($D457,PRODUCT!$B:$B,PRODUCT!$C:$C,""))</f>
        <v/>
      </c>
      <c r="G457" s="2" t="n"/>
      <c r="H457" s="62">
        <f t="array" ref="H457">IF($D457="","",xlookup($D457,PRODUCT!$B:$B,PRODUCT!$L:$L,""))</f>
        <v/>
      </c>
      <c r="I457" s="62">
        <f t="array" ref="I457">IF($D457="","",xlookup($D457,PRODUCT!$B:$B,PRODUCT!$M:$M,""))</f>
        <v/>
      </c>
      <c r="J457" s="2" t="n"/>
      <c r="K457" s="2" t="n"/>
      <c r="L457" s="2" t="n"/>
      <c r="M457" s="2" t="n"/>
      <c r="N457" s="2" t="n"/>
    </row>
    <row r="458" ht="15.75" customHeight="1" s="125">
      <c r="A458" s="2" t="n"/>
      <c r="B458" s="2" t="n"/>
      <c r="C458" s="2" t="n"/>
      <c r="D458" s="58" t="n"/>
      <c r="E458" s="62">
        <f t="array" ref="E458">IF($D458="","",xlookup($D458,PRODUCT!$B:$B,PRODUCT!$A:$A,""))</f>
        <v/>
      </c>
      <c r="F458" s="62">
        <f t="array" ref="F458">IF($D458="","",xlookup($D458,PRODUCT!$B:$B,PRODUCT!$C:$C,""))</f>
        <v/>
      </c>
      <c r="G458" s="2" t="n"/>
      <c r="H458" s="62">
        <f t="array" ref="H458">IF($D458="","",xlookup($D458,PRODUCT!$B:$B,PRODUCT!$L:$L,""))</f>
        <v/>
      </c>
      <c r="I458" s="62">
        <f t="array" ref="I458">IF($D458="","",xlookup($D458,PRODUCT!$B:$B,PRODUCT!$M:$M,""))</f>
        <v/>
      </c>
      <c r="J458" s="2" t="n"/>
      <c r="K458" s="2" t="n"/>
      <c r="L458" s="2" t="n"/>
      <c r="M458" s="2" t="n"/>
      <c r="N458" s="2" t="n"/>
    </row>
    <row r="459" ht="15.75" customHeight="1" s="125">
      <c r="A459" s="2" t="n"/>
      <c r="B459" s="2" t="n"/>
      <c r="C459" s="2" t="n"/>
      <c r="D459" s="58" t="n"/>
      <c r="E459" s="62">
        <f t="array" ref="E459">IF($D459="","",xlookup($D459,PRODUCT!$B:$B,PRODUCT!$A:$A,""))</f>
        <v/>
      </c>
      <c r="F459" s="62">
        <f t="array" ref="F459">IF($D459="","",xlookup($D459,PRODUCT!$B:$B,PRODUCT!$C:$C,""))</f>
        <v/>
      </c>
      <c r="G459" s="2" t="n"/>
      <c r="H459" s="62">
        <f t="array" ref="H459">IF($D459="","",xlookup($D459,PRODUCT!$B:$B,PRODUCT!$L:$L,""))</f>
        <v/>
      </c>
      <c r="I459" s="62">
        <f t="array" ref="I459">IF($D459="","",xlookup($D459,PRODUCT!$B:$B,PRODUCT!$M:$M,""))</f>
        <v/>
      </c>
      <c r="J459" s="2" t="n"/>
      <c r="K459" s="2" t="n"/>
      <c r="L459" s="2" t="n"/>
      <c r="M459" s="2" t="n"/>
      <c r="N459" s="2" t="n"/>
    </row>
    <row r="460" ht="15.75" customHeight="1" s="125">
      <c r="A460" s="2" t="n"/>
      <c r="B460" s="2" t="n"/>
      <c r="C460" s="2" t="n"/>
      <c r="D460" s="58" t="n"/>
      <c r="E460" s="62">
        <f t="array" ref="E460">IF($D460="","",xlookup($D460,PRODUCT!$B:$B,PRODUCT!$A:$A,""))</f>
        <v/>
      </c>
      <c r="F460" s="62">
        <f t="array" ref="F460">IF($D460="","",xlookup($D460,PRODUCT!$B:$B,PRODUCT!$C:$C,""))</f>
        <v/>
      </c>
      <c r="G460" s="2" t="n"/>
      <c r="H460" s="62">
        <f t="array" ref="H460">IF($D460="","",xlookup($D460,PRODUCT!$B:$B,PRODUCT!$L:$L,""))</f>
        <v/>
      </c>
      <c r="I460" s="62">
        <f t="array" ref="I460">IF($D460="","",xlookup($D460,PRODUCT!$B:$B,PRODUCT!$M:$M,""))</f>
        <v/>
      </c>
      <c r="J460" s="2" t="n"/>
      <c r="K460" s="2" t="n"/>
      <c r="L460" s="2" t="n"/>
      <c r="M460" s="2" t="n"/>
      <c r="N460" s="2" t="n"/>
    </row>
    <row r="461" ht="15.75" customHeight="1" s="125">
      <c r="A461" s="2" t="n"/>
      <c r="B461" s="2" t="n"/>
      <c r="C461" s="2" t="n"/>
      <c r="D461" s="58" t="n"/>
      <c r="E461" s="62">
        <f t="array" ref="E461">IF($D461="","",xlookup($D461,PRODUCT!$B:$B,PRODUCT!$A:$A,""))</f>
        <v/>
      </c>
      <c r="F461" s="62">
        <f t="array" ref="F461">IF($D461="","",xlookup($D461,PRODUCT!$B:$B,PRODUCT!$C:$C,""))</f>
        <v/>
      </c>
      <c r="G461" s="2" t="n"/>
      <c r="H461" s="62">
        <f t="array" ref="H461">IF($D461="","",xlookup($D461,PRODUCT!$B:$B,PRODUCT!$L:$L,""))</f>
        <v/>
      </c>
      <c r="I461" s="62">
        <f t="array" ref="I461">IF($D461="","",xlookup($D461,PRODUCT!$B:$B,PRODUCT!$M:$M,""))</f>
        <v/>
      </c>
      <c r="J461" s="2" t="n"/>
      <c r="K461" s="2" t="n"/>
      <c r="L461" s="2" t="n"/>
      <c r="M461" s="2" t="n"/>
      <c r="N461" s="2" t="n"/>
    </row>
    <row r="462" ht="15.75" customHeight="1" s="125">
      <c r="A462" s="2" t="n"/>
      <c r="B462" s="2" t="n"/>
      <c r="C462" s="2" t="n"/>
      <c r="D462" s="58" t="n"/>
      <c r="E462" s="62">
        <f t="array" ref="E462">IF($D462="","",xlookup($D462,PRODUCT!$B:$B,PRODUCT!$A:$A,""))</f>
        <v/>
      </c>
      <c r="F462" s="62">
        <f t="array" ref="F462">IF($D462="","",xlookup($D462,PRODUCT!$B:$B,PRODUCT!$C:$C,""))</f>
        <v/>
      </c>
      <c r="G462" s="2" t="n"/>
      <c r="H462" s="62">
        <f t="array" ref="H462">IF($D462="","",xlookup($D462,PRODUCT!$B:$B,PRODUCT!$L:$L,""))</f>
        <v/>
      </c>
      <c r="I462" s="62">
        <f t="array" ref="I462">IF($D462="","",xlookup($D462,PRODUCT!$B:$B,PRODUCT!$M:$M,""))</f>
        <v/>
      </c>
      <c r="J462" s="2" t="n"/>
      <c r="K462" s="2" t="n"/>
      <c r="L462" s="2" t="n"/>
      <c r="M462" s="2" t="n"/>
      <c r="N462" s="2" t="n"/>
    </row>
    <row r="463" ht="15.75" customHeight="1" s="125">
      <c r="A463" s="2" t="n"/>
      <c r="B463" s="2" t="n"/>
      <c r="C463" s="2" t="n"/>
      <c r="D463" s="58" t="n"/>
      <c r="E463" s="62">
        <f t="array" ref="E463">IF($D463="","",xlookup($D463,PRODUCT!$B:$B,PRODUCT!$A:$A,""))</f>
        <v/>
      </c>
      <c r="F463" s="62">
        <f t="array" ref="F463">IF($D463="","",xlookup($D463,PRODUCT!$B:$B,PRODUCT!$C:$C,""))</f>
        <v/>
      </c>
      <c r="G463" s="2" t="n"/>
      <c r="H463" s="62">
        <f t="array" ref="H463">IF($D463="","",xlookup($D463,PRODUCT!$B:$B,PRODUCT!$L:$L,""))</f>
        <v/>
      </c>
      <c r="I463" s="62">
        <f t="array" ref="I463">IF($D463="","",xlookup($D463,PRODUCT!$B:$B,PRODUCT!$M:$M,""))</f>
        <v/>
      </c>
      <c r="J463" s="2" t="n"/>
      <c r="K463" s="2" t="n"/>
      <c r="L463" s="2" t="n"/>
      <c r="M463" s="2" t="n"/>
      <c r="N463" s="2" t="n"/>
    </row>
    <row r="464" ht="15.75" customHeight="1" s="125">
      <c r="A464" s="2" t="n"/>
      <c r="B464" s="2" t="n"/>
      <c r="C464" s="2" t="n"/>
      <c r="D464" s="58" t="n"/>
      <c r="E464" s="62">
        <f t="array" ref="E464">IF($D464="","",xlookup($D464,PRODUCT!$B:$B,PRODUCT!$A:$A,""))</f>
        <v/>
      </c>
      <c r="F464" s="62">
        <f t="array" ref="F464">IF($D464="","",xlookup($D464,PRODUCT!$B:$B,PRODUCT!$C:$C,""))</f>
        <v/>
      </c>
      <c r="G464" s="2" t="n"/>
      <c r="H464" s="62">
        <f t="array" ref="H464">IF($D464="","",xlookup($D464,PRODUCT!$B:$B,PRODUCT!$L:$L,""))</f>
        <v/>
      </c>
      <c r="I464" s="62">
        <f t="array" ref="I464">IF($D464="","",xlookup($D464,PRODUCT!$B:$B,PRODUCT!$M:$M,""))</f>
        <v/>
      </c>
      <c r="J464" s="2" t="n"/>
      <c r="K464" s="2" t="n"/>
      <c r="L464" s="2" t="n"/>
      <c r="M464" s="2" t="n"/>
      <c r="N464" s="2" t="n"/>
    </row>
    <row r="465" ht="15.75" customHeight="1" s="125">
      <c r="A465" s="2" t="n"/>
      <c r="B465" s="2" t="n"/>
      <c r="C465" s="2" t="n"/>
      <c r="D465" s="58" t="n"/>
      <c r="E465" s="62">
        <f t="array" ref="E465">IF($D465="","",xlookup($D465,PRODUCT!$B:$B,PRODUCT!$A:$A,""))</f>
        <v/>
      </c>
      <c r="F465" s="62">
        <f t="array" ref="F465">IF($D465="","",xlookup($D465,PRODUCT!$B:$B,PRODUCT!$C:$C,""))</f>
        <v/>
      </c>
      <c r="G465" s="2" t="n"/>
      <c r="H465" s="62">
        <f t="array" ref="H465">IF($D465="","",xlookup($D465,PRODUCT!$B:$B,PRODUCT!$L:$L,""))</f>
        <v/>
      </c>
      <c r="I465" s="62">
        <f t="array" ref="I465">IF($D465="","",xlookup($D465,PRODUCT!$B:$B,PRODUCT!$M:$M,""))</f>
        <v/>
      </c>
      <c r="J465" s="2" t="n"/>
      <c r="K465" s="2" t="n"/>
      <c r="L465" s="2" t="n"/>
      <c r="M465" s="2" t="n"/>
      <c r="N465" s="2" t="n"/>
    </row>
    <row r="466" ht="15.75" customHeight="1" s="125">
      <c r="A466" s="2" t="n"/>
      <c r="B466" s="2" t="n"/>
      <c r="C466" s="2" t="n"/>
      <c r="D466" s="58" t="n"/>
      <c r="E466" s="62">
        <f t="array" ref="E466">IF($D466="","",xlookup($D466,PRODUCT!$B:$B,PRODUCT!$A:$A,""))</f>
        <v/>
      </c>
      <c r="F466" s="62">
        <f t="array" ref="F466">IF($D466="","",xlookup($D466,PRODUCT!$B:$B,PRODUCT!$C:$C,""))</f>
        <v/>
      </c>
      <c r="G466" s="2" t="n"/>
      <c r="H466" s="62">
        <f t="array" ref="H466">IF($D466="","",xlookup($D466,PRODUCT!$B:$B,PRODUCT!$L:$L,""))</f>
        <v/>
      </c>
      <c r="I466" s="62">
        <f t="array" ref="I466">IF($D466="","",xlookup($D466,PRODUCT!$B:$B,PRODUCT!$M:$M,""))</f>
        <v/>
      </c>
      <c r="J466" s="2" t="n"/>
      <c r="K466" s="2" t="n"/>
      <c r="L466" s="2" t="n"/>
      <c r="M466" s="2" t="n"/>
      <c r="N466" s="2" t="n"/>
    </row>
    <row r="467" ht="15.75" customHeight="1" s="125">
      <c r="A467" s="2" t="n"/>
      <c r="B467" s="2" t="n"/>
      <c r="C467" s="2" t="n"/>
      <c r="D467" s="58" t="n"/>
      <c r="E467" s="62">
        <f t="array" ref="E467">IF($D467="","",xlookup($D467,PRODUCT!$B:$B,PRODUCT!$A:$A,""))</f>
        <v/>
      </c>
      <c r="F467" s="62">
        <f t="array" ref="F467">IF($D467="","",xlookup($D467,PRODUCT!$B:$B,PRODUCT!$C:$C,""))</f>
        <v/>
      </c>
      <c r="G467" s="2" t="n"/>
      <c r="H467" s="62">
        <f t="array" ref="H467">IF($D467="","",xlookup($D467,PRODUCT!$B:$B,PRODUCT!$L:$L,""))</f>
        <v/>
      </c>
      <c r="I467" s="62">
        <f t="array" ref="I467">IF($D467="","",xlookup($D467,PRODUCT!$B:$B,PRODUCT!$M:$M,""))</f>
        <v/>
      </c>
      <c r="J467" s="2" t="n"/>
      <c r="K467" s="2" t="n"/>
      <c r="L467" s="2" t="n"/>
      <c r="M467" s="2" t="n"/>
      <c r="N467" s="2" t="n"/>
    </row>
    <row r="468" ht="15.75" customHeight="1" s="125">
      <c r="A468" s="2" t="n"/>
      <c r="B468" s="2" t="n"/>
      <c r="C468" s="2" t="n"/>
      <c r="D468" s="58" t="n"/>
      <c r="E468" s="62">
        <f t="array" ref="E468">IF($D468="","",xlookup($D468,PRODUCT!$B:$B,PRODUCT!$A:$A,""))</f>
        <v/>
      </c>
      <c r="F468" s="62">
        <f t="array" ref="F468">IF($D468="","",xlookup($D468,PRODUCT!$B:$B,PRODUCT!$C:$C,""))</f>
        <v/>
      </c>
      <c r="G468" s="2" t="n"/>
      <c r="H468" s="62">
        <f t="array" ref="H468">IF($D468="","",xlookup($D468,PRODUCT!$B:$B,PRODUCT!$L:$L,""))</f>
        <v/>
      </c>
      <c r="I468" s="62">
        <f t="array" ref="I468">IF($D468="","",xlookup($D468,PRODUCT!$B:$B,PRODUCT!$M:$M,""))</f>
        <v/>
      </c>
      <c r="J468" s="2" t="n"/>
      <c r="K468" s="2" t="n"/>
      <c r="L468" s="2" t="n"/>
      <c r="M468" s="2" t="n"/>
      <c r="N468" s="2" t="n"/>
    </row>
    <row r="469" ht="15.75" customHeight="1" s="125">
      <c r="A469" s="2" t="n"/>
      <c r="B469" s="2" t="n"/>
      <c r="C469" s="2" t="n"/>
      <c r="D469" s="58" t="n"/>
      <c r="E469" s="62">
        <f t="array" ref="E469">IF($D469="","",xlookup($D469,PRODUCT!$B:$B,PRODUCT!$A:$A,""))</f>
        <v/>
      </c>
      <c r="F469" s="62">
        <f t="array" ref="F469">IF($D469="","",xlookup($D469,PRODUCT!$B:$B,PRODUCT!$C:$C,""))</f>
        <v/>
      </c>
      <c r="G469" s="2" t="n"/>
      <c r="H469" s="62">
        <f t="array" ref="H469">IF($D469="","",xlookup($D469,PRODUCT!$B:$B,PRODUCT!$L:$L,""))</f>
        <v/>
      </c>
      <c r="I469" s="62">
        <f t="array" ref="I469">IF($D469="","",xlookup($D469,PRODUCT!$B:$B,PRODUCT!$M:$M,""))</f>
        <v/>
      </c>
      <c r="J469" s="2" t="n"/>
      <c r="K469" s="2" t="n"/>
      <c r="L469" s="2" t="n"/>
      <c r="M469" s="2" t="n"/>
      <c r="N469" s="2" t="n"/>
    </row>
    <row r="470" ht="15.75" customHeight="1" s="125">
      <c r="A470" s="2" t="n"/>
      <c r="B470" s="2" t="n"/>
      <c r="C470" s="2" t="n"/>
      <c r="D470" s="58" t="n"/>
      <c r="E470" s="62">
        <f t="array" ref="E470">IF($D470="","",xlookup($D470,PRODUCT!$B:$B,PRODUCT!$A:$A,""))</f>
        <v/>
      </c>
      <c r="F470" s="62">
        <f t="array" ref="F470">IF($D470="","",xlookup($D470,PRODUCT!$B:$B,PRODUCT!$C:$C,""))</f>
        <v/>
      </c>
      <c r="G470" s="2" t="n"/>
      <c r="H470" s="62">
        <f t="array" ref="H470">IF($D470="","",xlookup($D470,PRODUCT!$B:$B,PRODUCT!$L:$L,""))</f>
        <v/>
      </c>
      <c r="I470" s="62">
        <f t="array" ref="I470">IF($D470="","",xlookup($D470,PRODUCT!$B:$B,PRODUCT!$M:$M,""))</f>
        <v/>
      </c>
      <c r="J470" s="2" t="n"/>
      <c r="K470" s="2" t="n"/>
      <c r="L470" s="2" t="n"/>
      <c r="M470" s="2" t="n"/>
      <c r="N470" s="2" t="n"/>
    </row>
    <row r="471" ht="15.75" customHeight="1" s="125">
      <c r="A471" s="2" t="n"/>
      <c r="B471" s="2" t="n"/>
      <c r="C471" s="2" t="n"/>
      <c r="D471" s="58" t="n"/>
      <c r="E471" s="62">
        <f t="array" ref="E471">IF($D471="","",xlookup($D471,PRODUCT!$B:$B,PRODUCT!$A:$A,""))</f>
        <v/>
      </c>
      <c r="F471" s="62">
        <f t="array" ref="F471">IF($D471="","",xlookup($D471,PRODUCT!$B:$B,PRODUCT!$C:$C,""))</f>
        <v/>
      </c>
      <c r="G471" s="2" t="n"/>
      <c r="H471" s="62">
        <f t="array" ref="H471">IF($D471="","",xlookup($D471,PRODUCT!$B:$B,PRODUCT!$L:$L,""))</f>
        <v/>
      </c>
      <c r="I471" s="62">
        <f t="array" ref="I471">IF($D471="","",xlookup($D471,PRODUCT!$B:$B,PRODUCT!$M:$M,""))</f>
        <v/>
      </c>
      <c r="J471" s="2" t="n"/>
      <c r="K471" s="2" t="n"/>
      <c r="L471" s="2" t="n"/>
      <c r="M471" s="2" t="n"/>
      <c r="N471" s="2" t="n"/>
    </row>
    <row r="472" ht="15.75" customHeight="1" s="125">
      <c r="A472" s="2" t="n"/>
      <c r="B472" s="2" t="n"/>
      <c r="C472" s="2" t="n"/>
      <c r="D472" s="58" t="n"/>
      <c r="E472" s="62">
        <f t="array" ref="E472">IF($D472="","",xlookup($D472,PRODUCT!$B:$B,PRODUCT!$A:$A,""))</f>
        <v/>
      </c>
      <c r="F472" s="62">
        <f t="array" ref="F472">IF($D472="","",xlookup($D472,PRODUCT!$B:$B,PRODUCT!$C:$C,""))</f>
        <v/>
      </c>
      <c r="G472" s="2" t="n"/>
      <c r="H472" s="62">
        <f t="array" ref="H472">IF($D472="","",xlookup($D472,PRODUCT!$B:$B,PRODUCT!$L:$L,""))</f>
        <v/>
      </c>
      <c r="I472" s="62">
        <f t="array" ref="I472">IF($D472="","",xlookup($D472,PRODUCT!$B:$B,PRODUCT!$M:$M,""))</f>
        <v/>
      </c>
      <c r="J472" s="2" t="n"/>
      <c r="K472" s="2" t="n"/>
      <c r="L472" s="2" t="n"/>
      <c r="M472" s="2" t="n"/>
      <c r="N472" s="2" t="n"/>
    </row>
    <row r="473" ht="15.75" customHeight="1" s="125">
      <c r="A473" s="2" t="n"/>
      <c r="B473" s="2" t="n"/>
      <c r="C473" s="2" t="n"/>
      <c r="D473" s="58" t="n"/>
      <c r="E473" s="62">
        <f t="array" ref="E473">IF($D473="","",xlookup($D473,PRODUCT!$B:$B,PRODUCT!$A:$A,""))</f>
        <v/>
      </c>
      <c r="F473" s="62">
        <f t="array" ref="F473">IF($D473="","",xlookup($D473,PRODUCT!$B:$B,PRODUCT!$C:$C,""))</f>
        <v/>
      </c>
      <c r="G473" s="2" t="n"/>
      <c r="H473" s="62">
        <f t="array" ref="H473">IF($D473="","",xlookup($D473,PRODUCT!$B:$B,PRODUCT!$L:$L,""))</f>
        <v/>
      </c>
      <c r="I473" s="62">
        <f t="array" ref="I473">IF($D473="","",xlookup($D473,PRODUCT!$B:$B,PRODUCT!$M:$M,""))</f>
        <v/>
      </c>
      <c r="J473" s="2" t="n"/>
      <c r="K473" s="2" t="n"/>
      <c r="L473" s="2" t="n"/>
      <c r="M473" s="2" t="n"/>
      <c r="N473" s="2" t="n"/>
    </row>
    <row r="474" ht="15.75" customHeight="1" s="125">
      <c r="A474" s="2" t="n"/>
      <c r="B474" s="2" t="n"/>
      <c r="C474" s="2" t="n"/>
      <c r="D474" s="58" t="n"/>
      <c r="E474" s="62">
        <f t="array" ref="E474">IF($D474="","",xlookup($D474,PRODUCT!$B:$B,PRODUCT!$A:$A,""))</f>
        <v/>
      </c>
      <c r="F474" s="62">
        <f t="array" ref="F474">IF($D474="","",xlookup($D474,PRODUCT!$B:$B,PRODUCT!$C:$C,""))</f>
        <v/>
      </c>
      <c r="G474" s="2" t="n"/>
      <c r="H474" s="62">
        <f t="array" ref="H474">IF($D474="","",xlookup($D474,PRODUCT!$B:$B,PRODUCT!$L:$L,""))</f>
        <v/>
      </c>
      <c r="I474" s="62">
        <f t="array" ref="I474">IF($D474="","",xlookup($D474,PRODUCT!$B:$B,PRODUCT!$M:$M,""))</f>
        <v/>
      </c>
      <c r="J474" s="2" t="n"/>
      <c r="K474" s="2" t="n"/>
      <c r="L474" s="2" t="n"/>
      <c r="M474" s="2" t="n"/>
      <c r="N474" s="2" t="n"/>
    </row>
    <row r="475" ht="15.75" customHeight="1" s="125">
      <c r="A475" s="2" t="n"/>
      <c r="B475" s="2" t="n"/>
      <c r="C475" s="2" t="n"/>
      <c r="D475" s="58" t="n"/>
      <c r="E475" s="62">
        <f t="array" ref="E475">IF($D475="","",xlookup($D475,PRODUCT!$B:$B,PRODUCT!$A:$A,""))</f>
        <v/>
      </c>
      <c r="F475" s="62">
        <f t="array" ref="F475">IF($D475="","",xlookup($D475,PRODUCT!$B:$B,PRODUCT!$C:$C,""))</f>
        <v/>
      </c>
      <c r="G475" s="2" t="n"/>
      <c r="H475" s="62">
        <f t="array" ref="H475">IF($D475="","",xlookup($D475,PRODUCT!$B:$B,PRODUCT!$L:$L,""))</f>
        <v/>
      </c>
      <c r="I475" s="62">
        <f t="array" ref="I475">IF($D475="","",xlookup($D475,PRODUCT!$B:$B,PRODUCT!$M:$M,""))</f>
        <v/>
      </c>
      <c r="J475" s="2" t="n"/>
      <c r="K475" s="2" t="n"/>
      <c r="L475" s="2" t="n"/>
      <c r="M475" s="2" t="n"/>
      <c r="N475" s="2" t="n"/>
    </row>
    <row r="476" ht="15.75" customHeight="1" s="125">
      <c r="A476" s="2" t="n"/>
      <c r="B476" s="2" t="n"/>
      <c r="C476" s="2" t="n"/>
      <c r="D476" s="58" t="n"/>
      <c r="E476" s="62">
        <f t="array" ref="E476">IF($D476="","",xlookup($D476,PRODUCT!$B:$B,PRODUCT!$A:$A,""))</f>
        <v/>
      </c>
      <c r="F476" s="62">
        <f t="array" ref="F476">IF($D476="","",xlookup($D476,PRODUCT!$B:$B,PRODUCT!$C:$C,""))</f>
        <v/>
      </c>
      <c r="G476" s="2" t="n"/>
      <c r="H476" s="62">
        <f t="array" ref="H476">IF($D476="","",xlookup($D476,PRODUCT!$B:$B,PRODUCT!$L:$L,""))</f>
        <v/>
      </c>
      <c r="I476" s="62">
        <f t="array" ref="I476">IF($D476="","",xlookup($D476,PRODUCT!$B:$B,PRODUCT!$M:$M,""))</f>
        <v/>
      </c>
      <c r="J476" s="2" t="n"/>
      <c r="K476" s="2" t="n"/>
      <c r="L476" s="2" t="n"/>
      <c r="M476" s="2" t="n"/>
      <c r="N476" s="2" t="n"/>
    </row>
    <row r="477" ht="15.75" customHeight="1" s="125">
      <c r="A477" s="2" t="n"/>
      <c r="B477" s="2" t="n"/>
      <c r="C477" s="2" t="n"/>
      <c r="D477" s="58" t="n"/>
      <c r="E477" s="62">
        <f t="array" ref="E477">IF($D477="","",xlookup($D477,PRODUCT!$B:$B,PRODUCT!$A:$A,""))</f>
        <v/>
      </c>
      <c r="F477" s="62">
        <f t="array" ref="F477">IF($D477="","",xlookup($D477,PRODUCT!$B:$B,PRODUCT!$C:$C,""))</f>
        <v/>
      </c>
      <c r="G477" s="2" t="n"/>
      <c r="H477" s="62">
        <f t="array" ref="H477">IF($D477="","",xlookup($D477,PRODUCT!$B:$B,PRODUCT!$L:$L,""))</f>
        <v/>
      </c>
      <c r="I477" s="62">
        <f t="array" ref="I477">IF($D477="","",xlookup($D477,PRODUCT!$B:$B,PRODUCT!$M:$M,""))</f>
        <v/>
      </c>
      <c r="J477" s="2" t="n"/>
      <c r="K477" s="2" t="n"/>
      <c r="L477" s="2" t="n"/>
      <c r="M477" s="2" t="n"/>
      <c r="N477" s="2" t="n"/>
    </row>
    <row r="478" ht="15.75" customHeight="1" s="125">
      <c r="A478" s="2" t="n"/>
      <c r="B478" s="2" t="n"/>
      <c r="C478" s="2" t="n"/>
      <c r="D478" s="58" t="n"/>
      <c r="E478" s="62">
        <f t="array" ref="E478">IF($D478="","",xlookup($D478,PRODUCT!$B:$B,PRODUCT!$A:$A,""))</f>
        <v/>
      </c>
      <c r="F478" s="62">
        <f t="array" ref="F478">IF($D478="","",xlookup($D478,PRODUCT!$B:$B,PRODUCT!$C:$C,""))</f>
        <v/>
      </c>
      <c r="G478" s="2" t="n"/>
      <c r="H478" s="62">
        <f t="array" ref="H478">IF($D478="","",xlookup($D478,PRODUCT!$B:$B,PRODUCT!$L:$L,""))</f>
        <v/>
      </c>
      <c r="I478" s="62">
        <f t="array" ref="I478">IF($D478="","",xlookup($D478,PRODUCT!$B:$B,PRODUCT!$M:$M,""))</f>
        <v/>
      </c>
      <c r="J478" s="2" t="n"/>
      <c r="K478" s="2" t="n"/>
      <c r="L478" s="2" t="n"/>
      <c r="M478" s="2" t="n"/>
      <c r="N478" s="2" t="n"/>
    </row>
    <row r="479" ht="15.75" customHeight="1" s="125">
      <c r="A479" s="2" t="n"/>
      <c r="B479" s="2" t="n"/>
      <c r="C479" s="2" t="n"/>
      <c r="D479" s="58" t="n"/>
      <c r="E479" s="62">
        <f t="array" ref="E479">IF($D479="","",xlookup($D479,PRODUCT!$B:$B,PRODUCT!$A:$A,""))</f>
        <v/>
      </c>
      <c r="F479" s="62">
        <f t="array" ref="F479">IF($D479="","",xlookup($D479,PRODUCT!$B:$B,PRODUCT!$C:$C,""))</f>
        <v/>
      </c>
      <c r="G479" s="2" t="n"/>
      <c r="H479" s="62">
        <f t="array" ref="H479">IF($D479="","",xlookup($D479,PRODUCT!$B:$B,PRODUCT!$L:$L,""))</f>
        <v/>
      </c>
      <c r="I479" s="62">
        <f t="array" ref="I479">IF($D479="","",xlookup($D479,PRODUCT!$B:$B,PRODUCT!$M:$M,""))</f>
        <v/>
      </c>
      <c r="J479" s="2" t="n"/>
      <c r="K479" s="2" t="n"/>
      <c r="L479" s="2" t="n"/>
      <c r="M479" s="2" t="n"/>
      <c r="N479" s="2" t="n"/>
    </row>
    <row r="480" ht="15.75" customHeight="1" s="125">
      <c r="A480" s="2" t="n"/>
      <c r="B480" s="2" t="n"/>
      <c r="C480" s="2" t="n"/>
      <c r="D480" s="58" t="n"/>
      <c r="E480" s="62">
        <f t="array" ref="E480">IF($D480="","",xlookup($D480,PRODUCT!$B:$B,PRODUCT!$A:$A,""))</f>
        <v/>
      </c>
      <c r="F480" s="62">
        <f t="array" ref="F480">IF($D480="","",xlookup($D480,PRODUCT!$B:$B,PRODUCT!$C:$C,""))</f>
        <v/>
      </c>
      <c r="G480" s="2" t="n"/>
      <c r="H480" s="62">
        <f t="array" ref="H480">IF($D480="","",xlookup($D480,PRODUCT!$B:$B,PRODUCT!$L:$L,""))</f>
        <v/>
      </c>
      <c r="I480" s="62">
        <f t="array" ref="I480">IF($D480="","",xlookup($D480,PRODUCT!$B:$B,PRODUCT!$M:$M,""))</f>
        <v/>
      </c>
      <c r="J480" s="2" t="n"/>
      <c r="K480" s="2" t="n"/>
      <c r="L480" s="2" t="n"/>
      <c r="M480" s="2" t="n"/>
      <c r="N480" s="2" t="n"/>
    </row>
    <row r="481" ht="15.75" customHeight="1" s="125">
      <c r="A481" s="2" t="n"/>
      <c r="B481" s="2" t="n"/>
      <c r="C481" s="2" t="n"/>
      <c r="D481" s="58" t="n"/>
      <c r="E481" s="62">
        <f t="array" ref="E481">IF($D481="","",xlookup($D481,PRODUCT!$B:$B,PRODUCT!$A:$A,""))</f>
        <v/>
      </c>
      <c r="F481" s="62">
        <f t="array" ref="F481">IF($D481="","",xlookup($D481,PRODUCT!$B:$B,PRODUCT!$C:$C,""))</f>
        <v/>
      </c>
      <c r="G481" s="2" t="n"/>
      <c r="H481" s="62">
        <f t="array" ref="H481">IF($D481="","",xlookup($D481,PRODUCT!$B:$B,PRODUCT!$L:$L,""))</f>
        <v/>
      </c>
      <c r="I481" s="62">
        <f t="array" ref="I481">IF($D481="","",xlookup($D481,PRODUCT!$B:$B,PRODUCT!$M:$M,""))</f>
        <v/>
      </c>
      <c r="J481" s="2" t="n"/>
      <c r="K481" s="2" t="n"/>
      <c r="L481" s="2" t="n"/>
      <c r="M481" s="2" t="n"/>
      <c r="N481" s="2" t="n"/>
    </row>
    <row r="482" ht="15.75" customHeight="1" s="125">
      <c r="A482" s="2" t="n"/>
      <c r="B482" s="2" t="n"/>
      <c r="C482" s="2" t="n"/>
      <c r="D482" s="58" t="n"/>
      <c r="E482" s="62">
        <f t="array" ref="E482">IF($D482="","",xlookup($D482,PRODUCT!$B:$B,PRODUCT!$A:$A,""))</f>
        <v/>
      </c>
      <c r="F482" s="62">
        <f t="array" ref="F482">IF($D482="","",xlookup($D482,PRODUCT!$B:$B,PRODUCT!$C:$C,""))</f>
        <v/>
      </c>
      <c r="G482" s="2" t="n"/>
      <c r="H482" s="62">
        <f t="array" ref="H482">IF($D482="","",xlookup($D482,PRODUCT!$B:$B,PRODUCT!$L:$L,""))</f>
        <v/>
      </c>
      <c r="I482" s="62">
        <f t="array" ref="I482">IF($D482="","",xlookup($D482,PRODUCT!$B:$B,PRODUCT!$M:$M,""))</f>
        <v/>
      </c>
      <c r="J482" s="2" t="n"/>
      <c r="K482" s="2" t="n"/>
      <c r="L482" s="2" t="n"/>
      <c r="M482" s="2" t="n"/>
      <c r="N482" s="2" t="n"/>
    </row>
    <row r="483" ht="15.75" customHeight="1" s="125">
      <c r="A483" s="2" t="n"/>
      <c r="B483" s="2" t="n"/>
      <c r="C483" s="2" t="n"/>
      <c r="D483" s="58" t="n"/>
      <c r="E483" s="62">
        <f t="array" ref="E483">IF($D483="","",xlookup($D483,PRODUCT!$B:$B,PRODUCT!$A:$A,""))</f>
        <v/>
      </c>
      <c r="F483" s="62">
        <f t="array" ref="F483">IF($D483="","",xlookup($D483,PRODUCT!$B:$B,PRODUCT!$C:$C,""))</f>
        <v/>
      </c>
      <c r="G483" s="2" t="n"/>
      <c r="H483" s="62">
        <f t="array" ref="H483">IF($D483="","",xlookup($D483,PRODUCT!$B:$B,PRODUCT!$L:$L,""))</f>
        <v/>
      </c>
      <c r="I483" s="62">
        <f t="array" ref="I483">IF($D483="","",xlookup($D483,PRODUCT!$B:$B,PRODUCT!$M:$M,""))</f>
        <v/>
      </c>
      <c r="J483" s="2" t="n"/>
      <c r="K483" s="2" t="n"/>
      <c r="L483" s="2" t="n"/>
      <c r="M483" s="2" t="n"/>
      <c r="N483" s="2" t="n"/>
    </row>
    <row r="484" ht="15.75" customHeight="1" s="125">
      <c r="A484" s="2" t="n"/>
      <c r="B484" s="2" t="n"/>
      <c r="C484" s="2" t="n"/>
      <c r="D484" s="58" t="n"/>
      <c r="E484" s="62">
        <f t="array" ref="E484">IF($D484="","",xlookup($D484,PRODUCT!$B:$B,PRODUCT!$A:$A,""))</f>
        <v/>
      </c>
      <c r="F484" s="62">
        <f t="array" ref="F484">IF($D484="","",xlookup($D484,PRODUCT!$B:$B,PRODUCT!$C:$C,""))</f>
        <v/>
      </c>
      <c r="G484" s="2" t="n"/>
      <c r="H484" s="62">
        <f t="array" ref="H484">IF($D484="","",xlookup($D484,PRODUCT!$B:$B,PRODUCT!$L:$L,""))</f>
        <v/>
      </c>
      <c r="I484" s="62">
        <f t="array" ref="I484">IF($D484="","",xlookup($D484,PRODUCT!$B:$B,PRODUCT!$M:$M,""))</f>
        <v/>
      </c>
      <c r="J484" s="2" t="n"/>
      <c r="K484" s="2" t="n"/>
      <c r="L484" s="2" t="n"/>
      <c r="M484" s="2" t="n"/>
      <c r="N484" s="2" t="n"/>
    </row>
    <row r="485" ht="15.75" customHeight="1" s="125">
      <c r="A485" s="2" t="n"/>
      <c r="B485" s="2" t="n"/>
      <c r="C485" s="2" t="n"/>
      <c r="D485" s="58" t="n"/>
      <c r="E485" s="62">
        <f t="array" ref="E485">IF($D485="","",xlookup($D485,PRODUCT!$B:$B,PRODUCT!$A:$A,""))</f>
        <v/>
      </c>
      <c r="F485" s="62">
        <f t="array" ref="F485">IF($D485="","",xlookup($D485,PRODUCT!$B:$B,PRODUCT!$C:$C,""))</f>
        <v/>
      </c>
      <c r="G485" s="2" t="n"/>
      <c r="H485" s="62">
        <f t="array" ref="H485">IF($D485="","",xlookup($D485,PRODUCT!$B:$B,PRODUCT!$L:$L,""))</f>
        <v/>
      </c>
      <c r="I485" s="62">
        <f t="array" ref="I485">IF($D485="","",xlookup($D485,PRODUCT!$B:$B,PRODUCT!$M:$M,""))</f>
        <v/>
      </c>
      <c r="J485" s="2" t="n"/>
      <c r="K485" s="2" t="n"/>
      <c r="L485" s="2" t="n"/>
      <c r="M485" s="2" t="n"/>
      <c r="N485" s="2" t="n"/>
    </row>
    <row r="486" ht="15.75" customHeight="1" s="125">
      <c r="A486" s="2" t="n"/>
      <c r="B486" s="2" t="n"/>
      <c r="C486" s="2" t="n"/>
      <c r="D486" s="58" t="n"/>
      <c r="E486" s="62">
        <f t="array" ref="E486">IF($D486="","",xlookup($D486,PRODUCT!$B:$B,PRODUCT!$A:$A,""))</f>
        <v/>
      </c>
      <c r="F486" s="62">
        <f t="array" ref="F486">IF($D486="","",xlookup($D486,PRODUCT!$B:$B,PRODUCT!$C:$C,""))</f>
        <v/>
      </c>
      <c r="G486" s="2" t="n"/>
      <c r="H486" s="62">
        <f t="array" ref="H486">IF($D486="","",xlookup($D486,PRODUCT!$B:$B,PRODUCT!$L:$L,""))</f>
        <v/>
      </c>
      <c r="I486" s="62">
        <f t="array" ref="I486">IF($D486="","",xlookup($D486,PRODUCT!$B:$B,PRODUCT!$M:$M,""))</f>
        <v/>
      </c>
      <c r="J486" s="2" t="n"/>
      <c r="K486" s="2" t="n"/>
      <c r="L486" s="2" t="n"/>
      <c r="M486" s="2" t="n"/>
      <c r="N486" s="2" t="n"/>
    </row>
    <row r="487" ht="15.75" customHeight="1" s="125">
      <c r="A487" s="2" t="n"/>
      <c r="B487" s="2" t="n"/>
      <c r="C487" s="2" t="n"/>
      <c r="D487" s="58" t="n"/>
      <c r="E487" s="62">
        <f t="array" ref="E487">IF($D487="","",xlookup($D487,PRODUCT!$B:$B,PRODUCT!$A:$A,""))</f>
        <v/>
      </c>
      <c r="F487" s="62">
        <f t="array" ref="F487">IF($D487="","",xlookup($D487,PRODUCT!$B:$B,PRODUCT!$C:$C,""))</f>
        <v/>
      </c>
      <c r="G487" s="2" t="n"/>
      <c r="H487" s="62">
        <f t="array" ref="H487">IF($D487="","",xlookup($D487,PRODUCT!$B:$B,PRODUCT!$L:$L,""))</f>
        <v/>
      </c>
      <c r="I487" s="62">
        <f t="array" ref="I487">IF($D487="","",xlookup($D487,PRODUCT!$B:$B,PRODUCT!$M:$M,""))</f>
        <v/>
      </c>
      <c r="J487" s="2" t="n"/>
      <c r="K487" s="2" t="n"/>
      <c r="L487" s="2" t="n"/>
      <c r="M487" s="2" t="n"/>
      <c r="N487" s="2" t="n"/>
    </row>
    <row r="488" ht="15.75" customHeight="1" s="125">
      <c r="A488" s="2" t="n"/>
      <c r="B488" s="2" t="n"/>
      <c r="C488" s="2" t="n"/>
      <c r="D488" s="58" t="n"/>
      <c r="E488" s="62">
        <f t="array" ref="E488">IF($D488="","",xlookup($D488,PRODUCT!$B:$B,PRODUCT!$A:$A,""))</f>
        <v/>
      </c>
      <c r="F488" s="62">
        <f t="array" ref="F488">IF($D488="","",xlookup($D488,PRODUCT!$B:$B,PRODUCT!$C:$C,""))</f>
        <v/>
      </c>
      <c r="G488" s="2" t="n"/>
      <c r="H488" s="62">
        <f t="array" ref="H488">IF($D488="","",xlookup($D488,PRODUCT!$B:$B,PRODUCT!$L:$L,""))</f>
        <v/>
      </c>
      <c r="I488" s="62">
        <f t="array" ref="I488">IF($D488="","",xlookup($D488,PRODUCT!$B:$B,PRODUCT!$M:$M,""))</f>
        <v/>
      </c>
      <c r="J488" s="2" t="n"/>
      <c r="K488" s="2" t="n"/>
      <c r="L488" s="2" t="n"/>
      <c r="M488" s="2" t="n"/>
      <c r="N488" s="2" t="n"/>
    </row>
    <row r="489" ht="15.75" customHeight="1" s="125">
      <c r="A489" s="2" t="n"/>
      <c r="B489" s="2" t="n"/>
      <c r="C489" s="2" t="n"/>
      <c r="D489" s="58" t="n"/>
      <c r="E489" s="62">
        <f t="array" ref="E489">IF($D489="","",xlookup($D489,PRODUCT!$B:$B,PRODUCT!$A:$A,""))</f>
        <v/>
      </c>
      <c r="F489" s="62">
        <f t="array" ref="F489">IF($D489="","",xlookup($D489,PRODUCT!$B:$B,PRODUCT!$C:$C,""))</f>
        <v/>
      </c>
      <c r="G489" s="2" t="n"/>
      <c r="H489" s="62">
        <f t="array" ref="H489">IF($D489="","",xlookup($D489,PRODUCT!$B:$B,PRODUCT!$L:$L,""))</f>
        <v/>
      </c>
      <c r="I489" s="62">
        <f t="array" ref="I489">IF($D489="","",xlookup($D489,PRODUCT!$B:$B,PRODUCT!$M:$M,""))</f>
        <v/>
      </c>
      <c r="J489" s="2" t="n"/>
      <c r="K489" s="2" t="n"/>
      <c r="L489" s="2" t="n"/>
      <c r="M489" s="2" t="n"/>
      <c r="N489" s="2" t="n"/>
    </row>
    <row r="490" ht="15.75" customHeight="1" s="125">
      <c r="A490" s="2" t="n"/>
      <c r="B490" s="2" t="n"/>
      <c r="C490" s="2" t="n"/>
      <c r="D490" s="58" t="n"/>
      <c r="E490" s="62">
        <f t="array" ref="E490">IF($D490="","",xlookup($D490,PRODUCT!$B:$B,PRODUCT!$A:$A,""))</f>
        <v/>
      </c>
      <c r="F490" s="62">
        <f t="array" ref="F490">IF($D490="","",xlookup($D490,PRODUCT!$B:$B,PRODUCT!$C:$C,""))</f>
        <v/>
      </c>
      <c r="G490" s="2" t="n"/>
      <c r="H490" s="62">
        <f t="array" ref="H490">IF($D490="","",xlookup($D490,PRODUCT!$B:$B,PRODUCT!$L:$L,""))</f>
        <v/>
      </c>
      <c r="I490" s="62">
        <f t="array" ref="I490">IF($D490="","",xlookup($D490,PRODUCT!$B:$B,PRODUCT!$M:$M,""))</f>
        <v/>
      </c>
      <c r="J490" s="2" t="n"/>
      <c r="K490" s="2" t="n"/>
      <c r="L490" s="2" t="n"/>
      <c r="M490" s="2" t="n"/>
      <c r="N490" s="2" t="n"/>
    </row>
    <row r="491" ht="15.75" customHeight="1" s="125">
      <c r="A491" s="2" t="n"/>
      <c r="B491" s="2" t="n"/>
      <c r="C491" s="2" t="n"/>
      <c r="D491" s="58" t="n"/>
      <c r="E491" s="62">
        <f t="array" ref="E491">IF($D491="","",xlookup($D491,PRODUCT!$B:$B,PRODUCT!$A:$A,""))</f>
        <v/>
      </c>
      <c r="F491" s="62">
        <f t="array" ref="F491">IF($D491="","",xlookup($D491,PRODUCT!$B:$B,PRODUCT!$C:$C,""))</f>
        <v/>
      </c>
      <c r="G491" s="2" t="n"/>
      <c r="H491" s="62">
        <f t="array" ref="H491">IF($D491="","",xlookup($D491,PRODUCT!$B:$B,PRODUCT!$L:$L,""))</f>
        <v/>
      </c>
      <c r="I491" s="62">
        <f t="array" ref="I491">IF($D491="","",xlookup($D491,PRODUCT!$B:$B,PRODUCT!$M:$M,""))</f>
        <v/>
      </c>
      <c r="J491" s="2" t="n"/>
      <c r="K491" s="2" t="n"/>
      <c r="L491" s="2" t="n"/>
      <c r="M491" s="2" t="n"/>
      <c r="N491" s="2" t="n"/>
    </row>
    <row r="492" ht="15.75" customHeight="1" s="125">
      <c r="A492" s="2" t="n"/>
      <c r="B492" s="2" t="n"/>
      <c r="C492" s="2" t="n"/>
      <c r="D492" s="58" t="n"/>
      <c r="E492" s="62">
        <f t="array" ref="E492">IF($D492="","",xlookup($D492,PRODUCT!$B:$B,PRODUCT!$A:$A,""))</f>
        <v/>
      </c>
      <c r="F492" s="62">
        <f t="array" ref="F492">IF($D492="","",xlookup($D492,PRODUCT!$B:$B,PRODUCT!$C:$C,""))</f>
        <v/>
      </c>
      <c r="G492" s="2" t="n"/>
      <c r="H492" s="62">
        <f t="array" ref="H492">IF($D492="","",xlookup($D492,PRODUCT!$B:$B,PRODUCT!$L:$L,""))</f>
        <v/>
      </c>
      <c r="I492" s="62">
        <f t="array" ref="I492">IF($D492="","",xlookup($D492,PRODUCT!$B:$B,PRODUCT!$M:$M,""))</f>
        <v/>
      </c>
      <c r="J492" s="2" t="n"/>
      <c r="K492" s="2" t="n"/>
      <c r="L492" s="2" t="n"/>
      <c r="M492" s="2" t="n"/>
      <c r="N492" s="2" t="n"/>
    </row>
    <row r="493" ht="15.75" customHeight="1" s="125">
      <c r="A493" s="2" t="n"/>
      <c r="B493" s="2" t="n"/>
      <c r="C493" s="2" t="n"/>
      <c r="D493" s="58" t="n"/>
      <c r="E493" s="62">
        <f t="array" ref="E493">IF($D493="","",xlookup($D493,PRODUCT!$B:$B,PRODUCT!$A:$A,""))</f>
        <v/>
      </c>
      <c r="F493" s="62">
        <f t="array" ref="F493">IF($D493="","",xlookup($D493,PRODUCT!$B:$B,PRODUCT!$C:$C,""))</f>
        <v/>
      </c>
      <c r="G493" s="2" t="n"/>
      <c r="H493" s="62">
        <f t="array" ref="H493">IF($D493="","",xlookup($D493,PRODUCT!$B:$B,PRODUCT!$L:$L,""))</f>
        <v/>
      </c>
      <c r="I493" s="62">
        <f t="array" ref="I493">IF($D493="","",xlookup($D493,PRODUCT!$B:$B,PRODUCT!$M:$M,""))</f>
        <v/>
      </c>
      <c r="J493" s="2" t="n"/>
      <c r="K493" s="2" t="n"/>
      <c r="L493" s="2" t="n"/>
      <c r="M493" s="2" t="n"/>
      <c r="N493" s="2" t="n"/>
    </row>
    <row r="494" ht="15.75" customHeight="1" s="125">
      <c r="A494" s="2" t="n"/>
      <c r="B494" s="2" t="n"/>
      <c r="C494" s="2" t="n"/>
      <c r="D494" s="58" t="n"/>
      <c r="E494" s="62">
        <f t="array" ref="E494">IF($D494="","",xlookup($D494,PRODUCT!$B:$B,PRODUCT!$A:$A,""))</f>
        <v/>
      </c>
      <c r="F494" s="62">
        <f t="array" ref="F494">IF($D494="","",xlookup($D494,PRODUCT!$B:$B,PRODUCT!$C:$C,""))</f>
        <v/>
      </c>
      <c r="G494" s="2" t="n"/>
      <c r="H494" s="62">
        <f t="array" ref="H494">IF($D494="","",xlookup($D494,PRODUCT!$B:$B,PRODUCT!$L:$L,""))</f>
        <v/>
      </c>
      <c r="I494" s="62">
        <f t="array" ref="I494">IF($D494="","",xlookup($D494,PRODUCT!$B:$B,PRODUCT!$M:$M,""))</f>
        <v/>
      </c>
      <c r="J494" s="2" t="n"/>
      <c r="K494" s="2" t="n"/>
      <c r="L494" s="2" t="n"/>
      <c r="M494" s="2" t="n"/>
      <c r="N494" s="2" t="n"/>
    </row>
    <row r="495" ht="15.75" customHeight="1" s="125">
      <c r="A495" s="2" t="n"/>
      <c r="B495" s="2" t="n"/>
      <c r="C495" s="2" t="n"/>
      <c r="D495" s="58" t="n"/>
      <c r="E495" s="62">
        <f t="array" ref="E495">IF($D495="","",xlookup($D495,PRODUCT!$B:$B,PRODUCT!$A:$A,""))</f>
        <v/>
      </c>
      <c r="F495" s="62">
        <f t="array" ref="F495">IF($D495="","",xlookup($D495,PRODUCT!$B:$B,PRODUCT!$C:$C,""))</f>
        <v/>
      </c>
      <c r="G495" s="2" t="n"/>
      <c r="H495" s="62">
        <f t="array" ref="H495">IF($D495="","",xlookup($D495,PRODUCT!$B:$B,PRODUCT!$L:$L,""))</f>
        <v/>
      </c>
      <c r="I495" s="62">
        <f t="array" ref="I495">IF($D495="","",xlookup($D495,PRODUCT!$B:$B,PRODUCT!$M:$M,""))</f>
        <v/>
      </c>
      <c r="J495" s="2" t="n"/>
      <c r="K495" s="2" t="n"/>
      <c r="L495" s="2" t="n"/>
      <c r="M495" s="2" t="n"/>
      <c r="N495" s="2" t="n"/>
    </row>
    <row r="496" ht="15.75" customHeight="1" s="125">
      <c r="A496" s="2" t="n"/>
      <c r="B496" s="2" t="n"/>
      <c r="C496" s="2" t="n"/>
      <c r="D496" s="58" t="n"/>
      <c r="E496" s="62">
        <f t="array" ref="E496">IF($D496="","",xlookup($D496,PRODUCT!$B:$B,PRODUCT!$A:$A,""))</f>
        <v/>
      </c>
      <c r="F496" s="62">
        <f t="array" ref="F496">IF($D496="","",xlookup($D496,PRODUCT!$B:$B,PRODUCT!$C:$C,""))</f>
        <v/>
      </c>
      <c r="G496" s="2" t="n"/>
      <c r="H496" s="62">
        <f t="array" ref="H496">IF($D496="","",xlookup($D496,PRODUCT!$B:$B,PRODUCT!$L:$L,""))</f>
        <v/>
      </c>
      <c r="I496" s="62">
        <f t="array" ref="I496">IF($D496="","",xlookup($D496,PRODUCT!$B:$B,PRODUCT!$M:$M,""))</f>
        <v/>
      </c>
      <c r="J496" s="2" t="n"/>
      <c r="K496" s="2" t="n"/>
      <c r="L496" s="2" t="n"/>
      <c r="M496" s="2" t="n"/>
      <c r="N496" s="2" t="n"/>
    </row>
    <row r="497" ht="15.75" customHeight="1" s="125">
      <c r="A497" s="2" t="n"/>
      <c r="B497" s="2" t="n"/>
      <c r="C497" s="2" t="n"/>
      <c r="D497" s="58" t="n"/>
      <c r="E497" s="62">
        <f t="array" ref="E497">IF($D497="","",xlookup($D497,PRODUCT!$B:$B,PRODUCT!$A:$A,""))</f>
        <v/>
      </c>
      <c r="F497" s="62">
        <f t="array" ref="F497">IF($D497="","",xlookup($D497,PRODUCT!$B:$B,PRODUCT!$C:$C,""))</f>
        <v/>
      </c>
      <c r="G497" s="2" t="n"/>
      <c r="H497" s="62">
        <f t="array" ref="H497">IF($D497="","",xlookup($D497,PRODUCT!$B:$B,PRODUCT!$L:$L,""))</f>
        <v/>
      </c>
      <c r="I497" s="62">
        <f t="array" ref="I497">IF($D497="","",xlookup($D497,PRODUCT!$B:$B,PRODUCT!$M:$M,""))</f>
        <v/>
      </c>
      <c r="J497" s="2" t="n"/>
      <c r="K497" s="2" t="n"/>
      <c r="L497" s="2" t="n"/>
      <c r="M497" s="2" t="n"/>
      <c r="N497" s="2" t="n"/>
    </row>
    <row r="498" ht="15.75" customHeight="1" s="125">
      <c r="A498" s="2" t="n"/>
      <c r="B498" s="2" t="n"/>
      <c r="C498" s="2" t="n"/>
      <c r="D498" s="58" t="n"/>
      <c r="E498" s="62">
        <f t="array" ref="E498">IF($D498="","",xlookup($D498,PRODUCT!$B:$B,PRODUCT!$A:$A,""))</f>
        <v/>
      </c>
      <c r="F498" s="62">
        <f t="array" ref="F498">IF($D498="","",xlookup($D498,PRODUCT!$B:$B,PRODUCT!$C:$C,""))</f>
        <v/>
      </c>
      <c r="G498" s="2" t="n"/>
      <c r="H498" s="62">
        <f t="array" ref="H498">IF($D498="","",xlookup($D498,PRODUCT!$B:$B,PRODUCT!$L:$L,""))</f>
        <v/>
      </c>
      <c r="I498" s="62">
        <f t="array" ref="I498">IF($D498="","",xlookup($D498,PRODUCT!$B:$B,PRODUCT!$M:$M,""))</f>
        <v/>
      </c>
      <c r="J498" s="2" t="n"/>
      <c r="K498" s="2" t="n"/>
      <c r="L498" s="2" t="n"/>
      <c r="M498" s="2" t="n"/>
      <c r="N498" s="2" t="n"/>
    </row>
    <row r="499" ht="15.75" customHeight="1" s="125">
      <c r="A499" s="2" t="n"/>
      <c r="B499" s="2" t="n"/>
      <c r="C499" s="2" t="n"/>
      <c r="D499" s="58" t="n"/>
      <c r="E499" s="62">
        <f t="array" ref="E499">IF($D499="","",xlookup($D499,PRODUCT!$B:$B,PRODUCT!$A:$A,""))</f>
        <v/>
      </c>
      <c r="F499" s="62">
        <f t="array" ref="F499">IF($D499="","",xlookup($D499,PRODUCT!$B:$B,PRODUCT!$C:$C,""))</f>
        <v/>
      </c>
      <c r="G499" s="2" t="n"/>
      <c r="H499" s="62">
        <f t="array" ref="H499">IF($D499="","",xlookup($D499,PRODUCT!$B:$B,PRODUCT!$L:$L,""))</f>
        <v/>
      </c>
      <c r="I499" s="62">
        <f t="array" ref="I499">IF($D499="","",xlookup($D499,PRODUCT!$B:$B,PRODUCT!$M:$M,""))</f>
        <v/>
      </c>
      <c r="J499" s="2" t="n"/>
      <c r="K499" s="2" t="n"/>
      <c r="L499" s="2" t="n"/>
      <c r="M499" s="2" t="n"/>
      <c r="N499" s="2" t="n"/>
    </row>
    <row r="500" ht="15.75" customHeight="1" s="125">
      <c r="A500" s="2" t="n"/>
      <c r="B500" s="2" t="n"/>
      <c r="C500" s="2" t="n"/>
      <c r="D500" s="58" t="n"/>
      <c r="E500" s="62">
        <f t="array" ref="E500">IF($D500="","",xlookup($D500,PRODUCT!$B:$B,PRODUCT!$A:$A,""))</f>
        <v/>
      </c>
      <c r="F500" s="62">
        <f t="array" ref="F500">IF($D500="","",xlookup($D500,PRODUCT!$B:$B,PRODUCT!$C:$C,""))</f>
        <v/>
      </c>
      <c r="G500" s="2" t="n"/>
      <c r="H500" s="62">
        <f t="array" ref="H500">IF($D500="","",xlookup($D500,PRODUCT!$B:$B,PRODUCT!$L:$L,""))</f>
        <v/>
      </c>
      <c r="I500" s="62">
        <f t="array" ref="I500">IF($D500="","",xlookup($D500,PRODUCT!$B:$B,PRODUCT!$M:$M,""))</f>
        <v/>
      </c>
      <c r="J500" s="2" t="n"/>
      <c r="K500" s="2" t="n"/>
      <c r="L500" s="2" t="n"/>
      <c r="M500" s="2" t="n"/>
      <c r="N500" s="2" t="n"/>
    </row>
    <row r="501" ht="15.75" customHeight="1" s="125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 ht="15.75" customHeight="1" s="125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 ht="15.75" customHeight="1" s="125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 ht="15.75" customHeight="1" s="125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 ht="15.75" customHeight="1" s="12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 ht="15.75" customHeight="1" s="125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 ht="15.75" customHeight="1" s="125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 ht="15.75" customHeight="1" s="125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 ht="15.75" customHeight="1" s="125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 ht="15.75" customHeight="1" s="125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 ht="15.75" customHeight="1" s="125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 ht="15.75" customHeight="1" s="125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 ht="15.75" customHeight="1" s="125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 ht="15.75" customHeight="1" s="125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 ht="15.75" customHeight="1" s="12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 ht="15.75" customHeight="1" s="125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 ht="15.75" customHeight="1" s="125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 ht="15.75" customHeight="1" s="125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 ht="15.75" customHeight="1" s="125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 ht="15.75" customHeight="1" s="125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 ht="15.75" customHeight="1" s="125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 ht="15.75" customHeight="1" s="125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 ht="15.75" customHeight="1" s="125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 ht="15.75" customHeight="1" s="125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 ht="15.75" customHeight="1" s="1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 ht="15.75" customHeight="1" s="125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 ht="15.75" customHeight="1" s="125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 ht="15.75" customHeight="1" s="125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 ht="15.75" customHeight="1" s="125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 ht="15.75" customHeight="1" s="125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 ht="15.75" customHeight="1" s="125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 ht="15.75" customHeight="1" s="125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 ht="15.75" customHeight="1" s="125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 ht="15.75" customHeight="1" s="125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 ht="15.75" customHeight="1" s="12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 ht="15.75" customHeight="1" s="125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 ht="15.75" customHeight="1" s="125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 ht="15.75" customHeight="1" s="125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 ht="15.75" customHeight="1" s="125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 ht="15.75" customHeight="1" s="125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 ht="15.75" customHeight="1" s="125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 ht="15.75" customHeight="1" s="125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 ht="15.75" customHeight="1" s="125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 ht="15.75" customHeight="1" s="125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 ht="15.75" customHeight="1" s="12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 ht="15.75" customHeight="1" s="125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 ht="15.75" customHeight="1" s="125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 ht="15.75" customHeight="1" s="125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 ht="15.75" customHeight="1" s="125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 ht="15.75" customHeight="1" s="125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 ht="15.75" customHeight="1" s="125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 ht="15.75" customHeight="1" s="125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 ht="15.75" customHeight="1" s="125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 ht="15.75" customHeight="1" s="125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 ht="15.75" customHeight="1" s="12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 ht="15.75" customHeight="1" s="125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 ht="15.75" customHeight="1" s="125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 ht="15.75" customHeight="1" s="125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 ht="15.75" customHeight="1" s="125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 ht="15.75" customHeight="1" s="125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 ht="15.75" customHeight="1" s="125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 ht="15.75" customHeight="1" s="125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 ht="15.75" customHeight="1" s="125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 ht="15.75" customHeight="1" s="125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 ht="15.75" customHeight="1" s="12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 ht="15.75" customHeight="1" s="125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 ht="15.75" customHeight="1" s="125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 ht="15.75" customHeight="1" s="125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 ht="15.75" customHeight="1" s="125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 ht="15.75" customHeight="1" s="125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 ht="15.75" customHeight="1" s="125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 ht="15.75" customHeight="1" s="125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 ht="15.75" customHeight="1" s="125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 ht="15.75" customHeight="1" s="125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 ht="15.75" customHeight="1" s="12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 ht="15.75" customHeight="1" s="125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 ht="15.75" customHeight="1" s="125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 ht="15.75" customHeight="1" s="125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 ht="15.75" customHeight="1" s="125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 ht="15.75" customHeight="1" s="125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 ht="15.75" customHeight="1" s="125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 ht="15.75" customHeight="1" s="125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 ht="15.75" customHeight="1" s="125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 ht="15.75" customHeight="1" s="125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 ht="15.75" customHeight="1" s="12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 ht="15.75" customHeight="1" s="125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 ht="15.75" customHeight="1" s="125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 ht="15.75" customHeight="1" s="125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 ht="15.75" customHeight="1" s="125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 ht="15.75" customHeight="1" s="125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 ht="15.75" customHeight="1" s="125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 ht="15.75" customHeight="1" s="125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 ht="15.75" customHeight="1" s="125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 ht="15.75" customHeight="1" s="125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 ht="15.75" customHeight="1" s="12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 ht="15.75" customHeight="1" s="125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 ht="15.75" customHeight="1" s="125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 ht="15.75" customHeight="1" s="125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 ht="15.75" customHeight="1" s="125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 ht="15.75" customHeight="1" s="125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 ht="15.75" customHeight="1" s="125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 ht="15.75" customHeight="1" s="125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 ht="15.75" customHeight="1" s="125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 ht="15.75" customHeight="1" s="125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 ht="15.75" customHeight="1" s="12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 ht="15.75" customHeight="1" s="125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 ht="15.75" customHeight="1" s="125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 ht="15.75" customHeight="1" s="125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 ht="15.75" customHeight="1" s="125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 ht="15.75" customHeight="1" s="125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 ht="15.75" customHeight="1" s="125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 ht="15.75" customHeight="1" s="125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 ht="15.75" customHeight="1" s="125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 ht="15.75" customHeight="1" s="125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 ht="15.75" customHeight="1" s="12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 ht="15.75" customHeight="1" s="125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 ht="15.75" customHeight="1" s="125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 ht="15.75" customHeight="1" s="125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 ht="15.75" customHeight="1" s="125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 ht="15.75" customHeight="1" s="125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 ht="15.75" customHeight="1" s="125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 ht="15.75" customHeight="1" s="125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 ht="15.75" customHeight="1" s="125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 ht="15.75" customHeight="1" s="125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 ht="15.75" customHeight="1" s="1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 ht="15.75" customHeight="1" s="125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 ht="15.75" customHeight="1" s="125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 ht="15.75" customHeight="1" s="125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 ht="15.75" customHeight="1" s="125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 ht="15.75" customHeight="1" s="125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 ht="15.75" customHeight="1" s="125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 ht="15.75" customHeight="1" s="125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 ht="15.75" customHeight="1" s="125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 ht="15.75" customHeight="1" s="125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 ht="15.75" customHeight="1" s="12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 ht="15.75" customHeight="1" s="125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 ht="15.75" customHeight="1" s="125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 ht="15.75" customHeight="1" s="125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 ht="15.75" customHeight="1" s="125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 ht="15.75" customHeight="1" s="125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 ht="15.75" customHeight="1" s="125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 ht="15.75" customHeight="1" s="125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 ht="15.75" customHeight="1" s="125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 ht="15.75" customHeight="1" s="125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 ht="15.75" customHeight="1" s="12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 ht="15.75" customHeight="1" s="125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 ht="15.75" customHeight="1" s="125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 ht="15.75" customHeight="1" s="125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 ht="15.75" customHeight="1" s="125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 ht="15.75" customHeight="1" s="125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 ht="15.75" customHeight="1" s="125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 ht="15.75" customHeight="1" s="125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 ht="15.75" customHeight="1" s="125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 ht="15.75" customHeight="1" s="125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 ht="15.75" customHeight="1" s="12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 ht="15.75" customHeight="1" s="125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 ht="15.75" customHeight="1" s="125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 ht="15.75" customHeight="1" s="125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 ht="15.75" customHeight="1" s="125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 ht="15.75" customHeight="1" s="125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 ht="15.75" customHeight="1" s="125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 ht="15.75" customHeight="1" s="125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 ht="15.75" customHeight="1" s="125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 ht="15.75" customHeight="1" s="125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 ht="15.75" customHeight="1" s="12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 ht="15.75" customHeight="1" s="125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 ht="15.75" customHeight="1" s="125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 ht="15.75" customHeight="1" s="125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 ht="15.75" customHeight="1" s="125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 ht="15.75" customHeight="1" s="125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 ht="15.75" customHeight="1" s="125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 ht="15.75" customHeight="1" s="125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 ht="15.75" customHeight="1" s="125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 ht="15.75" customHeight="1" s="125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 ht="15.75" customHeight="1" s="12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 ht="15.75" customHeight="1" s="125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 ht="15.75" customHeight="1" s="125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 ht="15.75" customHeight="1" s="125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 ht="15.75" customHeight="1" s="125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 ht="15.75" customHeight="1" s="125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 ht="15.75" customHeight="1" s="125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 ht="15.75" customHeight="1" s="125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 ht="15.75" customHeight="1" s="125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 ht="15.75" customHeight="1" s="125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 ht="15.75" customHeight="1" s="12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 ht="15.75" customHeight="1" s="125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 ht="15.75" customHeight="1" s="125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 ht="15.75" customHeight="1" s="125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 ht="15.75" customHeight="1" s="125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 ht="15.75" customHeight="1" s="125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 ht="15.75" customHeight="1" s="125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 ht="15.75" customHeight="1" s="125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 ht="15.75" customHeight="1" s="125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 ht="15.75" customHeight="1" s="125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 ht="15.75" customHeight="1" s="12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 ht="15.75" customHeight="1" s="125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 ht="15.75" customHeight="1" s="125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 ht="15.75" customHeight="1" s="125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 ht="15.75" customHeight="1" s="125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 ht="15.75" customHeight="1" s="125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 ht="15.75" customHeight="1" s="125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 ht="15.75" customHeight="1" s="125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 ht="15.75" customHeight="1" s="125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 ht="15.75" customHeight="1" s="125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 ht="15.75" customHeight="1" s="12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 ht="15.75" customHeight="1" s="125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 ht="15.75" customHeight="1" s="125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 ht="15.75" customHeight="1" s="125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 ht="15.75" customHeight="1" s="125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 ht="15.75" customHeight="1" s="125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 ht="15.75" customHeight="1" s="125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 ht="15.75" customHeight="1" s="125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 ht="15.75" customHeight="1" s="125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 ht="15.75" customHeight="1" s="125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 ht="15.75" customHeight="1" s="12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 ht="15.75" customHeight="1" s="125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 ht="15.75" customHeight="1" s="125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 ht="15.75" customHeight="1" s="125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 ht="15.75" customHeight="1" s="125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 ht="15.75" customHeight="1" s="125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 ht="15.75" customHeight="1" s="125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 ht="15.75" customHeight="1" s="125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 ht="15.75" customHeight="1" s="125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 ht="15.75" customHeight="1" s="125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 ht="15.75" customHeight="1" s="1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 ht="15.75" customHeight="1" s="125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 ht="15.75" customHeight="1" s="125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 ht="15.75" customHeight="1" s="125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 ht="15.75" customHeight="1" s="125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 ht="15.75" customHeight="1" s="125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 ht="15.75" customHeight="1" s="125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 ht="15.75" customHeight="1" s="125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 ht="15.75" customHeight="1" s="125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 ht="15.75" customHeight="1" s="125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 ht="15.75" customHeight="1" s="12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 ht="15.75" customHeight="1" s="125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 ht="15.75" customHeight="1" s="125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 ht="15.75" customHeight="1" s="125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 ht="15.75" customHeight="1" s="125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 ht="15.75" customHeight="1" s="125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 ht="15.75" customHeight="1" s="125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 ht="15.75" customHeight="1" s="125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 ht="15.75" customHeight="1" s="125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 ht="15.75" customHeight="1" s="125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 ht="15.75" customHeight="1" s="12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 ht="15.75" customHeight="1" s="125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 ht="15.75" customHeight="1" s="125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 ht="15.75" customHeight="1" s="125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 ht="15.75" customHeight="1" s="125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 ht="15.75" customHeight="1" s="125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 ht="15.75" customHeight="1" s="125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 ht="15.75" customHeight="1" s="125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 ht="15.75" customHeight="1" s="125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 ht="15.75" customHeight="1" s="125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 ht="15.75" customHeight="1" s="12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 ht="15.75" customHeight="1" s="125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 ht="15.75" customHeight="1" s="125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 ht="15.75" customHeight="1" s="125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 ht="15.75" customHeight="1" s="125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 ht="15.75" customHeight="1" s="125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 ht="15.75" customHeight="1" s="125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 ht="15.75" customHeight="1" s="125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 ht="15.75" customHeight="1" s="125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 ht="15.75" customHeight="1" s="125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 ht="15.75" customHeight="1" s="12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 ht="15.75" customHeight="1" s="125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 ht="15.75" customHeight="1" s="125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 ht="15.75" customHeight="1" s="125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 ht="15.75" customHeight="1" s="125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 ht="15.75" customHeight="1" s="125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 ht="15.75" customHeight="1" s="125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 ht="15.75" customHeight="1" s="125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 ht="15.75" customHeight="1" s="125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 ht="15.75" customHeight="1" s="125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 ht="15.75" customHeight="1" s="12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 ht="15.75" customHeight="1" s="125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 ht="15.75" customHeight="1" s="125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 ht="15.75" customHeight="1" s="125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 ht="15.75" customHeight="1" s="125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 ht="15.75" customHeight="1" s="125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 ht="15.75" customHeight="1" s="125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 ht="15.75" customHeight="1" s="125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 ht="15.75" customHeight="1" s="125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 ht="15.75" customHeight="1" s="125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 ht="15.75" customHeight="1" s="12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 ht="15.75" customHeight="1" s="125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 ht="15.75" customHeight="1" s="125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 ht="15.75" customHeight="1" s="125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 ht="15.75" customHeight="1" s="125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 ht="15.75" customHeight="1" s="125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 ht="15.75" customHeight="1" s="125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 ht="15.75" customHeight="1" s="125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 ht="15.75" customHeight="1" s="125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 ht="15.75" customHeight="1" s="125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 ht="15.75" customHeight="1" s="12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 ht="15.75" customHeight="1" s="125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 ht="15.75" customHeight="1" s="125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 ht="15.75" customHeight="1" s="125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 ht="15.75" customHeight="1" s="125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 ht="15.75" customHeight="1" s="125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 ht="15.75" customHeight="1" s="125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 ht="15.75" customHeight="1" s="125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 ht="15.75" customHeight="1" s="125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 ht="15.75" customHeight="1" s="125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 ht="15.75" customHeight="1" s="12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 ht="15.75" customHeight="1" s="125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 ht="15.75" customHeight="1" s="125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 ht="15.75" customHeight="1" s="125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 ht="15.75" customHeight="1" s="125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 ht="15.75" customHeight="1" s="125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 ht="15.75" customHeight="1" s="125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 ht="15.75" customHeight="1" s="125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 ht="15.75" customHeight="1" s="125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 ht="15.75" customHeight="1" s="125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 ht="15.75" customHeight="1" s="12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 ht="15.75" customHeight="1" s="125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 ht="15.75" customHeight="1" s="125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 ht="15.75" customHeight="1" s="125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 ht="15.75" customHeight="1" s="125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 ht="15.75" customHeight="1" s="125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 ht="15.75" customHeight="1" s="125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 ht="15.75" customHeight="1" s="125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 ht="15.75" customHeight="1" s="125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 ht="15.75" customHeight="1" s="125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 ht="15.75" customHeight="1" s="1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 ht="15.75" customHeight="1" s="125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 ht="15.75" customHeight="1" s="125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 ht="15.75" customHeight="1" s="125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 ht="15.75" customHeight="1" s="125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 ht="15.75" customHeight="1" s="125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 ht="15.75" customHeight="1" s="125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 ht="15.75" customHeight="1" s="125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 ht="15.75" customHeight="1" s="125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 ht="15.75" customHeight="1" s="125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 ht="15.75" customHeight="1" s="12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 ht="15.75" customHeight="1" s="125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 ht="15.75" customHeight="1" s="125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 ht="15.75" customHeight="1" s="125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 ht="15.75" customHeight="1" s="125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 ht="15.75" customHeight="1" s="125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 ht="15.75" customHeight="1" s="125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 ht="15.75" customHeight="1" s="125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 ht="15.75" customHeight="1" s="125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 ht="15.75" customHeight="1" s="125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 ht="15.75" customHeight="1" s="12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 ht="15.75" customHeight="1" s="125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 ht="15.75" customHeight="1" s="125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 ht="15.75" customHeight="1" s="125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 ht="15.75" customHeight="1" s="125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 ht="15.75" customHeight="1" s="125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 ht="15.75" customHeight="1" s="125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 ht="15.75" customHeight="1" s="125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 ht="15.75" customHeight="1" s="125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 ht="15.75" customHeight="1" s="125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 ht="15.75" customHeight="1" s="12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 ht="15.75" customHeight="1" s="125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 ht="15.75" customHeight="1" s="125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 ht="15.75" customHeight="1" s="125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 ht="15.75" customHeight="1" s="125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 ht="15.75" customHeight="1" s="125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 ht="15.75" customHeight="1" s="125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 ht="15.75" customHeight="1" s="125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 ht="15.75" customHeight="1" s="125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 ht="15.75" customHeight="1" s="125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 ht="15.75" customHeight="1" s="12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 ht="15.75" customHeight="1" s="125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 ht="15.75" customHeight="1" s="125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 ht="15.75" customHeight="1" s="125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 ht="15.75" customHeight="1" s="125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 ht="15.75" customHeight="1" s="125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 ht="15.75" customHeight="1" s="125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 ht="15.75" customHeight="1" s="125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 ht="15.75" customHeight="1" s="125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 ht="15.75" customHeight="1" s="125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 ht="15.75" customHeight="1" s="12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 ht="15.75" customHeight="1" s="125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 ht="15.75" customHeight="1" s="125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 ht="15.75" customHeight="1" s="125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 ht="15.75" customHeight="1" s="125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 ht="15.75" customHeight="1" s="125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 ht="15.75" customHeight="1" s="125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 ht="15.75" customHeight="1" s="125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 ht="15.75" customHeight="1" s="125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 ht="15.75" customHeight="1" s="125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 ht="15.75" customHeight="1" s="12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 ht="15.75" customHeight="1" s="125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 ht="15.75" customHeight="1" s="125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 ht="15.75" customHeight="1" s="125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 ht="15.75" customHeight="1" s="125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 ht="15.75" customHeight="1" s="125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 ht="15.75" customHeight="1" s="125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 ht="15.75" customHeight="1" s="125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 ht="15.75" customHeight="1" s="125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 ht="15.75" customHeight="1" s="125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 ht="15.75" customHeight="1" s="12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 ht="15.75" customHeight="1" s="125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 ht="15.75" customHeight="1" s="125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 ht="15.75" customHeight="1" s="125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 ht="15.75" customHeight="1" s="125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 ht="15.75" customHeight="1" s="125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 ht="15.75" customHeight="1" s="125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 ht="15.75" customHeight="1" s="125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 ht="15.75" customHeight="1" s="125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 ht="15.75" customHeight="1" s="125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 ht="15.75" customHeight="1" s="12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 ht="15.75" customHeight="1" s="125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 ht="15.75" customHeight="1" s="125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 ht="15.75" customHeight="1" s="125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 ht="15.75" customHeight="1" s="125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 ht="15.75" customHeight="1" s="125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 ht="15.75" customHeight="1" s="125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 ht="15.75" customHeight="1" s="125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 ht="15.75" customHeight="1" s="125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 ht="15.75" customHeight="1" s="125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 ht="15.75" customHeight="1" s="12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 ht="15.75" customHeight="1" s="125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 ht="15.75" customHeight="1" s="125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 ht="15.75" customHeight="1" s="125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 ht="15.75" customHeight="1" s="125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 ht="15.75" customHeight="1" s="125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 ht="15.75" customHeight="1" s="125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 ht="15.75" customHeight="1" s="125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 ht="15.75" customHeight="1" s="125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 ht="15.75" customHeight="1" s="125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 ht="15.75" customHeight="1" s="1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 ht="15.75" customHeight="1" s="125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 ht="15.75" customHeight="1" s="125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 ht="15.75" customHeight="1" s="125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 ht="15.75" customHeight="1" s="125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 ht="15.75" customHeight="1" s="125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 ht="15.75" customHeight="1" s="125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 ht="15.75" customHeight="1" s="125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 ht="15.75" customHeight="1" s="125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 ht="15.75" customHeight="1" s="125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 ht="15.75" customHeight="1" s="12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 ht="15.75" customHeight="1" s="125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 ht="15.75" customHeight="1" s="125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 ht="15.75" customHeight="1" s="125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 ht="15.75" customHeight="1" s="125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 ht="15.75" customHeight="1" s="125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 ht="15.75" customHeight="1" s="125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 ht="15.75" customHeight="1" s="125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 ht="15.75" customHeight="1" s="125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 ht="15.75" customHeight="1" s="125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 ht="15.75" customHeight="1" s="12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 ht="15.75" customHeight="1" s="125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 ht="15.75" customHeight="1" s="125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 ht="15.75" customHeight="1" s="125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 ht="15.75" customHeight="1" s="125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 ht="15.75" customHeight="1" s="125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 ht="15.75" customHeight="1" s="125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 ht="15.75" customHeight="1" s="125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 ht="15.75" customHeight="1" s="125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 ht="15.75" customHeight="1" s="125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 ht="15.75" customHeight="1" s="12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 ht="15.75" customHeight="1" s="125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 ht="15.75" customHeight="1" s="125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 ht="15.75" customHeight="1" s="125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 ht="15.75" customHeight="1" s="125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 ht="15.75" customHeight="1" s="125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 ht="15.75" customHeight="1" s="125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 ht="15.75" customHeight="1" s="125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 ht="15.75" customHeight="1" s="125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 ht="15.75" customHeight="1" s="125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 ht="15.75" customHeight="1" s="12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 ht="15.75" customHeight="1" s="125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 ht="15.75" customHeight="1" s="125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 ht="15.75" customHeight="1" s="125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 ht="15.75" customHeight="1" s="125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 ht="15.75" customHeight="1" s="125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 ht="15.75" customHeight="1" s="125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 ht="15.75" customHeight="1" s="125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 ht="15.75" customHeight="1" s="125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 ht="15.75" customHeight="1" s="125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 ht="15.75" customHeight="1" s="12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 ht="15.75" customHeight="1" s="125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 ht="15.75" customHeight="1" s="125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 ht="15.75" customHeight="1" s="125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 ht="15.75" customHeight="1" s="125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 ht="15.75" customHeight="1" s="125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 ht="15.75" customHeight="1" s="125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 ht="15.75" customHeight="1" s="125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 ht="15.75" customHeight="1" s="125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 ht="15.75" customHeight="1" s="125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 ht="15.75" customHeight="1" s="12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 ht="15.75" customHeight="1" s="125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 ht="15.75" customHeight="1" s="125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 ht="15.75" customHeight="1" s="125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 ht="15.75" customHeight="1" s="125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 ht="15.75" customHeight="1" s="125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 ht="15.75" customHeight="1" s="125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 ht="15.75" customHeight="1" s="125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 ht="15.75" customHeight="1" s="125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 ht="15.75" customHeight="1" s="125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 ht="15.75" customHeight="1" s="12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 ht="15.75" customHeight="1" s="125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 ht="15.75" customHeight="1" s="125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 ht="15.75" customHeight="1" s="125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 ht="15.75" customHeight="1" s="125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 ht="15.75" customHeight="1" s="125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dataValidations count="3">
    <dataValidation sqref="D16:D250" showDropDown="0" showInputMessage="0" showErrorMessage="0" allowBlank="1" type="list">
      <formula1>PRODUCT!$B$2:$B$187</formula1>
    </dataValidation>
    <dataValidation sqref="C16:C250" showDropDown="0" showInputMessage="0" showErrorMessage="1" allowBlank="1" type="list">
      <formula1>"SI,NO"</formula1>
    </dataValidation>
    <dataValidation sqref="B16:B187" showDropDown="0" showInputMessage="0" showErrorMessage="1" allowBlank="1" type="list">
      <formula1>"Placa,Perfilería,Accesorio,Masillas"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5" topLeftCell="A16" activePane="bottomLeft" state="frozen"/>
      <selection pane="bottomLeft" activeCell="B17" sqref="B17"/>
    </sheetView>
  </sheetViews>
  <sheetFormatPr baseColWidth="8" defaultColWidth="12.63" defaultRowHeight="15" customHeight="1"/>
  <cols>
    <col width="22" customWidth="1" style="125" min="1" max="1"/>
    <col width="20.13" customWidth="1" style="125" min="2" max="2"/>
    <col width="7.75" customWidth="1" style="125" min="3" max="3"/>
    <col width="16.38" customWidth="1" style="125" min="4" max="4"/>
    <col width="13.25" customWidth="1" style="125" min="5" max="5"/>
    <col width="35.25" customWidth="1" style="125" min="6" max="6"/>
    <col width="20.25" customWidth="1" style="125" min="7" max="7"/>
    <col width="24.38" customWidth="1" style="125" min="8" max="8"/>
    <col width="20" customWidth="1" style="125" min="9" max="9"/>
    <col width="9.75" customWidth="1" style="125" min="10" max="10"/>
    <col width="15.38" customWidth="1" style="125" min="11" max="11"/>
    <col width="30.13" customWidth="1" style="125" min="12" max="12"/>
    <col width="22.38" customWidth="1" style="125" min="13" max="13"/>
    <col width="19.88" customWidth="1" style="125" min="14" max="14"/>
  </cols>
  <sheetData>
    <row r="1" ht="15.75" customHeight="1" s="125">
      <c r="A1" s="1" t="inlineStr">
        <is>
          <t>Cliente</t>
        </is>
      </c>
      <c r="B1" s="56" t="inlineStr">
        <is>
          <t>Francisco Flores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5.75" customHeight="1" s="125">
      <c r="A2" s="1" t="inlineStr">
        <is>
          <t>Proyecto</t>
        </is>
      </c>
      <c r="B2" s="56" t="inlineStr">
        <is>
          <t>Palmira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 s="125">
      <c r="A3" s="1" t="inlineStr">
        <is>
          <t>SRL</t>
        </is>
      </c>
      <c r="B3" s="56" t="inlineStr">
        <is>
          <t>xxxxxx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.75" customHeight="1" s="125">
      <c r="A4" s="1" t="inlineStr">
        <is>
          <t>Responsable</t>
        </is>
      </c>
      <c r="B4" s="56" t="inlineStr">
        <is>
          <t>Ana Mar Pérez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.75" customHeight="1" s="125">
      <c r="A5" s="1" t="inlineStr">
        <is>
          <t>Fecha</t>
        </is>
      </c>
      <c r="B5" s="57" t="n">
        <v>46120.80234236111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.75" customHeight="1" s="125">
      <c r="A6" s="1" t="inlineStr">
        <is>
          <t>N_COTIZACION</t>
        </is>
      </c>
      <c r="B6" s="56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5.75" customHeight="1" s="125">
      <c r="A7" s="1" t="inlineStr">
        <is>
          <t>Incoterm</t>
        </is>
      </c>
      <c r="B7" s="56">
        <f>CONFIG!B7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5.75" customHeight="1" s="125">
      <c r="A8" s="1" t="inlineStr">
        <is>
          <t>Condiciones_Pago</t>
        </is>
      </c>
      <c r="B8" s="56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5.75" customHeight="1" s="125">
      <c r="A9" s="1" t="inlineStr">
        <is>
          <t>Validez (días)</t>
        </is>
      </c>
      <c r="B9" s="56">
        <f>CONFIG!B6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5.75" customHeight="1" s="125">
      <c r="A10" s="1" t="inlineStr">
        <is>
          <t>Plazo Entrega (semanas)</t>
        </is>
      </c>
      <c r="B10" s="56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75" customHeight="1" s="125">
      <c r="A11" s="1" t="inlineStr">
        <is>
          <t>Moneda</t>
        </is>
      </c>
      <c r="B11" s="56">
        <f>CONFIG!B8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15.75" customHeight="1" s="125">
      <c r="A12" s="1" t="inlineStr">
        <is>
          <t>AREA_TOTAL_REFERENCIAL_M2</t>
        </is>
      </c>
      <c r="B12" s="56" t="n">
        <v>100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15.75" customHeight="1" s="125">
      <c r="A13" s="1" t="inlineStr">
        <is>
          <t>Observaciones_Generales</t>
        </is>
      </c>
      <c r="B13" s="56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15.75" customHeight="1" s="125">
      <c r="A14" s="2" t="inlineStr">
        <is>
          <t>ITEM</t>
        </is>
      </c>
      <c r="B14" s="2" t="inlineStr">
        <is>
          <t>INCLUIR</t>
        </is>
      </c>
      <c r="C14" s="2" t="inlineStr">
        <is>
          <t>SKU_FASSA</t>
        </is>
      </c>
      <c r="D14" s="2" t="inlineStr">
        <is>
          <t>FAMILIA</t>
        </is>
      </c>
      <c r="E14" s="2" t="inlineStr">
        <is>
          <t>NOMBRE_PRODUCTO</t>
        </is>
      </c>
      <c r="F14" s="2" t="inlineStr">
        <is>
          <t>CANTIDAD_BASE</t>
        </is>
      </c>
      <c r="G14" s="2" t="inlineStr">
        <is>
          <t>UNIDAD_INPUT</t>
        </is>
      </c>
      <c r="H14" s="2" t="inlineStr">
        <is>
          <t>FACTOR_AJUSTE</t>
        </is>
      </c>
      <c r="I14" s="2" t="inlineStr">
        <is>
          <t>CANTIDAD_MANUAL_OVERRIDE</t>
        </is>
      </c>
      <c r="J14" s="2" t="inlineStr">
        <is>
          <t>CANTIDAD_FINAL_INPUT</t>
        </is>
      </c>
      <c r="K14" s="2" t="inlineStr">
        <is>
          <t>MARGEN_%_APLICADO</t>
        </is>
      </c>
      <c r="L14" s="2" t="inlineStr">
        <is>
          <t>OBSERVACION_ITEM</t>
        </is>
      </c>
      <c r="M14" s="2" t="n"/>
      <c r="N14" s="2" t="n"/>
    </row>
    <row r="15" ht="24.75" customHeight="1" s="125">
      <c r="A15" s="1" t="n">
        <v>1</v>
      </c>
      <c r="B15" s="1" t="inlineStr">
        <is>
          <t>SI</t>
        </is>
      </c>
      <c r="C15" s="1" t="n"/>
      <c r="D15" s="1">
        <f>IF(C15="";"";INDEX(PRODUCT!A:A;MATCH(C15;PRODUCT!B:B;0)))</f>
        <v/>
      </c>
      <c r="E15" s="1">
        <f>IF(C15="";"";VLOOKUP(C15;PRODUCT!B:C;2;FALSE))</f>
        <v/>
      </c>
      <c r="F15" s="1" t="n"/>
      <c r="G15" s="1" t="n"/>
      <c r="H15" s="1" t="n">
        <v>1</v>
      </c>
      <c r="I15" s="1" t="n"/>
      <c r="J15" s="1">
        <f>IF(I15&lt;&gt;"";I15;F15*H15)</f>
        <v/>
      </c>
      <c r="K15" s="1">
        <f>CONFIG!$B$6</f>
        <v/>
      </c>
      <c r="L15" s="1" t="n"/>
      <c r="M15" s="1" t="n"/>
      <c r="N15" s="1" t="n"/>
    </row>
    <row r="16" ht="24.75" customHeight="1" s="125">
      <c r="A16" s="62" t="n">
        <v>2</v>
      </c>
      <c r="B16" s="62" t="inlineStr">
        <is>
          <t>SI</t>
        </is>
      </c>
      <c r="C16" s="62" t="n"/>
      <c r="D16" s="58">
        <f>IF(C16="";"";INDEX(PRODUCT!A:A;MATCH(C16;PRODUCT!B:B;0)))</f>
        <v/>
      </c>
      <c r="E16" s="62">
        <f>IF(C16="";"";VLOOKUP(C16;PRODUCT!B:C;2;FALSE))</f>
        <v/>
      </c>
      <c r="F16" s="62" t="n"/>
      <c r="G16" s="61" t="n"/>
      <c r="H16" s="61" t="n">
        <v>1</v>
      </c>
      <c r="I16" s="62" t="n"/>
      <c r="J16" s="60">
        <f>IF(I16&lt;&gt;"";I16;F16*H16)</f>
        <v/>
      </c>
      <c r="K16" s="61">
        <f>CONFIG!$B$6</f>
        <v/>
      </c>
      <c r="L16" s="61" t="n"/>
      <c r="M16" s="60" t="n"/>
      <c r="N16" s="62" t="n"/>
    </row>
    <row r="17" ht="15.75" customHeight="1" s="125">
      <c r="A17" s="62" t="n">
        <v>3</v>
      </c>
      <c r="B17" s="62" t="inlineStr">
        <is>
          <t>SI</t>
        </is>
      </c>
      <c r="C17" s="62" t="n"/>
      <c r="D17" s="58">
        <f>IF(C17="";"";INDEX(PRODUCT!A:A;MATCH(C17;PRODUCT!B:B;0)))</f>
        <v/>
      </c>
      <c r="E17" s="62">
        <f>IF(C17="";"";VLOOKUP(C17;PRODUCT!B:C;2;FALSE))</f>
        <v/>
      </c>
      <c r="F17" s="62" t="n"/>
      <c r="G17" s="61" t="n"/>
      <c r="H17" s="61" t="n">
        <v>1</v>
      </c>
      <c r="I17" s="62" t="n"/>
      <c r="J17" s="60">
        <f>IF(I17&lt;&gt;"";I17;F17*H17)</f>
        <v/>
      </c>
      <c r="K17" s="61">
        <f>CONFIG!$B$6</f>
        <v/>
      </c>
      <c r="L17" s="61" t="n"/>
      <c r="M17" s="60" t="n"/>
      <c r="N17" s="62" t="n"/>
    </row>
    <row r="18" ht="15.75" customHeight="1" s="125">
      <c r="A18" s="62" t="n">
        <v>4</v>
      </c>
      <c r="B18" s="62" t="inlineStr">
        <is>
          <t>SI</t>
        </is>
      </c>
      <c r="C18" s="62" t="n"/>
      <c r="D18" s="58">
        <f>IF(C18="";"";INDEX(PRODUCT!A:A;MATCH(C18;PRODUCT!B:B;0)))</f>
        <v/>
      </c>
      <c r="E18" s="62">
        <f>IF(C18="";"";VLOOKUP(C18;PRODUCT!B:C;2;FALSE))</f>
        <v/>
      </c>
      <c r="F18" s="62" t="n"/>
      <c r="G18" s="61" t="n"/>
      <c r="H18" s="61" t="n">
        <v>1</v>
      </c>
      <c r="I18" s="62" t="n"/>
      <c r="J18" s="60">
        <f>IF(I18&lt;&gt;"";I18;F18*H18)</f>
        <v/>
      </c>
      <c r="K18" s="61">
        <f>CONFIG!$B$6</f>
        <v/>
      </c>
      <c r="L18" s="61" t="n"/>
      <c r="M18" s="60" t="n"/>
      <c r="N18" s="62" t="n"/>
    </row>
    <row r="19" ht="15.75" customHeight="1" s="125">
      <c r="A19" s="62" t="n">
        <v>5</v>
      </c>
      <c r="B19" s="62" t="inlineStr">
        <is>
          <t>SI</t>
        </is>
      </c>
      <c r="C19" s="62" t="n"/>
      <c r="D19" s="58">
        <f>IF(C19="";"";INDEX(PRODUCT!A:A;MATCH(C19;PRODUCT!B:B;0)))</f>
        <v/>
      </c>
      <c r="E19" s="62">
        <f>IF(C19="";"";VLOOKUP(C19;PRODUCT!B:C;2;FALSE))</f>
        <v/>
      </c>
      <c r="F19" s="62" t="n"/>
      <c r="G19" s="61" t="n"/>
      <c r="H19" s="61" t="n">
        <v>1</v>
      </c>
      <c r="I19" s="62" t="n"/>
      <c r="J19" s="60">
        <f>IF(I19&lt;&gt;"";I19;F19*H19)</f>
        <v/>
      </c>
      <c r="K19" s="61">
        <f>CONFIG!$B$6</f>
        <v/>
      </c>
      <c r="L19" s="61" t="n"/>
      <c r="M19" s="60" t="n"/>
      <c r="N19" s="62" t="n"/>
    </row>
    <row r="20" ht="15.75" customHeight="1" s="125">
      <c r="A20" s="62" t="n">
        <v>6</v>
      </c>
      <c r="B20" s="62" t="inlineStr">
        <is>
          <t>SI</t>
        </is>
      </c>
      <c r="C20" s="62" t="n"/>
      <c r="D20" s="58">
        <f>IF(C20="";"";INDEX(PRODUCT!A:A;MATCH(C20;PRODUCT!B:B;0)))</f>
        <v/>
      </c>
      <c r="E20" s="62">
        <f>IF(C20="";"";VLOOKUP(C20;PRODUCT!B:C;2;FALSE))</f>
        <v/>
      </c>
      <c r="F20" s="62" t="n"/>
      <c r="G20" s="61" t="n"/>
      <c r="H20" s="61" t="n">
        <v>1</v>
      </c>
      <c r="I20" s="62" t="n"/>
      <c r="J20" s="60">
        <f>IF(I20&lt;&gt;"";I20;F20*H20)</f>
        <v/>
      </c>
      <c r="K20" s="61">
        <f>CONFIG!$B$6</f>
        <v/>
      </c>
      <c r="L20" s="61" t="n"/>
      <c r="M20" s="60" t="n"/>
      <c r="N20" s="62" t="n"/>
    </row>
    <row r="21" ht="15.75" customHeight="1" s="125">
      <c r="A21" s="62" t="n">
        <v>7</v>
      </c>
      <c r="B21" s="62" t="inlineStr">
        <is>
          <t>SI</t>
        </is>
      </c>
      <c r="C21" s="62" t="n"/>
      <c r="D21" s="58">
        <f>IF(C21="";"";INDEX(PRODUCT!A:A;MATCH(C21;PRODUCT!B:B;0)))</f>
        <v/>
      </c>
      <c r="E21" s="62">
        <f>IF(C21="";"";VLOOKUP(C21;PRODUCT!B:C;2;FALSE))</f>
        <v/>
      </c>
      <c r="F21" s="62" t="n"/>
      <c r="G21" s="61" t="n"/>
      <c r="H21" s="61" t="n">
        <v>1</v>
      </c>
      <c r="I21" s="62" t="n"/>
      <c r="J21" s="60">
        <f>IF(I21&lt;&gt;"";I21;F21*H21)</f>
        <v/>
      </c>
      <c r="K21" s="61">
        <f>CONFIG!$B$6</f>
        <v/>
      </c>
      <c r="L21" s="61" t="n"/>
      <c r="M21" s="60" t="n"/>
      <c r="N21" s="62" t="n"/>
    </row>
    <row r="22" ht="15.75" customHeight="1" s="125">
      <c r="A22" s="62" t="n">
        <v>8</v>
      </c>
      <c r="B22" s="62" t="inlineStr">
        <is>
          <t>SI</t>
        </is>
      </c>
      <c r="C22" s="62" t="n"/>
      <c r="D22" s="58">
        <f>IF(C22="";"";INDEX(PRODUCT!A:A;MATCH(C22;PRODUCT!B:B;0)))</f>
        <v/>
      </c>
      <c r="E22" s="62">
        <f>IF(C22="";"";VLOOKUP(C22;PRODUCT!B:C;2;FALSE))</f>
        <v/>
      </c>
      <c r="F22" s="62" t="n"/>
      <c r="G22" s="61" t="n"/>
      <c r="H22" s="61" t="n">
        <v>1</v>
      </c>
      <c r="I22" s="62" t="n"/>
      <c r="J22" s="60">
        <f>IF(I22&lt;&gt;"";I22;F22*H22)</f>
        <v/>
      </c>
      <c r="K22" s="61">
        <f>CONFIG!$B$6</f>
        <v/>
      </c>
      <c r="L22" s="61" t="n"/>
      <c r="M22" s="60" t="n"/>
      <c r="N22" s="62" t="n"/>
    </row>
    <row r="23" ht="15.75" customHeight="1" s="125">
      <c r="A23" s="2" t="n">
        <v>9</v>
      </c>
      <c r="B23" s="62" t="inlineStr">
        <is>
          <t>SI</t>
        </is>
      </c>
      <c r="C23" s="62" t="n"/>
      <c r="D23" s="58">
        <f>IF(C23="";"";INDEX(PRODUCT!A:A;MATCH(C23;PRODUCT!B:B;0)))</f>
        <v/>
      </c>
      <c r="E23" s="62">
        <f>IF(C23="";"";VLOOKUP(C23;PRODUCT!B:C;2;FALSE))</f>
        <v/>
      </c>
      <c r="F23" s="62" t="n"/>
      <c r="G23" s="61" t="n"/>
      <c r="H23" s="61" t="n">
        <v>1</v>
      </c>
      <c r="I23" s="62" t="n"/>
      <c r="J23" s="60">
        <f>IF(I23&lt;&gt;"";I23;F23*H23)</f>
        <v/>
      </c>
      <c r="K23" s="61">
        <f>CONFIG!$B$6</f>
        <v/>
      </c>
      <c r="L23" s="61" t="n"/>
      <c r="M23" s="60" t="n"/>
      <c r="N23" s="2" t="n"/>
    </row>
    <row r="24" ht="15.75" customHeight="1" s="125">
      <c r="A24" s="2" t="n">
        <v>10</v>
      </c>
      <c r="B24" s="62" t="inlineStr">
        <is>
          <t>SI</t>
        </is>
      </c>
      <c r="C24" s="62" t="n"/>
      <c r="D24" s="58">
        <f>IF(C24="";"";INDEX(PRODUCT!A:A;MATCH(C24;PRODUCT!B:B;0)))</f>
        <v/>
      </c>
      <c r="E24" s="62">
        <f>IF(C24="";"";VLOOKUP(C24;PRODUCT!B:C;2;FALSE))</f>
        <v/>
      </c>
      <c r="F24" s="62" t="n"/>
      <c r="G24" s="61" t="n"/>
      <c r="H24" s="61" t="n">
        <v>1</v>
      </c>
      <c r="I24" s="62" t="n"/>
      <c r="J24" s="60">
        <f>IF(I24&lt;&gt;"";I24;F24*H24)</f>
        <v/>
      </c>
      <c r="K24" s="61">
        <f>CONFIG!$B$6</f>
        <v/>
      </c>
      <c r="L24" s="61" t="n"/>
      <c r="M24" s="60" t="n"/>
      <c r="N24" s="2" t="n"/>
    </row>
    <row r="25" ht="15.75" customHeight="1" s="125">
      <c r="A25" s="2" t="n">
        <v>11</v>
      </c>
      <c r="B25" s="62" t="inlineStr">
        <is>
          <t>SI</t>
        </is>
      </c>
      <c r="C25" s="62" t="n"/>
      <c r="D25" s="58">
        <f>IF(C25="";"";INDEX(PRODUCT!A:A;MATCH(C25;PRODUCT!B:B;0)))</f>
        <v/>
      </c>
      <c r="E25" s="62">
        <f>IF(C25="";"";VLOOKUP(C25;PRODUCT!B:C;2;FALSE))</f>
        <v/>
      </c>
      <c r="F25" s="62" t="n"/>
      <c r="G25" s="61" t="n"/>
      <c r="H25" s="61" t="n">
        <v>1</v>
      </c>
      <c r="I25" s="62" t="n"/>
      <c r="J25" s="60">
        <f>IF(I25&lt;&gt;"";I25;F25*H25)</f>
        <v/>
      </c>
      <c r="K25" s="61">
        <f>CONFIG!$B$6</f>
        <v/>
      </c>
      <c r="L25" s="61" t="n"/>
      <c r="M25" s="60" t="n"/>
      <c r="N25" s="2" t="n"/>
    </row>
    <row r="26" ht="15.75" customHeight="1" s="125">
      <c r="A26" s="2" t="n">
        <v>12</v>
      </c>
      <c r="B26" s="62" t="inlineStr">
        <is>
          <t>SI</t>
        </is>
      </c>
      <c r="C26" s="62" t="n"/>
      <c r="D26" s="58">
        <f>IF(C26="";"";INDEX(PRODUCT!A:A;MATCH(C26;PRODUCT!B:B;0)))</f>
        <v/>
      </c>
      <c r="E26" s="62">
        <f>IF(C26="";"";VLOOKUP(C26;PRODUCT!B:C;2;FALSE))</f>
        <v/>
      </c>
      <c r="F26" s="62" t="n"/>
      <c r="G26" s="61" t="n"/>
      <c r="H26" s="61" t="n">
        <v>1</v>
      </c>
      <c r="I26" s="62" t="n"/>
      <c r="J26" s="60">
        <f>IF(I26&lt;&gt;"";I26;F26*H26)</f>
        <v/>
      </c>
      <c r="K26" s="61">
        <f>CONFIG!$B$6</f>
        <v/>
      </c>
      <c r="L26" s="61" t="n"/>
      <c r="M26" s="60" t="n"/>
      <c r="N26" s="2" t="n"/>
    </row>
    <row r="27" ht="15.75" customHeight="1" s="125">
      <c r="A27" s="2" t="n">
        <v>13</v>
      </c>
      <c r="B27" s="62" t="inlineStr">
        <is>
          <t>SI</t>
        </is>
      </c>
      <c r="C27" s="62" t="n"/>
      <c r="D27" s="58">
        <f>IF(C27="";"";INDEX(PRODUCT!A:A;MATCH(C27;PRODUCT!B:B;0)))</f>
        <v/>
      </c>
      <c r="E27" s="62">
        <f>IF(C27="";"";VLOOKUP(C27;PRODUCT!B:C;2;FALSE))</f>
        <v/>
      </c>
      <c r="F27" s="62" t="n"/>
      <c r="G27" s="61" t="n"/>
      <c r="H27" s="61" t="n">
        <v>1</v>
      </c>
      <c r="I27" s="62" t="n"/>
      <c r="J27" s="60">
        <f>IF(I27&lt;&gt;"";I27;F27*H27)</f>
        <v/>
      </c>
      <c r="K27" s="61">
        <f>CONFIG!$B$6</f>
        <v/>
      </c>
      <c r="L27" s="61" t="n"/>
      <c r="M27" s="60" t="n"/>
      <c r="N27" s="2" t="n"/>
    </row>
    <row r="28" ht="15.75" customHeight="1" s="125">
      <c r="A28" s="2" t="n">
        <v>14</v>
      </c>
      <c r="B28" s="62" t="inlineStr">
        <is>
          <t>SI</t>
        </is>
      </c>
      <c r="C28" s="62" t="n"/>
      <c r="D28" s="58">
        <f>IF(C28="";"";INDEX(PRODUCT!A:A;MATCH(C28;PRODUCT!B:B;0)))</f>
        <v/>
      </c>
      <c r="E28" s="62">
        <f>IF(C28="";"";VLOOKUP(C28;PRODUCT!B:C;2;FALSE))</f>
        <v/>
      </c>
      <c r="F28" s="62" t="n"/>
      <c r="G28" s="61" t="n"/>
      <c r="H28" s="61" t="n">
        <v>1</v>
      </c>
      <c r="I28" s="62" t="n"/>
      <c r="J28" s="60">
        <f>IF(I28&lt;&gt;"";I28;F28*H28)</f>
        <v/>
      </c>
      <c r="K28" s="61">
        <f>CONFIG!$B$6</f>
        <v/>
      </c>
      <c r="L28" s="61" t="n"/>
      <c r="M28" s="60" t="n"/>
      <c r="N28" s="2" t="n"/>
    </row>
    <row r="29" ht="15.75" customHeight="1" s="125">
      <c r="A29" s="2" t="n">
        <v>15</v>
      </c>
      <c r="B29" s="62" t="inlineStr">
        <is>
          <t>SI</t>
        </is>
      </c>
      <c r="C29" s="62" t="n"/>
      <c r="D29" s="58">
        <f>IF(C29="";"";INDEX(PRODUCT!A:A;MATCH(C29;PRODUCT!B:B;0)))</f>
        <v/>
      </c>
      <c r="E29" s="62">
        <f>IF(C29="";"";VLOOKUP(C29;PRODUCT!B:C;2;FALSE))</f>
        <v/>
      </c>
      <c r="F29" s="62" t="n"/>
      <c r="G29" s="61" t="n"/>
      <c r="H29" s="61" t="n">
        <v>1</v>
      </c>
      <c r="I29" s="62" t="n"/>
      <c r="J29" s="60">
        <f>IF(I29&lt;&gt;"";I29;F29*H29)</f>
        <v/>
      </c>
      <c r="K29" s="61">
        <f>CONFIG!$B$6</f>
        <v/>
      </c>
      <c r="L29" s="61" t="n"/>
      <c r="M29" s="60" t="n"/>
      <c r="N29" s="2" t="n"/>
    </row>
    <row r="30" ht="15.75" customHeight="1" s="125">
      <c r="A30" s="2" t="n">
        <v>16</v>
      </c>
      <c r="B30" s="62" t="inlineStr">
        <is>
          <t>SI</t>
        </is>
      </c>
      <c r="C30" s="62" t="n"/>
      <c r="D30" s="58">
        <f>IF(C30="";"";INDEX(PRODUCT!A:A;MATCH(C30;PRODUCT!B:B;0)))</f>
        <v/>
      </c>
      <c r="E30" s="62">
        <f>IF(C30="";"";VLOOKUP(C30;PRODUCT!B:C;2;FALSE))</f>
        <v/>
      </c>
      <c r="F30" s="62" t="n"/>
      <c r="G30" s="61" t="n"/>
      <c r="H30" s="61" t="n">
        <v>1</v>
      </c>
      <c r="I30" s="62" t="n"/>
      <c r="J30" s="60">
        <f>IF(I30&lt;&gt;"";I30;F30*H30)</f>
        <v/>
      </c>
      <c r="K30" s="61">
        <f>CONFIG!$B$6</f>
        <v/>
      </c>
      <c r="L30" s="61" t="n"/>
      <c r="M30" s="60" t="n"/>
      <c r="N30" s="2" t="n"/>
    </row>
    <row r="31" ht="15.75" customHeight="1" s="125">
      <c r="A31" s="2" t="n">
        <v>17</v>
      </c>
      <c r="B31" s="62" t="inlineStr">
        <is>
          <t>SI</t>
        </is>
      </c>
      <c r="C31" s="62" t="n"/>
      <c r="D31" s="58">
        <f>IF(C31="";"";INDEX(PRODUCT!A:A;MATCH(C31;PRODUCT!B:B;0)))</f>
        <v/>
      </c>
      <c r="E31" s="62">
        <f>IF(C31="";"";VLOOKUP(C31;PRODUCT!B:C;2;FALSE))</f>
        <v/>
      </c>
      <c r="F31" s="62" t="n"/>
      <c r="G31" s="61" t="n"/>
      <c r="H31" s="61" t="n">
        <v>1</v>
      </c>
      <c r="I31" s="62" t="n"/>
      <c r="J31" s="60">
        <f>IF(I31&lt;&gt;"";I31;F31*H31)</f>
        <v/>
      </c>
      <c r="K31" s="61">
        <f>CONFIG!$B$6</f>
        <v/>
      </c>
      <c r="L31" s="61" t="n"/>
      <c r="M31" s="60" t="n"/>
      <c r="N31" s="2" t="n"/>
    </row>
    <row r="32" ht="15.75" customHeight="1" s="125">
      <c r="A32" s="2" t="n">
        <v>18</v>
      </c>
      <c r="B32" s="62" t="inlineStr">
        <is>
          <t>SI</t>
        </is>
      </c>
      <c r="C32" s="62" t="n"/>
      <c r="D32" s="58">
        <f>IF(C32="";"";INDEX(PRODUCT!A:A;MATCH(C32;PRODUCT!B:B;0)))</f>
        <v/>
      </c>
      <c r="E32" s="62">
        <f>IF(C32="";"";VLOOKUP(C32;PRODUCT!B:C;2;FALSE))</f>
        <v/>
      </c>
      <c r="F32" s="62" t="n"/>
      <c r="G32" s="61" t="n"/>
      <c r="H32" s="61" t="n">
        <v>1</v>
      </c>
      <c r="I32" s="62" t="n"/>
      <c r="J32" s="60">
        <f>IF(I32&lt;&gt;"";I32;F32*H32)</f>
        <v/>
      </c>
      <c r="K32" s="61">
        <f>CONFIG!$B$6</f>
        <v/>
      </c>
      <c r="L32" s="61" t="n"/>
      <c r="M32" s="60" t="n"/>
      <c r="N32" s="2" t="n"/>
    </row>
    <row r="33" ht="15.75" customHeight="1" s="125">
      <c r="A33" s="2" t="n">
        <v>19</v>
      </c>
      <c r="B33" s="62" t="inlineStr">
        <is>
          <t>SI</t>
        </is>
      </c>
      <c r="C33" s="62" t="n"/>
      <c r="D33" s="58">
        <f>IF(C33="";"";INDEX(PRODUCT!A:A;MATCH(C33;PRODUCT!B:B;0)))</f>
        <v/>
      </c>
      <c r="E33" s="62">
        <f>IF(C33="";"";VLOOKUP(C33;PRODUCT!B:C;2;FALSE))</f>
        <v/>
      </c>
      <c r="F33" s="62" t="n"/>
      <c r="G33" s="61" t="n"/>
      <c r="H33" s="61" t="n">
        <v>1</v>
      </c>
      <c r="I33" s="62" t="n"/>
      <c r="J33" s="60">
        <f>IF(I33&lt;&gt;"";I33;F33*H33)</f>
        <v/>
      </c>
      <c r="K33" s="61">
        <f>CONFIG!$B$6</f>
        <v/>
      </c>
      <c r="L33" s="61" t="n"/>
      <c r="M33" s="60" t="n"/>
      <c r="N33" s="2" t="n"/>
    </row>
    <row r="34" ht="15.75" customHeight="1" s="125">
      <c r="A34" s="2" t="n">
        <v>20</v>
      </c>
      <c r="B34" s="62" t="inlineStr">
        <is>
          <t>SI</t>
        </is>
      </c>
      <c r="C34" s="62" t="n"/>
      <c r="D34" s="58">
        <f>IF(C34="";"";INDEX(PRODUCT!A:A;MATCH(C34;PRODUCT!B:B;0)))</f>
        <v/>
      </c>
      <c r="E34" s="62">
        <f>IF(C34="";"";VLOOKUP(C34;PRODUCT!B:C;2;FALSE))</f>
        <v/>
      </c>
      <c r="F34" s="62" t="n"/>
      <c r="G34" s="61" t="n"/>
      <c r="H34" s="61" t="n">
        <v>1</v>
      </c>
      <c r="I34" s="62" t="n"/>
      <c r="J34" s="60">
        <f>IF(I34&lt;&gt;"";I34;F34*H34)</f>
        <v/>
      </c>
      <c r="K34" s="61">
        <f>CONFIG!$B$6</f>
        <v/>
      </c>
      <c r="L34" s="61" t="n"/>
      <c r="M34" s="60" t="n"/>
      <c r="N34" s="2" t="n"/>
    </row>
    <row r="35" ht="15.75" customHeight="1" s="125">
      <c r="A35" s="2" t="n">
        <v>21</v>
      </c>
      <c r="B35" s="62" t="inlineStr">
        <is>
          <t>SI</t>
        </is>
      </c>
      <c r="C35" s="62" t="n"/>
      <c r="D35" s="58">
        <f>IF(C35="";"";INDEX(PRODUCT!A:A;MATCH(C35;PRODUCT!B:B;0)))</f>
        <v/>
      </c>
      <c r="E35" s="62">
        <f>IF(C35="";"";VLOOKUP(C35;PRODUCT!B:C;2;FALSE))</f>
        <v/>
      </c>
      <c r="F35" s="62" t="n"/>
      <c r="G35" s="61" t="n"/>
      <c r="H35" s="61" t="n">
        <v>1</v>
      </c>
      <c r="I35" s="62" t="n"/>
      <c r="J35" s="60">
        <f>IF(I35&lt;&gt;"";I35;F35*H35)</f>
        <v/>
      </c>
      <c r="K35" s="61">
        <f>CONFIG!$B$6</f>
        <v/>
      </c>
      <c r="L35" s="61" t="n"/>
      <c r="M35" s="60" t="n"/>
      <c r="N35" s="2" t="n"/>
    </row>
    <row r="36" ht="15.75" customHeight="1" s="125">
      <c r="A36" s="2" t="n">
        <v>22</v>
      </c>
      <c r="B36" s="62" t="inlineStr">
        <is>
          <t>SI</t>
        </is>
      </c>
      <c r="C36" s="62" t="n"/>
      <c r="D36" s="58">
        <f>IF(C36="";"";INDEX(PRODUCT!A:A;MATCH(C36;PRODUCT!B:B;0)))</f>
        <v/>
      </c>
      <c r="E36" s="62">
        <f>IF(C36="";"";VLOOKUP(C36;PRODUCT!B:C;2;FALSE))</f>
        <v/>
      </c>
      <c r="F36" s="62" t="n"/>
      <c r="G36" s="61" t="n"/>
      <c r="H36" s="61" t="n">
        <v>1</v>
      </c>
      <c r="I36" s="62" t="n"/>
      <c r="J36" s="60">
        <f>IF(I36&lt;&gt;"";I36;F36*H36)</f>
        <v/>
      </c>
      <c r="K36" s="61">
        <f>CONFIG!$B$6</f>
        <v/>
      </c>
      <c r="L36" s="61" t="n"/>
      <c r="M36" s="60" t="n"/>
      <c r="N36" s="2" t="n"/>
    </row>
    <row r="37" ht="15.75" customHeight="1" s="125">
      <c r="A37" s="2" t="n">
        <v>23</v>
      </c>
      <c r="B37" s="62" t="inlineStr">
        <is>
          <t>SI</t>
        </is>
      </c>
      <c r="C37" s="62" t="n"/>
      <c r="D37" s="58">
        <f>IF(C37="";"";INDEX(PRODUCT!A:A;MATCH(C37;PRODUCT!B:B;0)))</f>
        <v/>
      </c>
      <c r="E37" s="62">
        <f>IF(C37="";"";VLOOKUP(C37;PRODUCT!B:C;2;FALSE))</f>
        <v/>
      </c>
      <c r="F37" s="62" t="n"/>
      <c r="G37" s="61" t="n"/>
      <c r="H37" s="61" t="n">
        <v>1</v>
      </c>
      <c r="I37" s="62" t="n"/>
      <c r="J37" s="60">
        <f>IF(I37&lt;&gt;"";I37;F37*H37)</f>
        <v/>
      </c>
      <c r="K37" s="61">
        <f>CONFIG!$B$6</f>
        <v/>
      </c>
      <c r="L37" s="61" t="n"/>
      <c r="M37" s="60" t="n"/>
      <c r="N37" s="2" t="n"/>
    </row>
    <row r="38" ht="15.75" customHeight="1" s="125">
      <c r="A38" s="2" t="n">
        <v>24</v>
      </c>
      <c r="B38" s="62" t="inlineStr">
        <is>
          <t>SI</t>
        </is>
      </c>
      <c r="C38" s="62" t="n"/>
      <c r="D38" s="58">
        <f>IF(C38="";"";INDEX(PRODUCT!A:A;MATCH(C38;PRODUCT!B:B;0)))</f>
        <v/>
      </c>
      <c r="E38" s="62">
        <f>IF(C38="";"";VLOOKUP(C38;PRODUCT!B:C;2;FALSE))</f>
        <v/>
      </c>
      <c r="F38" s="62" t="n"/>
      <c r="G38" s="61" t="n"/>
      <c r="H38" s="61" t="n">
        <v>1</v>
      </c>
      <c r="I38" s="62" t="n"/>
      <c r="J38" s="60">
        <f>IF(I38&lt;&gt;"";I38;F38*H38)</f>
        <v/>
      </c>
      <c r="K38" s="61">
        <f>CONFIG!$B$6</f>
        <v/>
      </c>
      <c r="L38" s="61" t="n"/>
      <c r="M38" s="60" t="n"/>
      <c r="N38" s="2" t="n"/>
    </row>
    <row r="39" ht="15.75" customHeight="1" s="125">
      <c r="A39" s="2" t="n">
        <v>25</v>
      </c>
      <c r="B39" s="62" t="inlineStr">
        <is>
          <t>SI</t>
        </is>
      </c>
      <c r="C39" s="62" t="n"/>
      <c r="D39" s="58">
        <f>IF(C39="";"";INDEX(PRODUCT!A:A;MATCH(C39;PRODUCT!B:B;0)))</f>
        <v/>
      </c>
      <c r="E39" s="62">
        <f>IF(C39="";"";VLOOKUP(C39;PRODUCT!B:C;2;FALSE))</f>
        <v/>
      </c>
      <c r="F39" s="62" t="n"/>
      <c r="G39" s="61" t="n"/>
      <c r="H39" s="61" t="n">
        <v>1</v>
      </c>
      <c r="I39" s="62" t="n"/>
      <c r="J39" s="60">
        <f>IF(I39&lt;&gt;"";I39;F39*H39)</f>
        <v/>
      </c>
      <c r="K39" s="61">
        <f>CONFIG!$B$6</f>
        <v/>
      </c>
      <c r="L39" s="61" t="n"/>
      <c r="M39" s="60" t="n"/>
      <c r="N39" s="2" t="n"/>
    </row>
    <row r="40" ht="15.75" customHeight="1" s="125">
      <c r="A40" s="2" t="n">
        <v>26</v>
      </c>
      <c r="B40" s="62" t="inlineStr">
        <is>
          <t>SI</t>
        </is>
      </c>
      <c r="C40" s="62" t="n"/>
      <c r="D40" s="58">
        <f>IF(C40="";"";INDEX(PRODUCT!A:A;MATCH(C40;PRODUCT!B:B;0)))</f>
        <v/>
      </c>
      <c r="E40" s="62">
        <f>IF(C40="";"";VLOOKUP(C40;PRODUCT!B:C;2;FALSE))</f>
        <v/>
      </c>
      <c r="F40" s="62" t="n"/>
      <c r="G40" s="61" t="n"/>
      <c r="H40" s="61" t="n">
        <v>1</v>
      </c>
      <c r="I40" s="62" t="n"/>
      <c r="J40" s="60">
        <f>IF(I40&lt;&gt;"";I40;F40*H40)</f>
        <v/>
      </c>
      <c r="K40" s="61">
        <f>CONFIG!$B$6</f>
        <v/>
      </c>
      <c r="L40" s="61" t="n"/>
      <c r="M40" s="60" t="n"/>
      <c r="N40" s="2" t="n"/>
    </row>
    <row r="41" ht="15.75" customHeight="1" s="125">
      <c r="A41" s="2" t="n">
        <v>27</v>
      </c>
      <c r="B41" s="62" t="inlineStr">
        <is>
          <t>SI</t>
        </is>
      </c>
      <c r="C41" s="62" t="n"/>
      <c r="D41" s="58">
        <f>IF(C41="";"";INDEX(PRODUCT!A:A;MATCH(C41;PRODUCT!B:B;0)))</f>
        <v/>
      </c>
      <c r="E41" s="62">
        <f>IF(C41="";"";VLOOKUP(C41;PRODUCT!B:C;2;FALSE))</f>
        <v/>
      </c>
      <c r="F41" s="62" t="n"/>
      <c r="G41" s="61" t="n"/>
      <c r="H41" s="61" t="n">
        <v>1</v>
      </c>
      <c r="I41" s="62" t="n"/>
      <c r="J41" s="60">
        <f>IF(I41&lt;&gt;"";I41;F41*H41)</f>
        <v/>
      </c>
      <c r="K41" s="61">
        <f>CONFIG!$B$6</f>
        <v/>
      </c>
      <c r="L41" s="61" t="n"/>
      <c r="M41" s="60" t="n"/>
      <c r="N41" s="2" t="n"/>
    </row>
    <row r="42" ht="15.75" customHeight="1" s="125">
      <c r="A42" s="2" t="n">
        <v>28</v>
      </c>
      <c r="B42" s="62" t="inlineStr">
        <is>
          <t>SI</t>
        </is>
      </c>
      <c r="C42" s="62" t="n"/>
      <c r="D42" s="58">
        <f>IF(C42="";"";INDEX(PRODUCT!A:A;MATCH(C42;PRODUCT!B:B;0)))</f>
        <v/>
      </c>
      <c r="E42" s="62">
        <f>IF(C42="";"";VLOOKUP(C42;PRODUCT!B:C;2;FALSE))</f>
        <v/>
      </c>
      <c r="F42" s="62" t="n"/>
      <c r="G42" s="61" t="n"/>
      <c r="H42" s="61" t="n">
        <v>1</v>
      </c>
      <c r="I42" s="62" t="n"/>
      <c r="J42" s="60">
        <f>IF(I42&lt;&gt;"";I42;F42*H42)</f>
        <v/>
      </c>
      <c r="K42" s="61">
        <f>CONFIG!$B$6</f>
        <v/>
      </c>
      <c r="L42" s="61" t="n"/>
      <c r="M42" s="60" t="n"/>
      <c r="N42" s="2" t="n"/>
    </row>
    <row r="43" ht="15.75" customHeight="1" s="125">
      <c r="A43" s="2" t="n">
        <v>29</v>
      </c>
      <c r="B43" s="62" t="inlineStr">
        <is>
          <t>SI</t>
        </is>
      </c>
      <c r="C43" s="62" t="n"/>
      <c r="D43" s="58">
        <f>IF(C43="";"";INDEX(PRODUCT!A:A;MATCH(C43;PRODUCT!B:B;0)))</f>
        <v/>
      </c>
      <c r="E43" s="62">
        <f>IF(C43="";"";VLOOKUP(C43;PRODUCT!B:C;2;FALSE))</f>
        <v/>
      </c>
      <c r="F43" s="62" t="n"/>
      <c r="G43" s="61" t="n"/>
      <c r="H43" s="61" t="n">
        <v>1</v>
      </c>
      <c r="I43" s="62" t="n"/>
      <c r="J43" s="60">
        <f>IF(I43&lt;&gt;"";I43;F43*H43)</f>
        <v/>
      </c>
      <c r="K43" s="61">
        <f>CONFIG!$B$6</f>
        <v/>
      </c>
      <c r="L43" s="61" t="n"/>
      <c r="M43" s="60" t="n"/>
      <c r="N43" s="2" t="n"/>
    </row>
    <row r="44" ht="15.75" customHeight="1" s="125">
      <c r="A44" s="2" t="n">
        <v>30</v>
      </c>
      <c r="B44" s="62" t="inlineStr">
        <is>
          <t>SI</t>
        </is>
      </c>
      <c r="C44" s="62" t="n"/>
      <c r="D44" s="58">
        <f>IF(C44="";"";INDEX(PRODUCT!A:A;MATCH(C44;PRODUCT!B:B;0)))</f>
        <v/>
      </c>
      <c r="E44" s="62">
        <f>IF(C44="";"";VLOOKUP(C44;PRODUCT!B:C;2;FALSE))</f>
        <v/>
      </c>
      <c r="F44" s="62" t="n"/>
      <c r="G44" s="61" t="n"/>
      <c r="H44" s="61" t="n">
        <v>1</v>
      </c>
      <c r="I44" s="62" t="n"/>
      <c r="J44" s="60">
        <f>IF(I44&lt;&gt;"";I44;F44*H44)</f>
        <v/>
      </c>
      <c r="K44" s="61">
        <f>CONFIG!$B$6</f>
        <v/>
      </c>
      <c r="L44" s="61" t="n"/>
      <c r="M44" s="60" t="n"/>
      <c r="N44" s="2" t="n"/>
    </row>
    <row r="45" ht="15.75" customHeight="1" s="125">
      <c r="A45" s="2" t="n">
        <v>31</v>
      </c>
      <c r="B45" s="62" t="inlineStr">
        <is>
          <t>SI</t>
        </is>
      </c>
      <c r="C45" s="62" t="n"/>
      <c r="D45" s="58">
        <f>IF(C45="";"";INDEX(PRODUCT!A:A;MATCH(C45;PRODUCT!B:B;0)))</f>
        <v/>
      </c>
      <c r="E45" s="62">
        <f>IF(C45="";"";VLOOKUP(C45;PRODUCT!B:C;2;FALSE))</f>
        <v/>
      </c>
      <c r="F45" s="62" t="n"/>
      <c r="G45" s="61" t="n"/>
      <c r="H45" s="61" t="n">
        <v>1</v>
      </c>
      <c r="I45" s="62" t="n"/>
      <c r="J45" s="60">
        <f>IF(I45&lt;&gt;"";I45;F45*H45)</f>
        <v/>
      </c>
      <c r="K45" s="61">
        <f>CONFIG!$B$6</f>
        <v/>
      </c>
      <c r="L45" s="61" t="n"/>
      <c r="M45" s="60" t="n"/>
      <c r="N45" s="2" t="n"/>
    </row>
    <row r="46" ht="15.75" customHeight="1" s="125">
      <c r="A46" s="2" t="n">
        <v>32</v>
      </c>
      <c r="B46" s="62" t="inlineStr">
        <is>
          <t>SI</t>
        </is>
      </c>
      <c r="C46" s="62" t="n"/>
      <c r="D46" s="58">
        <f>IF(C46="";"";INDEX(PRODUCT!A:A;MATCH(C46;PRODUCT!B:B;0)))</f>
        <v/>
      </c>
      <c r="E46" s="62">
        <f>IF(C46="";"";VLOOKUP(C46;PRODUCT!B:C;2;FALSE))</f>
        <v/>
      </c>
      <c r="F46" s="62" t="n"/>
      <c r="G46" s="61" t="n"/>
      <c r="H46" s="61" t="n">
        <v>1</v>
      </c>
      <c r="I46" s="62" t="n"/>
      <c r="J46" s="60">
        <f>IF(I46&lt;&gt;"";I46;F46*H46)</f>
        <v/>
      </c>
      <c r="K46" s="61">
        <f>CONFIG!$B$6</f>
        <v/>
      </c>
      <c r="L46" s="61" t="n"/>
      <c r="M46" s="60" t="n"/>
      <c r="N46" s="2" t="n"/>
    </row>
    <row r="47" ht="15.75" customHeight="1" s="125">
      <c r="A47" s="2" t="n">
        <v>33</v>
      </c>
      <c r="B47" s="62" t="inlineStr">
        <is>
          <t>SI</t>
        </is>
      </c>
      <c r="C47" s="62" t="n"/>
      <c r="D47" s="58">
        <f>IF(C47="";"";INDEX(PRODUCT!A:A;MATCH(C47;PRODUCT!B:B;0)))</f>
        <v/>
      </c>
      <c r="E47" s="62">
        <f>IF(C47="";"";VLOOKUP(C47;PRODUCT!B:C;2;FALSE))</f>
        <v/>
      </c>
      <c r="F47" s="62" t="n"/>
      <c r="G47" s="61" t="n"/>
      <c r="H47" s="61" t="n">
        <v>1</v>
      </c>
      <c r="I47" s="62" t="n"/>
      <c r="J47" s="60">
        <f>IF(I47&lt;&gt;"";I47;F47*H47)</f>
        <v/>
      </c>
      <c r="K47" s="61">
        <f>CONFIG!$B$6</f>
        <v/>
      </c>
      <c r="L47" s="61" t="n"/>
      <c r="M47" s="60" t="n"/>
      <c r="N47" s="2" t="n"/>
    </row>
    <row r="48" ht="15.75" customHeight="1" s="125">
      <c r="A48" s="2" t="n">
        <v>34</v>
      </c>
      <c r="B48" s="62" t="inlineStr">
        <is>
          <t>SI</t>
        </is>
      </c>
      <c r="C48" s="62" t="n"/>
      <c r="D48" s="58">
        <f>IF(C48="";"";INDEX(PRODUCT!A:A;MATCH(C48;PRODUCT!B:B;0)))</f>
        <v/>
      </c>
      <c r="E48" s="62">
        <f>IF(C48="";"";VLOOKUP(C48;PRODUCT!B:C;2;FALSE))</f>
        <v/>
      </c>
      <c r="F48" s="62" t="n"/>
      <c r="G48" s="61" t="n"/>
      <c r="H48" s="61" t="n">
        <v>1</v>
      </c>
      <c r="I48" s="62" t="n"/>
      <c r="J48" s="60">
        <f>IF(I48&lt;&gt;"";I48;F48*H48)</f>
        <v/>
      </c>
      <c r="K48" s="61">
        <f>CONFIG!$B$6</f>
        <v/>
      </c>
      <c r="L48" s="61" t="n"/>
      <c r="M48" s="60" t="n"/>
      <c r="N48" s="2" t="n"/>
    </row>
    <row r="49" ht="15.75" customHeight="1" s="125">
      <c r="A49" s="2" t="n">
        <v>35</v>
      </c>
      <c r="B49" s="62" t="inlineStr">
        <is>
          <t>SI</t>
        </is>
      </c>
      <c r="C49" s="62" t="n"/>
      <c r="D49" s="58">
        <f>IF(C49="";"";INDEX(PRODUCT!A:A;MATCH(C49;PRODUCT!B:B;0)))</f>
        <v/>
      </c>
      <c r="E49" s="62">
        <f>IF(C49="";"";VLOOKUP(C49;PRODUCT!B:C;2;FALSE))</f>
        <v/>
      </c>
      <c r="F49" s="62" t="n"/>
      <c r="G49" s="61" t="n"/>
      <c r="H49" s="61" t="n">
        <v>1</v>
      </c>
      <c r="I49" s="62" t="n"/>
      <c r="J49" s="60">
        <f>IF(I49&lt;&gt;"";I49;F49*H49)</f>
        <v/>
      </c>
      <c r="K49" s="61">
        <f>CONFIG!$B$6</f>
        <v/>
      </c>
      <c r="L49" s="61" t="n"/>
      <c r="M49" s="60" t="n"/>
      <c r="N49" s="2" t="n"/>
    </row>
    <row r="50" ht="15.75" customHeight="1" s="125">
      <c r="A50" s="2" t="n">
        <v>36</v>
      </c>
      <c r="B50" s="62" t="inlineStr">
        <is>
          <t>SI</t>
        </is>
      </c>
      <c r="C50" s="62" t="n"/>
      <c r="D50" s="58">
        <f>IF(C50="";"";INDEX(PRODUCT!A:A;MATCH(C50;PRODUCT!B:B;0)))</f>
        <v/>
      </c>
      <c r="E50" s="62">
        <f>IF(C50="";"";VLOOKUP(C50;PRODUCT!B:C;2;FALSE))</f>
        <v/>
      </c>
      <c r="F50" s="62" t="n"/>
      <c r="G50" s="61" t="n"/>
      <c r="H50" s="61" t="n">
        <v>1</v>
      </c>
      <c r="I50" s="62" t="n"/>
      <c r="J50" s="60">
        <f>IF(I50&lt;&gt;"";I50;F50*H50)</f>
        <v/>
      </c>
      <c r="K50" s="61">
        <f>CONFIG!$B$6</f>
        <v/>
      </c>
      <c r="L50" s="61" t="n"/>
      <c r="M50" s="60" t="n"/>
      <c r="N50" s="2" t="n"/>
    </row>
    <row r="51" ht="15.75" customHeight="1" s="125">
      <c r="A51" s="2" t="n">
        <v>37</v>
      </c>
      <c r="B51" s="62" t="inlineStr">
        <is>
          <t>SI</t>
        </is>
      </c>
      <c r="C51" s="62" t="n"/>
      <c r="D51" s="58">
        <f>IF(C51="";"";INDEX(PRODUCT!A:A;MATCH(C51;PRODUCT!B:B;0)))</f>
        <v/>
      </c>
      <c r="E51" s="62">
        <f>IF(C51="";"";VLOOKUP(C51;PRODUCT!B:C;2;FALSE))</f>
        <v/>
      </c>
      <c r="F51" s="62" t="n"/>
      <c r="G51" s="61" t="n"/>
      <c r="H51" s="61" t="n">
        <v>1</v>
      </c>
      <c r="I51" s="62" t="n"/>
      <c r="J51" s="60">
        <f>IF(I51&lt;&gt;"";I51;F51*H51)</f>
        <v/>
      </c>
      <c r="K51" s="61">
        <f>CONFIG!$B$6</f>
        <v/>
      </c>
      <c r="L51" s="61" t="n"/>
      <c r="M51" s="60" t="n"/>
      <c r="N51" s="2" t="n"/>
    </row>
    <row r="52" ht="15.75" customHeight="1" s="125">
      <c r="A52" s="2" t="n">
        <v>38</v>
      </c>
      <c r="B52" s="62" t="inlineStr">
        <is>
          <t>SI</t>
        </is>
      </c>
      <c r="C52" s="62" t="n"/>
      <c r="D52" s="58">
        <f>IF(C52="";"";INDEX(PRODUCT!A:A;MATCH(C52;PRODUCT!B:B;0)))</f>
        <v/>
      </c>
      <c r="E52" s="62">
        <f>IF(C52="";"";VLOOKUP(C52;PRODUCT!B:C;2;FALSE))</f>
        <v/>
      </c>
      <c r="F52" s="62" t="n"/>
      <c r="G52" s="61" t="n"/>
      <c r="H52" s="61" t="n">
        <v>1</v>
      </c>
      <c r="I52" s="62" t="n"/>
      <c r="J52" s="60">
        <f>IF(I52&lt;&gt;"";I52;F52*H52)</f>
        <v/>
      </c>
      <c r="K52" s="61">
        <f>CONFIG!$B$6</f>
        <v/>
      </c>
      <c r="L52" s="61" t="n"/>
      <c r="M52" s="60" t="n"/>
      <c r="N52" s="2" t="n"/>
    </row>
    <row r="53" ht="15.75" customHeight="1" s="125">
      <c r="A53" s="2" t="n">
        <v>39</v>
      </c>
      <c r="B53" s="62" t="inlineStr">
        <is>
          <t>SI</t>
        </is>
      </c>
      <c r="C53" s="62" t="n"/>
      <c r="D53" s="58">
        <f>IF(C53="";"";INDEX(PRODUCT!A:A;MATCH(C53;PRODUCT!B:B;0)))</f>
        <v/>
      </c>
      <c r="E53" s="62">
        <f>IF(C53="";"";VLOOKUP(C53;PRODUCT!B:C;2;FALSE))</f>
        <v/>
      </c>
      <c r="F53" s="62" t="n"/>
      <c r="G53" s="61" t="n"/>
      <c r="H53" s="61" t="n">
        <v>1</v>
      </c>
      <c r="I53" s="62" t="n"/>
      <c r="J53" s="60">
        <f>IF(I53&lt;&gt;"";I53;F53*H53)</f>
        <v/>
      </c>
      <c r="K53" s="61">
        <f>CONFIG!$B$6</f>
        <v/>
      </c>
      <c r="L53" s="61" t="n"/>
      <c r="M53" s="60" t="n"/>
      <c r="N53" s="2" t="n"/>
    </row>
    <row r="54" ht="15.75" customHeight="1" s="125">
      <c r="A54" s="2" t="n">
        <v>40</v>
      </c>
      <c r="B54" s="62" t="inlineStr">
        <is>
          <t>SI</t>
        </is>
      </c>
      <c r="C54" s="62" t="n"/>
      <c r="D54" s="58">
        <f>IF(C54="";"";INDEX(PRODUCT!A:A;MATCH(C54;PRODUCT!B:B;0)))</f>
        <v/>
      </c>
      <c r="E54" s="62">
        <f>IF(C54="";"";VLOOKUP(C54;PRODUCT!B:C;2;FALSE))</f>
        <v/>
      </c>
      <c r="F54" s="62" t="n"/>
      <c r="G54" s="61" t="n"/>
      <c r="H54" s="61" t="n">
        <v>1</v>
      </c>
      <c r="I54" s="62" t="n"/>
      <c r="J54" s="60">
        <f>IF(I54&lt;&gt;"";I54;F54*H54)</f>
        <v/>
      </c>
      <c r="K54" s="61">
        <f>CONFIG!$B$6</f>
        <v/>
      </c>
      <c r="L54" s="61" t="n"/>
      <c r="M54" s="60" t="n"/>
      <c r="N54" s="2" t="n"/>
    </row>
    <row r="55" ht="15.75" customHeight="1" s="125">
      <c r="A55" s="2" t="n">
        <v>41</v>
      </c>
      <c r="B55" s="62" t="inlineStr">
        <is>
          <t>SI</t>
        </is>
      </c>
      <c r="C55" s="62" t="n"/>
      <c r="D55" s="58">
        <f>IF(C55="";"";INDEX(PRODUCT!A:A;MATCH(C55;PRODUCT!B:B;0)))</f>
        <v/>
      </c>
      <c r="E55" s="62">
        <f>IF(C55="";"";VLOOKUP(C55;PRODUCT!B:C;2;FALSE))</f>
        <v/>
      </c>
      <c r="F55" s="62" t="n"/>
      <c r="G55" s="61" t="n"/>
      <c r="H55" s="61" t="n">
        <v>1</v>
      </c>
      <c r="I55" s="62" t="n"/>
      <c r="J55" s="60">
        <f>IF(I55&lt;&gt;"";I55;F55*H55)</f>
        <v/>
      </c>
      <c r="K55" s="61">
        <f>CONFIG!$B$6</f>
        <v/>
      </c>
      <c r="L55" s="61" t="n"/>
      <c r="M55" s="60" t="n"/>
      <c r="N55" s="2" t="n"/>
    </row>
    <row r="56" ht="15.75" customHeight="1" s="125">
      <c r="A56" s="2" t="n">
        <v>42</v>
      </c>
      <c r="B56" s="62" t="inlineStr">
        <is>
          <t>SI</t>
        </is>
      </c>
      <c r="C56" s="62" t="n"/>
      <c r="D56" s="58">
        <f>IF(C56="";"";INDEX(PRODUCT!A:A;MATCH(C56;PRODUCT!B:B;0)))</f>
        <v/>
      </c>
      <c r="E56" s="62">
        <f>IF(C56="";"";VLOOKUP(C56;PRODUCT!B:C;2;FALSE))</f>
        <v/>
      </c>
      <c r="F56" s="62" t="n"/>
      <c r="G56" s="61" t="n"/>
      <c r="H56" s="61" t="n">
        <v>1</v>
      </c>
      <c r="I56" s="62" t="n"/>
      <c r="J56" s="60">
        <f>IF(I56&lt;&gt;"";I56;F56*H56)</f>
        <v/>
      </c>
      <c r="K56" s="61">
        <f>CONFIG!$B$6</f>
        <v/>
      </c>
      <c r="L56" s="61" t="n"/>
      <c r="M56" s="60" t="n"/>
      <c r="N56" s="2" t="n"/>
    </row>
    <row r="57" ht="15.75" customHeight="1" s="125">
      <c r="A57" s="2" t="n">
        <v>43</v>
      </c>
      <c r="B57" s="62" t="inlineStr">
        <is>
          <t>SI</t>
        </is>
      </c>
      <c r="C57" s="62" t="n"/>
      <c r="D57" s="58">
        <f>IF(C57="";"";INDEX(PRODUCT!A:A;MATCH(C57;PRODUCT!B:B;0)))</f>
        <v/>
      </c>
      <c r="E57" s="62">
        <f>IF(C57="";"";VLOOKUP(C57;PRODUCT!B:C;2;FALSE))</f>
        <v/>
      </c>
      <c r="F57" s="62" t="n"/>
      <c r="G57" s="61" t="n"/>
      <c r="H57" s="61" t="n">
        <v>1</v>
      </c>
      <c r="I57" s="62" t="n"/>
      <c r="J57" s="60">
        <f>IF(I57&lt;&gt;"";I57;F57*H57)</f>
        <v/>
      </c>
      <c r="K57" s="61">
        <f>CONFIG!$B$6</f>
        <v/>
      </c>
      <c r="L57" s="61" t="n"/>
      <c r="M57" s="60" t="n"/>
      <c r="N57" s="2" t="n"/>
    </row>
    <row r="58" ht="15.75" customHeight="1" s="125">
      <c r="A58" s="2" t="n">
        <v>44</v>
      </c>
      <c r="B58" s="62" t="inlineStr">
        <is>
          <t>SI</t>
        </is>
      </c>
      <c r="C58" s="62" t="n"/>
      <c r="D58" s="58">
        <f>IF(C58="";"";INDEX(PRODUCT!A:A;MATCH(C58;PRODUCT!B:B;0)))</f>
        <v/>
      </c>
      <c r="E58" s="62">
        <f>IF(C58="";"";VLOOKUP(C58;PRODUCT!B:C;2;FALSE))</f>
        <v/>
      </c>
      <c r="F58" s="62" t="n"/>
      <c r="G58" s="61" t="n"/>
      <c r="H58" s="61" t="n">
        <v>1</v>
      </c>
      <c r="I58" s="62" t="n"/>
      <c r="J58" s="60">
        <f>IF(I58&lt;&gt;"";I58;F58*H58)</f>
        <v/>
      </c>
      <c r="K58" s="61">
        <f>CONFIG!$B$6</f>
        <v/>
      </c>
      <c r="L58" s="61" t="n"/>
      <c r="M58" s="60" t="n"/>
      <c r="N58" s="2" t="n"/>
    </row>
    <row r="59" ht="15.75" customHeight="1" s="125">
      <c r="A59" s="2" t="n">
        <v>45</v>
      </c>
      <c r="B59" s="62" t="inlineStr">
        <is>
          <t>SI</t>
        </is>
      </c>
      <c r="C59" s="62" t="n"/>
      <c r="D59" s="58">
        <f>IF(C59="";"";INDEX(PRODUCT!A:A;MATCH(C59;PRODUCT!B:B;0)))</f>
        <v/>
      </c>
      <c r="E59" s="62">
        <f>IF(C59="";"";VLOOKUP(C59;PRODUCT!B:C;2;FALSE))</f>
        <v/>
      </c>
      <c r="F59" s="62" t="n"/>
      <c r="G59" s="61" t="n"/>
      <c r="H59" s="61" t="n">
        <v>1</v>
      </c>
      <c r="I59" s="62" t="n"/>
      <c r="J59" s="60">
        <f>IF(I59&lt;&gt;"";I59;F59*H59)</f>
        <v/>
      </c>
      <c r="K59" s="61">
        <f>CONFIG!$B$6</f>
        <v/>
      </c>
      <c r="L59" s="61" t="n"/>
      <c r="M59" s="60" t="n"/>
      <c r="N59" s="2" t="n"/>
    </row>
    <row r="60" ht="15.75" customHeight="1" s="125">
      <c r="A60" s="2" t="n">
        <v>46</v>
      </c>
      <c r="B60" s="62" t="inlineStr">
        <is>
          <t>SI</t>
        </is>
      </c>
      <c r="C60" s="62" t="n"/>
      <c r="D60" s="58">
        <f>IF(C60="";"";INDEX(PRODUCT!A:A;MATCH(C60;PRODUCT!B:B;0)))</f>
        <v/>
      </c>
      <c r="E60" s="62">
        <f>IF(C60="";"";VLOOKUP(C60;PRODUCT!B:C;2;FALSE))</f>
        <v/>
      </c>
      <c r="F60" s="62" t="n"/>
      <c r="G60" s="61" t="n"/>
      <c r="H60" s="61" t="n">
        <v>1</v>
      </c>
      <c r="I60" s="62" t="n"/>
      <c r="J60" s="60">
        <f>IF(I60&lt;&gt;"";I60;F60*H60)</f>
        <v/>
      </c>
      <c r="K60" s="61">
        <f>CONFIG!$B$6</f>
        <v/>
      </c>
      <c r="L60" s="61" t="n"/>
      <c r="M60" s="60" t="n"/>
      <c r="N60" s="2" t="n"/>
    </row>
    <row r="61" ht="15.75" customHeight="1" s="125">
      <c r="A61" s="2" t="n">
        <v>47</v>
      </c>
      <c r="B61" s="62" t="inlineStr">
        <is>
          <t>SI</t>
        </is>
      </c>
      <c r="C61" s="62" t="n"/>
      <c r="D61" s="58">
        <f>IF(C61="";"";INDEX(PRODUCT!A:A;MATCH(C61;PRODUCT!B:B;0)))</f>
        <v/>
      </c>
      <c r="E61" s="62">
        <f>IF(C61="";"";VLOOKUP(C61;PRODUCT!B:C;2;FALSE))</f>
        <v/>
      </c>
      <c r="F61" s="62" t="n"/>
      <c r="G61" s="61" t="n"/>
      <c r="H61" s="61" t="n">
        <v>1</v>
      </c>
      <c r="I61" s="62" t="n"/>
      <c r="J61" s="60">
        <f>IF(I61&lt;&gt;"";I61;F61*H61)</f>
        <v/>
      </c>
      <c r="K61" s="61">
        <f>CONFIG!$B$6</f>
        <v/>
      </c>
      <c r="L61" s="61" t="n"/>
      <c r="M61" s="60" t="n"/>
      <c r="N61" s="2" t="n"/>
    </row>
    <row r="62" ht="15.75" customHeight="1" s="125">
      <c r="A62" s="2" t="n">
        <v>48</v>
      </c>
      <c r="B62" s="62" t="inlineStr">
        <is>
          <t>SI</t>
        </is>
      </c>
      <c r="C62" s="62" t="n"/>
      <c r="D62" s="58">
        <f>IF(C62="";"";INDEX(PRODUCT!A:A;MATCH(C62;PRODUCT!B:B;0)))</f>
        <v/>
      </c>
      <c r="E62" s="62">
        <f>IF(C62="";"";VLOOKUP(C62;PRODUCT!B:C;2;FALSE))</f>
        <v/>
      </c>
      <c r="F62" s="62" t="n"/>
      <c r="G62" s="61" t="n"/>
      <c r="H62" s="61" t="n">
        <v>1</v>
      </c>
      <c r="I62" s="62" t="n"/>
      <c r="J62" s="60">
        <f>IF(I62&lt;&gt;"";I62;F62*H62)</f>
        <v/>
      </c>
      <c r="K62" s="61">
        <f>CONFIG!$B$6</f>
        <v/>
      </c>
      <c r="L62" s="61" t="n"/>
      <c r="M62" s="60" t="n"/>
      <c r="N62" s="2" t="n"/>
    </row>
    <row r="63" ht="15.75" customHeight="1" s="125">
      <c r="A63" s="2" t="n">
        <v>49</v>
      </c>
      <c r="B63" s="62" t="inlineStr">
        <is>
          <t>SI</t>
        </is>
      </c>
      <c r="C63" s="62" t="n"/>
      <c r="D63" s="58">
        <f>IF(C63="";"";INDEX(PRODUCT!A:A;MATCH(C63;PRODUCT!B:B;0)))</f>
        <v/>
      </c>
      <c r="E63" s="62">
        <f>IF(C63="";"";VLOOKUP(C63;PRODUCT!B:C;2;FALSE))</f>
        <v/>
      </c>
      <c r="F63" s="62" t="n"/>
      <c r="G63" s="61" t="n"/>
      <c r="H63" s="61" t="n">
        <v>1</v>
      </c>
      <c r="I63" s="62" t="n"/>
      <c r="J63" s="60">
        <f>IF(I63&lt;&gt;"";I63;F63*H63)</f>
        <v/>
      </c>
      <c r="K63" s="61">
        <f>CONFIG!$B$6</f>
        <v/>
      </c>
      <c r="L63" s="61" t="n"/>
      <c r="M63" s="60" t="n"/>
      <c r="N63" s="2" t="n"/>
    </row>
    <row r="64" ht="15.75" customHeight="1" s="125">
      <c r="A64" s="2" t="n">
        <v>50</v>
      </c>
      <c r="B64" s="62" t="inlineStr">
        <is>
          <t>SI</t>
        </is>
      </c>
      <c r="C64" s="62" t="n"/>
      <c r="D64" s="58">
        <f>IF(C64="";"";INDEX(PRODUCT!A:A;MATCH(C64;PRODUCT!B:B;0)))</f>
        <v/>
      </c>
      <c r="E64" s="62">
        <f>IF(C64="";"";VLOOKUP(C64;PRODUCT!B:C;2;FALSE))</f>
        <v/>
      </c>
      <c r="F64" s="62" t="n"/>
      <c r="G64" s="61" t="n"/>
      <c r="H64" s="61" t="n">
        <v>1</v>
      </c>
      <c r="I64" s="62" t="n"/>
      <c r="J64" s="60">
        <f>IF(I64&lt;&gt;"";I64;F64*H64)</f>
        <v/>
      </c>
      <c r="K64" s="61">
        <f>CONFIG!$B$6</f>
        <v/>
      </c>
      <c r="L64" s="61" t="n"/>
      <c r="M64" s="60" t="n"/>
      <c r="N64" s="2" t="n"/>
    </row>
    <row r="65" ht="15.75" customHeight="1" s="125">
      <c r="A65" s="2" t="n">
        <v>51</v>
      </c>
      <c r="B65" s="62" t="inlineStr">
        <is>
          <t>SI</t>
        </is>
      </c>
      <c r="C65" s="62" t="n"/>
      <c r="D65" s="58">
        <f>IF(C65="";"";INDEX(PRODUCT!A:A;MATCH(C65;PRODUCT!B:B;0)))</f>
        <v/>
      </c>
      <c r="E65" s="62">
        <f>IF(C65="";"";VLOOKUP(C65;PRODUCT!B:C;2;FALSE))</f>
        <v/>
      </c>
      <c r="F65" s="62" t="n"/>
      <c r="G65" s="61" t="n"/>
      <c r="H65" s="61" t="n">
        <v>1</v>
      </c>
      <c r="I65" s="62" t="n"/>
      <c r="J65" s="60">
        <f>IF(I65&lt;&gt;"";I65;F65*H65)</f>
        <v/>
      </c>
      <c r="K65" s="61">
        <f>CONFIG!$B$6</f>
        <v/>
      </c>
      <c r="L65" s="61" t="n"/>
      <c r="M65" s="60" t="n"/>
      <c r="N65" s="2" t="n"/>
    </row>
    <row r="66" ht="15.75" customHeight="1" s="125">
      <c r="A66" s="2" t="n">
        <v>52</v>
      </c>
      <c r="B66" s="62" t="inlineStr">
        <is>
          <t>SI</t>
        </is>
      </c>
      <c r="C66" s="62" t="n"/>
      <c r="D66" s="58">
        <f>IF(C66="";"";INDEX(PRODUCT!A:A;MATCH(C66;PRODUCT!B:B;0)))</f>
        <v/>
      </c>
      <c r="E66" s="62">
        <f>IF(C66="";"";VLOOKUP(C66;PRODUCT!B:C;2;FALSE))</f>
        <v/>
      </c>
      <c r="F66" s="62" t="n"/>
      <c r="G66" s="61" t="n"/>
      <c r="H66" s="61" t="n">
        <v>1</v>
      </c>
      <c r="I66" s="62" t="n"/>
      <c r="J66" s="60">
        <f>IF(I66&lt;&gt;"";I66;F66*H66)</f>
        <v/>
      </c>
      <c r="K66" s="61">
        <f>CONFIG!$B$6</f>
        <v/>
      </c>
      <c r="L66" s="61" t="n"/>
      <c r="M66" s="60" t="n"/>
      <c r="N66" s="2" t="n"/>
    </row>
    <row r="67" ht="15.75" customHeight="1" s="125">
      <c r="A67" s="2" t="n">
        <v>53</v>
      </c>
      <c r="B67" s="62" t="inlineStr">
        <is>
          <t>SI</t>
        </is>
      </c>
      <c r="C67" s="62" t="n"/>
      <c r="D67" s="58">
        <f>IF(C67="";"";INDEX(PRODUCT!A:A;MATCH(C67;PRODUCT!B:B;0)))</f>
        <v/>
      </c>
      <c r="E67" s="62">
        <f>IF(C67="";"";VLOOKUP(C67;PRODUCT!B:C;2;FALSE))</f>
        <v/>
      </c>
      <c r="F67" s="62" t="n"/>
      <c r="G67" s="61" t="n"/>
      <c r="H67" s="61" t="n">
        <v>1</v>
      </c>
      <c r="I67" s="62" t="n"/>
      <c r="J67" s="60">
        <f>IF(I67&lt;&gt;"";I67;F67*H67)</f>
        <v/>
      </c>
      <c r="K67" s="61">
        <f>CONFIG!$B$6</f>
        <v/>
      </c>
      <c r="L67" s="61" t="n"/>
      <c r="M67" s="60" t="n"/>
      <c r="N67" s="2" t="n"/>
    </row>
    <row r="68" ht="15.75" customHeight="1" s="125">
      <c r="A68" s="2" t="n">
        <v>54</v>
      </c>
      <c r="B68" s="62" t="inlineStr">
        <is>
          <t>SI</t>
        </is>
      </c>
      <c r="C68" s="62" t="n"/>
      <c r="D68" s="58">
        <f>IF(C68="";"";INDEX(PRODUCT!A:A;MATCH(C68;PRODUCT!B:B;0)))</f>
        <v/>
      </c>
      <c r="E68" s="62">
        <f>IF(C68="";"";VLOOKUP(C68;PRODUCT!B:C;2;FALSE))</f>
        <v/>
      </c>
      <c r="F68" s="62" t="n"/>
      <c r="G68" s="61" t="n"/>
      <c r="H68" s="61" t="n">
        <v>1</v>
      </c>
      <c r="I68" s="62" t="n"/>
      <c r="J68" s="60">
        <f>IF(I68&lt;&gt;"";I68;F68*H68)</f>
        <v/>
      </c>
      <c r="K68" s="61">
        <f>CONFIG!$B$6</f>
        <v/>
      </c>
      <c r="L68" s="61" t="n"/>
      <c r="M68" s="60" t="n"/>
      <c r="N68" s="2" t="n"/>
    </row>
    <row r="69" ht="15.75" customHeight="1" s="125">
      <c r="A69" s="2" t="n">
        <v>55</v>
      </c>
      <c r="B69" s="62" t="inlineStr">
        <is>
          <t>SI</t>
        </is>
      </c>
      <c r="C69" s="62" t="n"/>
      <c r="D69" s="58">
        <f>IF(C69="";"";INDEX(PRODUCT!A:A;MATCH(C69;PRODUCT!B:B;0)))</f>
        <v/>
      </c>
      <c r="E69" s="62">
        <f>IF(C69="";"";VLOOKUP(C69;PRODUCT!B:C;2;FALSE))</f>
        <v/>
      </c>
      <c r="F69" s="62" t="n"/>
      <c r="G69" s="61" t="n"/>
      <c r="H69" s="61" t="n">
        <v>1</v>
      </c>
      <c r="I69" s="62" t="n"/>
      <c r="J69" s="60">
        <f>IF(I69&lt;&gt;"";I69;F69*H69)</f>
        <v/>
      </c>
      <c r="K69" s="61">
        <f>CONFIG!$B$6</f>
        <v/>
      </c>
      <c r="L69" s="61" t="n"/>
      <c r="M69" s="60" t="n"/>
      <c r="N69" s="2" t="n"/>
    </row>
    <row r="70" ht="15.75" customHeight="1" s="125">
      <c r="A70" s="2" t="n">
        <v>56</v>
      </c>
      <c r="B70" s="62" t="inlineStr">
        <is>
          <t>SI</t>
        </is>
      </c>
      <c r="C70" s="62" t="n"/>
      <c r="D70" s="58">
        <f>IF(C70="";"";INDEX(PRODUCT!A:A;MATCH(C70;PRODUCT!B:B;0)))</f>
        <v/>
      </c>
      <c r="E70" s="62">
        <f>IF(C70="";"";VLOOKUP(C70;PRODUCT!B:C;2;FALSE))</f>
        <v/>
      </c>
      <c r="F70" s="62" t="n"/>
      <c r="G70" s="61" t="n"/>
      <c r="H70" s="61" t="n">
        <v>1</v>
      </c>
      <c r="I70" s="62" t="n"/>
      <c r="J70" s="60">
        <f>IF(I70&lt;&gt;"";I70;F70*H70)</f>
        <v/>
      </c>
      <c r="K70" s="61">
        <f>CONFIG!$B$6</f>
        <v/>
      </c>
      <c r="L70" s="61" t="n"/>
      <c r="M70" s="60" t="n"/>
      <c r="N70" s="2" t="n"/>
    </row>
    <row r="71" ht="15.75" customHeight="1" s="125">
      <c r="A71" s="2" t="n">
        <v>57</v>
      </c>
      <c r="B71" s="62" t="inlineStr">
        <is>
          <t>SI</t>
        </is>
      </c>
      <c r="C71" s="62" t="n"/>
      <c r="D71" s="58">
        <f>IF(C71="";"";INDEX(PRODUCT!A:A;MATCH(C71;PRODUCT!B:B;0)))</f>
        <v/>
      </c>
      <c r="E71" s="62">
        <f>IF(C71="";"";VLOOKUP(C71;PRODUCT!B:C;2;FALSE))</f>
        <v/>
      </c>
      <c r="F71" s="62" t="n"/>
      <c r="G71" s="61" t="n"/>
      <c r="H71" s="61" t="n">
        <v>1</v>
      </c>
      <c r="I71" s="62" t="n"/>
      <c r="J71" s="60">
        <f>IF(I71&lt;&gt;"";I71;F71*H71)</f>
        <v/>
      </c>
      <c r="K71" s="61">
        <f>CONFIG!$B$6</f>
        <v/>
      </c>
      <c r="L71" s="61" t="n"/>
      <c r="M71" s="60" t="n"/>
      <c r="N71" s="2" t="n"/>
    </row>
    <row r="72" ht="15.75" customHeight="1" s="125">
      <c r="A72" s="2" t="n">
        <v>58</v>
      </c>
      <c r="B72" s="62" t="inlineStr">
        <is>
          <t>SI</t>
        </is>
      </c>
      <c r="C72" s="62" t="n"/>
      <c r="D72" s="58">
        <f>IF(C72="";"";INDEX(PRODUCT!A:A;MATCH(C72;PRODUCT!B:B;0)))</f>
        <v/>
      </c>
      <c r="E72" s="62">
        <f>IF(C72="";"";VLOOKUP(C72;PRODUCT!B:C;2;FALSE))</f>
        <v/>
      </c>
      <c r="F72" s="62" t="n"/>
      <c r="G72" s="61" t="n"/>
      <c r="H72" s="61" t="n">
        <v>1</v>
      </c>
      <c r="I72" s="62" t="n"/>
      <c r="J72" s="60">
        <f>IF(I72&lt;&gt;"";I72;F72*H72)</f>
        <v/>
      </c>
      <c r="K72" s="61">
        <f>CONFIG!$B$6</f>
        <v/>
      </c>
      <c r="L72" s="61" t="n"/>
      <c r="M72" s="60" t="n"/>
      <c r="N72" s="2" t="n"/>
    </row>
    <row r="73" ht="15.75" customHeight="1" s="125">
      <c r="A73" s="2" t="n">
        <v>59</v>
      </c>
      <c r="B73" s="62" t="inlineStr">
        <is>
          <t>SI</t>
        </is>
      </c>
      <c r="C73" s="62" t="n"/>
      <c r="D73" s="58">
        <f>IF(C73="";"";INDEX(PRODUCT!A:A;MATCH(C73;PRODUCT!B:B;0)))</f>
        <v/>
      </c>
      <c r="E73" s="62">
        <f>IF(C73="";"";VLOOKUP(C73;PRODUCT!B:C;2;FALSE))</f>
        <v/>
      </c>
      <c r="F73" s="62" t="n"/>
      <c r="G73" s="61" t="n"/>
      <c r="H73" s="61" t="n">
        <v>1</v>
      </c>
      <c r="I73" s="62" t="n"/>
      <c r="J73" s="60">
        <f>IF(I73&lt;&gt;"";I73;F73*H73)</f>
        <v/>
      </c>
      <c r="K73" s="61">
        <f>CONFIG!$B$6</f>
        <v/>
      </c>
      <c r="L73" s="61" t="n"/>
      <c r="M73" s="60" t="n"/>
      <c r="N73" s="2" t="n"/>
    </row>
    <row r="74" ht="15.75" customHeight="1" s="125">
      <c r="A74" s="2" t="n">
        <v>60</v>
      </c>
      <c r="B74" s="62" t="inlineStr">
        <is>
          <t>SI</t>
        </is>
      </c>
      <c r="C74" s="62" t="n"/>
      <c r="D74" s="58">
        <f>IF(C74="";"";INDEX(PRODUCT!A:A;MATCH(C74;PRODUCT!B:B;0)))</f>
        <v/>
      </c>
      <c r="E74" s="62">
        <f>IF(C74="";"";VLOOKUP(C74;PRODUCT!B:C;2;FALSE))</f>
        <v/>
      </c>
      <c r="F74" s="62" t="n"/>
      <c r="G74" s="61" t="n"/>
      <c r="H74" s="61" t="n">
        <v>1</v>
      </c>
      <c r="I74" s="62" t="n"/>
      <c r="J74" s="60">
        <f>IF(I74&lt;&gt;"";I74;F74*H74)</f>
        <v/>
      </c>
      <c r="K74" s="61">
        <f>CONFIG!$B$6</f>
        <v/>
      </c>
      <c r="L74" s="61" t="n"/>
      <c r="M74" s="60" t="n"/>
      <c r="N74" s="2" t="n"/>
    </row>
    <row r="75" ht="15.75" customHeight="1" s="125">
      <c r="A75" s="2" t="n">
        <v>61</v>
      </c>
      <c r="B75" s="62" t="inlineStr">
        <is>
          <t>SI</t>
        </is>
      </c>
      <c r="C75" s="62" t="n"/>
      <c r="D75" s="58">
        <f>IF(C75="";"";INDEX(PRODUCT!A:A;MATCH(C75;PRODUCT!B:B;0)))</f>
        <v/>
      </c>
      <c r="E75" s="62">
        <f>IF(C75="";"";VLOOKUP(C75;PRODUCT!B:C;2;FALSE))</f>
        <v/>
      </c>
      <c r="F75" s="62" t="n"/>
      <c r="G75" s="61" t="n"/>
      <c r="H75" s="61" t="n">
        <v>1</v>
      </c>
      <c r="I75" s="62" t="n"/>
      <c r="J75" s="60">
        <f>IF(I75&lt;&gt;"";I75;F75*H75)</f>
        <v/>
      </c>
      <c r="K75" s="61">
        <f>CONFIG!$B$6</f>
        <v/>
      </c>
      <c r="L75" s="61" t="n"/>
      <c r="M75" s="60" t="n"/>
      <c r="N75" s="2" t="n"/>
    </row>
    <row r="76" ht="15.75" customHeight="1" s="125">
      <c r="A76" s="2" t="n">
        <v>62</v>
      </c>
      <c r="B76" s="62" t="inlineStr">
        <is>
          <t>SI</t>
        </is>
      </c>
      <c r="C76" s="62" t="n"/>
      <c r="D76" s="58">
        <f>IF(C76="";"";INDEX(PRODUCT!A:A;MATCH(C76;PRODUCT!B:B;0)))</f>
        <v/>
      </c>
      <c r="E76" s="62">
        <f>IF(C76="";"";VLOOKUP(C76;PRODUCT!B:C;2;FALSE))</f>
        <v/>
      </c>
      <c r="F76" s="62" t="n"/>
      <c r="G76" s="61" t="n"/>
      <c r="H76" s="61" t="n">
        <v>1</v>
      </c>
      <c r="I76" s="62" t="n"/>
      <c r="J76" s="60">
        <f>IF(I76&lt;&gt;"";I76;F76*H76)</f>
        <v/>
      </c>
      <c r="K76" s="61">
        <f>CONFIG!$B$6</f>
        <v/>
      </c>
      <c r="L76" s="61" t="n"/>
      <c r="M76" s="60" t="n"/>
      <c r="N76" s="2" t="n"/>
    </row>
    <row r="77" ht="15.75" customHeight="1" s="125">
      <c r="A77" s="2" t="n">
        <v>63</v>
      </c>
      <c r="B77" s="62" t="inlineStr">
        <is>
          <t>SI</t>
        </is>
      </c>
      <c r="C77" s="62" t="n"/>
      <c r="D77" s="58">
        <f>IF(C77="";"";INDEX(PRODUCT!A:A;MATCH(C77;PRODUCT!B:B;0)))</f>
        <v/>
      </c>
      <c r="E77" s="62">
        <f>IF(C77="";"";VLOOKUP(C77;PRODUCT!B:C;2;FALSE))</f>
        <v/>
      </c>
      <c r="F77" s="62" t="n"/>
      <c r="G77" s="61" t="n"/>
      <c r="H77" s="61" t="n">
        <v>1</v>
      </c>
      <c r="I77" s="62" t="n"/>
      <c r="J77" s="60">
        <f>IF(I77&lt;&gt;"";I77;F77*H77)</f>
        <v/>
      </c>
      <c r="K77" s="61">
        <f>CONFIG!$B$6</f>
        <v/>
      </c>
      <c r="L77" s="61" t="n"/>
      <c r="M77" s="60" t="n"/>
      <c r="N77" s="2" t="n"/>
    </row>
    <row r="78" ht="15.75" customHeight="1" s="125">
      <c r="A78" s="2" t="n">
        <v>64</v>
      </c>
      <c r="B78" s="62" t="inlineStr">
        <is>
          <t>SI</t>
        </is>
      </c>
      <c r="C78" s="62" t="n"/>
      <c r="D78" s="58">
        <f>IF(C78="";"";INDEX(PRODUCT!A:A;MATCH(C78;PRODUCT!B:B;0)))</f>
        <v/>
      </c>
      <c r="E78" s="62">
        <f>IF(C78="";"";VLOOKUP(C78;PRODUCT!B:C;2;FALSE))</f>
        <v/>
      </c>
      <c r="F78" s="62" t="n"/>
      <c r="G78" s="61" t="n"/>
      <c r="H78" s="61" t="n">
        <v>1</v>
      </c>
      <c r="I78" s="62" t="n"/>
      <c r="J78" s="60">
        <f>IF(I78&lt;&gt;"";I78;F78*H78)</f>
        <v/>
      </c>
      <c r="K78" s="61">
        <f>CONFIG!$B$6</f>
        <v/>
      </c>
      <c r="L78" s="61" t="n"/>
      <c r="M78" s="60" t="n"/>
      <c r="N78" s="2" t="n"/>
    </row>
    <row r="79" ht="15.75" customHeight="1" s="125">
      <c r="A79" s="2" t="n">
        <v>65</v>
      </c>
      <c r="B79" s="62" t="inlineStr">
        <is>
          <t>SI</t>
        </is>
      </c>
      <c r="C79" s="62" t="n"/>
      <c r="D79" s="58">
        <f>IF(C79="";"";INDEX(PRODUCT!A:A;MATCH(C79;PRODUCT!B:B;0)))</f>
        <v/>
      </c>
      <c r="E79" s="62">
        <f>IF(C79="";"";VLOOKUP(C79;PRODUCT!B:C;2;FALSE))</f>
        <v/>
      </c>
      <c r="F79" s="62" t="n"/>
      <c r="G79" s="61" t="n"/>
      <c r="H79" s="61" t="n">
        <v>1</v>
      </c>
      <c r="I79" s="62" t="n"/>
      <c r="J79" s="60">
        <f>IF(I79&lt;&gt;"";I79;F79*H79)</f>
        <v/>
      </c>
      <c r="K79" s="61">
        <f>CONFIG!$B$6</f>
        <v/>
      </c>
      <c r="L79" s="61" t="n"/>
      <c r="M79" s="60" t="n"/>
      <c r="N79" s="2" t="n"/>
    </row>
    <row r="80" ht="15.75" customHeight="1" s="125">
      <c r="A80" s="2" t="n">
        <v>66</v>
      </c>
      <c r="B80" s="62" t="inlineStr">
        <is>
          <t>SI</t>
        </is>
      </c>
      <c r="C80" s="62" t="n"/>
      <c r="D80" s="58">
        <f>IF(C80="";"";INDEX(PRODUCT!A:A;MATCH(C80;PRODUCT!B:B;0)))</f>
        <v/>
      </c>
      <c r="E80" s="62">
        <f>IF(C80="";"";VLOOKUP(C80;PRODUCT!B:C;2;FALSE))</f>
        <v/>
      </c>
      <c r="F80" s="62" t="n"/>
      <c r="G80" s="61" t="n"/>
      <c r="H80" s="61" t="n">
        <v>1</v>
      </c>
      <c r="I80" s="62" t="n"/>
      <c r="J80" s="60">
        <f>IF(I80&lt;&gt;"";I80;F80*H80)</f>
        <v/>
      </c>
      <c r="K80" s="61">
        <f>CONFIG!$B$6</f>
        <v/>
      </c>
      <c r="L80" s="61" t="n"/>
      <c r="M80" s="60" t="n"/>
      <c r="N80" s="2" t="n"/>
    </row>
    <row r="81" ht="15.75" customHeight="1" s="125">
      <c r="A81" s="2" t="n">
        <v>67</v>
      </c>
      <c r="B81" s="62" t="inlineStr">
        <is>
          <t>SI</t>
        </is>
      </c>
      <c r="C81" s="62" t="n"/>
      <c r="D81" s="58">
        <f>IF(C81="";"";INDEX(PRODUCT!A:A;MATCH(C81;PRODUCT!B:B;0)))</f>
        <v/>
      </c>
      <c r="E81" s="62">
        <f>IF(C81="";"";VLOOKUP(C81;PRODUCT!B:C;2;FALSE))</f>
        <v/>
      </c>
      <c r="F81" s="62" t="n"/>
      <c r="G81" s="61" t="n"/>
      <c r="H81" s="61" t="n">
        <v>1</v>
      </c>
      <c r="I81" s="62" t="n"/>
      <c r="J81" s="60">
        <f>IF(I81&lt;&gt;"";I81;F81*H81)</f>
        <v/>
      </c>
      <c r="K81" s="61">
        <f>CONFIG!$B$6</f>
        <v/>
      </c>
      <c r="L81" s="61" t="n"/>
      <c r="M81" s="60" t="n"/>
      <c r="N81" s="2" t="n"/>
    </row>
    <row r="82" ht="15.75" customHeight="1" s="125">
      <c r="A82" s="2" t="n">
        <v>68</v>
      </c>
      <c r="B82" s="62" t="inlineStr">
        <is>
          <t>SI</t>
        </is>
      </c>
      <c r="C82" s="62" t="n"/>
      <c r="D82" s="58">
        <f>IF(C82="";"";INDEX(PRODUCT!A:A;MATCH(C82;PRODUCT!B:B;0)))</f>
        <v/>
      </c>
      <c r="E82" s="62">
        <f>IF(C82="";"";VLOOKUP(C82;PRODUCT!B:C;2;FALSE))</f>
        <v/>
      </c>
      <c r="F82" s="62" t="n"/>
      <c r="G82" s="61" t="n"/>
      <c r="H82" s="61" t="n">
        <v>1</v>
      </c>
      <c r="I82" s="62" t="n"/>
      <c r="J82" s="60">
        <f>IF(I82&lt;&gt;"";I82;F82*H82)</f>
        <v/>
      </c>
      <c r="K82" s="61">
        <f>CONFIG!$B$6</f>
        <v/>
      </c>
      <c r="L82" s="61" t="n"/>
      <c r="M82" s="60" t="n"/>
      <c r="N82" s="2" t="n"/>
    </row>
    <row r="83" ht="15.75" customHeight="1" s="125">
      <c r="A83" s="2" t="n">
        <v>69</v>
      </c>
      <c r="B83" s="62" t="inlineStr">
        <is>
          <t>SI</t>
        </is>
      </c>
      <c r="C83" s="62" t="n"/>
      <c r="D83" s="58">
        <f>IF(C83="";"";INDEX(PRODUCT!A:A;MATCH(C83;PRODUCT!B:B;0)))</f>
        <v/>
      </c>
      <c r="E83" s="62">
        <f>IF(C83="";"";VLOOKUP(C83;PRODUCT!B:C;2;FALSE))</f>
        <v/>
      </c>
      <c r="F83" s="62" t="n"/>
      <c r="G83" s="61" t="n"/>
      <c r="H83" s="61" t="n">
        <v>1</v>
      </c>
      <c r="I83" s="62" t="n"/>
      <c r="J83" s="60">
        <f>IF(I83&lt;&gt;"";I83;F83*H83)</f>
        <v/>
      </c>
      <c r="K83" s="61">
        <f>CONFIG!$B$6</f>
        <v/>
      </c>
      <c r="L83" s="61" t="n"/>
      <c r="M83" s="60" t="n"/>
      <c r="N83" s="2" t="n"/>
    </row>
    <row r="84" ht="15.75" customHeight="1" s="125">
      <c r="A84" s="2" t="n">
        <v>70</v>
      </c>
      <c r="B84" s="62" t="inlineStr">
        <is>
          <t>SI</t>
        </is>
      </c>
      <c r="C84" s="62" t="n"/>
      <c r="D84" s="58">
        <f>IF(C84="";"";INDEX(PRODUCT!A:A;MATCH(C84;PRODUCT!B:B;0)))</f>
        <v/>
      </c>
      <c r="E84" s="62">
        <f>IF(C84="";"";VLOOKUP(C84;PRODUCT!B:C;2;FALSE))</f>
        <v/>
      </c>
      <c r="F84" s="62" t="n"/>
      <c r="G84" s="61" t="n"/>
      <c r="H84" s="61" t="n">
        <v>1</v>
      </c>
      <c r="I84" s="62" t="n"/>
      <c r="J84" s="60">
        <f>IF(I84&lt;&gt;"";I84;F84*H84)</f>
        <v/>
      </c>
      <c r="K84" s="61">
        <f>CONFIG!$B$6</f>
        <v/>
      </c>
      <c r="L84" s="61" t="n"/>
      <c r="M84" s="60" t="n"/>
      <c r="N84" s="2" t="n"/>
    </row>
    <row r="85" ht="15.75" customHeight="1" s="125">
      <c r="A85" s="2" t="n">
        <v>71</v>
      </c>
      <c r="B85" s="62" t="inlineStr">
        <is>
          <t>SI</t>
        </is>
      </c>
      <c r="C85" s="62" t="n"/>
      <c r="D85" s="58">
        <f>IF(C85="";"";INDEX(PRODUCT!A:A;MATCH(C85;PRODUCT!B:B;0)))</f>
        <v/>
      </c>
      <c r="E85" s="62">
        <f>IF(C85="";"";VLOOKUP(C85;PRODUCT!B:C;2;FALSE))</f>
        <v/>
      </c>
      <c r="F85" s="62" t="n"/>
      <c r="G85" s="61" t="n"/>
      <c r="H85" s="61" t="n">
        <v>1</v>
      </c>
      <c r="I85" s="62" t="n"/>
      <c r="J85" s="60">
        <f>IF(I85&lt;&gt;"";I85;F85*H85)</f>
        <v/>
      </c>
      <c r="K85" s="61">
        <f>CONFIG!$B$6</f>
        <v/>
      </c>
      <c r="L85" s="61" t="n"/>
      <c r="M85" s="60" t="n"/>
      <c r="N85" s="2" t="n"/>
    </row>
    <row r="86" ht="15.75" customHeight="1" s="125">
      <c r="A86" s="2" t="n">
        <v>72</v>
      </c>
      <c r="B86" s="62" t="inlineStr">
        <is>
          <t>SI</t>
        </is>
      </c>
      <c r="C86" s="62" t="n"/>
      <c r="D86" s="58">
        <f>IF(C86="";"";INDEX(PRODUCT!A:A;MATCH(C86;PRODUCT!B:B;0)))</f>
        <v/>
      </c>
      <c r="E86" s="62">
        <f>IF(C86="";"";VLOOKUP(C86;PRODUCT!B:C;2;FALSE))</f>
        <v/>
      </c>
      <c r="F86" s="62" t="n"/>
      <c r="G86" s="61" t="n"/>
      <c r="H86" s="61" t="n">
        <v>1</v>
      </c>
      <c r="I86" s="62" t="n"/>
      <c r="J86" s="60">
        <f>IF(I86&lt;&gt;"";I86;F86*H86)</f>
        <v/>
      </c>
      <c r="K86" s="61">
        <f>CONFIG!$B$6</f>
        <v/>
      </c>
      <c r="L86" s="61" t="n"/>
      <c r="M86" s="60" t="n"/>
      <c r="N86" s="2" t="n"/>
    </row>
    <row r="87" ht="15.75" customHeight="1" s="125">
      <c r="A87" s="2" t="n">
        <v>73</v>
      </c>
      <c r="B87" s="62" t="inlineStr">
        <is>
          <t>SI</t>
        </is>
      </c>
      <c r="C87" s="62" t="n"/>
      <c r="D87" s="58">
        <f>IF(C87="";"";INDEX(PRODUCT!A:A;MATCH(C87;PRODUCT!B:B;0)))</f>
        <v/>
      </c>
      <c r="E87" s="62">
        <f>IF(C87="";"";VLOOKUP(C87;PRODUCT!B:C;2;FALSE))</f>
        <v/>
      </c>
      <c r="F87" s="62" t="n"/>
      <c r="G87" s="61" t="n"/>
      <c r="H87" s="61" t="n">
        <v>1</v>
      </c>
      <c r="I87" s="62" t="n"/>
      <c r="J87" s="60">
        <f>IF(I87&lt;&gt;"";I87;F87*H87)</f>
        <v/>
      </c>
      <c r="K87" s="61">
        <f>CONFIG!$B$6</f>
        <v/>
      </c>
      <c r="L87" s="61" t="n"/>
      <c r="M87" s="60" t="n"/>
      <c r="N87" s="2" t="n"/>
    </row>
    <row r="88" ht="15.75" customHeight="1" s="125">
      <c r="A88" s="2" t="n">
        <v>74</v>
      </c>
      <c r="B88" s="62" t="inlineStr">
        <is>
          <t>SI</t>
        </is>
      </c>
      <c r="C88" s="62" t="n"/>
      <c r="D88" s="58">
        <f>IF(C88="";"";INDEX(PRODUCT!A:A;MATCH(C88;PRODUCT!B:B;0)))</f>
        <v/>
      </c>
      <c r="E88" s="62">
        <f>IF(C88="";"";VLOOKUP(C88;PRODUCT!B:C;2;FALSE))</f>
        <v/>
      </c>
      <c r="F88" s="62" t="n"/>
      <c r="G88" s="61" t="n"/>
      <c r="H88" s="61" t="n">
        <v>1</v>
      </c>
      <c r="I88" s="62" t="n"/>
      <c r="J88" s="60">
        <f>IF(I88&lt;&gt;"";I88;F88*H88)</f>
        <v/>
      </c>
      <c r="K88" s="61">
        <f>CONFIG!$B$6</f>
        <v/>
      </c>
      <c r="L88" s="61" t="n"/>
      <c r="M88" s="60" t="n"/>
      <c r="N88" s="2" t="n"/>
    </row>
    <row r="89" ht="15.75" customHeight="1" s="125">
      <c r="A89" s="2" t="n">
        <v>75</v>
      </c>
      <c r="B89" s="62" t="inlineStr">
        <is>
          <t>SI</t>
        </is>
      </c>
      <c r="C89" s="62" t="n"/>
      <c r="D89" s="58">
        <f>IF(C89="";"";INDEX(PRODUCT!A:A;MATCH(C89;PRODUCT!B:B;0)))</f>
        <v/>
      </c>
      <c r="E89" s="62">
        <f>IF(C89="";"";VLOOKUP(C89;PRODUCT!B:C;2;FALSE))</f>
        <v/>
      </c>
      <c r="F89" s="62" t="n"/>
      <c r="G89" s="61" t="n"/>
      <c r="H89" s="61" t="n">
        <v>1</v>
      </c>
      <c r="I89" s="62" t="n"/>
      <c r="J89" s="60">
        <f>IF(I89&lt;&gt;"";I89;F89*H89)</f>
        <v/>
      </c>
      <c r="K89" s="61">
        <f>CONFIG!$B$6</f>
        <v/>
      </c>
      <c r="L89" s="61" t="n"/>
      <c r="M89" s="60" t="n"/>
      <c r="N89" s="2" t="n"/>
    </row>
    <row r="90" ht="15.75" customHeight="1" s="125">
      <c r="A90" s="2" t="n">
        <v>76</v>
      </c>
      <c r="B90" s="62" t="inlineStr">
        <is>
          <t>SI</t>
        </is>
      </c>
      <c r="C90" s="62" t="n"/>
      <c r="D90" s="58">
        <f>IF(C90="";"";INDEX(PRODUCT!A:A;MATCH(C90;PRODUCT!B:B;0)))</f>
        <v/>
      </c>
      <c r="E90" s="62">
        <f>IF(C90="";"";VLOOKUP(C90;PRODUCT!B:C;2;FALSE))</f>
        <v/>
      </c>
      <c r="F90" s="62" t="n"/>
      <c r="G90" s="61" t="n"/>
      <c r="H90" s="61" t="n">
        <v>1</v>
      </c>
      <c r="I90" s="62" t="n"/>
      <c r="J90" s="60">
        <f>IF(I90&lt;&gt;"";I90;F90*H90)</f>
        <v/>
      </c>
      <c r="K90" s="61">
        <f>CONFIG!$B$6</f>
        <v/>
      </c>
      <c r="L90" s="61" t="n"/>
      <c r="M90" s="60" t="n"/>
      <c r="N90" s="2" t="n"/>
    </row>
    <row r="91" ht="15.75" customHeight="1" s="125">
      <c r="A91" s="2" t="n">
        <v>77</v>
      </c>
      <c r="B91" s="62" t="inlineStr">
        <is>
          <t>SI</t>
        </is>
      </c>
      <c r="C91" s="62" t="n"/>
      <c r="D91" s="58">
        <f>IF(C91="";"";INDEX(PRODUCT!A:A;MATCH(C91;PRODUCT!B:B;0)))</f>
        <v/>
      </c>
      <c r="E91" s="62">
        <f>IF(C91="";"";VLOOKUP(C91;PRODUCT!B:C;2;FALSE))</f>
        <v/>
      </c>
      <c r="F91" s="62" t="n"/>
      <c r="G91" s="61" t="n"/>
      <c r="H91" s="61" t="n">
        <v>1</v>
      </c>
      <c r="I91" s="62" t="n"/>
      <c r="J91" s="60">
        <f>IF(I91&lt;&gt;"";I91;F91*H91)</f>
        <v/>
      </c>
      <c r="K91" s="61">
        <f>CONFIG!$B$6</f>
        <v/>
      </c>
      <c r="L91" s="61" t="n"/>
      <c r="M91" s="60" t="n"/>
      <c r="N91" s="2" t="n"/>
    </row>
    <row r="92" ht="15.75" customHeight="1" s="125">
      <c r="A92" s="2" t="n">
        <v>78</v>
      </c>
      <c r="B92" s="62" t="inlineStr">
        <is>
          <t>SI</t>
        </is>
      </c>
      <c r="C92" s="62" t="n"/>
      <c r="D92" s="58">
        <f>IF(C92="";"";INDEX(PRODUCT!A:A;MATCH(C92;PRODUCT!B:B;0)))</f>
        <v/>
      </c>
      <c r="E92" s="62">
        <f>IF(C92="";"";VLOOKUP(C92;PRODUCT!B:C;2;FALSE))</f>
        <v/>
      </c>
      <c r="F92" s="62" t="n"/>
      <c r="G92" s="61" t="n"/>
      <c r="H92" s="61" t="n">
        <v>1</v>
      </c>
      <c r="I92" s="62" t="n"/>
      <c r="J92" s="60">
        <f>IF(I92&lt;&gt;"";I92;F92*H92)</f>
        <v/>
      </c>
      <c r="K92" s="61">
        <f>CONFIG!$B$6</f>
        <v/>
      </c>
      <c r="L92" s="61" t="n"/>
      <c r="M92" s="60" t="n"/>
      <c r="N92" s="2" t="n"/>
    </row>
    <row r="93" ht="15.75" customHeight="1" s="125">
      <c r="A93" s="2" t="n">
        <v>79</v>
      </c>
      <c r="B93" s="62" t="inlineStr">
        <is>
          <t>SI</t>
        </is>
      </c>
      <c r="C93" s="62" t="n"/>
      <c r="D93" s="58">
        <f>IF(C93="";"";INDEX(PRODUCT!A:A;MATCH(C93;PRODUCT!B:B;0)))</f>
        <v/>
      </c>
      <c r="E93" s="62">
        <f>IF(C93="";"";VLOOKUP(C93;PRODUCT!B:C;2;FALSE))</f>
        <v/>
      </c>
      <c r="F93" s="62" t="n"/>
      <c r="G93" s="61" t="n"/>
      <c r="H93" s="61" t="n">
        <v>1</v>
      </c>
      <c r="I93" s="62" t="n"/>
      <c r="J93" s="60">
        <f>IF(I93&lt;&gt;"";I93;F93*H93)</f>
        <v/>
      </c>
      <c r="K93" s="61">
        <f>CONFIG!$B$6</f>
        <v/>
      </c>
      <c r="L93" s="61" t="n"/>
      <c r="M93" s="60" t="n"/>
      <c r="N93" s="2" t="n"/>
    </row>
    <row r="94" ht="15.75" customHeight="1" s="125">
      <c r="A94" s="2" t="n">
        <v>80</v>
      </c>
      <c r="B94" s="62" t="inlineStr">
        <is>
          <t>SI</t>
        </is>
      </c>
      <c r="C94" s="62" t="n"/>
      <c r="D94" s="58">
        <f>IF(C94="";"";INDEX(PRODUCT!A:A;MATCH(C94;PRODUCT!B:B;0)))</f>
        <v/>
      </c>
      <c r="E94" s="62">
        <f>IF(C94="";"";VLOOKUP(C94;PRODUCT!B:C;2;FALSE))</f>
        <v/>
      </c>
      <c r="F94" s="62" t="n"/>
      <c r="G94" s="61" t="n"/>
      <c r="H94" s="61" t="n">
        <v>1</v>
      </c>
      <c r="I94" s="62" t="n"/>
      <c r="J94" s="60">
        <f>IF(I94&lt;&gt;"";I94;F94*H94)</f>
        <v/>
      </c>
      <c r="K94" s="61">
        <f>CONFIG!$B$6</f>
        <v/>
      </c>
      <c r="L94" s="61" t="n"/>
      <c r="M94" s="60" t="n"/>
      <c r="N94" s="2" t="n"/>
    </row>
    <row r="95" ht="15.75" customHeight="1" s="125">
      <c r="A95" s="2" t="n">
        <v>81</v>
      </c>
      <c r="B95" s="62" t="inlineStr">
        <is>
          <t>SI</t>
        </is>
      </c>
      <c r="C95" s="62" t="n"/>
      <c r="D95" s="58">
        <f>IF(C95="";"";INDEX(PRODUCT!A:A;MATCH(C95;PRODUCT!B:B;0)))</f>
        <v/>
      </c>
      <c r="E95" s="62">
        <f>IF(C95="";"";VLOOKUP(C95;PRODUCT!B:C;2;FALSE))</f>
        <v/>
      </c>
      <c r="F95" s="62" t="n"/>
      <c r="G95" s="61" t="n"/>
      <c r="H95" s="61" t="n">
        <v>1</v>
      </c>
      <c r="I95" s="62" t="n"/>
      <c r="J95" s="60">
        <f>IF(I95&lt;&gt;"";I95;F95*H95)</f>
        <v/>
      </c>
      <c r="K95" s="61">
        <f>CONFIG!$B$6</f>
        <v/>
      </c>
      <c r="L95" s="61" t="n"/>
      <c r="M95" s="60" t="n"/>
      <c r="N95" s="2" t="n"/>
    </row>
    <row r="96" ht="15.75" customHeight="1" s="125">
      <c r="A96" s="2" t="n">
        <v>82</v>
      </c>
      <c r="B96" s="62" t="inlineStr">
        <is>
          <t>SI</t>
        </is>
      </c>
      <c r="C96" s="62" t="n"/>
      <c r="D96" s="58">
        <f>IF(C96="";"";INDEX(PRODUCT!A:A;MATCH(C96;PRODUCT!B:B;0)))</f>
        <v/>
      </c>
      <c r="E96" s="62">
        <f>IF(C96="";"";VLOOKUP(C96;PRODUCT!B:C;2;FALSE))</f>
        <v/>
      </c>
      <c r="F96" s="62" t="n"/>
      <c r="G96" s="61" t="n"/>
      <c r="H96" s="61" t="n">
        <v>1</v>
      </c>
      <c r="I96" s="62" t="n"/>
      <c r="J96" s="60">
        <f>IF(I96&lt;&gt;"";I96;F96*H96)</f>
        <v/>
      </c>
      <c r="K96" s="61">
        <f>CONFIG!$B$6</f>
        <v/>
      </c>
      <c r="L96" s="61" t="n"/>
      <c r="M96" s="60" t="n"/>
      <c r="N96" s="2" t="n"/>
    </row>
    <row r="97" ht="15.75" customHeight="1" s="125">
      <c r="A97" s="2" t="n">
        <v>83</v>
      </c>
      <c r="B97" s="62" t="inlineStr">
        <is>
          <t>SI</t>
        </is>
      </c>
      <c r="C97" s="62" t="n"/>
      <c r="D97" s="58">
        <f>IF(C97="";"";INDEX(PRODUCT!A:A;MATCH(C97;PRODUCT!B:B;0)))</f>
        <v/>
      </c>
      <c r="E97" s="62">
        <f>IF(C97="";"";VLOOKUP(C97;PRODUCT!B:C;2;FALSE))</f>
        <v/>
      </c>
      <c r="F97" s="62" t="n"/>
      <c r="G97" s="61" t="n"/>
      <c r="H97" s="61" t="n">
        <v>1</v>
      </c>
      <c r="I97" s="62" t="n"/>
      <c r="J97" s="60">
        <f>IF(I97&lt;&gt;"";I97;F97*H97)</f>
        <v/>
      </c>
      <c r="K97" s="61">
        <f>CONFIG!$B$6</f>
        <v/>
      </c>
      <c r="L97" s="61" t="n"/>
      <c r="M97" s="60" t="n"/>
      <c r="N97" s="2" t="n"/>
    </row>
    <row r="98" ht="15.75" customHeight="1" s="125">
      <c r="A98" s="2" t="n">
        <v>84</v>
      </c>
      <c r="B98" s="62" t="inlineStr">
        <is>
          <t>SI</t>
        </is>
      </c>
      <c r="C98" s="62" t="n"/>
      <c r="D98" s="58">
        <f>IF(C98="";"";INDEX(PRODUCT!A:A;MATCH(C98;PRODUCT!B:B;0)))</f>
        <v/>
      </c>
      <c r="E98" s="62">
        <f>IF(C98="";"";VLOOKUP(C98;PRODUCT!B:C;2;FALSE))</f>
        <v/>
      </c>
      <c r="F98" s="62" t="n"/>
      <c r="G98" s="61" t="n"/>
      <c r="H98" s="61" t="n">
        <v>1</v>
      </c>
      <c r="I98" s="62" t="n"/>
      <c r="J98" s="60">
        <f>IF(I98&lt;&gt;"";I98;F98*H98)</f>
        <v/>
      </c>
      <c r="K98" s="61">
        <f>CONFIG!$B$6</f>
        <v/>
      </c>
      <c r="L98" s="61" t="n"/>
      <c r="M98" s="60" t="n"/>
      <c r="N98" s="2" t="n"/>
    </row>
    <row r="99" ht="15.75" customHeight="1" s="125">
      <c r="A99" s="2" t="n">
        <v>85</v>
      </c>
      <c r="B99" s="62" t="inlineStr">
        <is>
          <t>SI</t>
        </is>
      </c>
      <c r="C99" s="62" t="n"/>
      <c r="D99" s="58">
        <f>IF(C99="";"";INDEX(PRODUCT!A:A;MATCH(C99;PRODUCT!B:B;0)))</f>
        <v/>
      </c>
      <c r="E99" s="62">
        <f>IF(C99="";"";VLOOKUP(C99;PRODUCT!B:C;2;FALSE))</f>
        <v/>
      </c>
      <c r="F99" s="62" t="n"/>
      <c r="G99" s="61" t="n"/>
      <c r="H99" s="61" t="n">
        <v>1</v>
      </c>
      <c r="I99" s="62" t="n"/>
      <c r="J99" s="60">
        <f>IF(I99&lt;&gt;"";I99;F99*H99)</f>
        <v/>
      </c>
      <c r="K99" s="61">
        <f>CONFIG!$B$6</f>
        <v/>
      </c>
      <c r="L99" s="61" t="n"/>
      <c r="M99" s="60" t="n"/>
      <c r="N99" s="2" t="n"/>
    </row>
    <row r="100" ht="15.75" customHeight="1" s="125">
      <c r="A100" s="2" t="n">
        <v>86</v>
      </c>
      <c r="B100" s="62" t="inlineStr">
        <is>
          <t>SI</t>
        </is>
      </c>
      <c r="C100" s="62" t="n"/>
      <c r="D100" s="58">
        <f>IF(C100="";"";INDEX(PRODUCT!A:A;MATCH(C100;PRODUCT!B:B;0)))</f>
        <v/>
      </c>
      <c r="E100" s="62">
        <f>IF(C100="";"";VLOOKUP(C100;PRODUCT!B:C;2;FALSE))</f>
        <v/>
      </c>
      <c r="F100" s="62" t="n"/>
      <c r="G100" s="61" t="n"/>
      <c r="H100" s="61" t="n">
        <v>1</v>
      </c>
      <c r="I100" s="62" t="n"/>
      <c r="J100" s="60">
        <f>IF(I100&lt;&gt;"";I100;F100*H100)</f>
        <v/>
      </c>
      <c r="K100" s="61">
        <f>CONFIG!$B$6</f>
        <v/>
      </c>
      <c r="L100" s="61" t="n"/>
      <c r="M100" s="60" t="n"/>
      <c r="N100" s="2" t="n"/>
    </row>
    <row r="101" ht="15.75" customHeight="1" s="125">
      <c r="A101" s="2" t="n">
        <v>87</v>
      </c>
      <c r="B101" s="62" t="inlineStr">
        <is>
          <t>SI</t>
        </is>
      </c>
      <c r="C101" s="62" t="n"/>
      <c r="D101" s="58">
        <f>IF(C101="";"";INDEX(PRODUCT!A:A;MATCH(C101;PRODUCT!B:B;0)))</f>
        <v/>
      </c>
      <c r="E101" s="62">
        <f>IF(C101="";"";VLOOKUP(C101;PRODUCT!B:C;2;FALSE))</f>
        <v/>
      </c>
      <c r="F101" s="62" t="n"/>
      <c r="G101" s="61" t="n"/>
      <c r="H101" s="61" t="n">
        <v>1</v>
      </c>
      <c r="I101" s="62" t="n"/>
      <c r="J101" s="60">
        <f>IF(I101&lt;&gt;"";I101;F101*H101)</f>
        <v/>
      </c>
      <c r="K101" s="61">
        <f>CONFIG!$B$6</f>
        <v/>
      </c>
      <c r="L101" s="61" t="n"/>
      <c r="M101" s="60" t="n"/>
      <c r="N101" s="2" t="n"/>
    </row>
    <row r="102" ht="15.75" customHeight="1" s="125">
      <c r="A102" s="2" t="n">
        <v>88</v>
      </c>
      <c r="B102" s="62" t="inlineStr">
        <is>
          <t>SI</t>
        </is>
      </c>
      <c r="C102" s="62" t="n"/>
      <c r="D102" s="58">
        <f>IF(C102="";"";INDEX(PRODUCT!A:A;MATCH(C102;PRODUCT!B:B;0)))</f>
        <v/>
      </c>
      <c r="E102" s="62">
        <f>IF(C102="";"";VLOOKUP(C102;PRODUCT!B:C;2;FALSE))</f>
        <v/>
      </c>
      <c r="F102" s="62" t="n"/>
      <c r="G102" s="61" t="n"/>
      <c r="H102" s="61" t="n">
        <v>1</v>
      </c>
      <c r="I102" s="62" t="n"/>
      <c r="J102" s="60">
        <f>IF(I102&lt;&gt;"";I102;F102*H102)</f>
        <v/>
      </c>
      <c r="K102" s="61">
        <f>CONFIG!$B$6</f>
        <v/>
      </c>
      <c r="L102" s="61" t="n"/>
      <c r="M102" s="60" t="n"/>
      <c r="N102" s="2" t="n"/>
    </row>
    <row r="103" ht="15.75" customHeight="1" s="125">
      <c r="A103" s="2" t="n">
        <v>89</v>
      </c>
      <c r="B103" s="62" t="inlineStr">
        <is>
          <t>SI</t>
        </is>
      </c>
      <c r="C103" s="62" t="n"/>
      <c r="D103" s="58">
        <f>IF(C103="";"";INDEX(PRODUCT!A:A;MATCH(C103;PRODUCT!B:B;0)))</f>
        <v/>
      </c>
      <c r="E103" s="62">
        <f>IF(C103="";"";VLOOKUP(C103;PRODUCT!B:C;2;FALSE))</f>
        <v/>
      </c>
      <c r="F103" s="62" t="n"/>
      <c r="G103" s="61" t="n"/>
      <c r="H103" s="61" t="n">
        <v>1</v>
      </c>
      <c r="I103" s="62" t="n"/>
      <c r="J103" s="60">
        <f>IF(I103&lt;&gt;"";I103;F103*H103)</f>
        <v/>
      </c>
      <c r="K103" s="61">
        <f>CONFIG!$B$6</f>
        <v/>
      </c>
      <c r="L103" s="61" t="n"/>
      <c r="M103" s="60" t="n"/>
      <c r="N103" s="2" t="n"/>
    </row>
    <row r="104" ht="15.75" customHeight="1" s="125">
      <c r="A104" s="2" t="n">
        <v>90</v>
      </c>
      <c r="B104" s="62" t="inlineStr">
        <is>
          <t>SI</t>
        </is>
      </c>
      <c r="C104" s="62" t="n"/>
      <c r="D104" s="58">
        <f>IF(C104="";"";INDEX(PRODUCT!A:A;MATCH(C104;PRODUCT!B:B;0)))</f>
        <v/>
      </c>
      <c r="E104" s="62">
        <f>IF(C104="";"";VLOOKUP(C104;PRODUCT!B:C;2;FALSE))</f>
        <v/>
      </c>
      <c r="F104" s="62" t="n"/>
      <c r="G104" s="61" t="n"/>
      <c r="H104" s="61" t="n">
        <v>1</v>
      </c>
      <c r="I104" s="62" t="n"/>
      <c r="J104" s="60">
        <f>IF(I104&lt;&gt;"";I104;F104*H104)</f>
        <v/>
      </c>
      <c r="K104" s="61">
        <f>CONFIG!$B$6</f>
        <v/>
      </c>
      <c r="L104" s="61" t="n"/>
      <c r="M104" s="60" t="n"/>
      <c r="N104" s="2" t="n"/>
    </row>
    <row r="105" ht="15.75" customHeight="1" s="125">
      <c r="A105" s="2" t="n">
        <v>91</v>
      </c>
      <c r="B105" s="62" t="inlineStr">
        <is>
          <t>SI</t>
        </is>
      </c>
      <c r="C105" s="62" t="n"/>
      <c r="D105" s="58">
        <f>IF(C105="";"";INDEX(PRODUCT!A:A;MATCH(C105;PRODUCT!B:B;0)))</f>
        <v/>
      </c>
      <c r="E105" s="62">
        <f>IF(C105="";"";VLOOKUP(C105;PRODUCT!B:C;2;FALSE))</f>
        <v/>
      </c>
      <c r="F105" s="62" t="n"/>
      <c r="G105" s="61" t="n"/>
      <c r="H105" s="61" t="n">
        <v>1</v>
      </c>
      <c r="I105" s="62" t="n"/>
      <c r="J105" s="60">
        <f>IF(I105&lt;&gt;"";I105;F105*H105)</f>
        <v/>
      </c>
      <c r="K105" s="61">
        <f>CONFIG!$B$6</f>
        <v/>
      </c>
      <c r="L105" s="61" t="n"/>
      <c r="M105" s="60" t="n"/>
      <c r="N105" s="2" t="n"/>
    </row>
    <row r="106" ht="15.75" customHeight="1" s="125">
      <c r="A106" s="2" t="n">
        <v>92</v>
      </c>
      <c r="B106" s="62" t="inlineStr">
        <is>
          <t>SI</t>
        </is>
      </c>
      <c r="C106" s="62" t="n"/>
      <c r="D106" s="58">
        <f>IF(C106="";"";INDEX(PRODUCT!A:A;MATCH(C106;PRODUCT!B:B;0)))</f>
        <v/>
      </c>
      <c r="E106" s="62">
        <f>IF(C106="";"";VLOOKUP(C106;PRODUCT!B:C;2;FALSE))</f>
        <v/>
      </c>
      <c r="F106" s="62" t="n"/>
      <c r="G106" s="61" t="n"/>
      <c r="H106" s="61" t="n">
        <v>1</v>
      </c>
      <c r="I106" s="62" t="n"/>
      <c r="J106" s="60">
        <f>IF(I106&lt;&gt;"";I106;F106*H106)</f>
        <v/>
      </c>
      <c r="K106" s="61">
        <f>CONFIG!$B$6</f>
        <v/>
      </c>
      <c r="L106" s="61" t="n"/>
      <c r="M106" s="60" t="n"/>
      <c r="N106" s="2" t="n"/>
    </row>
    <row r="107" ht="15.75" customHeight="1" s="125">
      <c r="A107" s="2" t="n">
        <v>93</v>
      </c>
      <c r="B107" s="62" t="inlineStr">
        <is>
          <t>SI</t>
        </is>
      </c>
      <c r="C107" s="62" t="n"/>
      <c r="D107" s="58">
        <f>IF(C107="";"";INDEX(PRODUCT!A:A;MATCH(C107;PRODUCT!B:B;0)))</f>
        <v/>
      </c>
      <c r="E107" s="62">
        <f>IF(C107="";"";VLOOKUP(C107;PRODUCT!B:C;2;FALSE))</f>
        <v/>
      </c>
      <c r="F107" s="62" t="n"/>
      <c r="G107" s="61" t="n"/>
      <c r="H107" s="61" t="n">
        <v>1</v>
      </c>
      <c r="I107" s="62" t="n"/>
      <c r="J107" s="60">
        <f>IF(I107&lt;&gt;"";I107;F107*H107)</f>
        <v/>
      </c>
      <c r="K107" s="61">
        <f>CONFIG!$B$6</f>
        <v/>
      </c>
      <c r="L107" s="61" t="n"/>
      <c r="M107" s="60" t="n"/>
      <c r="N107" s="2" t="n"/>
    </row>
    <row r="108" ht="15.75" customHeight="1" s="125">
      <c r="A108" s="2" t="n">
        <v>94</v>
      </c>
      <c r="B108" s="62" t="inlineStr">
        <is>
          <t>SI</t>
        </is>
      </c>
      <c r="C108" s="62" t="n"/>
      <c r="D108" s="58">
        <f>IF(C108="";"";INDEX(PRODUCT!A:A;MATCH(C108;PRODUCT!B:B;0)))</f>
        <v/>
      </c>
      <c r="E108" s="62">
        <f>IF(C108="";"";VLOOKUP(C108;PRODUCT!B:C;2;FALSE))</f>
        <v/>
      </c>
      <c r="F108" s="62" t="n"/>
      <c r="G108" s="61" t="n"/>
      <c r="H108" s="61" t="n">
        <v>1</v>
      </c>
      <c r="I108" s="62" t="n"/>
      <c r="J108" s="60">
        <f>IF(I108&lt;&gt;"";I108;F108*H108)</f>
        <v/>
      </c>
      <c r="K108" s="61">
        <f>CONFIG!$B$6</f>
        <v/>
      </c>
      <c r="L108" s="61" t="n"/>
      <c r="M108" s="60" t="n"/>
      <c r="N108" s="2" t="n"/>
    </row>
    <row r="109" ht="15.75" customHeight="1" s="125">
      <c r="A109" s="2" t="n">
        <v>95</v>
      </c>
      <c r="B109" s="62" t="inlineStr">
        <is>
          <t>SI</t>
        </is>
      </c>
      <c r="C109" s="62" t="n"/>
      <c r="D109" s="58">
        <f>IF(C109="";"";INDEX(PRODUCT!A:A;MATCH(C109;PRODUCT!B:B;0)))</f>
        <v/>
      </c>
      <c r="E109" s="62">
        <f>IF(C109="";"";VLOOKUP(C109;PRODUCT!B:C;2;FALSE))</f>
        <v/>
      </c>
      <c r="F109" s="62" t="n"/>
      <c r="G109" s="61" t="n"/>
      <c r="H109" s="61" t="n">
        <v>1</v>
      </c>
      <c r="I109" s="62" t="n"/>
      <c r="J109" s="60">
        <f>IF(I109&lt;&gt;"";I109;F109*H109)</f>
        <v/>
      </c>
      <c r="K109" s="61">
        <f>CONFIG!$B$6</f>
        <v/>
      </c>
      <c r="L109" s="61" t="n"/>
      <c r="M109" s="60" t="n"/>
      <c r="N109" s="2" t="n"/>
    </row>
    <row r="110" ht="15.75" customHeight="1" s="125">
      <c r="A110" s="2" t="n">
        <v>96</v>
      </c>
      <c r="B110" s="62" t="inlineStr">
        <is>
          <t>SI</t>
        </is>
      </c>
      <c r="C110" s="62" t="n"/>
      <c r="D110" s="58">
        <f>IF(C110="";"";INDEX(PRODUCT!A:A;MATCH(C110;PRODUCT!B:B;0)))</f>
        <v/>
      </c>
      <c r="E110" s="62">
        <f>IF(C110="";"";VLOOKUP(C110;PRODUCT!B:C;2;FALSE))</f>
        <v/>
      </c>
      <c r="F110" s="62" t="n"/>
      <c r="G110" s="61" t="n"/>
      <c r="H110" s="61" t="n">
        <v>1</v>
      </c>
      <c r="I110" s="62" t="n"/>
      <c r="J110" s="60">
        <f>IF(I110&lt;&gt;"";I110;F110*H110)</f>
        <v/>
      </c>
      <c r="K110" s="61">
        <f>CONFIG!$B$6</f>
        <v/>
      </c>
      <c r="L110" s="61" t="n"/>
      <c r="M110" s="60" t="n"/>
      <c r="N110" s="2" t="n"/>
    </row>
    <row r="111" ht="15.75" customHeight="1" s="125">
      <c r="A111" s="2" t="n">
        <v>97</v>
      </c>
      <c r="B111" s="62" t="inlineStr">
        <is>
          <t>SI</t>
        </is>
      </c>
      <c r="C111" s="62" t="n"/>
      <c r="D111" s="58">
        <f>IF(C111="";"";INDEX(PRODUCT!A:A;MATCH(C111;PRODUCT!B:B;0)))</f>
        <v/>
      </c>
      <c r="E111" s="62">
        <f>IF(C111="";"";VLOOKUP(C111;PRODUCT!B:C;2;FALSE))</f>
        <v/>
      </c>
      <c r="F111" s="62" t="n"/>
      <c r="G111" s="61" t="n"/>
      <c r="H111" s="61" t="n">
        <v>1</v>
      </c>
      <c r="I111" s="62" t="n"/>
      <c r="J111" s="60">
        <f>IF(I111&lt;&gt;"";I111;F111*H111)</f>
        <v/>
      </c>
      <c r="K111" s="61">
        <f>CONFIG!$B$6</f>
        <v/>
      </c>
      <c r="L111" s="61" t="n"/>
      <c r="M111" s="60" t="n"/>
      <c r="N111" s="2" t="n"/>
    </row>
    <row r="112" ht="15.75" customHeight="1" s="125">
      <c r="A112" s="2" t="n">
        <v>98</v>
      </c>
      <c r="B112" s="62" t="inlineStr">
        <is>
          <t>SI</t>
        </is>
      </c>
      <c r="C112" s="62" t="n"/>
      <c r="D112" s="58">
        <f>IF(C112="";"";INDEX(PRODUCT!A:A;MATCH(C112;PRODUCT!B:B;0)))</f>
        <v/>
      </c>
      <c r="E112" s="62">
        <f>IF(C112="";"";VLOOKUP(C112;PRODUCT!B:C;2;FALSE))</f>
        <v/>
      </c>
      <c r="F112" s="62" t="n"/>
      <c r="G112" s="61" t="n"/>
      <c r="H112" s="61" t="n">
        <v>1</v>
      </c>
      <c r="I112" s="62" t="n"/>
      <c r="J112" s="60">
        <f>IF(I112&lt;&gt;"";I112;F112*H112)</f>
        <v/>
      </c>
      <c r="K112" s="61">
        <f>CONFIG!$B$6</f>
        <v/>
      </c>
      <c r="L112" s="61" t="n"/>
      <c r="M112" s="60" t="n"/>
      <c r="N112" s="2" t="n"/>
    </row>
    <row r="113" ht="15.75" customHeight="1" s="125">
      <c r="A113" s="2" t="n">
        <v>99</v>
      </c>
      <c r="B113" s="62" t="inlineStr">
        <is>
          <t>SI</t>
        </is>
      </c>
      <c r="C113" s="62" t="n"/>
      <c r="D113" s="58">
        <f>IF(C113="";"";INDEX(PRODUCT!A:A;MATCH(C113;PRODUCT!B:B;0)))</f>
        <v/>
      </c>
      <c r="E113" s="62">
        <f>IF(C113="";"";VLOOKUP(C113;PRODUCT!B:C;2;FALSE))</f>
        <v/>
      </c>
      <c r="F113" s="62" t="n"/>
      <c r="G113" s="61" t="n"/>
      <c r="H113" s="61" t="n">
        <v>1</v>
      </c>
      <c r="I113" s="62" t="n"/>
      <c r="J113" s="60">
        <f>IF(I113&lt;&gt;"";I113;F113*H113)</f>
        <v/>
      </c>
      <c r="K113" s="61">
        <f>CONFIG!$B$6</f>
        <v/>
      </c>
      <c r="L113" s="61" t="n"/>
      <c r="M113" s="60" t="n"/>
      <c r="N113" s="2" t="n"/>
    </row>
    <row r="114" ht="15.75" customHeight="1" s="125">
      <c r="A114" s="2" t="n">
        <v>100</v>
      </c>
      <c r="B114" s="62" t="inlineStr">
        <is>
          <t>SI</t>
        </is>
      </c>
      <c r="C114" s="62" t="n"/>
      <c r="D114" s="58">
        <f>IF(C114="";"";INDEX(PRODUCT!A:A;MATCH(C114;PRODUCT!B:B;0)))</f>
        <v/>
      </c>
      <c r="E114" s="62">
        <f>IF(C114="";"";VLOOKUP(C114;PRODUCT!B:C;2;FALSE))</f>
        <v/>
      </c>
      <c r="F114" s="62" t="n"/>
      <c r="G114" s="61" t="n"/>
      <c r="H114" s="61" t="n">
        <v>1</v>
      </c>
      <c r="I114" s="62" t="n"/>
      <c r="J114" s="60">
        <f>IF(I114&lt;&gt;"";I114;F114*H114)</f>
        <v/>
      </c>
      <c r="K114" s="61">
        <f>CONFIG!$B$6</f>
        <v/>
      </c>
      <c r="L114" s="61" t="n"/>
      <c r="M114" s="60" t="n"/>
      <c r="N114" s="2" t="n"/>
    </row>
    <row r="115" ht="15.75" customHeight="1" s="125">
      <c r="A115" s="2" t="n">
        <v>101</v>
      </c>
      <c r="B115" s="62" t="inlineStr">
        <is>
          <t>SI</t>
        </is>
      </c>
      <c r="C115" s="62" t="n"/>
      <c r="D115" s="58">
        <f>IF(C115="";"";INDEX(PRODUCT!A:A;MATCH(C115;PRODUCT!B:B;0)))</f>
        <v/>
      </c>
      <c r="E115" s="62">
        <f>IF(C115="";"";VLOOKUP(C115;PRODUCT!B:C;2;FALSE))</f>
        <v/>
      </c>
      <c r="F115" s="62" t="n"/>
      <c r="G115" s="61" t="n"/>
      <c r="H115" s="61" t="n">
        <v>1</v>
      </c>
      <c r="I115" s="62" t="n"/>
      <c r="J115" s="60">
        <f>IF(I115&lt;&gt;"";I115;F115*H115)</f>
        <v/>
      </c>
      <c r="K115" s="61">
        <f>CONFIG!$B$6</f>
        <v/>
      </c>
      <c r="L115" s="61" t="n"/>
      <c r="M115" s="60" t="n"/>
      <c r="N115" s="2" t="n"/>
    </row>
    <row r="116" ht="15.75" customHeight="1" s="125">
      <c r="A116" s="2" t="n">
        <v>102</v>
      </c>
      <c r="B116" s="62" t="inlineStr">
        <is>
          <t>SI</t>
        </is>
      </c>
      <c r="C116" s="62" t="n"/>
      <c r="D116" s="58">
        <f>IF(C116="";"";INDEX(PRODUCT!A:A;MATCH(C116;PRODUCT!B:B;0)))</f>
        <v/>
      </c>
      <c r="E116" s="62">
        <f>IF(C116="";"";VLOOKUP(C116;PRODUCT!B:C;2;FALSE))</f>
        <v/>
      </c>
      <c r="F116" s="62" t="n"/>
      <c r="G116" s="61" t="n"/>
      <c r="H116" s="61" t="n">
        <v>1</v>
      </c>
      <c r="I116" s="62" t="n"/>
      <c r="J116" s="60">
        <f>IF(I116&lt;&gt;"";I116;F116*H116)</f>
        <v/>
      </c>
      <c r="K116" s="61">
        <f>CONFIG!$B$6</f>
        <v/>
      </c>
      <c r="L116" s="61" t="n"/>
      <c r="M116" s="60" t="n"/>
      <c r="N116" s="2" t="n"/>
    </row>
    <row r="117" ht="15.75" customHeight="1" s="125">
      <c r="A117" s="2" t="n">
        <v>103</v>
      </c>
      <c r="B117" s="62" t="inlineStr">
        <is>
          <t>SI</t>
        </is>
      </c>
      <c r="C117" s="62" t="n"/>
      <c r="D117" s="58">
        <f>IF(C117="";"";INDEX(PRODUCT!A:A;MATCH(C117;PRODUCT!B:B;0)))</f>
        <v/>
      </c>
      <c r="E117" s="62">
        <f>IF(C117="";"";VLOOKUP(C117;PRODUCT!B:C;2;FALSE))</f>
        <v/>
      </c>
      <c r="F117" s="62" t="n"/>
      <c r="G117" s="61" t="n"/>
      <c r="H117" s="61" t="n">
        <v>1</v>
      </c>
      <c r="I117" s="62" t="n"/>
      <c r="J117" s="60">
        <f>IF(I117&lt;&gt;"";I117;F117*H117)</f>
        <v/>
      </c>
      <c r="K117" s="61">
        <f>CONFIG!$B$6</f>
        <v/>
      </c>
      <c r="L117" s="61" t="n"/>
      <c r="M117" s="60" t="n"/>
      <c r="N117" s="2" t="n"/>
    </row>
    <row r="118" ht="15.75" customHeight="1" s="125">
      <c r="A118" s="2" t="n">
        <v>104</v>
      </c>
      <c r="B118" s="62" t="inlineStr">
        <is>
          <t>SI</t>
        </is>
      </c>
      <c r="C118" s="62" t="n"/>
      <c r="D118" s="58">
        <f>IF(C118="";"";INDEX(PRODUCT!A:A;MATCH(C118;PRODUCT!B:B;0)))</f>
        <v/>
      </c>
      <c r="E118" s="62">
        <f>IF(C118="";"";VLOOKUP(C118;PRODUCT!B:C;2;FALSE))</f>
        <v/>
      </c>
      <c r="F118" s="62" t="n"/>
      <c r="G118" s="61" t="n"/>
      <c r="H118" s="61" t="n">
        <v>1</v>
      </c>
      <c r="I118" s="62" t="n"/>
      <c r="J118" s="60">
        <f>IF(I118&lt;&gt;"";I118;F118*H118)</f>
        <v/>
      </c>
      <c r="K118" s="61">
        <f>CONFIG!$B$6</f>
        <v/>
      </c>
      <c r="L118" s="61" t="n"/>
      <c r="M118" s="60" t="n"/>
      <c r="N118" s="2" t="n"/>
    </row>
    <row r="119" ht="15.75" customHeight="1" s="125">
      <c r="A119" s="2" t="n">
        <v>105</v>
      </c>
      <c r="B119" s="62" t="inlineStr">
        <is>
          <t>SI</t>
        </is>
      </c>
      <c r="C119" s="62" t="n"/>
      <c r="D119" s="58">
        <f>IF(C119="";"";INDEX(PRODUCT!A:A;MATCH(C119;PRODUCT!B:B;0)))</f>
        <v/>
      </c>
      <c r="E119" s="62">
        <f>IF(C119="";"";VLOOKUP(C119;PRODUCT!B:C;2;FALSE))</f>
        <v/>
      </c>
      <c r="F119" s="62" t="n"/>
      <c r="G119" s="61" t="n"/>
      <c r="H119" s="61" t="n">
        <v>1</v>
      </c>
      <c r="I119" s="62" t="n"/>
      <c r="J119" s="60">
        <f>IF(I119&lt;&gt;"";I119;F119*H119)</f>
        <v/>
      </c>
      <c r="K119" s="61">
        <f>CONFIG!$B$6</f>
        <v/>
      </c>
      <c r="L119" s="61" t="n"/>
      <c r="M119" s="60" t="n"/>
      <c r="N119" s="2" t="n"/>
    </row>
    <row r="120" ht="15.75" customHeight="1" s="125">
      <c r="A120" s="2" t="n">
        <v>106</v>
      </c>
      <c r="B120" s="62" t="inlineStr">
        <is>
          <t>SI</t>
        </is>
      </c>
      <c r="C120" s="62" t="n"/>
      <c r="D120" s="58">
        <f>IF(C120="";"";INDEX(PRODUCT!A:A;MATCH(C120;PRODUCT!B:B;0)))</f>
        <v/>
      </c>
      <c r="E120" s="62">
        <f>IF(C120="";"";VLOOKUP(C120;PRODUCT!B:C;2;FALSE))</f>
        <v/>
      </c>
      <c r="F120" s="62" t="n"/>
      <c r="G120" s="61" t="n"/>
      <c r="H120" s="61" t="n">
        <v>1</v>
      </c>
      <c r="I120" s="62" t="n"/>
      <c r="J120" s="60">
        <f>IF(I120&lt;&gt;"";I120;F120*H120)</f>
        <v/>
      </c>
      <c r="K120" s="61">
        <f>CONFIG!$B$6</f>
        <v/>
      </c>
      <c r="L120" s="61" t="n"/>
      <c r="M120" s="60" t="n"/>
      <c r="N120" s="2" t="n"/>
    </row>
    <row r="121" ht="15.75" customHeight="1" s="125">
      <c r="A121" s="2" t="n">
        <v>107</v>
      </c>
      <c r="B121" s="62" t="inlineStr">
        <is>
          <t>SI</t>
        </is>
      </c>
      <c r="C121" s="62" t="n"/>
      <c r="D121" s="58">
        <f>IF(C121="";"";INDEX(PRODUCT!A:A;MATCH(C121;PRODUCT!B:B;0)))</f>
        <v/>
      </c>
      <c r="E121" s="62">
        <f>IF(C121="";"";VLOOKUP(C121;PRODUCT!B:C;2;FALSE))</f>
        <v/>
      </c>
      <c r="F121" s="62" t="n"/>
      <c r="G121" s="61" t="n"/>
      <c r="H121" s="61" t="n">
        <v>1</v>
      </c>
      <c r="I121" s="62" t="n"/>
      <c r="J121" s="60">
        <f>IF(I121&lt;&gt;"";I121;F121*H121)</f>
        <v/>
      </c>
      <c r="K121" s="61">
        <f>CONFIG!$B$6</f>
        <v/>
      </c>
      <c r="L121" s="61" t="n"/>
      <c r="M121" s="60" t="n"/>
      <c r="N121" s="2" t="n"/>
    </row>
    <row r="122" ht="15.75" customHeight="1" s="125">
      <c r="A122" s="2" t="n">
        <v>108</v>
      </c>
      <c r="B122" s="62" t="inlineStr">
        <is>
          <t>SI</t>
        </is>
      </c>
      <c r="C122" s="62" t="n"/>
      <c r="D122" s="58">
        <f>IF(C122="";"";INDEX(PRODUCT!A:A;MATCH(C122;PRODUCT!B:B;0)))</f>
        <v/>
      </c>
      <c r="E122" s="62">
        <f>IF(C122="";"";VLOOKUP(C122;PRODUCT!B:C;2;FALSE))</f>
        <v/>
      </c>
      <c r="F122" s="62" t="n"/>
      <c r="G122" s="61" t="n"/>
      <c r="H122" s="61" t="n">
        <v>1</v>
      </c>
      <c r="I122" s="62" t="n"/>
      <c r="J122" s="60">
        <f>IF(I122&lt;&gt;"";I122;F122*H122)</f>
        <v/>
      </c>
      <c r="K122" s="61">
        <f>CONFIG!$B$6</f>
        <v/>
      </c>
      <c r="L122" s="61" t="n"/>
      <c r="M122" s="60" t="n"/>
      <c r="N122" s="2" t="n"/>
    </row>
    <row r="123" ht="15.75" customHeight="1" s="125">
      <c r="A123" s="2" t="n">
        <v>109</v>
      </c>
      <c r="B123" s="62" t="inlineStr">
        <is>
          <t>SI</t>
        </is>
      </c>
      <c r="C123" s="62" t="n"/>
      <c r="D123" s="58">
        <f>IF(C123="";"";INDEX(PRODUCT!A:A;MATCH(C123;PRODUCT!B:B;0)))</f>
        <v/>
      </c>
      <c r="E123" s="62">
        <f>IF(C123="";"";VLOOKUP(C123;PRODUCT!B:C;2;FALSE))</f>
        <v/>
      </c>
      <c r="F123" s="62" t="n"/>
      <c r="G123" s="61" t="n"/>
      <c r="H123" s="61" t="n">
        <v>1</v>
      </c>
      <c r="I123" s="62" t="n"/>
      <c r="J123" s="60">
        <f>IF(I123&lt;&gt;"";I123;F123*H123)</f>
        <v/>
      </c>
      <c r="K123" s="61">
        <f>CONFIG!$B$6</f>
        <v/>
      </c>
      <c r="L123" s="61" t="n"/>
      <c r="M123" s="60" t="n"/>
      <c r="N123" s="2" t="n"/>
    </row>
    <row r="124" ht="15.75" customHeight="1" s="125">
      <c r="A124" s="2" t="n">
        <v>110</v>
      </c>
      <c r="B124" s="62" t="inlineStr">
        <is>
          <t>SI</t>
        </is>
      </c>
      <c r="C124" s="62" t="n"/>
      <c r="D124" s="58">
        <f>IF(C124="";"";INDEX(PRODUCT!A:A;MATCH(C124;PRODUCT!B:B;0)))</f>
        <v/>
      </c>
      <c r="E124" s="62">
        <f>IF(C124="";"";VLOOKUP(C124;PRODUCT!B:C;2;FALSE))</f>
        <v/>
      </c>
      <c r="F124" s="62" t="n"/>
      <c r="G124" s="61" t="n"/>
      <c r="H124" s="61" t="n">
        <v>1</v>
      </c>
      <c r="I124" s="62" t="n"/>
      <c r="J124" s="60">
        <f>IF(I124&lt;&gt;"";I124;F124*H124)</f>
        <v/>
      </c>
      <c r="K124" s="61">
        <f>CONFIG!$B$6</f>
        <v/>
      </c>
      <c r="L124" s="61" t="n"/>
      <c r="M124" s="60" t="n"/>
      <c r="N124" s="2" t="n"/>
    </row>
    <row r="125" ht="15.75" customHeight="1" s="125">
      <c r="A125" s="2" t="n">
        <v>111</v>
      </c>
      <c r="B125" s="62" t="inlineStr">
        <is>
          <t>SI</t>
        </is>
      </c>
      <c r="C125" s="62" t="n"/>
      <c r="D125" s="58">
        <f>IF(C125="";"";INDEX(PRODUCT!A:A;MATCH(C125;PRODUCT!B:B;0)))</f>
        <v/>
      </c>
      <c r="E125" s="62">
        <f>IF(C125="";"";VLOOKUP(C125;PRODUCT!B:C;2;FALSE))</f>
        <v/>
      </c>
      <c r="F125" s="62" t="n"/>
      <c r="G125" s="61" t="n"/>
      <c r="H125" s="61" t="n">
        <v>1</v>
      </c>
      <c r="I125" s="62" t="n"/>
      <c r="J125" s="60">
        <f>IF(I125&lt;&gt;"";I125;F125*H125)</f>
        <v/>
      </c>
      <c r="K125" s="61">
        <f>CONFIG!$B$6</f>
        <v/>
      </c>
      <c r="L125" s="61" t="n"/>
      <c r="M125" s="60" t="n"/>
      <c r="N125" s="2" t="n"/>
    </row>
    <row r="126" ht="15.75" customHeight="1" s="125">
      <c r="A126" s="2" t="n">
        <v>112</v>
      </c>
      <c r="B126" s="62" t="inlineStr">
        <is>
          <t>SI</t>
        </is>
      </c>
      <c r="C126" s="62" t="n"/>
      <c r="D126" s="58">
        <f>IF(C126="";"";INDEX(PRODUCT!A:A;MATCH(C126;PRODUCT!B:B;0)))</f>
        <v/>
      </c>
      <c r="E126" s="62">
        <f>IF(C126="";"";VLOOKUP(C126;PRODUCT!B:C;2;FALSE))</f>
        <v/>
      </c>
      <c r="F126" s="62" t="n"/>
      <c r="G126" s="61" t="n"/>
      <c r="H126" s="61" t="n">
        <v>1</v>
      </c>
      <c r="I126" s="62" t="n"/>
      <c r="J126" s="60">
        <f>IF(I126&lt;&gt;"";I126;F126*H126)</f>
        <v/>
      </c>
      <c r="K126" s="61">
        <f>CONFIG!$B$6</f>
        <v/>
      </c>
      <c r="L126" s="61" t="n"/>
      <c r="M126" s="60" t="n"/>
      <c r="N126" s="2" t="n"/>
    </row>
    <row r="127" ht="15.75" customHeight="1" s="125">
      <c r="A127" s="2" t="n">
        <v>113</v>
      </c>
      <c r="B127" s="62" t="inlineStr">
        <is>
          <t>SI</t>
        </is>
      </c>
      <c r="C127" s="62" t="n"/>
      <c r="D127" s="58">
        <f>IF(C127="";"";INDEX(PRODUCT!A:A;MATCH(C127;PRODUCT!B:B;0)))</f>
        <v/>
      </c>
      <c r="E127" s="62">
        <f>IF(C127="";"";VLOOKUP(C127;PRODUCT!B:C;2;FALSE))</f>
        <v/>
      </c>
      <c r="F127" s="62" t="n"/>
      <c r="G127" s="61" t="n"/>
      <c r="H127" s="61" t="n">
        <v>1</v>
      </c>
      <c r="I127" s="62" t="n"/>
      <c r="J127" s="60">
        <f>IF(I127&lt;&gt;"";I127;F127*H127)</f>
        <v/>
      </c>
      <c r="K127" s="61">
        <f>CONFIG!$B$6</f>
        <v/>
      </c>
      <c r="L127" s="61" t="n"/>
      <c r="M127" s="60" t="n"/>
      <c r="N127" s="2" t="n"/>
    </row>
    <row r="128" ht="15.75" customHeight="1" s="125">
      <c r="A128" s="2" t="n">
        <v>114</v>
      </c>
      <c r="B128" s="62" t="inlineStr">
        <is>
          <t>SI</t>
        </is>
      </c>
      <c r="C128" s="62" t="n"/>
      <c r="D128" s="58">
        <f>IF(C128="";"";INDEX(PRODUCT!A:A;MATCH(C128;PRODUCT!B:B;0)))</f>
        <v/>
      </c>
      <c r="E128" s="62">
        <f>IF(C128="";"";VLOOKUP(C128;PRODUCT!B:C;2;FALSE))</f>
        <v/>
      </c>
      <c r="F128" s="62" t="n"/>
      <c r="G128" s="61" t="n"/>
      <c r="H128" s="61" t="n">
        <v>1</v>
      </c>
      <c r="I128" s="62" t="n"/>
      <c r="J128" s="60">
        <f>IF(I128&lt;&gt;"";I128;F128*H128)</f>
        <v/>
      </c>
      <c r="K128" s="61">
        <f>CONFIG!$B$6</f>
        <v/>
      </c>
      <c r="L128" s="61" t="n"/>
      <c r="M128" s="60" t="n"/>
      <c r="N128" s="2" t="n"/>
    </row>
    <row r="129" ht="15.75" customHeight="1" s="125">
      <c r="A129" s="2" t="n">
        <v>115</v>
      </c>
      <c r="B129" s="62" t="inlineStr">
        <is>
          <t>SI</t>
        </is>
      </c>
      <c r="C129" s="62" t="n"/>
      <c r="D129" s="58">
        <f>IF(C129="";"";INDEX(PRODUCT!A:A;MATCH(C129;PRODUCT!B:B;0)))</f>
        <v/>
      </c>
      <c r="E129" s="62">
        <f>IF(C129="";"";VLOOKUP(C129;PRODUCT!B:C;2;FALSE))</f>
        <v/>
      </c>
      <c r="F129" s="62" t="n"/>
      <c r="G129" s="61" t="n"/>
      <c r="H129" s="61" t="n">
        <v>1</v>
      </c>
      <c r="I129" s="62" t="n"/>
      <c r="J129" s="60">
        <f>IF(I129&lt;&gt;"";I129;F129*H129)</f>
        <v/>
      </c>
      <c r="K129" s="61">
        <f>CONFIG!$B$6</f>
        <v/>
      </c>
      <c r="L129" s="61" t="n"/>
      <c r="M129" s="60" t="n"/>
      <c r="N129" s="2" t="n"/>
    </row>
    <row r="130" ht="15.75" customHeight="1" s="125">
      <c r="A130" s="2" t="n">
        <v>116</v>
      </c>
      <c r="B130" s="62" t="inlineStr">
        <is>
          <t>SI</t>
        </is>
      </c>
      <c r="C130" s="62" t="n"/>
      <c r="D130" s="58">
        <f>IF(C130="";"";INDEX(PRODUCT!A:A;MATCH(C130;PRODUCT!B:B;0)))</f>
        <v/>
      </c>
      <c r="E130" s="62">
        <f>IF(C130="";"";VLOOKUP(C130;PRODUCT!B:C;2;FALSE))</f>
        <v/>
      </c>
      <c r="F130" s="62" t="n"/>
      <c r="G130" s="61" t="n"/>
      <c r="H130" s="61" t="n">
        <v>1</v>
      </c>
      <c r="I130" s="62" t="n"/>
      <c r="J130" s="60">
        <f>IF(I130&lt;&gt;"";I130;F130*H130)</f>
        <v/>
      </c>
      <c r="K130" s="61">
        <f>CONFIG!$B$6</f>
        <v/>
      </c>
      <c r="L130" s="61" t="n"/>
      <c r="M130" s="60" t="n"/>
      <c r="N130" s="2" t="n"/>
    </row>
    <row r="131" ht="15.75" customHeight="1" s="125">
      <c r="A131" s="2" t="n">
        <v>117</v>
      </c>
      <c r="B131" s="62" t="inlineStr">
        <is>
          <t>SI</t>
        </is>
      </c>
      <c r="C131" s="62" t="n"/>
      <c r="D131" s="58">
        <f>IF(C131="";"";INDEX(PRODUCT!A:A;MATCH(C131;PRODUCT!B:B;0)))</f>
        <v/>
      </c>
      <c r="E131" s="62">
        <f>IF(C131="";"";VLOOKUP(C131;PRODUCT!B:C;2;FALSE))</f>
        <v/>
      </c>
      <c r="F131" s="62" t="n"/>
      <c r="G131" s="61" t="n"/>
      <c r="H131" s="61" t="n">
        <v>1</v>
      </c>
      <c r="I131" s="62" t="n"/>
      <c r="J131" s="60">
        <f>IF(I131&lt;&gt;"";I131;F131*H131)</f>
        <v/>
      </c>
      <c r="K131" s="61">
        <f>CONFIG!$B$6</f>
        <v/>
      </c>
      <c r="L131" s="61" t="n"/>
      <c r="M131" s="60" t="n"/>
      <c r="N131" s="2" t="n"/>
    </row>
    <row r="132" ht="15.75" customHeight="1" s="125">
      <c r="A132" s="2" t="n">
        <v>118</v>
      </c>
      <c r="B132" s="62" t="inlineStr">
        <is>
          <t>SI</t>
        </is>
      </c>
      <c r="C132" s="62" t="n"/>
      <c r="D132" s="58">
        <f>IF(C132="";"";INDEX(PRODUCT!A:A;MATCH(C132;PRODUCT!B:B;0)))</f>
        <v/>
      </c>
      <c r="E132" s="62">
        <f>IF(C132="";"";VLOOKUP(C132;PRODUCT!B:C;2;FALSE))</f>
        <v/>
      </c>
      <c r="F132" s="62" t="n"/>
      <c r="G132" s="61" t="n"/>
      <c r="H132" s="61" t="n">
        <v>1</v>
      </c>
      <c r="I132" s="62" t="n"/>
      <c r="J132" s="60">
        <f>IF(I132&lt;&gt;"";I132;F132*H132)</f>
        <v/>
      </c>
      <c r="K132" s="61">
        <f>CONFIG!$B$6</f>
        <v/>
      </c>
      <c r="L132" s="61" t="n"/>
      <c r="M132" s="60" t="n"/>
      <c r="N132" s="2" t="n"/>
    </row>
    <row r="133" ht="15.75" customHeight="1" s="125">
      <c r="A133" s="2" t="n">
        <v>119</v>
      </c>
      <c r="B133" s="62" t="inlineStr">
        <is>
          <t>SI</t>
        </is>
      </c>
      <c r="C133" s="62" t="n"/>
      <c r="D133" s="58">
        <f>IF(C133="";"";INDEX(PRODUCT!A:A;MATCH(C133;PRODUCT!B:B;0)))</f>
        <v/>
      </c>
      <c r="E133" s="62">
        <f>IF(C133="";"";VLOOKUP(C133;PRODUCT!B:C;2;FALSE))</f>
        <v/>
      </c>
      <c r="F133" s="62" t="n"/>
      <c r="G133" s="61" t="n"/>
      <c r="H133" s="61" t="n">
        <v>1</v>
      </c>
      <c r="I133" s="62" t="n"/>
      <c r="J133" s="60">
        <f>IF(I133&lt;&gt;"";I133;F133*H133)</f>
        <v/>
      </c>
      <c r="K133" s="61">
        <f>CONFIG!$B$6</f>
        <v/>
      </c>
      <c r="L133" s="61" t="n"/>
      <c r="M133" s="60" t="n"/>
      <c r="N133" s="2" t="n"/>
    </row>
    <row r="134" ht="15.75" customHeight="1" s="125">
      <c r="A134" s="2" t="n">
        <v>120</v>
      </c>
      <c r="B134" s="62" t="inlineStr">
        <is>
          <t>SI</t>
        </is>
      </c>
      <c r="C134" s="62" t="n"/>
      <c r="D134" s="58">
        <f>IF(C134="";"";INDEX(PRODUCT!A:A;MATCH(C134;PRODUCT!B:B;0)))</f>
        <v/>
      </c>
      <c r="E134" s="62">
        <f>IF(C134="";"";VLOOKUP(C134;PRODUCT!B:C;2;FALSE))</f>
        <v/>
      </c>
      <c r="F134" s="62" t="n"/>
      <c r="G134" s="61" t="n"/>
      <c r="H134" s="61" t="n">
        <v>1</v>
      </c>
      <c r="I134" s="62" t="n"/>
      <c r="J134" s="60">
        <f>IF(I134&lt;&gt;"";I134;F134*H134)</f>
        <v/>
      </c>
      <c r="K134" s="61">
        <f>CONFIG!$B$6</f>
        <v/>
      </c>
      <c r="L134" s="61" t="n"/>
      <c r="M134" s="60" t="n"/>
      <c r="N134" s="2" t="n"/>
    </row>
    <row r="135" ht="15.75" customHeight="1" s="125">
      <c r="A135" s="2" t="n">
        <v>121</v>
      </c>
      <c r="B135" s="62" t="inlineStr">
        <is>
          <t>SI</t>
        </is>
      </c>
      <c r="C135" s="62" t="n"/>
      <c r="D135" s="58">
        <f>IF(C135="";"";INDEX(PRODUCT!A:A;MATCH(C135;PRODUCT!B:B;0)))</f>
        <v/>
      </c>
      <c r="E135" s="62">
        <f>IF(C135="";"";VLOOKUP(C135;PRODUCT!B:C;2;FALSE))</f>
        <v/>
      </c>
      <c r="F135" s="62" t="n"/>
      <c r="G135" s="61" t="n"/>
      <c r="H135" s="61" t="n">
        <v>1</v>
      </c>
      <c r="I135" s="62" t="n"/>
      <c r="J135" s="60">
        <f>IF(I135&lt;&gt;"";I135;F135*H135)</f>
        <v/>
      </c>
      <c r="K135" s="61">
        <f>CONFIG!$B$6</f>
        <v/>
      </c>
      <c r="L135" s="61" t="n"/>
      <c r="M135" s="60" t="n"/>
      <c r="N135" s="2" t="n"/>
    </row>
    <row r="136" ht="15.75" customHeight="1" s="125">
      <c r="A136" s="2" t="n">
        <v>122</v>
      </c>
      <c r="B136" s="62" t="inlineStr">
        <is>
          <t>SI</t>
        </is>
      </c>
      <c r="C136" s="62" t="n"/>
      <c r="D136" s="58">
        <f>IF(C136="";"";INDEX(PRODUCT!A:A;MATCH(C136;PRODUCT!B:B;0)))</f>
        <v/>
      </c>
      <c r="E136" s="62">
        <f>IF(C136="";"";VLOOKUP(C136;PRODUCT!B:C;2;FALSE))</f>
        <v/>
      </c>
      <c r="F136" s="62" t="n"/>
      <c r="G136" s="61" t="n"/>
      <c r="H136" s="61" t="n">
        <v>1</v>
      </c>
      <c r="I136" s="62" t="n"/>
      <c r="J136" s="60">
        <f>IF(I136&lt;&gt;"";I136;F136*H136)</f>
        <v/>
      </c>
      <c r="K136" s="61">
        <f>CONFIG!$B$6</f>
        <v/>
      </c>
      <c r="L136" s="61" t="n"/>
      <c r="M136" s="60" t="n"/>
      <c r="N136" s="2" t="n"/>
    </row>
    <row r="137" ht="15.75" customHeight="1" s="125">
      <c r="A137" s="2" t="n">
        <v>123</v>
      </c>
      <c r="B137" s="62" t="inlineStr">
        <is>
          <t>SI</t>
        </is>
      </c>
      <c r="C137" s="62" t="n"/>
      <c r="D137" s="58">
        <f>IF(C137="";"";INDEX(PRODUCT!A:A;MATCH(C137;PRODUCT!B:B;0)))</f>
        <v/>
      </c>
      <c r="E137" s="62">
        <f>IF(C137="";"";VLOOKUP(C137;PRODUCT!B:C;2;FALSE))</f>
        <v/>
      </c>
      <c r="F137" s="62" t="n"/>
      <c r="G137" s="61" t="n"/>
      <c r="H137" s="61" t="n">
        <v>1</v>
      </c>
      <c r="I137" s="62" t="n"/>
      <c r="J137" s="60">
        <f>IF(I137&lt;&gt;"";I137;F137*H137)</f>
        <v/>
      </c>
      <c r="K137" s="61">
        <f>CONFIG!$B$6</f>
        <v/>
      </c>
      <c r="L137" s="61" t="n"/>
      <c r="M137" s="60" t="n"/>
      <c r="N137" s="2" t="n"/>
    </row>
    <row r="138" ht="15.75" customHeight="1" s="125">
      <c r="A138" s="2" t="n">
        <v>124</v>
      </c>
      <c r="B138" s="62" t="inlineStr">
        <is>
          <t>SI</t>
        </is>
      </c>
      <c r="C138" s="62" t="n"/>
      <c r="D138" s="58">
        <f>IF(C138="";"";INDEX(PRODUCT!A:A;MATCH(C138;PRODUCT!B:B;0)))</f>
        <v/>
      </c>
      <c r="E138" s="62">
        <f>IF(C138="";"";VLOOKUP(C138;PRODUCT!B:C;2;FALSE))</f>
        <v/>
      </c>
      <c r="F138" s="62" t="n"/>
      <c r="G138" s="61" t="n"/>
      <c r="H138" s="61" t="n">
        <v>1</v>
      </c>
      <c r="I138" s="62" t="n"/>
      <c r="J138" s="60">
        <f>IF(I138&lt;&gt;"";I138;F138*H138)</f>
        <v/>
      </c>
      <c r="K138" s="61">
        <f>CONFIG!$B$6</f>
        <v/>
      </c>
      <c r="L138" s="61" t="n"/>
      <c r="M138" s="60" t="n"/>
      <c r="N138" s="2" t="n"/>
    </row>
    <row r="139" ht="15.75" customHeight="1" s="125">
      <c r="A139" s="2" t="n">
        <v>125</v>
      </c>
      <c r="B139" s="62" t="inlineStr">
        <is>
          <t>SI</t>
        </is>
      </c>
      <c r="C139" s="62" t="n"/>
      <c r="D139" s="58">
        <f>IF(C139="";"";INDEX(PRODUCT!A:A;MATCH(C139;PRODUCT!B:B;0)))</f>
        <v/>
      </c>
      <c r="E139" s="62">
        <f>IF(C139="";"";VLOOKUP(C139;PRODUCT!B:C;2;FALSE))</f>
        <v/>
      </c>
      <c r="F139" s="62" t="n"/>
      <c r="G139" s="61" t="n"/>
      <c r="H139" s="61" t="n">
        <v>1</v>
      </c>
      <c r="I139" s="62" t="n"/>
      <c r="J139" s="60">
        <f>IF(I139&lt;&gt;"";I139;F139*H139)</f>
        <v/>
      </c>
      <c r="K139" s="61">
        <f>CONFIG!$B$6</f>
        <v/>
      </c>
      <c r="L139" s="61" t="n"/>
      <c r="M139" s="60" t="n"/>
      <c r="N139" s="2" t="n"/>
    </row>
    <row r="140" ht="15.75" customHeight="1" s="125">
      <c r="A140" s="2" t="n">
        <v>126</v>
      </c>
      <c r="B140" s="62" t="inlineStr">
        <is>
          <t>SI</t>
        </is>
      </c>
      <c r="C140" s="62" t="n"/>
      <c r="D140" s="58">
        <f>IF(C140="";"";INDEX(PRODUCT!A:A;MATCH(C140;PRODUCT!B:B;0)))</f>
        <v/>
      </c>
      <c r="E140" s="62">
        <f>IF(C140="";"";VLOOKUP(C140;PRODUCT!B:C;2;FALSE))</f>
        <v/>
      </c>
      <c r="F140" s="62" t="n"/>
      <c r="G140" s="61" t="n"/>
      <c r="H140" s="61" t="n">
        <v>1</v>
      </c>
      <c r="I140" s="62" t="n"/>
      <c r="J140" s="60">
        <f>IF(I140&lt;&gt;"";I140;F140*H140)</f>
        <v/>
      </c>
      <c r="K140" s="61">
        <f>CONFIG!$B$6</f>
        <v/>
      </c>
      <c r="L140" s="61" t="n"/>
      <c r="M140" s="60" t="n"/>
      <c r="N140" s="2" t="n"/>
    </row>
    <row r="141" ht="15.75" customHeight="1" s="125">
      <c r="A141" s="2" t="n">
        <v>127</v>
      </c>
      <c r="B141" s="62" t="inlineStr">
        <is>
          <t>SI</t>
        </is>
      </c>
      <c r="C141" s="62" t="n"/>
      <c r="D141" s="58">
        <f>IF(C141="";"";INDEX(PRODUCT!A:A;MATCH(C141;PRODUCT!B:B;0)))</f>
        <v/>
      </c>
      <c r="E141" s="62">
        <f>IF(C141="";"";VLOOKUP(C141;PRODUCT!B:C;2;FALSE))</f>
        <v/>
      </c>
      <c r="F141" s="62" t="n"/>
      <c r="G141" s="61" t="n"/>
      <c r="H141" s="61" t="n">
        <v>1</v>
      </c>
      <c r="I141" s="62" t="n"/>
      <c r="J141" s="60">
        <f>IF(I141&lt;&gt;"";I141;F141*H141)</f>
        <v/>
      </c>
      <c r="K141" s="61">
        <f>CONFIG!$B$6</f>
        <v/>
      </c>
      <c r="L141" s="61" t="n"/>
      <c r="M141" s="60" t="n"/>
      <c r="N141" s="2" t="n"/>
    </row>
    <row r="142" ht="15.75" customHeight="1" s="125">
      <c r="A142" s="2" t="n">
        <v>128</v>
      </c>
      <c r="B142" s="62" t="inlineStr">
        <is>
          <t>SI</t>
        </is>
      </c>
      <c r="C142" s="62" t="n"/>
      <c r="D142" s="58">
        <f>IF(C142="";"";INDEX(PRODUCT!A:A;MATCH(C142;PRODUCT!B:B;0)))</f>
        <v/>
      </c>
      <c r="E142" s="62">
        <f>IF(C142="";"";VLOOKUP(C142;PRODUCT!B:C;2;FALSE))</f>
        <v/>
      </c>
      <c r="F142" s="62" t="n"/>
      <c r="G142" s="61" t="n"/>
      <c r="H142" s="61" t="n">
        <v>1</v>
      </c>
      <c r="I142" s="62" t="n"/>
      <c r="J142" s="60">
        <f>IF(I142&lt;&gt;"";I142;F142*H142)</f>
        <v/>
      </c>
      <c r="K142" s="61">
        <f>CONFIG!$B$6</f>
        <v/>
      </c>
      <c r="L142" s="61" t="n"/>
      <c r="M142" s="60" t="n"/>
      <c r="N142" s="2" t="n"/>
    </row>
    <row r="143" ht="15.75" customHeight="1" s="125">
      <c r="A143" s="2" t="n">
        <v>129</v>
      </c>
      <c r="B143" s="62" t="inlineStr">
        <is>
          <t>SI</t>
        </is>
      </c>
      <c r="C143" s="62" t="n"/>
      <c r="D143" s="58">
        <f>IF(C143="";"";INDEX(PRODUCT!A:A;MATCH(C143;PRODUCT!B:B;0)))</f>
        <v/>
      </c>
      <c r="E143" s="62">
        <f>IF(C143="";"";VLOOKUP(C143;PRODUCT!B:C;2;FALSE))</f>
        <v/>
      </c>
      <c r="F143" s="62" t="n"/>
      <c r="G143" s="61" t="n"/>
      <c r="H143" s="61" t="n">
        <v>1</v>
      </c>
      <c r="I143" s="62" t="n"/>
      <c r="J143" s="60">
        <f>IF(I143&lt;&gt;"";I143;F143*H143)</f>
        <v/>
      </c>
      <c r="K143" s="61">
        <f>CONFIG!$B$6</f>
        <v/>
      </c>
      <c r="L143" s="61" t="n"/>
      <c r="M143" s="60" t="n"/>
      <c r="N143" s="2" t="n"/>
    </row>
    <row r="144" ht="15.75" customHeight="1" s="125">
      <c r="A144" s="2" t="n">
        <v>130</v>
      </c>
      <c r="B144" s="62" t="inlineStr">
        <is>
          <t>SI</t>
        </is>
      </c>
      <c r="C144" s="62" t="n"/>
      <c r="D144" s="58">
        <f>IF(C144="";"";INDEX(PRODUCT!A:A;MATCH(C144;PRODUCT!B:B;0)))</f>
        <v/>
      </c>
      <c r="E144" s="62">
        <f>IF(C144="";"";VLOOKUP(C144;PRODUCT!B:C;2;FALSE))</f>
        <v/>
      </c>
      <c r="F144" s="62" t="n"/>
      <c r="G144" s="61" t="n"/>
      <c r="H144" s="61" t="n">
        <v>1</v>
      </c>
      <c r="I144" s="62" t="n"/>
      <c r="J144" s="60">
        <f>IF(I144&lt;&gt;"";I144;F144*H144)</f>
        <v/>
      </c>
      <c r="K144" s="61">
        <f>CONFIG!$B$6</f>
        <v/>
      </c>
      <c r="L144" s="61" t="n"/>
      <c r="M144" s="60" t="n"/>
      <c r="N144" s="2" t="n"/>
    </row>
    <row r="145" ht="15.75" customHeight="1" s="125">
      <c r="A145" s="2" t="n">
        <v>131</v>
      </c>
      <c r="B145" s="62" t="inlineStr">
        <is>
          <t>SI</t>
        </is>
      </c>
      <c r="C145" s="62" t="n"/>
      <c r="D145" s="58">
        <f>IF(C145="";"";INDEX(PRODUCT!A:A;MATCH(C145;PRODUCT!B:B;0)))</f>
        <v/>
      </c>
      <c r="E145" s="62">
        <f>IF(C145="";"";VLOOKUP(C145;PRODUCT!B:C;2;FALSE))</f>
        <v/>
      </c>
      <c r="F145" s="62" t="n"/>
      <c r="G145" s="61" t="n"/>
      <c r="H145" s="61" t="n">
        <v>1</v>
      </c>
      <c r="I145" s="62" t="n"/>
      <c r="J145" s="60">
        <f>IF(I145&lt;&gt;"";I145;F145*H145)</f>
        <v/>
      </c>
      <c r="K145" s="61">
        <f>CONFIG!$B$6</f>
        <v/>
      </c>
      <c r="L145" s="61" t="n"/>
      <c r="M145" s="60" t="n"/>
      <c r="N145" s="2" t="n"/>
    </row>
    <row r="146" ht="15.75" customHeight="1" s="125">
      <c r="A146" s="2" t="n">
        <v>132</v>
      </c>
      <c r="B146" s="62" t="inlineStr">
        <is>
          <t>SI</t>
        </is>
      </c>
      <c r="C146" s="62" t="n"/>
      <c r="D146" s="58">
        <f>IF(C146="";"";INDEX(PRODUCT!A:A;MATCH(C146;PRODUCT!B:B;0)))</f>
        <v/>
      </c>
      <c r="E146" s="62">
        <f>IF(C146="";"";VLOOKUP(C146;PRODUCT!B:C;2;FALSE))</f>
        <v/>
      </c>
      <c r="F146" s="62" t="n"/>
      <c r="G146" s="61" t="n"/>
      <c r="H146" s="61" t="n">
        <v>1</v>
      </c>
      <c r="I146" s="62" t="n"/>
      <c r="J146" s="60">
        <f>IF(I146&lt;&gt;"";I146;F146*H146)</f>
        <v/>
      </c>
      <c r="K146" s="61">
        <f>CONFIG!$B$6</f>
        <v/>
      </c>
      <c r="L146" s="61" t="n"/>
      <c r="M146" s="60" t="n"/>
      <c r="N146" s="2" t="n"/>
    </row>
    <row r="147" ht="15.75" customHeight="1" s="125">
      <c r="A147" s="2" t="n">
        <v>133</v>
      </c>
      <c r="B147" s="62" t="inlineStr">
        <is>
          <t>SI</t>
        </is>
      </c>
      <c r="C147" s="62" t="n"/>
      <c r="D147" s="58">
        <f>IF(C147="";"";INDEX(PRODUCT!A:A;MATCH(C147;PRODUCT!B:B;0)))</f>
        <v/>
      </c>
      <c r="E147" s="62">
        <f>IF(C147="";"";VLOOKUP(C147;PRODUCT!B:C;2;FALSE))</f>
        <v/>
      </c>
      <c r="F147" s="62" t="n"/>
      <c r="G147" s="61" t="n"/>
      <c r="H147" s="61" t="n">
        <v>1</v>
      </c>
      <c r="I147" s="62" t="n"/>
      <c r="J147" s="60">
        <f>IF(I147&lt;&gt;"";I147;F147*H147)</f>
        <v/>
      </c>
      <c r="K147" s="61">
        <f>CONFIG!$B$6</f>
        <v/>
      </c>
      <c r="L147" s="61" t="n"/>
      <c r="M147" s="60" t="n"/>
      <c r="N147" s="2" t="n"/>
    </row>
    <row r="148" ht="15.75" customHeight="1" s="125">
      <c r="A148" s="2" t="n">
        <v>134</v>
      </c>
      <c r="B148" s="62" t="inlineStr">
        <is>
          <t>SI</t>
        </is>
      </c>
      <c r="C148" s="62" t="n"/>
      <c r="D148" s="58">
        <f>IF(C148="";"";INDEX(PRODUCT!A:A;MATCH(C148;PRODUCT!B:B;0)))</f>
        <v/>
      </c>
      <c r="E148" s="62">
        <f>IF(C148="";"";VLOOKUP(C148;PRODUCT!B:C;2;FALSE))</f>
        <v/>
      </c>
      <c r="F148" s="62" t="n"/>
      <c r="G148" s="61" t="n"/>
      <c r="H148" s="61" t="n">
        <v>1</v>
      </c>
      <c r="I148" s="62" t="n"/>
      <c r="J148" s="60">
        <f>IF(I148&lt;&gt;"";I148;F148*H148)</f>
        <v/>
      </c>
      <c r="K148" s="61">
        <f>CONFIG!$B$6</f>
        <v/>
      </c>
      <c r="L148" s="61" t="n"/>
      <c r="M148" s="60" t="n"/>
      <c r="N148" s="2" t="n"/>
    </row>
    <row r="149" ht="15.75" customHeight="1" s="125">
      <c r="A149" s="2" t="n">
        <v>135</v>
      </c>
      <c r="B149" s="62" t="inlineStr">
        <is>
          <t>SI</t>
        </is>
      </c>
      <c r="C149" s="62" t="n"/>
      <c r="D149" s="58">
        <f>IF(C149="";"";INDEX(PRODUCT!A:A;MATCH(C149;PRODUCT!B:B;0)))</f>
        <v/>
      </c>
      <c r="E149" s="62">
        <f>IF(C149="";"";VLOOKUP(C149;PRODUCT!B:C;2;FALSE))</f>
        <v/>
      </c>
      <c r="F149" s="62" t="n"/>
      <c r="G149" s="61" t="n"/>
      <c r="H149" s="61" t="n">
        <v>1</v>
      </c>
      <c r="I149" s="62" t="n"/>
      <c r="J149" s="60">
        <f>IF(I149&lt;&gt;"";I149;F149*H149)</f>
        <v/>
      </c>
      <c r="K149" s="61">
        <f>CONFIG!$B$6</f>
        <v/>
      </c>
      <c r="L149" s="61" t="n"/>
      <c r="M149" s="60" t="n"/>
      <c r="N149" s="2" t="n"/>
    </row>
    <row r="150" ht="15.75" customHeight="1" s="125">
      <c r="A150" s="2" t="n">
        <v>136</v>
      </c>
      <c r="B150" s="62" t="inlineStr">
        <is>
          <t>SI</t>
        </is>
      </c>
      <c r="C150" s="62" t="n"/>
      <c r="D150" s="58">
        <f>IF(C150="";"";INDEX(PRODUCT!A:A;MATCH(C150;PRODUCT!B:B;0)))</f>
        <v/>
      </c>
      <c r="E150" s="62">
        <f>IF(C150="";"";VLOOKUP(C150;PRODUCT!B:C;2;FALSE))</f>
        <v/>
      </c>
      <c r="F150" s="62" t="n"/>
      <c r="G150" s="61" t="n"/>
      <c r="H150" s="61" t="n">
        <v>1</v>
      </c>
      <c r="I150" s="62" t="n"/>
      <c r="J150" s="60">
        <f>IF(I150&lt;&gt;"";I150;F150*H150)</f>
        <v/>
      </c>
      <c r="K150" s="61">
        <f>CONFIG!$B$6</f>
        <v/>
      </c>
      <c r="L150" s="61" t="n"/>
      <c r="M150" s="60" t="n"/>
      <c r="N150" s="2" t="n"/>
    </row>
    <row r="151" ht="15.75" customHeight="1" s="125">
      <c r="A151" s="2" t="n">
        <v>137</v>
      </c>
      <c r="B151" s="62" t="inlineStr">
        <is>
          <t>SI</t>
        </is>
      </c>
      <c r="C151" s="62" t="n"/>
      <c r="D151" s="58">
        <f>IF(C151="";"";INDEX(PRODUCT!A:A;MATCH(C151;PRODUCT!B:B;0)))</f>
        <v/>
      </c>
      <c r="E151" s="62">
        <f>IF(C151="";"";VLOOKUP(C151;PRODUCT!B:C;2;FALSE))</f>
        <v/>
      </c>
      <c r="F151" s="62" t="n"/>
      <c r="G151" s="61" t="n"/>
      <c r="H151" s="61" t="n">
        <v>1</v>
      </c>
      <c r="I151" s="62" t="n"/>
      <c r="J151" s="60">
        <f>IF(I151&lt;&gt;"";I151;F151*H151)</f>
        <v/>
      </c>
      <c r="K151" s="61">
        <f>CONFIG!$B$6</f>
        <v/>
      </c>
      <c r="L151" s="61" t="n"/>
      <c r="M151" s="60" t="n"/>
      <c r="N151" s="2" t="n"/>
    </row>
    <row r="152" ht="15.75" customHeight="1" s="125">
      <c r="A152" s="2" t="n">
        <v>138</v>
      </c>
      <c r="B152" s="62" t="inlineStr">
        <is>
          <t>SI</t>
        </is>
      </c>
      <c r="C152" s="62" t="n"/>
      <c r="D152" s="58">
        <f>IF(C152="";"";INDEX(PRODUCT!A:A;MATCH(C152;PRODUCT!B:B;0)))</f>
        <v/>
      </c>
      <c r="E152" s="62">
        <f>IF(C152="";"";VLOOKUP(C152;PRODUCT!B:C;2;FALSE))</f>
        <v/>
      </c>
      <c r="F152" s="62" t="n"/>
      <c r="G152" s="61" t="n"/>
      <c r="H152" s="61" t="n">
        <v>1</v>
      </c>
      <c r="I152" s="62" t="n"/>
      <c r="J152" s="60">
        <f>IF(I152&lt;&gt;"";I152;F152*H152)</f>
        <v/>
      </c>
      <c r="K152" s="61">
        <f>CONFIG!$B$6</f>
        <v/>
      </c>
      <c r="L152" s="61" t="n"/>
      <c r="M152" s="60" t="n"/>
      <c r="N152" s="2" t="n"/>
    </row>
    <row r="153" ht="15.75" customHeight="1" s="125">
      <c r="A153" s="2" t="n">
        <v>139</v>
      </c>
      <c r="B153" s="62" t="inlineStr">
        <is>
          <t>SI</t>
        </is>
      </c>
      <c r="C153" s="62" t="n"/>
      <c r="D153" s="58">
        <f>IF(C153="";"";INDEX(PRODUCT!A:A;MATCH(C153;PRODUCT!B:B;0)))</f>
        <v/>
      </c>
      <c r="E153" s="62">
        <f>IF(C153="";"";VLOOKUP(C153;PRODUCT!B:C;2;FALSE))</f>
        <v/>
      </c>
      <c r="F153" s="62" t="n"/>
      <c r="G153" s="61" t="n"/>
      <c r="H153" s="61" t="n">
        <v>1</v>
      </c>
      <c r="I153" s="62" t="n"/>
      <c r="J153" s="60">
        <f>IF(I153&lt;&gt;"";I153;F153*H153)</f>
        <v/>
      </c>
      <c r="K153" s="61">
        <f>CONFIG!$B$6</f>
        <v/>
      </c>
      <c r="L153" s="61" t="n"/>
      <c r="M153" s="60" t="n"/>
      <c r="N153" s="2" t="n"/>
    </row>
    <row r="154" ht="15.75" customHeight="1" s="125">
      <c r="A154" s="2" t="n">
        <v>140</v>
      </c>
      <c r="B154" s="62" t="inlineStr">
        <is>
          <t>SI</t>
        </is>
      </c>
      <c r="C154" s="62" t="n"/>
      <c r="D154" s="58">
        <f>IF(C154="";"";INDEX(PRODUCT!A:A;MATCH(C154;PRODUCT!B:B;0)))</f>
        <v/>
      </c>
      <c r="E154" s="62">
        <f>IF(C154="";"";VLOOKUP(C154;PRODUCT!B:C;2;FALSE))</f>
        <v/>
      </c>
      <c r="F154" s="62" t="n"/>
      <c r="G154" s="61" t="n"/>
      <c r="H154" s="61" t="n">
        <v>1</v>
      </c>
      <c r="I154" s="62" t="n"/>
      <c r="J154" s="60">
        <f>IF(I154&lt;&gt;"";I154;F154*H154)</f>
        <v/>
      </c>
      <c r="K154" s="61">
        <f>CONFIG!$B$6</f>
        <v/>
      </c>
      <c r="L154" s="61" t="n"/>
      <c r="M154" s="60" t="n"/>
      <c r="N154" s="2" t="n"/>
    </row>
    <row r="155" ht="15.75" customHeight="1" s="125">
      <c r="A155" s="2" t="n">
        <v>141</v>
      </c>
      <c r="B155" s="62" t="inlineStr">
        <is>
          <t>SI</t>
        </is>
      </c>
      <c r="C155" s="62" t="n"/>
      <c r="D155" s="58">
        <f>IF(C155="";"";INDEX(PRODUCT!A:A;MATCH(C155;PRODUCT!B:B;0)))</f>
        <v/>
      </c>
      <c r="E155" s="62">
        <f>IF(C155="";"";VLOOKUP(C155;PRODUCT!B:C;2;FALSE))</f>
        <v/>
      </c>
      <c r="F155" s="62" t="n"/>
      <c r="G155" s="61" t="n"/>
      <c r="H155" s="61" t="n">
        <v>1</v>
      </c>
      <c r="I155" s="62" t="n"/>
      <c r="J155" s="60">
        <f>IF(I155&lt;&gt;"";I155;F155*H155)</f>
        <v/>
      </c>
      <c r="K155" s="61">
        <f>CONFIG!$B$6</f>
        <v/>
      </c>
      <c r="L155" s="61" t="n"/>
      <c r="M155" s="60" t="n"/>
      <c r="N155" s="2" t="n"/>
    </row>
    <row r="156" ht="15.75" customHeight="1" s="125">
      <c r="A156" s="2" t="n">
        <v>142</v>
      </c>
      <c r="B156" s="62" t="inlineStr">
        <is>
          <t>SI</t>
        </is>
      </c>
      <c r="C156" s="62" t="n"/>
      <c r="D156" s="58">
        <f>IF(C156="";"";INDEX(PRODUCT!A:A;MATCH(C156;PRODUCT!B:B;0)))</f>
        <v/>
      </c>
      <c r="E156" s="62">
        <f>IF(C156="";"";VLOOKUP(C156;PRODUCT!B:C;2;FALSE))</f>
        <v/>
      </c>
      <c r="F156" s="62" t="n"/>
      <c r="G156" s="61" t="n"/>
      <c r="H156" s="61" t="n">
        <v>1</v>
      </c>
      <c r="I156" s="62" t="n"/>
      <c r="J156" s="60">
        <f>IF(I156&lt;&gt;"";I156;F156*H156)</f>
        <v/>
      </c>
      <c r="K156" s="61">
        <f>CONFIG!$B$6</f>
        <v/>
      </c>
      <c r="L156" s="61" t="n"/>
      <c r="M156" s="60" t="n"/>
      <c r="N156" s="2" t="n"/>
    </row>
    <row r="157" ht="15.75" customHeight="1" s="125">
      <c r="A157" s="2" t="n">
        <v>143</v>
      </c>
      <c r="B157" s="62" t="inlineStr">
        <is>
          <t>SI</t>
        </is>
      </c>
      <c r="C157" s="62" t="n"/>
      <c r="D157" s="58">
        <f>IF(C157="";"";INDEX(PRODUCT!A:A;MATCH(C157;PRODUCT!B:B;0)))</f>
        <v/>
      </c>
      <c r="E157" s="62">
        <f>IF(C157="";"";VLOOKUP(C157;PRODUCT!B:C;2;FALSE))</f>
        <v/>
      </c>
      <c r="F157" s="62" t="n"/>
      <c r="G157" s="61" t="n"/>
      <c r="H157" s="61" t="n">
        <v>1</v>
      </c>
      <c r="I157" s="62" t="n"/>
      <c r="J157" s="60">
        <f>IF(I157&lt;&gt;"";I157;F157*H157)</f>
        <v/>
      </c>
      <c r="K157" s="61">
        <f>CONFIG!$B$6</f>
        <v/>
      </c>
      <c r="L157" s="61" t="n"/>
      <c r="M157" s="60" t="n"/>
      <c r="N157" s="2" t="n"/>
    </row>
    <row r="158" ht="15.75" customHeight="1" s="125">
      <c r="A158" s="2" t="n">
        <v>144</v>
      </c>
      <c r="B158" s="62" t="inlineStr">
        <is>
          <t>SI</t>
        </is>
      </c>
      <c r="C158" s="62" t="n"/>
      <c r="D158" s="58">
        <f>IF(C158="";"";INDEX(PRODUCT!A:A;MATCH(C158;PRODUCT!B:B;0)))</f>
        <v/>
      </c>
      <c r="E158" s="62">
        <f>IF(C158="";"";VLOOKUP(C158;PRODUCT!B:C;2;FALSE))</f>
        <v/>
      </c>
      <c r="F158" s="62" t="n"/>
      <c r="G158" s="61" t="n"/>
      <c r="H158" s="61" t="n">
        <v>1</v>
      </c>
      <c r="I158" s="62" t="n"/>
      <c r="J158" s="60">
        <f>IF(I158&lt;&gt;"";I158;F158*H158)</f>
        <v/>
      </c>
      <c r="K158" s="61">
        <f>CONFIG!$B$6</f>
        <v/>
      </c>
      <c r="L158" s="61" t="n"/>
      <c r="M158" s="60" t="n"/>
      <c r="N158" s="2" t="n"/>
    </row>
    <row r="159" ht="15.75" customHeight="1" s="125">
      <c r="A159" s="2" t="n">
        <v>145</v>
      </c>
      <c r="B159" s="62" t="inlineStr">
        <is>
          <t>SI</t>
        </is>
      </c>
      <c r="C159" s="62" t="n"/>
      <c r="D159" s="58">
        <f>IF(C159="";"";INDEX(PRODUCT!A:A;MATCH(C159;PRODUCT!B:B;0)))</f>
        <v/>
      </c>
      <c r="E159" s="62">
        <f>IF(C159="";"";VLOOKUP(C159;PRODUCT!B:C;2;FALSE))</f>
        <v/>
      </c>
      <c r="F159" s="62" t="n"/>
      <c r="G159" s="61" t="n"/>
      <c r="H159" s="61" t="n">
        <v>1</v>
      </c>
      <c r="I159" s="62" t="n"/>
      <c r="J159" s="60">
        <f>IF(I159&lt;&gt;"";I159;F159*H159)</f>
        <v/>
      </c>
      <c r="K159" s="61">
        <f>CONFIG!$B$6</f>
        <v/>
      </c>
      <c r="L159" s="61" t="n"/>
      <c r="M159" s="60" t="n"/>
      <c r="N159" s="2" t="n"/>
    </row>
    <row r="160" ht="15.75" customHeight="1" s="125">
      <c r="A160" s="2" t="n">
        <v>146</v>
      </c>
      <c r="B160" s="62" t="inlineStr">
        <is>
          <t>SI</t>
        </is>
      </c>
      <c r="C160" s="62" t="n"/>
      <c r="D160" s="58">
        <f>IF(C160="";"";INDEX(PRODUCT!A:A;MATCH(C160;PRODUCT!B:B;0)))</f>
        <v/>
      </c>
      <c r="E160" s="62">
        <f>IF(C160="";"";VLOOKUP(C160;PRODUCT!B:C;2;FALSE))</f>
        <v/>
      </c>
      <c r="F160" s="62" t="n"/>
      <c r="G160" s="61" t="n"/>
      <c r="H160" s="61" t="n">
        <v>1</v>
      </c>
      <c r="I160" s="62" t="n"/>
      <c r="J160" s="60">
        <f>IF(I160&lt;&gt;"";I160;F160*H160)</f>
        <v/>
      </c>
      <c r="K160" s="61">
        <f>CONFIG!$B$6</f>
        <v/>
      </c>
      <c r="L160" s="61" t="n"/>
      <c r="M160" s="60" t="n"/>
      <c r="N160" s="2" t="n"/>
    </row>
    <row r="161" ht="15.75" customHeight="1" s="125">
      <c r="A161" s="2" t="n">
        <v>147</v>
      </c>
      <c r="B161" s="62" t="inlineStr">
        <is>
          <t>SI</t>
        </is>
      </c>
      <c r="C161" s="62" t="n"/>
      <c r="D161" s="58">
        <f>IF(C161="";"";INDEX(PRODUCT!A:A;MATCH(C161;PRODUCT!B:B;0)))</f>
        <v/>
      </c>
      <c r="E161" s="62">
        <f>IF(C161="";"";VLOOKUP(C161;PRODUCT!B:C;2;FALSE))</f>
        <v/>
      </c>
      <c r="F161" s="62" t="n"/>
      <c r="G161" s="61" t="n"/>
      <c r="H161" s="61" t="n">
        <v>1</v>
      </c>
      <c r="I161" s="62" t="n"/>
      <c r="J161" s="60">
        <f>IF(I161&lt;&gt;"";I161;F161*H161)</f>
        <v/>
      </c>
      <c r="K161" s="61">
        <f>CONFIG!$B$6</f>
        <v/>
      </c>
      <c r="L161" s="61" t="n"/>
      <c r="M161" s="60" t="n"/>
      <c r="N161" s="2" t="n"/>
    </row>
    <row r="162" ht="15.75" customHeight="1" s="125">
      <c r="A162" s="2" t="n">
        <v>148</v>
      </c>
      <c r="B162" s="62" t="inlineStr">
        <is>
          <t>SI</t>
        </is>
      </c>
      <c r="C162" s="62" t="n"/>
      <c r="D162" s="58">
        <f>IF(C162="";"";INDEX(PRODUCT!A:A;MATCH(C162;PRODUCT!B:B;0)))</f>
        <v/>
      </c>
      <c r="E162" s="62">
        <f>IF(C162="";"";VLOOKUP(C162;PRODUCT!B:C;2;FALSE))</f>
        <v/>
      </c>
      <c r="F162" s="62" t="n"/>
      <c r="G162" s="61" t="n"/>
      <c r="H162" s="61" t="n">
        <v>1</v>
      </c>
      <c r="I162" s="62" t="n"/>
      <c r="J162" s="60">
        <f>IF(I162&lt;&gt;"";I162;F162*H162)</f>
        <v/>
      </c>
      <c r="K162" s="61">
        <f>CONFIG!$B$6</f>
        <v/>
      </c>
      <c r="L162" s="61" t="n"/>
      <c r="M162" s="60" t="n"/>
      <c r="N162" s="2" t="n"/>
    </row>
    <row r="163" ht="15.75" customHeight="1" s="125">
      <c r="A163" s="2" t="n">
        <v>149</v>
      </c>
      <c r="B163" s="62" t="inlineStr">
        <is>
          <t>SI</t>
        </is>
      </c>
      <c r="C163" s="62" t="n"/>
      <c r="D163" s="58">
        <f>IF(C163="";"";INDEX(PRODUCT!A:A;MATCH(C163;PRODUCT!B:B;0)))</f>
        <v/>
      </c>
      <c r="E163" s="62">
        <f>IF(C163="";"";VLOOKUP(C163;PRODUCT!B:C;2;FALSE))</f>
        <v/>
      </c>
      <c r="F163" s="62" t="n"/>
      <c r="G163" s="61" t="n"/>
      <c r="H163" s="61" t="n">
        <v>1</v>
      </c>
      <c r="I163" s="62" t="n"/>
      <c r="J163" s="60">
        <f>IF(I163&lt;&gt;"";I163;F163*H163)</f>
        <v/>
      </c>
      <c r="K163" s="61">
        <f>CONFIG!$B$6</f>
        <v/>
      </c>
      <c r="L163" s="61" t="n"/>
      <c r="M163" s="60" t="n"/>
      <c r="N163" s="2" t="n"/>
    </row>
    <row r="164" ht="15.75" customHeight="1" s="125">
      <c r="A164" s="2" t="n">
        <v>150</v>
      </c>
      <c r="B164" s="62" t="inlineStr">
        <is>
          <t>SI</t>
        </is>
      </c>
      <c r="C164" s="62" t="n"/>
      <c r="D164" s="58">
        <f>IF(C164="";"";INDEX(PRODUCT!A:A;MATCH(C164;PRODUCT!B:B;0)))</f>
        <v/>
      </c>
      <c r="E164" s="62">
        <f>IF(C164="";"";VLOOKUP(C164;PRODUCT!B:C;2;FALSE))</f>
        <v/>
      </c>
      <c r="F164" s="62" t="n"/>
      <c r="G164" s="61" t="n"/>
      <c r="H164" s="61" t="n">
        <v>1</v>
      </c>
      <c r="I164" s="62" t="n"/>
      <c r="J164" s="60">
        <f>IF(I164&lt;&gt;"";I164;F164*H164)</f>
        <v/>
      </c>
      <c r="K164" s="61">
        <f>CONFIG!$B$6</f>
        <v/>
      </c>
      <c r="L164" s="61" t="n"/>
      <c r="M164" s="60" t="n"/>
      <c r="N164" s="2" t="n"/>
    </row>
    <row r="165" ht="15.75" customHeight="1" s="125">
      <c r="A165" s="2" t="n">
        <v>151</v>
      </c>
      <c r="B165" s="62" t="inlineStr">
        <is>
          <t>SI</t>
        </is>
      </c>
      <c r="C165" s="62" t="n"/>
      <c r="D165" s="58">
        <f>IF(C165="";"";INDEX(PRODUCT!A:A;MATCH(C165;PRODUCT!B:B;0)))</f>
        <v/>
      </c>
      <c r="E165" s="62">
        <f>IF(C165="";"";VLOOKUP(C165;PRODUCT!B:C;2;FALSE))</f>
        <v/>
      </c>
      <c r="F165" s="62" t="n"/>
      <c r="G165" s="61" t="n"/>
      <c r="H165" s="61" t="n">
        <v>1</v>
      </c>
      <c r="I165" s="62" t="n"/>
      <c r="J165" s="60">
        <f>IF(I165&lt;&gt;"";I165;F165*H165)</f>
        <v/>
      </c>
      <c r="K165" s="61">
        <f>CONFIG!$B$6</f>
        <v/>
      </c>
      <c r="L165" s="61" t="n"/>
      <c r="M165" s="60" t="n"/>
      <c r="N165" s="2" t="n"/>
    </row>
    <row r="166" ht="15.75" customHeight="1" s="125">
      <c r="A166" s="2" t="n">
        <v>152</v>
      </c>
      <c r="B166" s="62" t="inlineStr">
        <is>
          <t>SI</t>
        </is>
      </c>
      <c r="C166" s="62" t="n"/>
      <c r="D166" s="58">
        <f>IF(C166="";"";INDEX(PRODUCT!A:A;MATCH(C166;PRODUCT!B:B;0)))</f>
        <v/>
      </c>
      <c r="E166" s="62">
        <f>IF(C166="";"";VLOOKUP(C166;PRODUCT!B:C;2;FALSE))</f>
        <v/>
      </c>
      <c r="F166" s="62" t="n"/>
      <c r="G166" s="61" t="n"/>
      <c r="H166" s="61" t="n">
        <v>1</v>
      </c>
      <c r="I166" s="62" t="n"/>
      <c r="J166" s="60">
        <f>IF(I166&lt;&gt;"";I166;F166*H166)</f>
        <v/>
      </c>
      <c r="K166" s="61">
        <f>CONFIG!$B$6</f>
        <v/>
      </c>
      <c r="L166" s="61" t="n"/>
      <c r="M166" s="60" t="n"/>
      <c r="N166" s="2" t="n"/>
    </row>
    <row r="167" ht="15.75" customHeight="1" s="125">
      <c r="A167" s="2" t="n">
        <v>153</v>
      </c>
      <c r="B167" s="62" t="inlineStr">
        <is>
          <t>SI</t>
        </is>
      </c>
      <c r="C167" s="62" t="n"/>
      <c r="D167" s="58">
        <f>IF(C167="";"";INDEX(PRODUCT!A:A;MATCH(C167;PRODUCT!B:B;0)))</f>
        <v/>
      </c>
      <c r="E167" s="62">
        <f>IF(C167="";"";VLOOKUP(C167;PRODUCT!B:C;2;FALSE))</f>
        <v/>
      </c>
      <c r="F167" s="62" t="n"/>
      <c r="G167" s="61" t="n"/>
      <c r="H167" s="61" t="n">
        <v>1</v>
      </c>
      <c r="I167" s="62" t="n"/>
      <c r="J167" s="60">
        <f>IF(I167&lt;&gt;"";I167;F167*H167)</f>
        <v/>
      </c>
      <c r="K167" s="61">
        <f>CONFIG!$B$6</f>
        <v/>
      </c>
      <c r="L167" s="61" t="n"/>
      <c r="M167" s="60" t="n"/>
      <c r="N167" s="2" t="n"/>
    </row>
    <row r="168" ht="15.75" customHeight="1" s="125">
      <c r="A168" s="2" t="n">
        <v>154</v>
      </c>
      <c r="B168" s="62" t="inlineStr">
        <is>
          <t>SI</t>
        </is>
      </c>
      <c r="C168" s="62" t="n"/>
      <c r="D168" s="58">
        <f>IF(C168="";"";INDEX(PRODUCT!A:A;MATCH(C168;PRODUCT!B:B;0)))</f>
        <v/>
      </c>
      <c r="E168" s="62">
        <f>IF(C168="";"";VLOOKUP(C168;PRODUCT!B:C;2;FALSE))</f>
        <v/>
      </c>
      <c r="F168" s="62" t="n"/>
      <c r="G168" s="61" t="n"/>
      <c r="H168" s="61" t="n">
        <v>1</v>
      </c>
      <c r="I168" s="62" t="n"/>
      <c r="J168" s="60">
        <f>IF(I168&lt;&gt;"";I168;F168*H168)</f>
        <v/>
      </c>
      <c r="K168" s="61">
        <f>CONFIG!$B$6</f>
        <v/>
      </c>
      <c r="L168" s="61" t="n"/>
      <c r="M168" s="60" t="n"/>
      <c r="N168" s="2" t="n"/>
    </row>
    <row r="169" ht="15.75" customHeight="1" s="125">
      <c r="A169" s="2" t="n">
        <v>155</v>
      </c>
      <c r="B169" s="62" t="inlineStr">
        <is>
          <t>SI</t>
        </is>
      </c>
      <c r="C169" s="62" t="n"/>
      <c r="D169" s="58">
        <f>IF(C169="";"";INDEX(PRODUCT!A:A;MATCH(C169;PRODUCT!B:B;0)))</f>
        <v/>
      </c>
      <c r="E169" s="62">
        <f>IF(C169="";"";VLOOKUP(C169;PRODUCT!B:C;2;FALSE))</f>
        <v/>
      </c>
      <c r="F169" s="62" t="n"/>
      <c r="G169" s="61" t="n"/>
      <c r="H169" s="61" t="n">
        <v>1</v>
      </c>
      <c r="I169" s="62" t="n"/>
      <c r="J169" s="60">
        <f>IF(I169&lt;&gt;"";I169;F169*H169)</f>
        <v/>
      </c>
      <c r="K169" s="61">
        <f>CONFIG!$B$6</f>
        <v/>
      </c>
      <c r="L169" s="61" t="n"/>
      <c r="M169" s="60" t="n"/>
      <c r="N169" s="2" t="n"/>
    </row>
    <row r="170" ht="15.75" customHeight="1" s="125">
      <c r="A170" s="2" t="n">
        <v>156</v>
      </c>
      <c r="B170" s="62" t="inlineStr">
        <is>
          <t>SI</t>
        </is>
      </c>
      <c r="C170" s="62" t="n"/>
      <c r="D170" s="58">
        <f>IF(C170="";"";INDEX(PRODUCT!A:A;MATCH(C170;PRODUCT!B:B;0)))</f>
        <v/>
      </c>
      <c r="E170" s="62">
        <f>IF(C170="";"";VLOOKUP(C170;PRODUCT!B:C;2;FALSE))</f>
        <v/>
      </c>
      <c r="F170" s="62" t="n"/>
      <c r="G170" s="61" t="n"/>
      <c r="H170" s="61" t="n">
        <v>1</v>
      </c>
      <c r="I170" s="62" t="n"/>
      <c r="J170" s="60">
        <f>IF(I170&lt;&gt;"";I170;F170*H170)</f>
        <v/>
      </c>
      <c r="K170" s="61">
        <f>CONFIG!$B$6</f>
        <v/>
      </c>
      <c r="L170" s="61" t="n"/>
      <c r="M170" s="60" t="n"/>
      <c r="N170" s="2" t="n"/>
    </row>
    <row r="171" ht="15.75" customHeight="1" s="125">
      <c r="A171" s="2" t="n">
        <v>157</v>
      </c>
      <c r="B171" s="62" t="inlineStr">
        <is>
          <t>SI</t>
        </is>
      </c>
      <c r="C171" s="62" t="n"/>
      <c r="D171" s="58">
        <f>IF(C171="";"";INDEX(PRODUCT!A:A;MATCH(C171;PRODUCT!B:B;0)))</f>
        <v/>
      </c>
      <c r="E171" s="62">
        <f>IF(C171="";"";VLOOKUP(C171;PRODUCT!B:C;2;FALSE))</f>
        <v/>
      </c>
      <c r="F171" s="62" t="n"/>
      <c r="G171" s="61" t="n"/>
      <c r="H171" s="61" t="n">
        <v>1</v>
      </c>
      <c r="I171" s="62" t="n"/>
      <c r="J171" s="60">
        <f>IF(I171&lt;&gt;"";I171;F171*H171)</f>
        <v/>
      </c>
      <c r="K171" s="61">
        <f>CONFIG!$B$6</f>
        <v/>
      </c>
      <c r="L171" s="61" t="n"/>
      <c r="M171" s="60" t="n"/>
      <c r="N171" s="2" t="n"/>
    </row>
    <row r="172" ht="15.75" customHeight="1" s="125">
      <c r="A172" s="2" t="n">
        <v>158</v>
      </c>
      <c r="B172" s="62" t="inlineStr">
        <is>
          <t>SI</t>
        </is>
      </c>
      <c r="C172" s="62" t="n"/>
      <c r="D172" s="58">
        <f>IF(C172="";"";INDEX(PRODUCT!A:A;MATCH(C172;PRODUCT!B:B;0)))</f>
        <v/>
      </c>
      <c r="E172" s="62">
        <f>IF(C172="";"";VLOOKUP(C172;PRODUCT!B:C;2;FALSE))</f>
        <v/>
      </c>
      <c r="F172" s="62" t="n"/>
      <c r="G172" s="61" t="n"/>
      <c r="H172" s="61" t="n">
        <v>1</v>
      </c>
      <c r="I172" s="62" t="n"/>
      <c r="J172" s="60">
        <f>IF(I172&lt;&gt;"";I172;F172*H172)</f>
        <v/>
      </c>
      <c r="K172" s="61">
        <f>CONFIG!$B$6</f>
        <v/>
      </c>
      <c r="L172" s="61" t="n"/>
      <c r="M172" s="60" t="n"/>
      <c r="N172" s="2" t="n"/>
    </row>
    <row r="173" ht="15.75" customHeight="1" s="125">
      <c r="A173" s="2" t="n">
        <v>159</v>
      </c>
      <c r="B173" s="62" t="inlineStr">
        <is>
          <t>SI</t>
        </is>
      </c>
      <c r="C173" s="62" t="n"/>
      <c r="D173" s="58">
        <f>IF(C173="";"";INDEX(PRODUCT!A:A;MATCH(C173;PRODUCT!B:B;0)))</f>
        <v/>
      </c>
      <c r="E173" s="62">
        <f>IF(C173="";"";VLOOKUP(C173;PRODUCT!B:C;2;FALSE))</f>
        <v/>
      </c>
      <c r="F173" s="62" t="n"/>
      <c r="G173" s="61" t="n"/>
      <c r="H173" s="61" t="n">
        <v>1</v>
      </c>
      <c r="I173" s="62" t="n"/>
      <c r="J173" s="60">
        <f>IF(I173&lt;&gt;"";I173;F173*H173)</f>
        <v/>
      </c>
      <c r="K173" s="61">
        <f>CONFIG!$B$6</f>
        <v/>
      </c>
      <c r="L173" s="61" t="n"/>
      <c r="M173" s="60" t="n"/>
      <c r="N173" s="2" t="n"/>
    </row>
    <row r="174" ht="15.75" customHeight="1" s="125">
      <c r="A174" s="2" t="n">
        <v>160</v>
      </c>
      <c r="B174" s="62" t="inlineStr">
        <is>
          <t>SI</t>
        </is>
      </c>
      <c r="C174" s="62" t="n"/>
      <c r="D174" s="58">
        <f>IF(C174="";"";INDEX(PRODUCT!A:A;MATCH(C174;PRODUCT!B:B;0)))</f>
        <v/>
      </c>
      <c r="E174" s="62">
        <f>IF(C174="";"";VLOOKUP(C174;PRODUCT!B:C;2;FALSE))</f>
        <v/>
      </c>
      <c r="F174" s="62" t="n"/>
      <c r="G174" s="61" t="n"/>
      <c r="H174" s="61" t="n">
        <v>1</v>
      </c>
      <c r="I174" s="62" t="n"/>
      <c r="J174" s="60">
        <f>IF(I174&lt;&gt;"";I174;F174*H174)</f>
        <v/>
      </c>
      <c r="K174" s="61">
        <f>CONFIG!$B$6</f>
        <v/>
      </c>
      <c r="L174" s="61" t="n"/>
      <c r="M174" s="60" t="n"/>
      <c r="N174" s="2" t="n"/>
    </row>
    <row r="175" ht="15.75" customHeight="1" s="125">
      <c r="A175" s="2" t="n">
        <v>161</v>
      </c>
      <c r="B175" s="62" t="inlineStr">
        <is>
          <t>SI</t>
        </is>
      </c>
      <c r="C175" s="62" t="n"/>
      <c r="D175" s="58">
        <f>IF(C175="";"";INDEX(PRODUCT!A:A;MATCH(C175;PRODUCT!B:B;0)))</f>
        <v/>
      </c>
      <c r="E175" s="62">
        <f>IF(C175="";"";VLOOKUP(C175;PRODUCT!B:C;2;FALSE))</f>
        <v/>
      </c>
      <c r="F175" s="62" t="n"/>
      <c r="G175" s="61" t="n"/>
      <c r="H175" s="61" t="n">
        <v>1</v>
      </c>
      <c r="I175" s="62" t="n"/>
      <c r="J175" s="60">
        <f>IF(I175&lt;&gt;"";I175;F175*H175)</f>
        <v/>
      </c>
      <c r="K175" s="61">
        <f>CONFIG!$B$6</f>
        <v/>
      </c>
      <c r="L175" s="61" t="n"/>
      <c r="M175" s="60" t="n"/>
      <c r="N175" s="2" t="n"/>
    </row>
    <row r="176" ht="15.75" customHeight="1" s="125">
      <c r="A176" s="2" t="n">
        <v>162</v>
      </c>
      <c r="B176" s="62" t="inlineStr">
        <is>
          <t>SI</t>
        </is>
      </c>
      <c r="C176" s="62" t="n"/>
      <c r="D176" s="58">
        <f>IF(C176="";"";INDEX(PRODUCT!A:A;MATCH(C176;PRODUCT!B:B;0)))</f>
        <v/>
      </c>
      <c r="E176" s="62">
        <f>IF(C176="";"";VLOOKUP(C176;PRODUCT!B:C;2;FALSE))</f>
        <v/>
      </c>
      <c r="F176" s="62" t="n"/>
      <c r="G176" s="61" t="n"/>
      <c r="H176" s="61" t="n">
        <v>1</v>
      </c>
      <c r="I176" s="62" t="n"/>
      <c r="J176" s="60">
        <f>IF(I176&lt;&gt;"";I176;F176*H176)</f>
        <v/>
      </c>
      <c r="K176" s="61">
        <f>CONFIG!$B$6</f>
        <v/>
      </c>
      <c r="L176" s="61" t="n"/>
      <c r="M176" s="60" t="n"/>
      <c r="N176" s="2" t="n"/>
    </row>
    <row r="177" ht="15.75" customHeight="1" s="125">
      <c r="A177" s="2" t="n">
        <v>163</v>
      </c>
      <c r="B177" s="62" t="inlineStr">
        <is>
          <t>SI</t>
        </is>
      </c>
      <c r="C177" s="62" t="n"/>
      <c r="D177" s="58">
        <f>IF(C177="";"";INDEX(PRODUCT!A:A;MATCH(C177;PRODUCT!B:B;0)))</f>
        <v/>
      </c>
      <c r="E177" s="62">
        <f>IF(C177="";"";VLOOKUP(C177;PRODUCT!B:C;2;FALSE))</f>
        <v/>
      </c>
      <c r="F177" s="62" t="n"/>
      <c r="G177" s="61" t="n"/>
      <c r="H177" s="61" t="n">
        <v>1</v>
      </c>
      <c r="I177" s="62" t="n"/>
      <c r="J177" s="60">
        <f>IF(I177&lt;&gt;"";I177;F177*H177)</f>
        <v/>
      </c>
      <c r="K177" s="61">
        <f>CONFIG!$B$6</f>
        <v/>
      </c>
      <c r="L177" s="61" t="n"/>
      <c r="M177" s="60" t="n"/>
      <c r="N177" s="2" t="n"/>
    </row>
    <row r="178" ht="15.75" customHeight="1" s="125">
      <c r="A178" s="2" t="n">
        <v>164</v>
      </c>
      <c r="B178" s="62" t="inlineStr">
        <is>
          <t>SI</t>
        </is>
      </c>
      <c r="C178" s="62" t="n"/>
      <c r="D178" s="58">
        <f>IF(C178="";"";INDEX(PRODUCT!A:A;MATCH(C178;PRODUCT!B:B;0)))</f>
        <v/>
      </c>
      <c r="E178" s="62">
        <f>IF(C178="";"";VLOOKUP(C178;PRODUCT!B:C;2;FALSE))</f>
        <v/>
      </c>
      <c r="F178" s="62" t="n"/>
      <c r="G178" s="61" t="n"/>
      <c r="H178" s="61" t="n">
        <v>1</v>
      </c>
      <c r="I178" s="62" t="n"/>
      <c r="J178" s="60">
        <f>IF(I178&lt;&gt;"";I178;F178*H178)</f>
        <v/>
      </c>
      <c r="K178" s="61">
        <f>CONFIG!$B$6</f>
        <v/>
      </c>
      <c r="L178" s="61" t="n"/>
      <c r="M178" s="60" t="n"/>
      <c r="N178" s="2" t="n"/>
    </row>
    <row r="179" ht="15.75" customHeight="1" s="125">
      <c r="A179" s="2" t="n">
        <v>165</v>
      </c>
      <c r="B179" s="62" t="inlineStr">
        <is>
          <t>SI</t>
        </is>
      </c>
      <c r="C179" s="62" t="n"/>
      <c r="D179" s="58">
        <f>IF(C179="";"";INDEX(PRODUCT!A:A;MATCH(C179;PRODUCT!B:B;0)))</f>
        <v/>
      </c>
      <c r="E179" s="62">
        <f>IF(C179="";"";VLOOKUP(C179;PRODUCT!B:C;2;FALSE))</f>
        <v/>
      </c>
      <c r="F179" s="62" t="n"/>
      <c r="G179" s="61" t="n"/>
      <c r="H179" s="61" t="n">
        <v>1</v>
      </c>
      <c r="I179" s="62" t="n"/>
      <c r="J179" s="60">
        <f>IF(I179&lt;&gt;"";I179;F179*H179)</f>
        <v/>
      </c>
      <c r="K179" s="61">
        <f>CONFIG!$B$6</f>
        <v/>
      </c>
      <c r="L179" s="61" t="n"/>
      <c r="M179" s="60" t="n"/>
      <c r="N179" s="2" t="n"/>
    </row>
    <row r="180" ht="15.75" customHeight="1" s="125">
      <c r="A180" s="2" t="n">
        <v>166</v>
      </c>
      <c r="B180" s="62" t="inlineStr">
        <is>
          <t>SI</t>
        </is>
      </c>
      <c r="C180" s="62" t="n"/>
      <c r="D180" s="58">
        <f>IF(C180="";"";INDEX(PRODUCT!A:A;MATCH(C180;PRODUCT!B:B;0)))</f>
        <v/>
      </c>
      <c r="E180" s="62">
        <f>IF(C180="";"";VLOOKUP(C180;PRODUCT!B:C;2;FALSE))</f>
        <v/>
      </c>
      <c r="F180" s="62" t="n"/>
      <c r="G180" s="61" t="n"/>
      <c r="H180" s="61" t="n">
        <v>1</v>
      </c>
      <c r="I180" s="62" t="n"/>
      <c r="J180" s="60">
        <f>IF(I180&lt;&gt;"";I180;F180*H180)</f>
        <v/>
      </c>
      <c r="K180" s="61">
        <f>CONFIG!$B$6</f>
        <v/>
      </c>
      <c r="L180" s="61" t="n"/>
      <c r="M180" s="60" t="n"/>
      <c r="N180" s="2" t="n"/>
    </row>
    <row r="181" ht="15.75" customHeight="1" s="125">
      <c r="A181" s="2" t="n">
        <v>167</v>
      </c>
      <c r="B181" s="62" t="inlineStr">
        <is>
          <t>SI</t>
        </is>
      </c>
      <c r="C181" s="62" t="n"/>
      <c r="D181" s="58">
        <f>IF(C181="";"";INDEX(PRODUCT!A:A;MATCH(C181;PRODUCT!B:B;0)))</f>
        <v/>
      </c>
      <c r="E181" s="62">
        <f>IF(C181="";"";VLOOKUP(C181;PRODUCT!B:C;2;FALSE))</f>
        <v/>
      </c>
      <c r="F181" s="62" t="n"/>
      <c r="G181" s="61" t="n"/>
      <c r="H181" s="61" t="n">
        <v>1</v>
      </c>
      <c r="I181" s="62" t="n"/>
      <c r="J181" s="60">
        <f>IF(I181&lt;&gt;"";I181;F181*H181)</f>
        <v/>
      </c>
      <c r="K181" s="61">
        <f>CONFIG!$B$6</f>
        <v/>
      </c>
      <c r="L181" s="61" t="n"/>
      <c r="M181" s="60" t="n"/>
      <c r="N181" s="2" t="n"/>
    </row>
    <row r="182" ht="15.75" customHeight="1" s="125">
      <c r="A182" s="2" t="n">
        <v>168</v>
      </c>
      <c r="B182" s="62" t="inlineStr">
        <is>
          <t>SI</t>
        </is>
      </c>
      <c r="C182" s="62" t="n"/>
      <c r="D182" s="58">
        <f>IF(C182="";"";INDEX(PRODUCT!A:A;MATCH(C182;PRODUCT!B:B;0)))</f>
        <v/>
      </c>
      <c r="E182" s="62">
        <f>IF(C182="";"";VLOOKUP(C182;PRODUCT!B:C;2;FALSE))</f>
        <v/>
      </c>
      <c r="F182" s="62" t="n"/>
      <c r="G182" s="61" t="n"/>
      <c r="H182" s="61" t="n">
        <v>1</v>
      </c>
      <c r="I182" s="62" t="n"/>
      <c r="J182" s="60">
        <f>IF(I182&lt;&gt;"";I182;F182*H182)</f>
        <v/>
      </c>
      <c r="K182" s="61">
        <f>CONFIG!$B$6</f>
        <v/>
      </c>
      <c r="L182" s="61" t="n"/>
      <c r="M182" s="60" t="n"/>
      <c r="N182" s="2" t="n"/>
    </row>
    <row r="183" ht="15.75" customHeight="1" s="125">
      <c r="A183" s="2" t="n">
        <v>169</v>
      </c>
      <c r="B183" s="62" t="inlineStr">
        <is>
          <t>SI</t>
        </is>
      </c>
      <c r="C183" s="62" t="n"/>
      <c r="D183" s="58">
        <f>IF(C183="";"";INDEX(PRODUCT!A:A;MATCH(C183;PRODUCT!B:B;0)))</f>
        <v/>
      </c>
      <c r="E183" s="62">
        <f>IF(C183="";"";VLOOKUP(C183;PRODUCT!B:C;2;FALSE))</f>
        <v/>
      </c>
      <c r="F183" s="62" t="n"/>
      <c r="G183" s="61" t="n"/>
      <c r="H183" s="61" t="n">
        <v>1</v>
      </c>
      <c r="I183" s="62" t="n"/>
      <c r="J183" s="60">
        <f>IF(I183&lt;&gt;"";I183;F183*H183)</f>
        <v/>
      </c>
      <c r="K183" s="61">
        <f>CONFIG!$B$6</f>
        <v/>
      </c>
      <c r="L183" s="61" t="n"/>
      <c r="M183" s="60" t="n"/>
      <c r="N183" s="2" t="n"/>
    </row>
    <row r="184" ht="15.75" customHeight="1" s="125">
      <c r="A184" s="2" t="n">
        <v>170</v>
      </c>
      <c r="B184" s="62" t="inlineStr">
        <is>
          <t>SI</t>
        </is>
      </c>
      <c r="C184" s="62" t="n"/>
      <c r="D184" s="58">
        <f>IF(C184="";"";INDEX(PRODUCT!A:A;MATCH(C184;PRODUCT!B:B;0)))</f>
        <v/>
      </c>
      <c r="E184" s="62">
        <f>IF(C184="";"";VLOOKUP(C184;PRODUCT!B:C;2;FALSE))</f>
        <v/>
      </c>
      <c r="F184" s="62" t="n"/>
      <c r="G184" s="61" t="n"/>
      <c r="H184" s="61" t="n">
        <v>1</v>
      </c>
      <c r="I184" s="62" t="n"/>
      <c r="J184" s="60">
        <f>IF(I184&lt;&gt;"";I184;F184*H184)</f>
        <v/>
      </c>
      <c r="K184" s="61">
        <f>CONFIG!$B$6</f>
        <v/>
      </c>
      <c r="L184" s="61" t="n"/>
      <c r="M184" s="60" t="n"/>
      <c r="N184" s="2" t="n"/>
    </row>
    <row r="185" ht="15.75" customHeight="1" s="125">
      <c r="A185" s="2" t="n">
        <v>171</v>
      </c>
      <c r="B185" s="62" t="inlineStr">
        <is>
          <t>SI</t>
        </is>
      </c>
      <c r="C185" s="62" t="n"/>
      <c r="D185" s="58">
        <f>IF(C185="";"";INDEX(PRODUCT!A:A;MATCH(C185;PRODUCT!B:B;0)))</f>
        <v/>
      </c>
      <c r="E185" s="62">
        <f>IF(C185="";"";VLOOKUP(C185;PRODUCT!B:C;2;FALSE))</f>
        <v/>
      </c>
      <c r="F185" s="62" t="n"/>
      <c r="G185" s="61" t="n"/>
      <c r="H185" s="61" t="n">
        <v>1</v>
      </c>
      <c r="I185" s="62" t="n"/>
      <c r="J185" s="60">
        <f>IF(I185&lt;&gt;"";I185;F185*H185)</f>
        <v/>
      </c>
      <c r="K185" s="61">
        <f>CONFIG!$B$6</f>
        <v/>
      </c>
      <c r="L185" s="61" t="n"/>
      <c r="M185" s="60" t="n"/>
      <c r="N185" s="2" t="n"/>
    </row>
    <row r="186" ht="15.75" customHeight="1" s="125">
      <c r="A186" s="2" t="n">
        <v>172</v>
      </c>
      <c r="B186" s="62" t="inlineStr">
        <is>
          <t>SI</t>
        </is>
      </c>
      <c r="C186" s="62" t="n"/>
      <c r="D186" s="58">
        <f>IF(C186="";"";INDEX(PRODUCT!A:A;MATCH(C186;PRODUCT!B:B;0)))</f>
        <v/>
      </c>
      <c r="E186" s="62">
        <f>IF(C186="";"";VLOOKUP(C186;PRODUCT!B:C;2;FALSE))</f>
        <v/>
      </c>
      <c r="F186" s="62" t="n"/>
      <c r="G186" s="61" t="n"/>
      <c r="H186" s="61" t="n">
        <v>1</v>
      </c>
      <c r="I186" s="62" t="n"/>
      <c r="J186" s="60">
        <f>IF(I186&lt;&gt;"";I186;F186*H186)</f>
        <v/>
      </c>
      <c r="K186" s="61">
        <f>CONFIG!$B$6</f>
        <v/>
      </c>
      <c r="L186" s="61" t="n"/>
      <c r="M186" s="60" t="n"/>
      <c r="N186" s="2" t="n"/>
    </row>
    <row r="187" ht="15.75" customHeight="1" s="125">
      <c r="A187" s="2" t="n">
        <v>173</v>
      </c>
      <c r="B187" s="62" t="inlineStr">
        <is>
          <t>SI</t>
        </is>
      </c>
      <c r="C187" s="62" t="n"/>
      <c r="D187" s="58">
        <f>IF(C187="";"";INDEX(PRODUCT!A:A;MATCH(C187;PRODUCT!B:B;0)))</f>
        <v/>
      </c>
      <c r="E187" s="62">
        <f>IF(C187="";"";VLOOKUP(C187;PRODUCT!B:C;2;FALSE))</f>
        <v/>
      </c>
      <c r="F187" s="62" t="n"/>
      <c r="G187" s="61" t="n"/>
      <c r="H187" s="61" t="n">
        <v>1</v>
      </c>
      <c r="I187" s="62" t="n"/>
      <c r="J187" s="60">
        <f>IF(I187&lt;&gt;"";I187;F187*H187)</f>
        <v/>
      </c>
      <c r="K187" s="61">
        <f>CONFIG!$B$6</f>
        <v/>
      </c>
      <c r="L187" s="61" t="n"/>
      <c r="M187" s="60" t="n"/>
      <c r="N187" s="2" t="n"/>
    </row>
    <row r="188" ht="15.75" customHeight="1" s="125">
      <c r="A188" s="2" t="n">
        <v>174</v>
      </c>
      <c r="B188" s="2" t="inlineStr">
        <is>
          <t>SI</t>
        </is>
      </c>
      <c r="C188" s="62" t="n"/>
      <c r="D188" s="58">
        <f>IF(C188="";"";INDEX(PRODUCT!A:A;MATCH(C188;PRODUCT!B:B;0)))</f>
        <v/>
      </c>
      <c r="E188" s="62">
        <f>IF(C188="";"";VLOOKUP(C188;PRODUCT!B:C;2;FALSE))</f>
        <v/>
      </c>
      <c r="F188" s="62" t="n"/>
      <c r="G188" s="61" t="n"/>
      <c r="H188" s="61" t="n">
        <v>1</v>
      </c>
      <c r="I188" s="62" t="n"/>
      <c r="J188" s="60">
        <f>IF(I188&lt;&gt;"";I188;F188*H188)</f>
        <v/>
      </c>
      <c r="K188" s="61">
        <f>CONFIG!$B$6</f>
        <v/>
      </c>
      <c r="L188" s="61" t="n"/>
      <c r="M188" s="60" t="n"/>
      <c r="N188" s="2" t="n"/>
    </row>
    <row r="189" ht="15.75" customHeight="1" s="125">
      <c r="A189" s="2" t="n">
        <v>175</v>
      </c>
      <c r="B189" s="2" t="inlineStr">
        <is>
          <t>SI</t>
        </is>
      </c>
      <c r="C189" s="62" t="n"/>
      <c r="D189" s="58">
        <f>IF(C189="";"";INDEX(PRODUCT!A:A;MATCH(C189;PRODUCT!B:B;0)))</f>
        <v/>
      </c>
      <c r="E189" s="62">
        <f>IF(C189="";"";VLOOKUP(C189;PRODUCT!B:C;2;FALSE))</f>
        <v/>
      </c>
      <c r="F189" s="62" t="n"/>
      <c r="G189" s="61" t="n"/>
      <c r="H189" s="61" t="n">
        <v>1</v>
      </c>
      <c r="I189" s="62" t="n"/>
      <c r="J189" s="60">
        <f>IF(I189&lt;&gt;"";I189;F189*H189)</f>
        <v/>
      </c>
      <c r="K189" s="61">
        <f>CONFIG!$B$6</f>
        <v/>
      </c>
      <c r="L189" s="61" t="n"/>
      <c r="M189" s="60" t="n"/>
      <c r="N189" s="2" t="n"/>
    </row>
    <row r="190" ht="15.75" customHeight="1" s="125">
      <c r="A190" s="2" t="n">
        <v>176</v>
      </c>
      <c r="B190" s="2" t="inlineStr">
        <is>
          <t>SI</t>
        </is>
      </c>
      <c r="C190" s="62" t="n"/>
      <c r="D190" s="58">
        <f>IF(C190="";"";INDEX(PRODUCT!A:A;MATCH(C190;PRODUCT!B:B;0)))</f>
        <v/>
      </c>
      <c r="E190" s="62">
        <f>IF(C190="";"";VLOOKUP(C190;PRODUCT!B:C;2;FALSE))</f>
        <v/>
      </c>
      <c r="F190" s="62" t="n"/>
      <c r="G190" s="61" t="n"/>
      <c r="H190" s="61" t="n">
        <v>1</v>
      </c>
      <c r="I190" s="62" t="n"/>
      <c r="J190" s="60">
        <f>IF(I190&lt;&gt;"";I190;F190*H190)</f>
        <v/>
      </c>
      <c r="K190" s="61">
        <f>CONFIG!$B$6</f>
        <v/>
      </c>
      <c r="L190" s="61" t="n"/>
      <c r="M190" s="60" t="n"/>
      <c r="N190" s="2" t="n"/>
    </row>
    <row r="191" ht="15.75" customHeight="1" s="125">
      <c r="A191" s="2" t="n">
        <v>177</v>
      </c>
      <c r="B191" s="2" t="inlineStr">
        <is>
          <t>SI</t>
        </is>
      </c>
      <c r="C191" s="62" t="n"/>
      <c r="D191" s="58">
        <f>IF(C191="";"";INDEX(PRODUCT!A:A;MATCH(C191;PRODUCT!B:B;0)))</f>
        <v/>
      </c>
      <c r="E191" s="62">
        <f>IF(C191="";"";VLOOKUP(C191;PRODUCT!B:C;2;FALSE))</f>
        <v/>
      </c>
      <c r="F191" s="62" t="n"/>
      <c r="G191" s="61" t="n"/>
      <c r="H191" s="61" t="n">
        <v>1</v>
      </c>
      <c r="I191" s="62" t="n"/>
      <c r="J191" s="60">
        <f>IF(I191&lt;&gt;"";I191;F191*H191)</f>
        <v/>
      </c>
      <c r="K191" s="61">
        <f>CONFIG!$B$6</f>
        <v/>
      </c>
      <c r="L191" s="61" t="n"/>
      <c r="M191" s="60" t="n"/>
      <c r="N191" s="2" t="n"/>
    </row>
    <row r="192" ht="15.75" customHeight="1" s="125">
      <c r="A192" s="2" t="n">
        <v>178</v>
      </c>
      <c r="B192" s="2" t="inlineStr">
        <is>
          <t>SI</t>
        </is>
      </c>
      <c r="C192" s="62" t="n"/>
      <c r="D192" s="58">
        <f>IF(C192="";"";INDEX(PRODUCT!A:A;MATCH(C192;PRODUCT!B:B;0)))</f>
        <v/>
      </c>
      <c r="E192" s="62">
        <f>IF(C192="";"";VLOOKUP(C192;PRODUCT!B:C;2;FALSE))</f>
        <v/>
      </c>
      <c r="F192" s="62" t="n"/>
      <c r="G192" s="61" t="n"/>
      <c r="H192" s="61" t="n">
        <v>1</v>
      </c>
      <c r="I192" s="62" t="n"/>
      <c r="J192" s="60">
        <f>IF(I192&lt;&gt;"";I192;F192*H192)</f>
        <v/>
      </c>
      <c r="K192" s="61">
        <f>CONFIG!$B$6</f>
        <v/>
      </c>
      <c r="L192" s="61" t="n"/>
      <c r="M192" s="60" t="n"/>
      <c r="N192" s="2" t="n"/>
    </row>
    <row r="193" ht="15.75" customHeight="1" s="125">
      <c r="A193" s="2" t="n">
        <v>179</v>
      </c>
      <c r="B193" s="2" t="inlineStr">
        <is>
          <t>SI</t>
        </is>
      </c>
      <c r="C193" s="62" t="n"/>
      <c r="D193" s="58">
        <f>IF(C193="";"";INDEX(PRODUCT!A:A;MATCH(C193;PRODUCT!B:B;0)))</f>
        <v/>
      </c>
      <c r="E193" s="62">
        <f>IF(C193="";"";VLOOKUP(C193;PRODUCT!B:C;2;FALSE))</f>
        <v/>
      </c>
      <c r="F193" s="62" t="n"/>
      <c r="G193" s="61" t="n"/>
      <c r="H193" s="61" t="n">
        <v>1</v>
      </c>
      <c r="I193" s="62" t="n"/>
      <c r="J193" s="60">
        <f>IF(I193&lt;&gt;"";I193;F193*H193)</f>
        <v/>
      </c>
      <c r="K193" s="61">
        <f>CONFIG!$B$6</f>
        <v/>
      </c>
      <c r="L193" s="61" t="n"/>
      <c r="M193" s="60" t="n"/>
      <c r="N193" s="2" t="n"/>
    </row>
    <row r="194" ht="15.75" customHeight="1" s="125">
      <c r="A194" s="2" t="n">
        <v>180</v>
      </c>
      <c r="B194" s="2" t="inlineStr">
        <is>
          <t>SI</t>
        </is>
      </c>
      <c r="C194" s="62" t="n"/>
      <c r="D194" s="58">
        <f>IF(C194="";"";INDEX(PRODUCT!A:A;MATCH(C194;PRODUCT!B:B;0)))</f>
        <v/>
      </c>
      <c r="E194" s="62">
        <f>IF(C194="";"";VLOOKUP(C194;PRODUCT!B:C;2;FALSE))</f>
        <v/>
      </c>
      <c r="F194" s="62" t="n"/>
      <c r="G194" s="61" t="n"/>
      <c r="H194" s="61" t="n">
        <v>1</v>
      </c>
      <c r="I194" s="62" t="n"/>
      <c r="J194" s="60">
        <f>IF(I194&lt;&gt;"";I194;F194*H194)</f>
        <v/>
      </c>
      <c r="K194" s="61">
        <f>CONFIG!$B$6</f>
        <v/>
      </c>
      <c r="L194" s="61" t="n"/>
      <c r="M194" s="60" t="n"/>
      <c r="N194" s="2" t="n"/>
    </row>
    <row r="195" ht="15.75" customHeight="1" s="125">
      <c r="A195" s="2" t="n">
        <v>181</v>
      </c>
      <c r="B195" s="2" t="inlineStr">
        <is>
          <t>SI</t>
        </is>
      </c>
      <c r="C195" s="62" t="n"/>
      <c r="D195" s="58">
        <f>IF(C195="";"";INDEX(PRODUCT!A:A;MATCH(C195;PRODUCT!B:B;0)))</f>
        <v/>
      </c>
      <c r="E195" s="62">
        <f>IF(C195="";"";VLOOKUP(C195;PRODUCT!B:C;2;FALSE))</f>
        <v/>
      </c>
      <c r="F195" s="62" t="n"/>
      <c r="G195" s="61" t="n"/>
      <c r="H195" s="61" t="n">
        <v>1</v>
      </c>
      <c r="I195" s="62" t="n"/>
      <c r="J195" s="60">
        <f>IF(I195&lt;&gt;"";I195;F195*H195)</f>
        <v/>
      </c>
      <c r="K195" s="61">
        <f>CONFIG!$B$6</f>
        <v/>
      </c>
      <c r="L195" s="61" t="n"/>
      <c r="M195" s="60" t="n"/>
      <c r="N195" s="2" t="n"/>
    </row>
    <row r="196" ht="15.75" customHeight="1" s="125">
      <c r="A196" s="2" t="n">
        <v>182</v>
      </c>
      <c r="B196" s="2" t="inlineStr">
        <is>
          <t>SI</t>
        </is>
      </c>
      <c r="C196" s="62" t="n"/>
      <c r="D196" s="58">
        <f>IF(C196="";"";INDEX(PRODUCT!A:A;MATCH(C196;PRODUCT!B:B;0)))</f>
        <v/>
      </c>
      <c r="E196" s="62">
        <f>IF(C196="";"";VLOOKUP(C196;PRODUCT!B:C;2;FALSE))</f>
        <v/>
      </c>
      <c r="F196" s="62" t="n"/>
      <c r="G196" s="61" t="n"/>
      <c r="H196" s="61" t="n">
        <v>1</v>
      </c>
      <c r="I196" s="62" t="n"/>
      <c r="J196" s="60">
        <f>IF(I196&lt;&gt;"";I196;F196*H196)</f>
        <v/>
      </c>
      <c r="K196" s="61">
        <f>CONFIG!$B$6</f>
        <v/>
      </c>
      <c r="L196" s="61" t="n"/>
      <c r="M196" s="60" t="n"/>
      <c r="N196" s="2" t="n"/>
    </row>
    <row r="197" ht="15.75" customHeight="1" s="125">
      <c r="A197" s="2" t="n">
        <v>183</v>
      </c>
      <c r="B197" s="2" t="inlineStr">
        <is>
          <t>SI</t>
        </is>
      </c>
      <c r="C197" s="62" t="n"/>
      <c r="D197" s="58">
        <f>IF(C197="";"";INDEX(PRODUCT!A:A;MATCH(C197;PRODUCT!B:B;0)))</f>
        <v/>
      </c>
      <c r="E197" s="62">
        <f>IF(C197="";"";VLOOKUP(C197;PRODUCT!B:C;2;FALSE))</f>
        <v/>
      </c>
      <c r="F197" s="62" t="n"/>
      <c r="G197" s="61" t="n"/>
      <c r="H197" s="61" t="n">
        <v>1</v>
      </c>
      <c r="I197" s="62" t="n"/>
      <c r="J197" s="60">
        <f>IF(I197&lt;&gt;"";I197;F197*H197)</f>
        <v/>
      </c>
      <c r="K197" s="61">
        <f>CONFIG!$B$6</f>
        <v/>
      </c>
      <c r="L197" s="61" t="n"/>
      <c r="M197" s="60" t="n"/>
      <c r="N197" s="2" t="n"/>
    </row>
    <row r="198" ht="15.75" customHeight="1" s="125">
      <c r="A198" s="2" t="n">
        <v>184</v>
      </c>
      <c r="B198" s="2" t="inlineStr">
        <is>
          <t>SI</t>
        </is>
      </c>
      <c r="C198" s="62" t="n"/>
      <c r="D198" s="58">
        <f>IF(C198="";"";INDEX(PRODUCT!A:A;MATCH(C198;PRODUCT!B:B;0)))</f>
        <v/>
      </c>
      <c r="E198" s="62">
        <f>IF(C198="";"";VLOOKUP(C198;PRODUCT!B:C;2;FALSE))</f>
        <v/>
      </c>
      <c r="F198" s="62" t="n"/>
      <c r="G198" s="61" t="n"/>
      <c r="H198" s="61" t="n">
        <v>1</v>
      </c>
      <c r="I198" s="62" t="n"/>
      <c r="J198" s="60">
        <f>IF(I198&lt;&gt;"";I198;F198*H198)</f>
        <v/>
      </c>
      <c r="K198" s="61">
        <f>CONFIG!$B$6</f>
        <v/>
      </c>
      <c r="L198" s="61" t="n"/>
      <c r="M198" s="60" t="n"/>
      <c r="N198" s="2" t="n"/>
    </row>
    <row r="199" ht="15.75" customHeight="1" s="125">
      <c r="A199" s="2" t="n">
        <v>185</v>
      </c>
      <c r="B199" s="2" t="inlineStr">
        <is>
          <t>SI</t>
        </is>
      </c>
      <c r="C199" s="62" t="n"/>
      <c r="D199" s="58">
        <f>IF(C199="";"";INDEX(PRODUCT!A:A;MATCH(C199;PRODUCT!B:B;0)))</f>
        <v/>
      </c>
      <c r="E199" s="62">
        <f>IF(C199="";"";VLOOKUP(C199;PRODUCT!B:C;2;FALSE))</f>
        <v/>
      </c>
      <c r="F199" s="62" t="n"/>
      <c r="G199" s="61" t="n"/>
      <c r="H199" s="61" t="n">
        <v>1</v>
      </c>
      <c r="I199" s="62" t="n"/>
      <c r="J199" s="60">
        <f>IF(I199&lt;&gt;"";I199;F199*H199)</f>
        <v/>
      </c>
      <c r="K199" s="61">
        <f>CONFIG!$B$6</f>
        <v/>
      </c>
      <c r="L199" s="61" t="n"/>
      <c r="M199" s="60" t="n"/>
      <c r="N199" s="2" t="n"/>
    </row>
    <row r="200" ht="15.75" customHeight="1" s="125">
      <c r="A200" s="2" t="n">
        <v>186</v>
      </c>
      <c r="B200" s="2" t="inlineStr">
        <is>
          <t>SI</t>
        </is>
      </c>
      <c r="C200" s="62" t="n"/>
      <c r="D200" s="58">
        <f>IF(C200="";"";INDEX(PRODUCT!A:A;MATCH(C200;PRODUCT!B:B;0)))</f>
        <v/>
      </c>
      <c r="E200" s="62">
        <f>IF(C200="";"";VLOOKUP(C200;PRODUCT!B:C;2;FALSE))</f>
        <v/>
      </c>
      <c r="F200" s="62" t="n"/>
      <c r="G200" s="61" t="n"/>
      <c r="H200" s="61" t="n">
        <v>1</v>
      </c>
      <c r="I200" s="62" t="n"/>
      <c r="J200" s="60">
        <f>IF(I200&lt;&gt;"";I200;F200*H200)</f>
        <v/>
      </c>
      <c r="K200" s="61">
        <f>CONFIG!$B$6</f>
        <v/>
      </c>
      <c r="L200" s="61" t="n"/>
      <c r="M200" s="60" t="n"/>
      <c r="N200" s="2" t="n"/>
    </row>
    <row r="201" ht="15.75" customHeight="1" s="125">
      <c r="A201" s="2" t="n"/>
      <c r="B201" s="2" t="n"/>
      <c r="C201" s="62" t="n"/>
      <c r="D201" s="58" t="n"/>
      <c r="E201" s="62" t="n"/>
      <c r="F201" s="62" t="n"/>
      <c r="G201" s="61" t="n"/>
      <c r="H201" s="61" t="n"/>
      <c r="I201" s="62" t="n"/>
      <c r="J201" s="60" t="n"/>
      <c r="K201" s="61" t="n"/>
      <c r="L201" s="61" t="n"/>
      <c r="M201" s="60" t="n"/>
      <c r="N201" s="2" t="n"/>
    </row>
    <row r="202" ht="15.75" customHeight="1" s="125">
      <c r="A202" s="2" t="n"/>
      <c r="B202" s="2" t="n"/>
      <c r="C202" s="62" t="n"/>
      <c r="D202" s="58" t="n"/>
      <c r="E202" s="62" t="n"/>
      <c r="F202" s="62" t="n"/>
      <c r="G202" s="61" t="n"/>
      <c r="H202" s="61" t="n"/>
      <c r="I202" s="62" t="n"/>
      <c r="J202" s="60" t="n"/>
      <c r="K202" s="61" t="n"/>
      <c r="L202" s="61" t="n"/>
      <c r="M202" s="60" t="n"/>
      <c r="N202" s="2" t="n"/>
    </row>
    <row r="203" ht="15.75" customHeight="1" s="125">
      <c r="A203" s="2" t="n"/>
      <c r="B203" s="2" t="n"/>
      <c r="C203" s="62" t="n"/>
      <c r="D203" s="58" t="n"/>
      <c r="E203" s="62" t="n"/>
      <c r="F203" s="62" t="n"/>
      <c r="G203" s="61" t="n"/>
      <c r="H203" s="61" t="n"/>
      <c r="I203" s="62" t="n"/>
      <c r="J203" s="60" t="n"/>
      <c r="K203" s="61" t="n"/>
      <c r="L203" s="61" t="n"/>
      <c r="M203" s="60" t="n"/>
      <c r="N203" s="2" t="n"/>
    </row>
    <row r="204" ht="15.75" customHeight="1" s="125">
      <c r="A204" s="2" t="n"/>
      <c r="B204" s="2" t="n"/>
      <c r="C204" s="62" t="n"/>
      <c r="D204" s="58" t="n"/>
      <c r="E204" s="62" t="n"/>
      <c r="F204" s="62" t="n"/>
      <c r="G204" s="61" t="n"/>
      <c r="H204" s="61" t="n"/>
      <c r="I204" s="62" t="n"/>
      <c r="J204" s="60" t="n"/>
      <c r="K204" s="61" t="n"/>
      <c r="L204" s="61" t="n"/>
      <c r="M204" s="60" t="n"/>
      <c r="N204" s="2" t="n"/>
    </row>
    <row r="205" ht="15.75" customHeight="1" s="125">
      <c r="A205" s="2" t="n"/>
      <c r="B205" s="2" t="n"/>
      <c r="C205" s="62" t="n"/>
      <c r="D205" s="58" t="n"/>
      <c r="E205" s="62" t="n"/>
      <c r="F205" s="62" t="n"/>
      <c r="G205" s="61" t="n"/>
      <c r="H205" s="61" t="n"/>
      <c r="I205" s="62" t="n"/>
      <c r="J205" s="60" t="n"/>
      <c r="K205" s="61" t="n"/>
      <c r="L205" s="61" t="n"/>
      <c r="M205" s="60" t="n"/>
      <c r="N205" s="2" t="n"/>
    </row>
    <row r="206" ht="15.75" customHeight="1" s="125">
      <c r="A206" s="2" t="n"/>
      <c r="B206" s="2" t="n"/>
      <c r="C206" s="62" t="n"/>
      <c r="D206" s="58" t="n"/>
      <c r="E206" s="62" t="n"/>
      <c r="F206" s="62" t="n"/>
      <c r="G206" s="61" t="n"/>
      <c r="H206" s="61" t="n"/>
      <c r="I206" s="62" t="n"/>
      <c r="J206" s="60" t="n"/>
      <c r="K206" s="61" t="n"/>
      <c r="L206" s="61" t="n"/>
      <c r="M206" s="60" t="n"/>
      <c r="N206" s="2" t="n"/>
    </row>
    <row r="207" ht="15.75" customHeight="1" s="125">
      <c r="A207" s="2" t="n"/>
      <c r="B207" s="2" t="n"/>
      <c r="C207" s="62" t="n"/>
      <c r="D207" s="58" t="n"/>
      <c r="E207" s="62" t="n"/>
      <c r="F207" s="62" t="n"/>
      <c r="G207" s="61" t="n"/>
      <c r="H207" s="61" t="n"/>
      <c r="I207" s="62" t="n"/>
      <c r="J207" s="60" t="n"/>
      <c r="K207" s="61" t="n"/>
      <c r="L207" s="61" t="n"/>
      <c r="M207" s="60" t="n"/>
      <c r="N207" s="2" t="n"/>
    </row>
    <row r="208" ht="15.75" customHeight="1" s="125">
      <c r="A208" s="2" t="n"/>
      <c r="B208" s="2" t="n"/>
      <c r="C208" s="62" t="n"/>
      <c r="D208" s="58" t="n"/>
      <c r="E208" s="62" t="n"/>
      <c r="F208" s="62" t="n"/>
      <c r="G208" s="61" t="n"/>
      <c r="H208" s="61" t="n"/>
      <c r="I208" s="62" t="n"/>
      <c r="J208" s="60" t="n"/>
      <c r="K208" s="61" t="n"/>
      <c r="L208" s="61" t="n"/>
      <c r="M208" s="60" t="n"/>
      <c r="N208" s="2" t="n"/>
    </row>
    <row r="209" ht="15.75" customHeight="1" s="125">
      <c r="A209" s="2" t="n"/>
      <c r="B209" s="2" t="n"/>
      <c r="C209" s="62" t="n"/>
      <c r="D209" s="58" t="n"/>
      <c r="E209" s="62" t="n"/>
      <c r="F209" s="62" t="n"/>
      <c r="G209" s="61" t="n"/>
      <c r="H209" s="61" t="n"/>
      <c r="I209" s="62" t="n"/>
      <c r="J209" s="60" t="n"/>
      <c r="K209" s="61" t="n"/>
      <c r="L209" s="61" t="n"/>
      <c r="M209" s="60" t="n"/>
      <c r="N209" s="2" t="n"/>
    </row>
    <row r="210" ht="15.75" customHeight="1" s="125">
      <c r="A210" s="2" t="n"/>
      <c r="B210" s="2" t="n"/>
      <c r="C210" s="62" t="n"/>
      <c r="D210" s="58" t="n"/>
      <c r="E210" s="62" t="n"/>
      <c r="F210" s="62" t="n"/>
      <c r="G210" s="61" t="n"/>
      <c r="H210" s="61" t="n"/>
      <c r="I210" s="62" t="n"/>
      <c r="J210" s="60" t="n"/>
      <c r="K210" s="61" t="n"/>
      <c r="L210" s="61" t="n"/>
      <c r="M210" s="60" t="n"/>
      <c r="N210" s="2" t="n"/>
    </row>
    <row r="211" ht="15.75" customHeight="1" s="125">
      <c r="A211" s="2" t="n"/>
      <c r="B211" s="2" t="n"/>
      <c r="C211" s="62" t="n"/>
      <c r="D211" s="58" t="n"/>
      <c r="E211" s="62" t="n"/>
      <c r="F211" s="62" t="n"/>
      <c r="G211" s="61" t="n"/>
      <c r="H211" s="61" t="n"/>
      <c r="I211" s="62" t="n"/>
      <c r="J211" s="60" t="n"/>
      <c r="K211" s="61" t="n"/>
      <c r="L211" s="61" t="n"/>
      <c r="M211" s="60" t="n"/>
      <c r="N211" s="2" t="n"/>
    </row>
    <row r="212" ht="15.75" customHeight="1" s="125">
      <c r="A212" s="2" t="n"/>
      <c r="B212" s="2" t="n"/>
      <c r="C212" s="62" t="n"/>
      <c r="D212" s="58" t="n"/>
      <c r="E212" s="62" t="n"/>
      <c r="F212" s="62" t="n"/>
      <c r="G212" s="61" t="n"/>
      <c r="H212" s="61" t="n"/>
      <c r="I212" s="62" t="n"/>
      <c r="J212" s="60" t="n"/>
      <c r="K212" s="61" t="n"/>
      <c r="L212" s="61" t="n"/>
      <c r="M212" s="60" t="n"/>
      <c r="N212" s="2" t="n"/>
    </row>
    <row r="213" ht="15.75" customHeight="1" s="125">
      <c r="A213" s="2" t="n"/>
      <c r="B213" s="2" t="n"/>
      <c r="C213" s="62" t="n"/>
      <c r="D213" s="58" t="n"/>
      <c r="E213" s="62" t="n"/>
      <c r="F213" s="62" t="n"/>
      <c r="G213" s="61" t="n"/>
      <c r="H213" s="61" t="n"/>
      <c r="I213" s="62" t="n"/>
      <c r="J213" s="60" t="n"/>
      <c r="K213" s="61" t="n"/>
      <c r="L213" s="61" t="n"/>
      <c r="M213" s="60" t="n"/>
      <c r="N213" s="2" t="n"/>
    </row>
    <row r="214" ht="15.75" customHeight="1" s="125">
      <c r="A214" s="2" t="n"/>
      <c r="B214" s="2" t="n"/>
      <c r="C214" s="62" t="n"/>
      <c r="D214" s="58" t="n"/>
      <c r="E214" s="62" t="n"/>
      <c r="F214" s="62" t="n"/>
      <c r="G214" s="61" t="n"/>
      <c r="H214" s="61" t="n"/>
      <c r="I214" s="62" t="n"/>
      <c r="J214" s="60" t="n"/>
      <c r="K214" s="61" t="n"/>
      <c r="L214" s="61" t="n"/>
      <c r="M214" s="60" t="n"/>
      <c r="N214" s="2" t="n"/>
    </row>
    <row r="215" ht="15.75" customHeight="1" s="125">
      <c r="A215" s="2" t="n"/>
      <c r="B215" s="2" t="n"/>
      <c r="C215" s="62" t="n"/>
      <c r="D215" s="58" t="n"/>
      <c r="E215" s="62" t="n"/>
      <c r="F215" s="62" t="n"/>
      <c r="G215" s="61" t="n"/>
      <c r="H215" s="61" t="n"/>
      <c r="I215" s="62" t="n"/>
      <c r="J215" s="60" t="n"/>
      <c r="K215" s="61" t="n"/>
      <c r="L215" s="61" t="n"/>
      <c r="M215" s="60" t="n"/>
      <c r="N215" s="2" t="n"/>
    </row>
    <row r="216" ht="15.75" customHeight="1" s="125">
      <c r="A216" s="2" t="n"/>
      <c r="B216" s="2" t="n"/>
      <c r="C216" s="62" t="n"/>
      <c r="D216" s="58" t="n"/>
      <c r="E216" s="62" t="n"/>
      <c r="F216" s="62" t="n"/>
      <c r="G216" s="61" t="n"/>
      <c r="H216" s="61" t="n"/>
      <c r="I216" s="62" t="n"/>
      <c r="J216" s="60" t="n"/>
      <c r="K216" s="61" t="n"/>
      <c r="L216" s="61" t="n"/>
      <c r="M216" s="60" t="n"/>
      <c r="N216" s="2" t="n"/>
    </row>
    <row r="217" ht="15.75" customHeight="1" s="125">
      <c r="A217" s="2" t="n"/>
      <c r="B217" s="2" t="n"/>
      <c r="C217" s="62" t="n"/>
      <c r="D217" s="58" t="n"/>
      <c r="E217" s="62" t="n"/>
      <c r="F217" s="62" t="n"/>
      <c r="G217" s="61" t="n"/>
      <c r="H217" s="61" t="n"/>
      <c r="I217" s="62" t="n"/>
      <c r="J217" s="60" t="n"/>
      <c r="K217" s="61" t="n"/>
      <c r="L217" s="61" t="n"/>
      <c r="M217" s="60" t="n"/>
      <c r="N217" s="2" t="n"/>
    </row>
    <row r="218" ht="15.75" customHeight="1" s="125">
      <c r="A218" s="2" t="n"/>
      <c r="B218" s="2" t="n"/>
      <c r="C218" s="62" t="n"/>
      <c r="D218" s="58" t="n"/>
      <c r="E218" s="62" t="n"/>
      <c r="F218" s="62" t="n"/>
      <c r="G218" s="61" t="n"/>
      <c r="H218" s="61" t="n"/>
      <c r="I218" s="62" t="n"/>
      <c r="J218" s="60" t="n"/>
      <c r="K218" s="61" t="n"/>
      <c r="L218" s="61" t="n"/>
      <c r="M218" s="60" t="n"/>
      <c r="N218" s="2" t="n"/>
    </row>
    <row r="219" ht="15.75" customHeight="1" s="125">
      <c r="A219" s="2" t="n"/>
      <c r="B219" s="2" t="n"/>
      <c r="C219" s="62" t="n"/>
      <c r="D219" s="58" t="n"/>
      <c r="E219" s="62" t="n"/>
      <c r="F219" s="62" t="n"/>
      <c r="G219" s="61" t="n"/>
      <c r="H219" s="61" t="n"/>
      <c r="I219" s="62" t="n"/>
      <c r="J219" s="60" t="n"/>
      <c r="K219" s="61" t="n"/>
      <c r="L219" s="61" t="n"/>
      <c r="M219" s="60" t="n"/>
      <c r="N219" s="2" t="n"/>
    </row>
    <row r="220" ht="15.75" customHeight="1" s="125">
      <c r="A220" s="2" t="n"/>
      <c r="B220" s="2" t="n"/>
      <c r="C220" s="62" t="n"/>
      <c r="D220" s="58" t="n"/>
      <c r="E220" s="62" t="n"/>
      <c r="F220" s="62" t="n"/>
      <c r="G220" s="61" t="n"/>
      <c r="H220" s="61" t="n"/>
      <c r="I220" s="62" t="n"/>
      <c r="J220" s="60" t="n"/>
      <c r="K220" s="61" t="n"/>
      <c r="L220" s="61" t="n"/>
      <c r="M220" s="60" t="n"/>
      <c r="N220" s="2" t="n"/>
    </row>
    <row r="221" ht="15.75" customHeight="1" s="125">
      <c r="A221" s="2" t="n"/>
      <c r="B221" s="2" t="n"/>
      <c r="C221" s="62" t="n"/>
      <c r="D221" s="58" t="n"/>
      <c r="E221" s="62" t="n"/>
      <c r="F221" s="62" t="n"/>
      <c r="G221" s="61" t="n"/>
      <c r="H221" s="61" t="n"/>
      <c r="I221" s="62" t="n"/>
      <c r="J221" s="60" t="n"/>
      <c r="K221" s="61" t="n"/>
      <c r="L221" s="61" t="n"/>
      <c r="M221" s="60" t="n"/>
      <c r="N221" s="2" t="n"/>
    </row>
    <row r="222" ht="15.75" customHeight="1" s="125">
      <c r="A222" s="2" t="n"/>
      <c r="B222" s="2" t="n"/>
      <c r="C222" s="62" t="n"/>
      <c r="D222" s="58" t="n"/>
      <c r="E222" s="62" t="n"/>
      <c r="F222" s="62" t="n"/>
      <c r="G222" s="61" t="n"/>
      <c r="H222" s="61" t="n"/>
      <c r="I222" s="62" t="n"/>
      <c r="J222" s="60" t="n"/>
      <c r="K222" s="61" t="n"/>
      <c r="L222" s="61" t="n"/>
      <c r="M222" s="60" t="n"/>
      <c r="N222" s="2" t="n"/>
    </row>
    <row r="223" ht="15.75" customHeight="1" s="125">
      <c r="A223" s="2" t="n"/>
      <c r="B223" s="2" t="n"/>
      <c r="C223" s="62" t="n"/>
      <c r="D223" s="58" t="n"/>
      <c r="E223" s="62" t="n"/>
      <c r="F223" s="62" t="n"/>
      <c r="G223" s="61" t="n"/>
      <c r="H223" s="61" t="n"/>
      <c r="I223" s="62" t="n"/>
      <c r="J223" s="60" t="n"/>
      <c r="K223" s="61" t="n"/>
      <c r="L223" s="61" t="n"/>
      <c r="M223" s="60" t="n"/>
      <c r="N223" s="2" t="n"/>
    </row>
    <row r="224" ht="15.75" customHeight="1" s="125">
      <c r="A224" s="2" t="n"/>
      <c r="B224" s="2" t="n"/>
      <c r="C224" s="62" t="n"/>
      <c r="D224" s="58" t="n"/>
      <c r="E224" s="62" t="n"/>
      <c r="F224" s="62" t="n"/>
      <c r="G224" s="61" t="n"/>
      <c r="H224" s="61" t="n"/>
      <c r="I224" s="62" t="n"/>
      <c r="J224" s="60" t="n"/>
      <c r="K224" s="61" t="n"/>
      <c r="L224" s="61" t="n"/>
      <c r="M224" s="60" t="n"/>
      <c r="N224" s="2" t="n"/>
    </row>
    <row r="225" ht="15.75" customHeight="1" s="125">
      <c r="A225" s="2" t="n"/>
      <c r="B225" s="2" t="n"/>
      <c r="C225" s="62" t="n"/>
      <c r="D225" s="58" t="n"/>
      <c r="E225" s="62" t="n"/>
      <c r="F225" s="62" t="n"/>
      <c r="G225" s="61" t="n"/>
      <c r="H225" s="61" t="n"/>
      <c r="I225" s="62" t="n"/>
      <c r="J225" s="60" t="n"/>
      <c r="K225" s="61" t="n"/>
      <c r="L225" s="61" t="n"/>
      <c r="M225" s="60" t="n"/>
      <c r="N225" s="2" t="n"/>
    </row>
    <row r="226" ht="15.75" customHeight="1" s="125">
      <c r="A226" s="2" t="n"/>
      <c r="B226" s="2" t="n"/>
      <c r="C226" s="62" t="n"/>
      <c r="D226" s="58" t="n"/>
      <c r="E226" s="62" t="n"/>
      <c r="F226" s="62" t="n"/>
      <c r="G226" s="61" t="n"/>
      <c r="H226" s="61" t="n"/>
      <c r="I226" s="62" t="n"/>
      <c r="J226" s="60" t="n"/>
      <c r="K226" s="61" t="n"/>
      <c r="L226" s="61" t="n"/>
      <c r="M226" s="60" t="n"/>
      <c r="N226" s="2" t="n"/>
    </row>
    <row r="227" ht="15.75" customHeight="1" s="125">
      <c r="A227" s="2" t="n"/>
      <c r="B227" s="2" t="n"/>
      <c r="C227" s="62" t="n"/>
      <c r="D227" s="58" t="n"/>
      <c r="E227" s="62" t="n"/>
      <c r="F227" s="62" t="n"/>
      <c r="G227" s="61" t="n"/>
      <c r="H227" s="61" t="n"/>
      <c r="I227" s="62" t="n"/>
      <c r="J227" s="60" t="n"/>
      <c r="K227" s="61" t="n"/>
      <c r="L227" s="61" t="n"/>
      <c r="M227" s="60" t="n"/>
      <c r="N227" s="2" t="n"/>
    </row>
    <row r="228" ht="15.75" customHeight="1" s="125">
      <c r="A228" s="2" t="n"/>
      <c r="B228" s="2" t="n"/>
      <c r="C228" s="62" t="n"/>
      <c r="D228" s="58" t="n"/>
      <c r="E228" s="62" t="n"/>
      <c r="F228" s="62" t="n"/>
      <c r="G228" s="61" t="n"/>
      <c r="H228" s="61" t="n"/>
      <c r="I228" s="62" t="n"/>
      <c r="J228" s="60" t="n"/>
      <c r="K228" s="61" t="n"/>
      <c r="L228" s="61" t="n"/>
      <c r="M228" s="60" t="n"/>
      <c r="N228" s="2" t="n"/>
    </row>
    <row r="229" ht="15.75" customHeight="1" s="125">
      <c r="A229" s="2" t="n"/>
      <c r="B229" s="2" t="n"/>
      <c r="C229" s="62" t="n"/>
      <c r="D229" s="58" t="n"/>
      <c r="E229" s="62" t="n"/>
      <c r="F229" s="62" t="n"/>
      <c r="G229" s="61" t="n"/>
      <c r="H229" s="61" t="n"/>
      <c r="I229" s="62" t="n"/>
      <c r="J229" s="60" t="n"/>
      <c r="K229" s="61" t="n"/>
      <c r="L229" s="61" t="n"/>
      <c r="M229" s="60" t="n"/>
      <c r="N229" s="2" t="n"/>
    </row>
    <row r="230" ht="15.75" customHeight="1" s="125">
      <c r="A230" s="2" t="n"/>
      <c r="B230" s="2" t="n"/>
      <c r="C230" s="62" t="n"/>
      <c r="D230" s="58" t="n"/>
      <c r="E230" s="62" t="n"/>
      <c r="F230" s="62" t="n"/>
      <c r="G230" s="61" t="n"/>
      <c r="H230" s="61" t="n"/>
      <c r="I230" s="62" t="n"/>
      <c r="J230" s="60" t="n"/>
      <c r="K230" s="61" t="n"/>
      <c r="L230" s="61" t="n"/>
      <c r="M230" s="60" t="n"/>
      <c r="N230" s="2" t="n"/>
    </row>
    <row r="231" ht="15.75" customHeight="1" s="125">
      <c r="A231" s="2" t="n"/>
      <c r="B231" s="2" t="n"/>
      <c r="C231" s="62" t="n"/>
      <c r="D231" s="58" t="n"/>
      <c r="E231" s="62" t="n"/>
      <c r="F231" s="62" t="n"/>
      <c r="G231" s="61" t="n"/>
      <c r="H231" s="61" t="n"/>
      <c r="I231" s="62" t="n"/>
      <c r="J231" s="60" t="n"/>
      <c r="K231" s="61" t="n"/>
      <c r="L231" s="61" t="n"/>
      <c r="M231" s="60" t="n"/>
      <c r="N231" s="2" t="n"/>
    </row>
    <row r="232" ht="15.75" customHeight="1" s="125">
      <c r="A232" s="2" t="n"/>
      <c r="B232" s="2" t="n"/>
      <c r="C232" s="62" t="n"/>
      <c r="D232" s="58" t="n"/>
      <c r="E232" s="62" t="n"/>
      <c r="F232" s="62" t="n"/>
      <c r="G232" s="61" t="n"/>
      <c r="H232" s="61" t="n"/>
      <c r="I232" s="62" t="n"/>
      <c r="J232" s="60" t="n"/>
      <c r="K232" s="61" t="n"/>
      <c r="L232" s="61" t="n"/>
      <c r="M232" s="60" t="n"/>
      <c r="N232" s="2" t="n"/>
    </row>
    <row r="233" ht="15.75" customHeight="1" s="125">
      <c r="A233" s="2" t="n"/>
      <c r="B233" s="2" t="n"/>
      <c r="C233" s="62" t="n"/>
      <c r="D233" s="58" t="n"/>
      <c r="E233" s="62" t="n"/>
      <c r="F233" s="62" t="n"/>
      <c r="G233" s="61" t="n"/>
      <c r="H233" s="61" t="n"/>
      <c r="I233" s="62" t="n"/>
      <c r="J233" s="60" t="n"/>
      <c r="K233" s="61" t="n"/>
      <c r="L233" s="61" t="n"/>
      <c r="M233" s="60" t="n"/>
      <c r="N233" s="2" t="n"/>
    </row>
    <row r="234" ht="15.75" customHeight="1" s="125">
      <c r="A234" s="2" t="n"/>
      <c r="B234" s="2" t="n"/>
      <c r="C234" s="62" t="n"/>
      <c r="D234" s="58" t="n"/>
      <c r="E234" s="62" t="n"/>
      <c r="F234" s="62" t="n"/>
      <c r="G234" s="61" t="n"/>
      <c r="H234" s="61" t="n"/>
      <c r="I234" s="62" t="n"/>
      <c r="J234" s="60" t="n"/>
      <c r="K234" s="61" t="n"/>
      <c r="L234" s="61" t="n"/>
      <c r="M234" s="60" t="n"/>
      <c r="N234" s="2" t="n"/>
    </row>
    <row r="235" ht="15.75" customHeight="1" s="125">
      <c r="A235" s="2" t="n"/>
      <c r="B235" s="2" t="n"/>
      <c r="C235" s="62" t="n"/>
      <c r="D235" s="58" t="n"/>
      <c r="E235" s="62" t="n"/>
      <c r="F235" s="62" t="n"/>
      <c r="G235" s="61" t="n"/>
      <c r="H235" s="61" t="n"/>
      <c r="I235" s="62" t="n"/>
      <c r="J235" s="60" t="n"/>
      <c r="K235" s="61" t="n"/>
      <c r="L235" s="61" t="n"/>
      <c r="M235" s="60" t="n"/>
      <c r="N235" s="2" t="n"/>
    </row>
    <row r="236" ht="15.75" customHeight="1" s="125">
      <c r="A236" s="2" t="n"/>
      <c r="B236" s="2" t="n"/>
      <c r="C236" s="62" t="n"/>
      <c r="D236" s="58" t="n"/>
      <c r="E236" s="62" t="n"/>
      <c r="F236" s="62" t="n"/>
      <c r="G236" s="61" t="n"/>
      <c r="H236" s="61" t="n"/>
      <c r="I236" s="62" t="n"/>
      <c r="J236" s="60" t="n"/>
      <c r="K236" s="61" t="n"/>
      <c r="L236" s="61" t="n"/>
      <c r="M236" s="60" t="n"/>
      <c r="N236" s="2" t="n"/>
    </row>
    <row r="237" ht="15.75" customHeight="1" s="125">
      <c r="A237" s="2" t="n"/>
      <c r="B237" s="2" t="n"/>
      <c r="C237" s="62" t="n"/>
      <c r="D237" s="58" t="n"/>
      <c r="E237" s="62" t="n"/>
      <c r="F237" s="62" t="n"/>
      <c r="G237" s="61" t="n"/>
      <c r="H237" s="61" t="n"/>
      <c r="I237" s="62" t="n"/>
      <c r="J237" s="60" t="n"/>
      <c r="K237" s="61" t="n"/>
      <c r="L237" s="61" t="n"/>
      <c r="M237" s="60" t="n"/>
      <c r="N237" s="2" t="n"/>
    </row>
    <row r="238" ht="15.75" customHeight="1" s="125">
      <c r="A238" s="2" t="n"/>
      <c r="B238" s="2" t="n"/>
      <c r="C238" s="62" t="n"/>
      <c r="D238" s="58" t="n"/>
      <c r="E238" s="62" t="n"/>
      <c r="F238" s="62" t="n"/>
      <c r="G238" s="61" t="n"/>
      <c r="H238" s="61" t="n"/>
      <c r="I238" s="62" t="n"/>
      <c r="J238" s="60" t="n"/>
      <c r="K238" s="61" t="n"/>
      <c r="L238" s="61" t="n"/>
      <c r="M238" s="60" t="n"/>
      <c r="N238" s="2" t="n"/>
    </row>
    <row r="239" ht="15.75" customHeight="1" s="125">
      <c r="A239" s="2" t="n"/>
      <c r="B239" s="2" t="n"/>
      <c r="C239" s="62" t="n"/>
      <c r="D239" s="58" t="n"/>
      <c r="E239" s="62" t="n"/>
      <c r="F239" s="62" t="n"/>
      <c r="G239" s="61" t="n"/>
      <c r="H239" s="61" t="n"/>
      <c r="I239" s="62" t="n"/>
      <c r="J239" s="60" t="n"/>
      <c r="K239" s="61" t="n"/>
      <c r="L239" s="61" t="n"/>
      <c r="M239" s="60" t="n"/>
      <c r="N239" s="2" t="n"/>
    </row>
    <row r="240" ht="15.75" customHeight="1" s="125">
      <c r="A240" s="2" t="n"/>
      <c r="B240" s="2" t="n"/>
      <c r="C240" s="62" t="n"/>
      <c r="D240" s="58" t="n"/>
      <c r="E240" s="62" t="n"/>
      <c r="F240" s="62" t="n"/>
      <c r="G240" s="61" t="n"/>
      <c r="H240" s="61" t="n"/>
      <c r="I240" s="62" t="n"/>
      <c r="J240" s="60" t="n"/>
      <c r="K240" s="61" t="n"/>
      <c r="L240" s="61" t="n"/>
      <c r="M240" s="60" t="n"/>
      <c r="N240" s="2" t="n"/>
    </row>
    <row r="241" ht="15.75" customHeight="1" s="125">
      <c r="A241" s="2" t="n"/>
      <c r="B241" s="2" t="n"/>
      <c r="C241" s="62" t="n"/>
      <c r="D241" s="58" t="n"/>
      <c r="E241" s="62" t="n"/>
      <c r="F241" s="62" t="n"/>
      <c r="G241" s="61" t="n"/>
      <c r="H241" s="61" t="n"/>
      <c r="I241" s="62" t="n"/>
      <c r="J241" s="60" t="n"/>
      <c r="K241" s="61" t="n"/>
      <c r="L241" s="61" t="n"/>
      <c r="M241" s="60" t="n"/>
      <c r="N241" s="2" t="n"/>
    </row>
    <row r="242" ht="15.75" customHeight="1" s="125">
      <c r="A242" s="2" t="n"/>
      <c r="B242" s="2" t="n"/>
      <c r="C242" s="62" t="n"/>
      <c r="D242" s="58" t="n"/>
      <c r="E242" s="62" t="n"/>
      <c r="F242" s="62" t="n"/>
      <c r="G242" s="61" t="n"/>
      <c r="H242" s="61" t="n"/>
      <c r="I242" s="62" t="n"/>
      <c r="J242" s="60" t="n"/>
      <c r="K242" s="61" t="n"/>
      <c r="L242" s="61" t="n"/>
      <c r="M242" s="60" t="n"/>
      <c r="N242" s="2" t="n"/>
    </row>
    <row r="243" ht="15.75" customHeight="1" s="125">
      <c r="A243" s="2" t="n"/>
      <c r="B243" s="2" t="n"/>
      <c r="C243" s="62" t="n"/>
      <c r="D243" s="58" t="n"/>
      <c r="E243" s="62" t="n"/>
      <c r="F243" s="62" t="n"/>
      <c r="G243" s="61" t="n"/>
      <c r="H243" s="61" t="n"/>
      <c r="I243" s="62" t="n"/>
      <c r="J243" s="60" t="n"/>
      <c r="K243" s="61" t="n"/>
      <c r="L243" s="61" t="n"/>
      <c r="M243" s="60" t="n"/>
      <c r="N243" s="2" t="n"/>
    </row>
    <row r="244" ht="15.75" customHeight="1" s="125">
      <c r="A244" s="2" t="n"/>
      <c r="B244" s="2" t="n"/>
      <c r="C244" s="62" t="n"/>
      <c r="D244" s="58" t="n"/>
      <c r="E244" s="62" t="n"/>
      <c r="F244" s="62" t="n"/>
      <c r="G244" s="61" t="n"/>
      <c r="H244" s="61" t="n"/>
      <c r="I244" s="62" t="n"/>
      <c r="J244" s="60" t="n"/>
      <c r="K244" s="61" t="n"/>
      <c r="L244" s="61" t="n"/>
      <c r="M244" s="60" t="n"/>
      <c r="N244" s="2" t="n"/>
    </row>
    <row r="245" ht="15.75" customHeight="1" s="125">
      <c r="A245" s="2" t="n"/>
      <c r="B245" s="2" t="n"/>
      <c r="C245" s="62" t="n"/>
      <c r="D245" s="58" t="n"/>
      <c r="E245" s="62" t="n"/>
      <c r="F245" s="62" t="n"/>
      <c r="G245" s="61" t="n"/>
      <c r="H245" s="61" t="n"/>
      <c r="I245" s="62" t="n"/>
      <c r="J245" s="60" t="n"/>
      <c r="K245" s="61" t="n"/>
      <c r="L245" s="61" t="n"/>
      <c r="M245" s="60" t="n"/>
      <c r="N245" s="2" t="n"/>
    </row>
    <row r="246" ht="15.75" customHeight="1" s="125">
      <c r="A246" s="2" t="n"/>
      <c r="B246" s="2" t="n"/>
      <c r="C246" s="62" t="n"/>
      <c r="D246" s="58" t="n"/>
      <c r="E246" s="62" t="n"/>
      <c r="F246" s="62" t="n"/>
      <c r="G246" s="61" t="n"/>
      <c r="H246" s="61" t="n"/>
      <c r="I246" s="62" t="n"/>
      <c r="J246" s="60" t="n"/>
      <c r="K246" s="61" t="n"/>
      <c r="L246" s="61" t="n"/>
      <c r="M246" s="60" t="n"/>
      <c r="N246" s="2" t="n"/>
    </row>
    <row r="247" ht="15.75" customHeight="1" s="125">
      <c r="A247" s="2" t="n"/>
      <c r="B247" s="2" t="n"/>
      <c r="C247" s="62" t="n"/>
      <c r="D247" s="58" t="n"/>
      <c r="E247" s="62" t="n"/>
      <c r="F247" s="62" t="n"/>
      <c r="G247" s="61" t="n"/>
      <c r="H247" s="61" t="n"/>
      <c r="I247" s="62" t="n"/>
      <c r="J247" s="60" t="n"/>
      <c r="K247" s="61" t="n"/>
      <c r="L247" s="61" t="n"/>
      <c r="M247" s="60" t="n"/>
      <c r="N247" s="2" t="n"/>
    </row>
    <row r="248" ht="15.75" customHeight="1" s="125">
      <c r="A248" s="2" t="n"/>
      <c r="B248" s="2" t="n"/>
      <c r="C248" s="62" t="n"/>
      <c r="D248" s="58" t="n"/>
      <c r="E248" s="62" t="n"/>
      <c r="F248" s="62" t="n"/>
      <c r="G248" s="61" t="n"/>
      <c r="H248" s="61" t="n"/>
      <c r="I248" s="62" t="n"/>
      <c r="J248" s="60" t="n"/>
      <c r="K248" s="61" t="n"/>
      <c r="L248" s="61" t="n"/>
      <c r="M248" s="60" t="n"/>
      <c r="N248" s="2" t="n"/>
    </row>
    <row r="249" ht="15.75" customHeight="1" s="125">
      <c r="A249" s="2" t="n"/>
      <c r="B249" s="2" t="n"/>
      <c r="C249" s="62" t="n"/>
      <c r="D249" s="58" t="n"/>
      <c r="E249" s="62" t="n"/>
      <c r="F249" s="62" t="n"/>
      <c r="G249" s="61" t="n"/>
      <c r="H249" s="61" t="n"/>
      <c r="I249" s="62" t="n"/>
      <c r="J249" s="60" t="n"/>
      <c r="K249" s="61" t="n"/>
      <c r="L249" s="61" t="n"/>
      <c r="M249" s="60" t="n"/>
      <c r="N249" s="2" t="n"/>
    </row>
    <row r="250" ht="15.75" customHeight="1" s="125">
      <c r="A250" s="2" t="n"/>
      <c r="B250" s="2" t="n"/>
      <c r="C250" s="62" t="n"/>
      <c r="D250" s="58" t="n"/>
      <c r="E250" s="62" t="n"/>
      <c r="F250" s="62" t="n"/>
      <c r="G250" s="61" t="n"/>
      <c r="H250" s="61" t="n"/>
      <c r="I250" s="62" t="n"/>
      <c r="J250" s="60" t="n"/>
      <c r="K250" s="61" t="n"/>
      <c r="L250" s="61" t="n"/>
      <c r="M250" s="60" t="n"/>
      <c r="N250" s="2" t="n"/>
    </row>
    <row r="251" ht="15.75" customHeight="1" s="125">
      <c r="A251" s="2" t="n"/>
      <c r="B251" s="2" t="n"/>
      <c r="C251" s="2" t="n"/>
      <c r="D251" s="58" t="n"/>
      <c r="E251" s="62" t="n"/>
      <c r="F251" s="62" t="n"/>
      <c r="G251" s="2" t="n"/>
      <c r="H251" s="62" t="n"/>
      <c r="I251" s="62" t="n"/>
      <c r="J251" s="2" t="n"/>
      <c r="K251" s="2" t="n"/>
      <c r="L251" s="2" t="n"/>
      <c r="M251" s="2" t="n"/>
      <c r="N251" s="2" t="n"/>
    </row>
    <row r="252" ht="15.75" customHeight="1" s="125">
      <c r="A252" s="2" t="n"/>
      <c r="B252" s="2" t="n"/>
      <c r="C252" s="2" t="n"/>
      <c r="D252" s="58" t="n"/>
      <c r="E252" s="62" t="n"/>
      <c r="F252" s="62" t="n"/>
      <c r="G252" s="2" t="n"/>
      <c r="H252" s="62" t="n"/>
      <c r="I252" s="62" t="n"/>
      <c r="J252" s="2" t="n"/>
      <c r="K252" s="2" t="n"/>
      <c r="L252" s="2" t="n"/>
      <c r="M252" s="2" t="n"/>
      <c r="N252" s="2" t="n"/>
    </row>
    <row r="253" ht="15.75" customHeight="1" s="125">
      <c r="A253" s="2" t="n"/>
      <c r="B253" s="2" t="n"/>
      <c r="C253" s="2" t="n"/>
      <c r="D253" s="58" t="n"/>
      <c r="E253" s="62" t="n"/>
      <c r="F253" s="62" t="n"/>
      <c r="G253" s="2" t="n"/>
      <c r="H253" s="62" t="n"/>
      <c r="I253" s="62" t="n"/>
      <c r="J253" s="2" t="n"/>
      <c r="K253" s="2" t="n"/>
      <c r="L253" s="2" t="n"/>
      <c r="M253" s="2" t="n"/>
      <c r="N253" s="2" t="n"/>
    </row>
    <row r="254" ht="15.75" customHeight="1" s="125">
      <c r="A254" s="2" t="n"/>
      <c r="B254" s="2" t="n"/>
      <c r="C254" s="2" t="n"/>
      <c r="D254" s="58" t="n"/>
      <c r="E254" s="62" t="n"/>
      <c r="F254" s="62" t="n"/>
      <c r="G254" s="2" t="n"/>
      <c r="H254" s="62" t="n"/>
      <c r="I254" s="62" t="n"/>
      <c r="J254" s="2" t="n"/>
      <c r="K254" s="2" t="n"/>
      <c r="L254" s="2" t="n"/>
      <c r="M254" s="2" t="n"/>
      <c r="N254" s="2" t="n"/>
    </row>
    <row r="255" ht="15.75" customHeight="1" s="125">
      <c r="A255" s="2" t="n"/>
      <c r="B255" s="2" t="n"/>
      <c r="C255" s="2" t="n"/>
      <c r="D255" s="58" t="n"/>
      <c r="E255" s="62" t="n"/>
      <c r="F255" s="62" t="n"/>
      <c r="G255" s="2" t="n"/>
      <c r="H255" s="62" t="n"/>
      <c r="I255" s="62" t="n"/>
      <c r="J255" s="2" t="n"/>
      <c r="K255" s="2" t="n"/>
      <c r="L255" s="2" t="n"/>
      <c r="M255" s="2" t="n"/>
      <c r="N255" s="2" t="n"/>
    </row>
    <row r="256" ht="15.75" customHeight="1" s="125">
      <c r="A256" s="2" t="n"/>
      <c r="B256" s="2" t="n"/>
      <c r="C256" s="2" t="n"/>
      <c r="D256" s="58" t="n"/>
      <c r="E256" s="62" t="n"/>
      <c r="F256" s="62" t="n"/>
      <c r="G256" s="2" t="n"/>
      <c r="H256" s="62" t="n"/>
      <c r="I256" s="62" t="n"/>
      <c r="J256" s="2" t="n"/>
      <c r="K256" s="2" t="n"/>
      <c r="L256" s="2" t="n"/>
      <c r="M256" s="2" t="n"/>
      <c r="N256" s="2" t="n"/>
    </row>
    <row r="257" ht="15.75" customHeight="1" s="125">
      <c r="A257" s="2" t="n"/>
      <c r="B257" s="2" t="n"/>
      <c r="C257" s="2" t="n"/>
      <c r="D257" s="58" t="n"/>
      <c r="E257" s="62" t="n"/>
      <c r="F257" s="62" t="n"/>
      <c r="G257" s="2" t="n"/>
      <c r="H257" s="62" t="n"/>
      <c r="I257" s="62" t="n"/>
      <c r="J257" s="2" t="n"/>
      <c r="K257" s="2" t="n"/>
      <c r="L257" s="2" t="n"/>
      <c r="M257" s="2" t="n"/>
      <c r="N257" s="2" t="n"/>
    </row>
    <row r="258" ht="15.75" customHeight="1" s="125">
      <c r="A258" s="2" t="n"/>
      <c r="B258" s="2" t="n"/>
      <c r="C258" s="2" t="n"/>
      <c r="D258" s="58" t="n"/>
      <c r="E258" s="62" t="n"/>
      <c r="F258" s="62" t="n"/>
      <c r="G258" s="2" t="n"/>
      <c r="H258" s="62" t="n"/>
      <c r="I258" s="62" t="n"/>
      <c r="J258" s="2" t="n"/>
      <c r="K258" s="2" t="n"/>
      <c r="L258" s="2" t="n"/>
      <c r="M258" s="2" t="n"/>
      <c r="N258" s="2" t="n"/>
    </row>
    <row r="259" ht="15.75" customHeight="1" s="125">
      <c r="A259" s="2" t="n"/>
      <c r="B259" s="2" t="n"/>
      <c r="C259" s="2" t="n"/>
      <c r="D259" s="58" t="n"/>
      <c r="E259" s="62" t="n"/>
      <c r="F259" s="62" t="n"/>
      <c r="G259" s="2" t="n"/>
      <c r="H259" s="62" t="n"/>
      <c r="I259" s="62" t="n"/>
      <c r="J259" s="2" t="n"/>
      <c r="K259" s="2" t="n"/>
      <c r="L259" s="2" t="n"/>
      <c r="M259" s="2" t="n"/>
      <c r="N259" s="2" t="n"/>
    </row>
    <row r="260" ht="15.75" customHeight="1" s="125">
      <c r="A260" s="2" t="n"/>
      <c r="B260" s="2" t="n"/>
      <c r="C260" s="2" t="n"/>
      <c r="D260" s="58" t="n"/>
      <c r="E260" s="62" t="n"/>
      <c r="F260" s="62" t="n"/>
      <c r="G260" s="2" t="n"/>
      <c r="H260" s="62" t="n"/>
      <c r="I260" s="62" t="n"/>
      <c r="J260" s="2" t="n"/>
      <c r="K260" s="2" t="n"/>
      <c r="L260" s="2" t="n"/>
      <c r="M260" s="2" t="n"/>
      <c r="N260" s="2" t="n"/>
    </row>
    <row r="261" ht="15.75" customHeight="1" s="125">
      <c r="A261" s="2" t="n"/>
      <c r="B261" s="2" t="n"/>
      <c r="C261" s="2" t="n"/>
      <c r="D261" s="58" t="n"/>
      <c r="E261" s="62" t="n"/>
      <c r="F261" s="62" t="n"/>
      <c r="G261" s="2" t="n"/>
      <c r="H261" s="62" t="n"/>
      <c r="I261" s="62" t="n"/>
      <c r="J261" s="2" t="n"/>
      <c r="K261" s="2" t="n"/>
      <c r="L261" s="2" t="n"/>
      <c r="M261" s="2" t="n"/>
      <c r="N261" s="2" t="n"/>
    </row>
    <row r="262" ht="15.75" customHeight="1" s="125">
      <c r="A262" s="2" t="n"/>
      <c r="B262" s="2" t="n"/>
      <c r="C262" s="2" t="n"/>
      <c r="D262" s="58" t="n"/>
      <c r="E262" s="62" t="n"/>
      <c r="F262" s="62" t="n"/>
      <c r="G262" s="2" t="n"/>
      <c r="H262" s="62" t="n"/>
      <c r="I262" s="62" t="n"/>
      <c r="J262" s="2" t="n"/>
      <c r="K262" s="2" t="n"/>
      <c r="L262" s="2" t="n"/>
      <c r="M262" s="2" t="n"/>
      <c r="N262" s="2" t="n"/>
    </row>
    <row r="263" ht="15.75" customHeight="1" s="125">
      <c r="A263" s="2" t="n"/>
      <c r="B263" s="2" t="n"/>
      <c r="C263" s="2" t="n"/>
      <c r="D263" s="58" t="n"/>
      <c r="E263" s="62" t="n"/>
      <c r="F263" s="62" t="n"/>
      <c r="G263" s="2" t="n"/>
      <c r="H263" s="62" t="n"/>
      <c r="I263" s="62" t="n"/>
      <c r="J263" s="2" t="n"/>
      <c r="K263" s="2" t="n"/>
      <c r="L263" s="2" t="n"/>
      <c r="M263" s="2" t="n"/>
      <c r="N263" s="2" t="n"/>
    </row>
    <row r="264" ht="15.75" customHeight="1" s="125">
      <c r="A264" s="2" t="n"/>
      <c r="B264" s="2" t="n"/>
      <c r="C264" s="2" t="n"/>
      <c r="D264" s="58" t="n"/>
      <c r="E264" s="62" t="n"/>
      <c r="F264" s="62" t="n"/>
      <c r="G264" s="2" t="n"/>
      <c r="H264" s="62" t="n"/>
      <c r="I264" s="62" t="n"/>
      <c r="J264" s="2" t="n"/>
      <c r="K264" s="2" t="n"/>
      <c r="L264" s="2" t="n"/>
      <c r="M264" s="2" t="n"/>
      <c r="N264" s="2" t="n"/>
    </row>
    <row r="265" ht="15.75" customHeight="1" s="125">
      <c r="A265" s="2" t="n"/>
      <c r="B265" s="2" t="n"/>
      <c r="C265" s="2" t="n"/>
      <c r="D265" s="58" t="n"/>
      <c r="E265" s="62" t="n"/>
      <c r="F265" s="62" t="n"/>
      <c r="G265" s="2" t="n"/>
      <c r="H265" s="62" t="n"/>
      <c r="I265" s="62" t="n"/>
      <c r="J265" s="2" t="n"/>
      <c r="K265" s="2" t="n"/>
      <c r="L265" s="2" t="n"/>
      <c r="M265" s="2" t="n"/>
      <c r="N265" s="2" t="n"/>
    </row>
    <row r="266" ht="15.75" customHeight="1" s="125">
      <c r="A266" s="2" t="n"/>
      <c r="B266" s="2" t="n"/>
      <c r="C266" s="2" t="n"/>
      <c r="D266" s="58" t="n"/>
      <c r="E266" s="62" t="n"/>
      <c r="F266" s="62" t="n"/>
      <c r="G266" s="2" t="n"/>
      <c r="H266" s="62" t="n"/>
      <c r="I266" s="62" t="n"/>
      <c r="J266" s="2" t="n"/>
      <c r="K266" s="2" t="n"/>
      <c r="L266" s="2" t="n"/>
      <c r="M266" s="2" t="n"/>
      <c r="N266" s="2" t="n"/>
    </row>
    <row r="267" ht="15.75" customHeight="1" s="125">
      <c r="A267" s="2" t="n"/>
      <c r="B267" s="2" t="n"/>
      <c r="C267" s="2" t="n"/>
      <c r="D267" s="58" t="n"/>
      <c r="E267" s="62" t="n"/>
      <c r="F267" s="62" t="n"/>
      <c r="G267" s="2" t="n"/>
      <c r="H267" s="62" t="n"/>
      <c r="I267" s="62" t="n"/>
      <c r="J267" s="2" t="n"/>
      <c r="K267" s="2" t="n"/>
      <c r="L267" s="2" t="n"/>
      <c r="M267" s="2" t="n"/>
      <c r="N267" s="2" t="n"/>
    </row>
    <row r="268" ht="15.75" customHeight="1" s="125">
      <c r="A268" s="2" t="n"/>
      <c r="B268" s="2" t="n"/>
      <c r="C268" s="2" t="n"/>
      <c r="D268" s="58" t="n"/>
      <c r="E268" s="62" t="n"/>
      <c r="F268" s="62" t="n"/>
      <c r="G268" s="2" t="n"/>
      <c r="H268" s="62" t="n"/>
      <c r="I268" s="62" t="n"/>
      <c r="J268" s="2" t="n"/>
      <c r="K268" s="2" t="n"/>
      <c r="L268" s="2" t="n"/>
      <c r="M268" s="2" t="n"/>
      <c r="N268" s="2" t="n"/>
    </row>
    <row r="269" ht="15.75" customHeight="1" s="125">
      <c r="A269" s="2" t="n"/>
      <c r="B269" s="2" t="n"/>
      <c r="C269" s="2" t="n"/>
      <c r="D269" s="58" t="n"/>
      <c r="E269" s="62" t="n"/>
      <c r="F269" s="62" t="n"/>
      <c r="G269" s="2" t="n"/>
      <c r="H269" s="62" t="n"/>
      <c r="I269" s="62" t="n"/>
      <c r="J269" s="2" t="n"/>
      <c r="K269" s="2" t="n"/>
      <c r="L269" s="2" t="n"/>
      <c r="M269" s="2" t="n"/>
      <c r="N269" s="2" t="n"/>
    </row>
    <row r="270" ht="15.75" customHeight="1" s="125">
      <c r="A270" s="2" t="n"/>
      <c r="B270" s="2" t="n"/>
      <c r="C270" s="2" t="n"/>
      <c r="D270" s="58" t="n"/>
      <c r="E270" s="62" t="n"/>
      <c r="F270" s="62" t="n"/>
      <c r="G270" s="2" t="n"/>
      <c r="H270" s="62" t="n"/>
      <c r="I270" s="62" t="n"/>
      <c r="J270" s="2" t="n"/>
      <c r="K270" s="2" t="n"/>
      <c r="L270" s="2" t="n"/>
      <c r="M270" s="2" t="n"/>
      <c r="N270" s="2" t="n"/>
    </row>
    <row r="271" ht="15.75" customHeight="1" s="125">
      <c r="A271" s="2" t="n"/>
      <c r="B271" s="2" t="n"/>
      <c r="C271" s="2" t="n"/>
      <c r="D271" s="58" t="n"/>
      <c r="E271" s="62" t="n"/>
      <c r="F271" s="62" t="n"/>
      <c r="G271" s="2" t="n"/>
      <c r="H271" s="62" t="n"/>
      <c r="I271" s="62" t="n"/>
      <c r="J271" s="2" t="n"/>
      <c r="K271" s="2" t="n"/>
      <c r="L271" s="2" t="n"/>
      <c r="M271" s="2" t="n"/>
      <c r="N271" s="2" t="n"/>
    </row>
    <row r="272" ht="15.75" customHeight="1" s="125">
      <c r="A272" s="2" t="n"/>
      <c r="B272" s="2" t="n"/>
      <c r="C272" s="2" t="n"/>
      <c r="D272" s="58" t="n"/>
      <c r="E272" s="62" t="n"/>
      <c r="F272" s="62" t="n"/>
      <c r="G272" s="2" t="n"/>
      <c r="H272" s="62" t="n"/>
      <c r="I272" s="62" t="n"/>
      <c r="J272" s="2" t="n"/>
      <c r="K272" s="2" t="n"/>
      <c r="L272" s="2" t="n"/>
      <c r="M272" s="2" t="n"/>
      <c r="N272" s="2" t="n"/>
    </row>
    <row r="273" ht="15.75" customHeight="1" s="125">
      <c r="A273" s="2" t="n"/>
      <c r="B273" s="2" t="n"/>
      <c r="C273" s="2" t="n"/>
      <c r="D273" s="58" t="n"/>
      <c r="E273" s="62" t="n"/>
      <c r="F273" s="62" t="n"/>
      <c r="G273" s="2" t="n"/>
      <c r="H273" s="62" t="n"/>
      <c r="I273" s="62" t="n"/>
      <c r="J273" s="2" t="n"/>
      <c r="K273" s="2" t="n"/>
      <c r="L273" s="2" t="n"/>
      <c r="M273" s="2" t="n"/>
      <c r="N273" s="2" t="n"/>
    </row>
    <row r="274" ht="15.75" customHeight="1" s="125">
      <c r="A274" s="2" t="n"/>
      <c r="B274" s="2" t="n"/>
      <c r="C274" s="2" t="n"/>
      <c r="D274" s="58" t="n"/>
      <c r="E274" s="62" t="n"/>
      <c r="F274" s="62" t="n"/>
      <c r="G274" s="2" t="n"/>
      <c r="H274" s="62" t="n"/>
      <c r="I274" s="62" t="n"/>
      <c r="J274" s="2" t="n"/>
      <c r="K274" s="2" t="n"/>
      <c r="L274" s="2" t="n"/>
      <c r="M274" s="2" t="n"/>
      <c r="N274" s="2" t="n"/>
    </row>
    <row r="275" ht="15.75" customHeight="1" s="125">
      <c r="A275" s="2" t="n"/>
      <c r="B275" s="2" t="n"/>
      <c r="C275" s="2" t="n"/>
      <c r="D275" s="58" t="n"/>
      <c r="E275" s="62" t="n"/>
      <c r="F275" s="62" t="n"/>
      <c r="G275" s="2" t="n"/>
      <c r="H275" s="62" t="n"/>
      <c r="I275" s="62" t="n"/>
      <c r="J275" s="2" t="n"/>
      <c r="K275" s="2" t="n"/>
      <c r="L275" s="2" t="n"/>
      <c r="M275" s="2" t="n"/>
      <c r="N275" s="2" t="n"/>
    </row>
    <row r="276" ht="15.75" customHeight="1" s="125">
      <c r="A276" s="2" t="n"/>
      <c r="B276" s="2" t="n"/>
      <c r="C276" s="2" t="n"/>
      <c r="D276" s="58" t="n"/>
      <c r="E276" s="62" t="n"/>
      <c r="F276" s="62" t="n"/>
      <c r="G276" s="2" t="n"/>
      <c r="H276" s="62" t="n"/>
      <c r="I276" s="62" t="n"/>
      <c r="J276" s="2" t="n"/>
      <c r="K276" s="2" t="n"/>
      <c r="L276" s="2" t="n"/>
      <c r="M276" s="2" t="n"/>
      <c r="N276" s="2" t="n"/>
    </row>
    <row r="277" ht="15.75" customHeight="1" s="125">
      <c r="A277" s="2" t="n"/>
      <c r="B277" s="2" t="n"/>
      <c r="C277" s="2" t="n"/>
      <c r="D277" s="58" t="n"/>
      <c r="E277" s="62" t="n"/>
      <c r="F277" s="62" t="n"/>
      <c r="G277" s="2" t="n"/>
      <c r="H277" s="62" t="n"/>
      <c r="I277" s="62" t="n"/>
      <c r="J277" s="2" t="n"/>
      <c r="K277" s="2" t="n"/>
      <c r="L277" s="2" t="n"/>
      <c r="M277" s="2" t="n"/>
      <c r="N277" s="2" t="n"/>
    </row>
    <row r="278" ht="15.75" customHeight="1" s="125">
      <c r="A278" s="2" t="n"/>
      <c r="B278" s="2" t="n"/>
      <c r="C278" s="2" t="n"/>
      <c r="D278" s="58" t="n"/>
      <c r="E278" s="62" t="n"/>
      <c r="F278" s="62" t="n"/>
      <c r="G278" s="2" t="n"/>
      <c r="H278" s="62" t="n"/>
      <c r="I278" s="62" t="n"/>
      <c r="J278" s="2" t="n"/>
      <c r="K278" s="2" t="n"/>
      <c r="L278" s="2" t="n"/>
      <c r="M278" s="2" t="n"/>
      <c r="N278" s="2" t="n"/>
    </row>
    <row r="279" ht="15.75" customHeight="1" s="125">
      <c r="A279" s="2" t="n"/>
      <c r="B279" s="2" t="n"/>
      <c r="C279" s="2" t="n"/>
      <c r="D279" s="58" t="n"/>
      <c r="E279" s="62" t="n"/>
      <c r="F279" s="62" t="n"/>
      <c r="G279" s="2" t="n"/>
      <c r="H279" s="62" t="n"/>
      <c r="I279" s="62" t="n"/>
      <c r="J279" s="2" t="n"/>
      <c r="K279" s="2" t="n"/>
      <c r="L279" s="2" t="n"/>
      <c r="M279" s="2" t="n"/>
      <c r="N279" s="2" t="n"/>
    </row>
    <row r="280" ht="15.75" customHeight="1" s="125">
      <c r="A280" s="2" t="n"/>
      <c r="B280" s="2" t="n"/>
      <c r="C280" s="2" t="n"/>
      <c r="D280" s="58" t="n"/>
      <c r="E280" s="62" t="n"/>
      <c r="F280" s="62" t="n"/>
      <c r="G280" s="2" t="n"/>
      <c r="H280" s="62" t="n"/>
      <c r="I280" s="62" t="n"/>
      <c r="J280" s="2" t="n"/>
      <c r="K280" s="2" t="n"/>
      <c r="L280" s="2" t="n"/>
      <c r="M280" s="2" t="n"/>
      <c r="N280" s="2" t="n"/>
    </row>
    <row r="281" ht="15.75" customHeight="1" s="125">
      <c r="A281" s="2" t="n"/>
      <c r="B281" s="2" t="n"/>
      <c r="C281" s="2" t="n"/>
      <c r="D281" s="58" t="n"/>
      <c r="E281" s="62" t="n"/>
      <c r="F281" s="62" t="n"/>
      <c r="G281" s="2" t="n"/>
      <c r="H281" s="62" t="n"/>
      <c r="I281" s="62" t="n"/>
      <c r="J281" s="2" t="n"/>
      <c r="K281" s="2" t="n"/>
      <c r="L281" s="2" t="n"/>
      <c r="M281" s="2" t="n"/>
      <c r="N281" s="2" t="n"/>
    </row>
    <row r="282" ht="15.75" customHeight="1" s="125">
      <c r="A282" s="2" t="n"/>
      <c r="B282" s="2" t="n"/>
      <c r="C282" s="2" t="n"/>
      <c r="D282" s="58" t="n"/>
      <c r="E282" s="62" t="n"/>
      <c r="F282" s="62" t="n"/>
      <c r="G282" s="2" t="n"/>
      <c r="H282" s="62" t="n"/>
      <c r="I282" s="62" t="n"/>
      <c r="J282" s="2" t="n"/>
      <c r="K282" s="2" t="n"/>
      <c r="L282" s="2" t="n"/>
      <c r="M282" s="2" t="n"/>
      <c r="N282" s="2" t="n"/>
    </row>
    <row r="283" ht="15.75" customHeight="1" s="125">
      <c r="A283" s="2" t="n"/>
      <c r="B283" s="2" t="n"/>
      <c r="C283" s="2" t="n"/>
      <c r="D283" s="58" t="n"/>
      <c r="E283" s="62" t="n"/>
      <c r="F283" s="62" t="n"/>
      <c r="G283" s="2" t="n"/>
      <c r="H283" s="62" t="n"/>
      <c r="I283" s="62" t="n"/>
      <c r="J283" s="2" t="n"/>
      <c r="K283" s="2" t="n"/>
      <c r="L283" s="2" t="n"/>
      <c r="M283" s="2" t="n"/>
      <c r="N283" s="2" t="n"/>
    </row>
    <row r="284" ht="15.75" customHeight="1" s="125">
      <c r="A284" s="2" t="n"/>
      <c r="B284" s="2" t="n"/>
      <c r="C284" s="2" t="n"/>
      <c r="D284" s="58" t="n"/>
      <c r="E284" s="62" t="n"/>
      <c r="F284" s="62" t="n"/>
      <c r="G284" s="2" t="n"/>
      <c r="H284" s="62" t="n"/>
      <c r="I284" s="62" t="n"/>
      <c r="J284" s="2" t="n"/>
      <c r="K284" s="2" t="n"/>
      <c r="L284" s="2" t="n"/>
      <c r="M284" s="2" t="n"/>
      <c r="N284" s="2" t="n"/>
    </row>
    <row r="285" ht="15.75" customHeight="1" s="125">
      <c r="A285" s="2" t="n"/>
      <c r="B285" s="2" t="n"/>
      <c r="C285" s="2" t="n"/>
      <c r="D285" s="58" t="n"/>
      <c r="E285" s="62" t="n"/>
      <c r="F285" s="62" t="n"/>
      <c r="G285" s="2" t="n"/>
      <c r="H285" s="62" t="n"/>
      <c r="I285" s="62" t="n"/>
      <c r="J285" s="2" t="n"/>
      <c r="K285" s="2" t="n"/>
      <c r="L285" s="2" t="n"/>
      <c r="M285" s="2" t="n"/>
      <c r="N285" s="2" t="n"/>
    </row>
    <row r="286" ht="15.75" customHeight="1" s="125">
      <c r="A286" s="2" t="n"/>
      <c r="B286" s="2" t="n"/>
      <c r="C286" s="2" t="n"/>
      <c r="D286" s="58" t="n"/>
      <c r="E286" s="62" t="n"/>
      <c r="F286" s="62" t="n"/>
      <c r="G286" s="2" t="n"/>
      <c r="H286" s="62" t="n"/>
      <c r="I286" s="62" t="n"/>
      <c r="J286" s="2" t="n"/>
      <c r="K286" s="2" t="n"/>
      <c r="L286" s="2" t="n"/>
      <c r="M286" s="2" t="n"/>
      <c r="N286" s="2" t="n"/>
    </row>
    <row r="287" ht="15.75" customHeight="1" s="125">
      <c r="A287" s="2" t="n"/>
      <c r="B287" s="2" t="n"/>
      <c r="C287" s="2" t="n"/>
      <c r="D287" s="58" t="n"/>
      <c r="E287" s="62" t="n"/>
      <c r="F287" s="62" t="n"/>
      <c r="G287" s="2" t="n"/>
      <c r="H287" s="62" t="n"/>
      <c r="I287" s="62" t="n"/>
      <c r="J287" s="2" t="n"/>
      <c r="K287" s="2" t="n"/>
      <c r="L287" s="2" t="n"/>
      <c r="M287" s="2" t="n"/>
      <c r="N287" s="2" t="n"/>
    </row>
    <row r="288" ht="15.75" customHeight="1" s="125">
      <c r="A288" s="2" t="n"/>
      <c r="B288" s="2" t="n"/>
      <c r="C288" s="2" t="n"/>
      <c r="D288" s="58" t="n"/>
      <c r="E288" s="62" t="n"/>
      <c r="F288" s="62" t="n"/>
      <c r="G288" s="2" t="n"/>
      <c r="H288" s="62" t="n"/>
      <c r="I288" s="62" t="n"/>
      <c r="J288" s="2" t="n"/>
      <c r="K288" s="2" t="n"/>
      <c r="L288" s="2" t="n"/>
      <c r="M288" s="2" t="n"/>
      <c r="N288" s="2" t="n"/>
    </row>
    <row r="289" ht="15.75" customHeight="1" s="125">
      <c r="A289" s="2" t="n"/>
      <c r="B289" s="2" t="n"/>
      <c r="C289" s="2" t="n"/>
      <c r="D289" s="58" t="n"/>
      <c r="E289" s="62" t="n"/>
      <c r="F289" s="62" t="n"/>
      <c r="G289" s="2" t="n"/>
      <c r="H289" s="62" t="n"/>
      <c r="I289" s="62" t="n"/>
      <c r="J289" s="2" t="n"/>
      <c r="K289" s="2" t="n"/>
      <c r="L289" s="2" t="n"/>
      <c r="M289" s="2" t="n"/>
      <c r="N289" s="2" t="n"/>
    </row>
    <row r="290" ht="15.75" customHeight="1" s="125">
      <c r="A290" s="2" t="n"/>
      <c r="B290" s="2" t="n"/>
      <c r="C290" s="2" t="n"/>
      <c r="D290" s="58" t="n"/>
      <c r="E290" s="62" t="n"/>
      <c r="F290" s="62" t="n"/>
      <c r="G290" s="2" t="n"/>
      <c r="H290" s="62" t="n"/>
      <c r="I290" s="62" t="n"/>
      <c r="J290" s="2" t="n"/>
      <c r="K290" s="2" t="n"/>
      <c r="L290" s="2" t="n"/>
      <c r="M290" s="2" t="n"/>
      <c r="N290" s="2" t="n"/>
    </row>
    <row r="291" ht="15.75" customHeight="1" s="125">
      <c r="A291" s="2" t="n"/>
      <c r="B291" s="2" t="n"/>
      <c r="C291" s="2" t="n"/>
      <c r="D291" s="58" t="n"/>
      <c r="E291" s="62" t="n"/>
      <c r="F291" s="62" t="n"/>
      <c r="G291" s="2" t="n"/>
      <c r="H291" s="62" t="n"/>
      <c r="I291" s="62" t="n"/>
      <c r="J291" s="2" t="n"/>
      <c r="K291" s="2" t="n"/>
      <c r="L291" s="2" t="n"/>
      <c r="M291" s="2" t="n"/>
      <c r="N291" s="2" t="n"/>
    </row>
    <row r="292" ht="15.75" customHeight="1" s="125">
      <c r="A292" s="2" t="n"/>
      <c r="B292" s="2" t="n"/>
      <c r="C292" s="2" t="n"/>
      <c r="D292" s="58" t="n"/>
      <c r="E292" s="62" t="n"/>
      <c r="F292" s="62" t="n"/>
      <c r="G292" s="2" t="n"/>
      <c r="H292" s="62" t="n"/>
      <c r="I292" s="62" t="n"/>
      <c r="J292" s="2" t="n"/>
      <c r="K292" s="2" t="n"/>
      <c r="L292" s="2" t="n"/>
      <c r="M292" s="2" t="n"/>
      <c r="N292" s="2" t="n"/>
    </row>
    <row r="293" ht="15.75" customHeight="1" s="125">
      <c r="A293" s="2" t="n"/>
      <c r="B293" s="2" t="n"/>
      <c r="C293" s="2" t="n"/>
      <c r="D293" s="58" t="n"/>
      <c r="E293" s="62" t="n"/>
      <c r="F293" s="62" t="n"/>
      <c r="G293" s="2" t="n"/>
      <c r="H293" s="62" t="n"/>
      <c r="I293" s="62" t="n"/>
      <c r="J293" s="2" t="n"/>
      <c r="K293" s="2" t="n"/>
      <c r="L293" s="2" t="n"/>
      <c r="M293" s="2" t="n"/>
      <c r="N293" s="2" t="n"/>
    </row>
    <row r="294" ht="15.75" customHeight="1" s="125">
      <c r="A294" s="2" t="n"/>
      <c r="B294" s="2" t="n"/>
      <c r="C294" s="2" t="n"/>
      <c r="D294" s="58" t="n"/>
      <c r="E294" s="62" t="n"/>
      <c r="F294" s="62" t="n"/>
      <c r="G294" s="2" t="n"/>
      <c r="H294" s="62" t="n"/>
      <c r="I294" s="62" t="n"/>
      <c r="J294" s="2" t="n"/>
      <c r="K294" s="2" t="n"/>
      <c r="L294" s="2" t="n"/>
      <c r="M294" s="2" t="n"/>
      <c r="N294" s="2" t="n"/>
    </row>
    <row r="295" ht="15.75" customHeight="1" s="125">
      <c r="A295" s="2" t="n"/>
      <c r="B295" s="2" t="n"/>
      <c r="C295" s="2" t="n"/>
      <c r="D295" s="58" t="n"/>
      <c r="E295" s="62" t="n"/>
      <c r="F295" s="62" t="n"/>
      <c r="G295" s="2" t="n"/>
      <c r="H295" s="62" t="n"/>
      <c r="I295" s="62" t="n"/>
      <c r="J295" s="2" t="n"/>
      <c r="K295" s="2" t="n"/>
      <c r="L295" s="2" t="n"/>
      <c r="M295" s="2" t="n"/>
      <c r="N295" s="2" t="n"/>
    </row>
    <row r="296" ht="15.75" customHeight="1" s="125">
      <c r="A296" s="2" t="n"/>
      <c r="B296" s="2" t="n"/>
      <c r="C296" s="2" t="n"/>
      <c r="D296" s="58" t="n"/>
      <c r="E296" s="62" t="n"/>
      <c r="F296" s="62" t="n"/>
      <c r="G296" s="2" t="n"/>
      <c r="H296" s="62" t="n"/>
      <c r="I296" s="62" t="n"/>
      <c r="J296" s="2" t="n"/>
      <c r="K296" s="2" t="n"/>
      <c r="L296" s="2" t="n"/>
      <c r="M296" s="2" t="n"/>
      <c r="N296" s="2" t="n"/>
    </row>
    <row r="297" ht="15.75" customHeight="1" s="125">
      <c r="A297" s="2" t="n"/>
      <c r="B297" s="2" t="n"/>
      <c r="C297" s="2" t="n"/>
      <c r="D297" s="58" t="n"/>
      <c r="E297" s="62" t="n"/>
      <c r="F297" s="62" t="n"/>
      <c r="G297" s="2" t="n"/>
      <c r="H297" s="62" t="n"/>
      <c r="I297" s="62" t="n"/>
      <c r="J297" s="2" t="n"/>
      <c r="K297" s="2" t="n"/>
      <c r="L297" s="2" t="n"/>
      <c r="M297" s="2" t="n"/>
      <c r="N297" s="2" t="n"/>
    </row>
    <row r="298" ht="15.75" customHeight="1" s="125">
      <c r="A298" s="2" t="n"/>
      <c r="B298" s="2" t="n"/>
      <c r="C298" s="2" t="n"/>
      <c r="D298" s="58" t="n"/>
      <c r="E298" s="62" t="n"/>
      <c r="F298" s="62" t="n"/>
      <c r="G298" s="2" t="n"/>
      <c r="H298" s="62" t="n"/>
      <c r="I298" s="62" t="n"/>
      <c r="J298" s="2" t="n"/>
      <c r="K298" s="2" t="n"/>
      <c r="L298" s="2" t="n"/>
      <c r="M298" s="2" t="n"/>
      <c r="N298" s="2" t="n"/>
    </row>
    <row r="299" ht="15.75" customHeight="1" s="125">
      <c r="A299" s="2" t="n"/>
      <c r="B299" s="2" t="n"/>
      <c r="C299" s="2" t="n"/>
      <c r="D299" s="58" t="n"/>
      <c r="E299" s="62" t="n"/>
      <c r="F299" s="62" t="n"/>
      <c r="G299" s="2" t="n"/>
      <c r="H299" s="62" t="n"/>
      <c r="I299" s="62" t="n"/>
      <c r="J299" s="2" t="n"/>
      <c r="K299" s="2" t="n"/>
      <c r="L299" s="2" t="n"/>
      <c r="M299" s="2" t="n"/>
      <c r="N299" s="2" t="n"/>
    </row>
    <row r="300" ht="15.75" customHeight="1" s="125">
      <c r="A300" s="2" t="n"/>
      <c r="B300" s="2" t="n"/>
      <c r="C300" s="2" t="n"/>
      <c r="D300" s="58" t="n"/>
      <c r="E300" s="62" t="n"/>
      <c r="F300" s="62" t="n"/>
      <c r="G300" s="2" t="n"/>
      <c r="H300" s="62" t="n"/>
      <c r="I300" s="62" t="n"/>
      <c r="J300" s="2" t="n"/>
      <c r="K300" s="2" t="n"/>
      <c r="L300" s="2" t="n"/>
      <c r="M300" s="2" t="n"/>
      <c r="N300" s="2" t="n"/>
    </row>
    <row r="301" ht="15.75" customHeight="1" s="125">
      <c r="A301" s="2" t="n"/>
      <c r="B301" s="2" t="n"/>
      <c r="C301" s="2" t="n"/>
      <c r="D301" s="58" t="n"/>
      <c r="E301" s="62" t="n"/>
      <c r="F301" s="62" t="n"/>
      <c r="G301" s="2" t="n"/>
      <c r="H301" s="62" t="n"/>
      <c r="I301" s="62" t="n"/>
      <c r="J301" s="2" t="n"/>
      <c r="K301" s="2" t="n"/>
      <c r="L301" s="2" t="n"/>
      <c r="M301" s="2" t="n"/>
      <c r="N301" s="2" t="n"/>
    </row>
    <row r="302" ht="15.75" customHeight="1" s="125">
      <c r="A302" s="2" t="n"/>
      <c r="B302" s="2" t="n"/>
      <c r="C302" s="2" t="n"/>
      <c r="D302" s="58" t="n"/>
      <c r="E302" s="62" t="n"/>
      <c r="F302" s="62" t="n"/>
      <c r="G302" s="2" t="n"/>
      <c r="H302" s="62" t="n"/>
      <c r="I302" s="62" t="n"/>
      <c r="J302" s="2" t="n"/>
      <c r="K302" s="2" t="n"/>
      <c r="L302" s="2" t="n"/>
      <c r="M302" s="2" t="n"/>
      <c r="N302" s="2" t="n"/>
    </row>
    <row r="303" ht="15.75" customHeight="1" s="125">
      <c r="A303" s="2" t="n"/>
      <c r="B303" s="2" t="n"/>
      <c r="C303" s="2" t="n"/>
      <c r="D303" s="58" t="n"/>
      <c r="E303" s="62" t="n"/>
      <c r="F303" s="62" t="n"/>
      <c r="G303" s="2" t="n"/>
      <c r="H303" s="62" t="n"/>
      <c r="I303" s="62" t="n"/>
      <c r="J303" s="2" t="n"/>
      <c r="K303" s="2" t="n"/>
      <c r="L303" s="2" t="n"/>
      <c r="M303" s="2" t="n"/>
      <c r="N303" s="2" t="n"/>
    </row>
    <row r="304" ht="15.75" customHeight="1" s="125">
      <c r="A304" s="2" t="n"/>
      <c r="B304" s="2" t="n"/>
      <c r="C304" s="2" t="n"/>
      <c r="D304" s="58" t="n"/>
      <c r="E304" s="62" t="n"/>
      <c r="F304" s="62" t="n"/>
      <c r="G304" s="2" t="n"/>
      <c r="H304" s="62" t="n"/>
      <c r="I304" s="62" t="n"/>
      <c r="J304" s="2" t="n"/>
      <c r="K304" s="2" t="n"/>
      <c r="L304" s="2" t="n"/>
      <c r="M304" s="2" t="n"/>
      <c r="N304" s="2" t="n"/>
    </row>
    <row r="305" ht="15.75" customHeight="1" s="125">
      <c r="A305" s="2" t="n"/>
      <c r="B305" s="2" t="n"/>
      <c r="C305" s="2" t="n"/>
      <c r="D305" s="58" t="n"/>
      <c r="E305" s="62" t="n"/>
      <c r="F305" s="62" t="n"/>
      <c r="G305" s="2" t="n"/>
      <c r="H305" s="62" t="n"/>
      <c r="I305" s="62" t="n"/>
      <c r="J305" s="2" t="n"/>
      <c r="K305" s="2" t="n"/>
      <c r="L305" s="2" t="n"/>
      <c r="M305" s="2" t="n"/>
      <c r="N305" s="2" t="n"/>
    </row>
    <row r="306" ht="15.75" customHeight="1" s="125">
      <c r="A306" s="2" t="n"/>
      <c r="B306" s="2" t="n"/>
      <c r="C306" s="2" t="n"/>
      <c r="D306" s="58" t="n"/>
      <c r="E306" s="62" t="n"/>
      <c r="F306" s="62" t="n"/>
      <c r="G306" s="2" t="n"/>
      <c r="H306" s="62" t="n"/>
      <c r="I306" s="62" t="n"/>
      <c r="J306" s="2" t="n"/>
      <c r="K306" s="2" t="n"/>
      <c r="L306" s="2" t="n"/>
      <c r="M306" s="2" t="n"/>
      <c r="N306" s="2" t="n"/>
    </row>
    <row r="307" ht="15.75" customHeight="1" s="125">
      <c r="A307" s="2" t="n"/>
      <c r="B307" s="2" t="n"/>
      <c r="C307" s="2" t="n"/>
      <c r="D307" s="58" t="n"/>
      <c r="E307" s="62" t="n"/>
      <c r="F307" s="62" t="n"/>
      <c r="G307" s="2" t="n"/>
      <c r="H307" s="62" t="n"/>
      <c r="I307" s="62" t="n"/>
      <c r="J307" s="2" t="n"/>
      <c r="K307" s="2" t="n"/>
      <c r="L307" s="2" t="n"/>
      <c r="M307" s="2" t="n"/>
      <c r="N307" s="2" t="n"/>
    </row>
    <row r="308" ht="15.75" customHeight="1" s="125">
      <c r="A308" s="2" t="n"/>
      <c r="B308" s="2" t="n"/>
      <c r="C308" s="2" t="n"/>
      <c r="D308" s="58" t="n"/>
      <c r="E308" s="62" t="n"/>
      <c r="F308" s="62" t="n"/>
      <c r="G308" s="2" t="n"/>
      <c r="H308" s="62" t="n"/>
      <c r="I308" s="62" t="n"/>
      <c r="J308" s="2" t="n"/>
      <c r="K308" s="2" t="n"/>
      <c r="L308" s="2" t="n"/>
      <c r="M308" s="2" t="n"/>
      <c r="N308" s="2" t="n"/>
    </row>
    <row r="309" ht="15.75" customHeight="1" s="125">
      <c r="A309" s="2" t="n"/>
      <c r="B309" s="2" t="n"/>
      <c r="C309" s="2" t="n"/>
      <c r="D309" s="58" t="n"/>
      <c r="E309" s="62" t="n"/>
      <c r="F309" s="62" t="n"/>
      <c r="G309" s="2" t="n"/>
      <c r="H309" s="62" t="n"/>
      <c r="I309" s="62" t="n"/>
      <c r="J309" s="2" t="n"/>
      <c r="K309" s="2" t="n"/>
      <c r="L309" s="2" t="n"/>
      <c r="M309" s="2" t="n"/>
      <c r="N309" s="2" t="n"/>
    </row>
    <row r="310" ht="15.75" customHeight="1" s="125">
      <c r="A310" s="2" t="n"/>
      <c r="B310" s="2" t="n"/>
      <c r="C310" s="2" t="n"/>
      <c r="D310" s="58" t="n"/>
      <c r="E310" s="62" t="n"/>
      <c r="F310" s="62" t="n"/>
      <c r="G310" s="2" t="n"/>
      <c r="H310" s="62" t="n"/>
      <c r="I310" s="62" t="n"/>
      <c r="J310" s="2" t="n"/>
      <c r="K310" s="2" t="n"/>
      <c r="L310" s="2" t="n"/>
      <c r="M310" s="2" t="n"/>
      <c r="N310" s="2" t="n"/>
    </row>
    <row r="311" ht="15.75" customHeight="1" s="125">
      <c r="A311" s="2" t="n"/>
      <c r="B311" s="2" t="n"/>
      <c r="C311" s="2" t="n"/>
      <c r="D311" s="58" t="n"/>
      <c r="E311" s="62" t="n"/>
      <c r="F311" s="62" t="n"/>
      <c r="G311" s="2" t="n"/>
      <c r="H311" s="62" t="n"/>
      <c r="I311" s="62" t="n"/>
      <c r="J311" s="2" t="n"/>
      <c r="K311" s="2" t="n"/>
      <c r="L311" s="2" t="n"/>
      <c r="M311" s="2" t="n"/>
      <c r="N311" s="2" t="n"/>
    </row>
    <row r="312" ht="15.75" customHeight="1" s="125">
      <c r="A312" s="2" t="n"/>
      <c r="B312" s="2" t="n"/>
      <c r="C312" s="2" t="n"/>
      <c r="D312" s="58" t="n"/>
      <c r="E312" s="62" t="n"/>
      <c r="F312" s="62" t="n"/>
      <c r="G312" s="2" t="n"/>
      <c r="H312" s="62" t="n"/>
      <c r="I312" s="62" t="n"/>
      <c r="J312" s="2" t="n"/>
      <c r="K312" s="2" t="n"/>
      <c r="L312" s="2" t="n"/>
      <c r="M312" s="2" t="n"/>
      <c r="N312" s="2" t="n"/>
    </row>
    <row r="313" ht="15.75" customHeight="1" s="125">
      <c r="A313" s="2" t="n"/>
      <c r="B313" s="2" t="n"/>
      <c r="C313" s="2" t="n"/>
      <c r="D313" s="58" t="n"/>
      <c r="E313" s="62" t="n"/>
      <c r="F313" s="62" t="n"/>
      <c r="G313" s="2" t="n"/>
      <c r="H313" s="62" t="n"/>
      <c r="I313" s="62" t="n"/>
      <c r="J313" s="2" t="n"/>
      <c r="K313" s="2" t="n"/>
      <c r="L313" s="2" t="n"/>
      <c r="M313" s="2" t="n"/>
      <c r="N313" s="2" t="n"/>
    </row>
    <row r="314" ht="15.75" customHeight="1" s="125">
      <c r="A314" s="2" t="n"/>
      <c r="B314" s="2" t="n"/>
      <c r="C314" s="2" t="n"/>
      <c r="D314" s="58" t="n"/>
      <c r="E314" s="62" t="n"/>
      <c r="F314" s="62" t="n"/>
      <c r="G314" s="2" t="n"/>
      <c r="H314" s="62" t="n"/>
      <c r="I314" s="62" t="n"/>
      <c r="J314" s="2" t="n"/>
      <c r="K314" s="2" t="n"/>
      <c r="L314" s="2" t="n"/>
      <c r="M314" s="2" t="n"/>
      <c r="N314" s="2" t="n"/>
    </row>
    <row r="315" ht="15.75" customHeight="1" s="125">
      <c r="A315" s="2" t="n"/>
      <c r="B315" s="2" t="n"/>
      <c r="C315" s="2" t="n"/>
      <c r="D315" s="58" t="n"/>
      <c r="E315" s="62" t="n"/>
      <c r="F315" s="62" t="n"/>
      <c r="G315" s="2" t="n"/>
      <c r="H315" s="62" t="n"/>
      <c r="I315" s="62" t="n"/>
      <c r="J315" s="2" t="n"/>
      <c r="K315" s="2" t="n"/>
      <c r="L315" s="2" t="n"/>
      <c r="M315" s="2" t="n"/>
      <c r="N315" s="2" t="n"/>
    </row>
    <row r="316" ht="15.75" customHeight="1" s="125">
      <c r="A316" s="2" t="n"/>
      <c r="B316" s="2" t="n"/>
      <c r="C316" s="2" t="n"/>
      <c r="D316" s="58" t="n"/>
      <c r="E316" s="62" t="n"/>
      <c r="F316" s="62" t="n"/>
      <c r="G316" s="2" t="n"/>
      <c r="H316" s="62" t="n"/>
      <c r="I316" s="62" t="n"/>
      <c r="J316" s="2" t="n"/>
      <c r="K316" s="2" t="n"/>
      <c r="L316" s="2" t="n"/>
      <c r="M316" s="2" t="n"/>
      <c r="N316" s="2" t="n"/>
    </row>
    <row r="317" ht="15.75" customHeight="1" s="125">
      <c r="A317" s="2" t="n"/>
      <c r="B317" s="2" t="n"/>
      <c r="C317" s="2" t="n"/>
      <c r="D317" s="58" t="n"/>
      <c r="E317" s="62" t="n"/>
      <c r="F317" s="62" t="n"/>
      <c r="G317" s="2" t="n"/>
      <c r="H317" s="62" t="n"/>
      <c r="I317" s="62" t="n"/>
      <c r="J317" s="2" t="n"/>
      <c r="K317" s="2" t="n"/>
      <c r="L317" s="2" t="n"/>
      <c r="M317" s="2" t="n"/>
      <c r="N317" s="2" t="n"/>
    </row>
    <row r="318" ht="15.75" customHeight="1" s="125">
      <c r="A318" s="2" t="n"/>
      <c r="B318" s="2" t="n"/>
      <c r="C318" s="2" t="n"/>
      <c r="D318" s="58" t="n"/>
      <c r="E318" s="62" t="n"/>
      <c r="F318" s="62" t="n"/>
      <c r="G318" s="2" t="n"/>
      <c r="H318" s="62" t="n"/>
      <c r="I318" s="62" t="n"/>
      <c r="J318" s="2" t="n"/>
      <c r="K318" s="2" t="n"/>
      <c r="L318" s="2" t="n"/>
      <c r="M318" s="2" t="n"/>
      <c r="N318" s="2" t="n"/>
    </row>
    <row r="319" ht="15.75" customHeight="1" s="125">
      <c r="A319" s="2" t="n"/>
      <c r="B319" s="2" t="n"/>
      <c r="C319" s="2" t="n"/>
      <c r="D319" s="58" t="n"/>
      <c r="E319" s="62" t="n"/>
      <c r="F319" s="62" t="n"/>
      <c r="G319" s="2" t="n"/>
      <c r="H319" s="62" t="n"/>
      <c r="I319" s="62" t="n"/>
      <c r="J319" s="2" t="n"/>
      <c r="K319" s="2" t="n"/>
      <c r="L319" s="2" t="n"/>
      <c r="M319" s="2" t="n"/>
      <c r="N319" s="2" t="n"/>
    </row>
    <row r="320" ht="15.75" customHeight="1" s="125">
      <c r="A320" s="2" t="n"/>
      <c r="B320" s="2" t="n"/>
      <c r="C320" s="2" t="n"/>
      <c r="D320" s="58" t="n"/>
      <c r="E320" s="62" t="n"/>
      <c r="F320" s="62" t="n"/>
      <c r="G320" s="2" t="n"/>
      <c r="H320" s="62" t="n"/>
      <c r="I320" s="62" t="n"/>
      <c r="J320" s="2" t="n"/>
      <c r="K320" s="2" t="n"/>
      <c r="L320" s="2" t="n"/>
      <c r="M320" s="2" t="n"/>
      <c r="N320" s="2" t="n"/>
    </row>
    <row r="321" ht="15.75" customHeight="1" s="125">
      <c r="A321" s="2" t="n"/>
      <c r="B321" s="2" t="n"/>
      <c r="C321" s="2" t="n"/>
      <c r="D321" s="58" t="n"/>
      <c r="E321" s="62" t="n"/>
      <c r="F321" s="62" t="n"/>
      <c r="G321" s="2" t="n"/>
      <c r="H321" s="62" t="n"/>
      <c r="I321" s="62" t="n"/>
      <c r="J321" s="2" t="n"/>
      <c r="K321" s="2" t="n"/>
      <c r="L321" s="2" t="n"/>
      <c r="M321" s="2" t="n"/>
      <c r="N321" s="2" t="n"/>
    </row>
    <row r="322" ht="15.75" customHeight="1" s="125">
      <c r="A322" s="2" t="n"/>
      <c r="B322" s="2" t="n"/>
      <c r="C322" s="2" t="n"/>
      <c r="D322" s="58" t="n"/>
      <c r="E322" s="62" t="n"/>
      <c r="F322" s="62" t="n"/>
      <c r="G322" s="2" t="n"/>
      <c r="H322" s="62" t="n"/>
      <c r="I322" s="62" t="n"/>
      <c r="J322" s="2" t="n"/>
      <c r="K322" s="2" t="n"/>
      <c r="L322" s="2" t="n"/>
      <c r="M322" s="2" t="n"/>
      <c r="N322" s="2" t="n"/>
    </row>
    <row r="323" ht="15.75" customHeight="1" s="125">
      <c r="A323" s="2" t="n"/>
      <c r="B323" s="2" t="n"/>
      <c r="C323" s="2" t="n"/>
      <c r="D323" s="58" t="n"/>
      <c r="E323" s="62" t="n"/>
      <c r="F323" s="62" t="n"/>
      <c r="G323" s="2" t="n"/>
      <c r="H323" s="62" t="n"/>
      <c r="I323" s="62" t="n"/>
      <c r="J323" s="2" t="n"/>
      <c r="K323" s="2" t="n"/>
      <c r="L323" s="2" t="n"/>
      <c r="M323" s="2" t="n"/>
      <c r="N323" s="2" t="n"/>
    </row>
    <row r="324" ht="15.75" customHeight="1" s="125">
      <c r="A324" s="2" t="n"/>
      <c r="B324" s="2" t="n"/>
      <c r="C324" s="2" t="n"/>
      <c r="D324" s="58" t="n"/>
      <c r="E324" s="62" t="n"/>
      <c r="F324" s="62" t="n"/>
      <c r="G324" s="2" t="n"/>
      <c r="H324" s="62" t="n"/>
      <c r="I324" s="62" t="n"/>
      <c r="J324" s="2" t="n"/>
      <c r="K324" s="2" t="n"/>
      <c r="L324" s="2" t="n"/>
      <c r="M324" s="2" t="n"/>
      <c r="N324" s="2" t="n"/>
    </row>
    <row r="325" ht="15.75" customHeight="1" s="125">
      <c r="A325" s="2" t="n"/>
      <c r="B325" s="2" t="n"/>
      <c r="C325" s="2" t="n"/>
      <c r="D325" s="58" t="n"/>
      <c r="E325" s="62" t="n"/>
      <c r="F325" s="62" t="n"/>
      <c r="G325" s="2" t="n"/>
      <c r="H325" s="62" t="n"/>
      <c r="I325" s="62" t="n"/>
      <c r="J325" s="2" t="n"/>
      <c r="K325" s="2" t="n"/>
      <c r="L325" s="2" t="n"/>
      <c r="M325" s="2" t="n"/>
      <c r="N325" s="2" t="n"/>
    </row>
    <row r="326" ht="15.75" customHeight="1" s="125">
      <c r="A326" s="2" t="n"/>
      <c r="B326" s="2" t="n"/>
      <c r="C326" s="2" t="n"/>
      <c r="D326" s="58" t="n"/>
      <c r="E326" s="62" t="n"/>
      <c r="F326" s="62" t="n"/>
      <c r="G326" s="2" t="n"/>
      <c r="H326" s="62" t="n"/>
      <c r="I326" s="62" t="n"/>
      <c r="J326" s="2" t="n"/>
      <c r="K326" s="2" t="n"/>
      <c r="L326" s="2" t="n"/>
      <c r="M326" s="2" t="n"/>
      <c r="N326" s="2" t="n"/>
    </row>
    <row r="327" ht="15.75" customHeight="1" s="125">
      <c r="A327" s="2" t="n"/>
      <c r="B327" s="2" t="n"/>
      <c r="C327" s="2" t="n"/>
      <c r="D327" s="58" t="n"/>
      <c r="E327" s="62" t="n"/>
      <c r="F327" s="62" t="n"/>
      <c r="G327" s="2" t="n"/>
      <c r="H327" s="62" t="n"/>
      <c r="I327" s="62" t="n"/>
      <c r="J327" s="2" t="n"/>
      <c r="K327" s="2" t="n"/>
      <c r="L327" s="2" t="n"/>
      <c r="M327" s="2" t="n"/>
      <c r="N327" s="2" t="n"/>
    </row>
    <row r="328" ht="15.75" customHeight="1" s="125">
      <c r="A328" s="2" t="n"/>
      <c r="B328" s="2" t="n"/>
      <c r="C328" s="2" t="n"/>
      <c r="D328" s="58" t="n"/>
      <c r="E328" s="62" t="n"/>
      <c r="F328" s="62" t="n"/>
      <c r="G328" s="2" t="n"/>
      <c r="H328" s="62" t="n"/>
      <c r="I328" s="62" t="n"/>
      <c r="J328" s="2" t="n"/>
      <c r="K328" s="2" t="n"/>
      <c r="L328" s="2" t="n"/>
      <c r="M328" s="2" t="n"/>
      <c r="N328" s="2" t="n"/>
    </row>
    <row r="329" ht="15.75" customHeight="1" s="125">
      <c r="A329" s="2" t="n"/>
      <c r="B329" s="2" t="n"/>
      <c r="C329" s="2" t="n"/>
      <c r="D329" s="58" t="n"/>
      <c r="E329" s="62" t="n"/>
      <c r="F329" s="62" t="n"/>
      <c r="G329" s="2" t="n"/>
      <c r="H329" s="62" t="n"/>
      <c r="I329" s="62" t="n"/>
      <c r="J329" s="2" t="n"/>
      <c r="K329" s="2" t="n"/>
      <c r="L329" s="2" t="n"/>
      <c r="M329" s="2" t="n"/>
      <c r="N329" s="2" t="n"/>
    </row>
    <row r="330" ht="15.75" customHeight="1" s="125">
      <c r="A330" s="2" t="n"/>
      <c r="B330" s="2" t="n"/>
      <c r="C330" s="2" t="n"/>
      <c r="D330" s="58" t="n"/>
      <c r="E330" s="62" t="n"/>
      <c r="F330" s="62" t="n"/>
      <c r="G330" s="2" t="n"/>
      <c r="H330" s="62" t="n"/>
      <c r="I330" s="62" t="n"/>
      <c r="J330" s="2" t="n"/>
      <c r="K330" s="2" t="n"/>
      <c r="L330" s="2" t="n"/>
      <c r="M330" s="2" t="n"/>
      <c r="N330" s="2" t="n"/>
    </row>
    <row r="331" ht="15.75" customHeight="1" s="125">
      <c r="A331" s="2" t="n"/>
      <c r="B331" s="2" t="n"/>
      <c r="C331" s="2" t="n"/>
      <c r="D331" s="58" t="n"/>
      <c r="E331" s="62" t="n"/>
      <c r="F331" s="62" t="n"/>
      <c r="G331" s="2" t="n"/>
      <c r="H331" s="62" t="n"/>
      <c r="I331" s="62" t="n"/>
      <c r="J331" s="2" t="n"/>
      <c r="K331" s="2" t="n"/>
      <c r="L331" s="2" t="n"/>
      <c r="M331" s="2" t="n"/>
      <c r="N331" s="2" t="n"/>
    </row>
    <row r="332" ht="15.75" customHeight="1" s="125">
      <c r="A332" s="2" t="n"/>
      <c r="B332" s="2" t="n"/>
      <c r="C332" s="2" t="n"/>
      <c r="D332" s="58" t="n"/>
      <c r="E332" s="62" t="n"/>
      <c r="F332" s="62" t="n"/>
      <c r="G332" s="2" t="n"/>
      <c r="H332" s="62" t="n"/>
      <c r="I332" s="62" t="n"/>
      <c r="J332" s="2" t="n"/>
      <c r="K332" s="2" t="n"/>
      <c r="L332" s="2" t="n"/>
      <c r="M332" s="2" t="n"/>
      <c r="N332" s="2" t="n"/>
    </row>
    <row r="333" ht="15.75" customHeight="1" s="125">
      <c r="A333" s="2" t="n"/>
      <c r="B333" s="2" t="n"/>
      <c r="C333" s="2" t="n"/>
      <c r="D333" s="58" t="n"/>
      <c r="E333" s="62" t="n"/>
      <c r="F333" s="62" t="n"/>
      <c r="G333" s="2" t="n"/>
      <c r="H333" s="62" t="n"/>
      <c r="I333" s="62" t="n"/>
      <c r="J333" s="2" t="n"/>
      <c r="K333" s="2" t="n"/>
      <c r="L333" s="2" t="n"/>
      <c r="M333" s="2" t="n"/>
      <c r="N333" s="2" t="n"/>
    </row>
    <row r="334" ht="15.75" customHeight="1" s="125">
      <c r="A334" s="2" t="n"/>
      <c r="B334" s="2" t="n"/>
      <c r="C334" s="2" t="n"/>
      <c r="D334" s="58" t="n"/>
      <c r="E334" s="62" t="n"/>
      <c r="F334" s="62" t="n"/>
      <c r="G334" s="2" t="n"/>
      <c r="H334" s="62" t="n"/>
      <c r="I334" s="62" t="n"/>
      <c r="J334" s="2" t="n"/>
      <c r="K334" s="2" t="n"/>
      <c r="L334" s="2" t="n"/>
      <c r="M334" s="2" t="n"/>
      <c r="N334" s="2" t="n"/>
    </row>
    <row r="335" ht="15.75" customHeight="1" s="125">
      <c r="A335" s="2" t="n"/>
      <c r="B335" s="2" t="n"/>
      <c r="C335" s="2" t="n"/>
      <c r="D335" s="58" t="n"/>
      <c r="E335" s="62" t="n"/>
      <c r="F335" s="62" t="n"/>
      <c r="G335" s="2" t="n"/>
      <c r="H335" s="62" t="n"/>
      <c r="I335" s="62" t="n"/>
      <c r="J335" s="2" t="n"/>
      <c r="K335" s="2" t="n"/>
      <c r="L335" s="2" t="n"/>
      <c r="M335" s="2" t="n"/>
      <c r="N335" s="2" t="n"/>
    </row>
    <row r="336" ht="15.75" customHeight="1" s="125">
      <c r="A336" s="2" t="n"/>
      <c r="B336" s="2" t="n"/>
      <c r="C336" s="2" t="n"/>
      <c r="D336" s="58" t="n"/>
      <c r="E336" s="62" t="n"/>
      <c r="F336" s="62" t="n"/>
      <c r="G336" s="2" t="n"/>
      <c r="H336" s="62" t="n"/>
      <c r="I336" s="62" t="n"/>
      <c r="J336" s="2" t="n"/>
      <c r="K336" s="2" t="n"/>
      <c r="L336" s="2" t="n"/>
      <c r="M336" s="2" t="n"/>
      <c r="N336" s="2" t="n"/>
    </row>
    <row r="337" ht="15.75" customHeight="1" s="125">
      <c r="A337" s="2" t="n"/>
      <c r="B337" s="2" t="n"/>
      <c r="C337" s="2" t="n"/>
      <c r="D337" s="58" t="n"/>
      <c r="E337" s="62" t="n"/>
      <c r="F337" s="62" t="n"/>
      <c r="G337" s="2" t="n"/>
      <c r="H337" s="62" t="n"/>
      <c r="I337" s="62" t="n"/>
      <c r="J337" s="2" t="n"/>
      <c r="K337" s="2" t="n"/>
      <c r="L337" s="2" t="n"/>
      <c r="M337" s="2" t="n"/>
      <c r="N337" s="2" t="n"/>
    </row>
    <row r="338" ht="15.75" customHeight="1" s="125">
      <c r="A338" s="2" t="n"/>
      <c r="B338" s="2" t="n"/>
      <c r="C338" s="2" t="n"/>
      <c r="D338" s="58" t="n"/>
      <c r="E338" s="62" t="n"/>
      <c r="F338" s="62" t="n"/>
      <c r="G338" s="2" t="n"/>
      <c r="H338" s="62" t="n"/>
      <c r="I338" s="62" t="n"/>
      <c r="J338" s="2" t="n"/>
      <c r="K338" s="2" t="n"/>
      <c r="L338" s="2" t="n"/>
      <c r="M338" s="2" t="n"/>
      <c r="N338" s="2" t="n"/>
    </row>
    <row r="339" ht="15.75" customHeight="1" s="125">
      <c r="A339" s="2" t="n"/>
      <c r="B339" s="2" t="n"/>
      <c r="C339" s="2" t="n"/>
      <c r="D339" s="58" t="n"/>
      <c r="E339" s="62" t="n"/>
      <c r="F339" s="62" t="n"/>
      <c r="G339" s="2" t="n"/>
      <c r="H339" s="62" t="n"/>
      <c r="I339" s="62" t="n"/>
      <c r="J339" s="2" t="n"/>
      <c r="K339" s="2" t="n"/>
      <c r="L339" s="2" t="n"/>
      <c r="M339" s="2" t="n"/>
      <c r="N339" s="2" t="n"/>
    </row>
    <row r="340" ht="15.75" customHeight="1" s="125">
      <c r="A340" s="2" t="n"/>
      <c r="B340" s="2" t="n"/>
      <c r="C340" s="2" t="n"/>
      <c r="D340" s="58" t="n"/>
      <c r="E340" s="62" t="n"/>
      <c r="F340" s="62" t="n"/>
      <c r="G340" s="2" t="n"/>
      <c r="H340" s="62" t="n"/>
      <c r="I340" s="62" t="n"/>
      <c r="J340" s="2" t="n"/>
      <c r="K340" s="2" t="n"/>
      <c r="L340" s="2" t="n"/>
      <c r="M340" s="2" t="n"/>
      <c r="N340" s="2" t="n"/>
    </row>
    <row r="341" ht="15.75" customHeight="1" s="125">
      <c r="A341" s="2" t="n"/>
      <c r="B341" s="2" t="n"/>
      <c r="C341" s="2" t="n"/>
      <c r="D341" s="58" t="n"/>
      <c r="E341" s="62" t="n"/>
      <c r="F341" s="62" t="n"/>
      <c r="G341" s="2" t="n"/>
      <c r="H341" s="62" t="n"/>
      <c r="I341" s="62" t="n"/>
      <c r="J341" s="2" t="n"/>
      <c r="K341" s="2" t="n"/>
      <c r="L341" s="2" t="n"/>
      <c r="M341" s="2" t="n"/>
      <c r="N341" s="2" t="n"/>
    </row>
    <row r="342" ht="15.75" customHeight="1" s="125">
      <c r="A342" s="2" t="n"/>
      <c r="B342" s="2" t="n"/>
      <c r="C342" s="2" t="n"/>
      <c r="D342" s="58" t="n"/>
      <c r="E342" s="62" t="n"/>
      <c r="F342" s="62" t="n"/>
      <c r="G342" s="2" t="n"/>
      <c r="H342" s="62" t="n"/>
      <c r="I342" s="62" t="n"/>
      <c r="J342" s="2" t="n"/>
      <c r="K342" s="2" t="n"/>
      <c r="L342" s="2" t="n"/>
      <c r="M342" s="2" t="n"/>
      <c r="N342" s="2" t="n"/>
    </row>
    <row r="343" ht="15.75" customHeight="1" s="125">
      <c r="A343" s="2" t="n"/>
      <c r="B343" s="2" t="n"/>
      <c r="C343" s="2" t="n"/>
      <c r="D343" s="58" t="n"/>
      <c r="E343" s="62" t="n"/>
      <c r="F343" s="62" t="n"/>
      <c r="G343" s="2" t="n"/>
      <c r="H343" s="62" t="n"/>
      <c r="I343" s="62" t="n"/>
      <c r="J343" s="2" t="n"/>
      <c r="K343" s="2" t="n"/>
      <c r="L343" s="2" t="n"/>
      <c r="M343" s="2" t="n"/>
      <c r="N343" s="2" t="n"/>
    </row>
    <row r="344" ht="15.75" customHeight="1" s="125">
      <c r="A344" s="2" t="n"/>
      <c r="B344" s="2" t="n"/>
      <c r="C344" s="2" t="n"/>
      <c r="D344" s="58" t="n"/>
      <c r="E344" s="62" t="n"/>
      <c r="F344" s="62" t="n"/>
      <c r="G344" s="2" t="n"/>
      <c r="H344" s="62" t="n"/>
      <c r="I344" s="62" t="n"/>
      <c r="J344" s="2" t="n"/>
      <c r="K344" s="2" t="n"/>
      <c r="L344" s="2" t="n"/>
      <c r="M344" s="2" t="n"/>
      <c r="N344" s="2" t="n"/>
    </row>
    <row r="345" ht="15.75" customHeight="1" s="125">
      <c r="A345" s="2" t="n"/>
      <c r="B345" s="2" t="n"/>
      <c r="C345" s="2" t="n"/>
      <c r="D345" s="58" t="n"/>
      <c r="E345" s="62" t="n"/>
      <c r="F345" s="62" t="n"/>
      <c r="G345" s="2" t="n"/>
      <c r="H345" s="62" t="n"/>
      <c r="I345" s="62" t="n"/>
      <c r="J345" s="2" t="n"/>
      <c r="K345" s="2" t="n"/>
      <c r="L345" s="2" t="n"/>
      <c r="M345" s="2" t="n"/>
      <c r="N345" s="2" t="n"/>
    </row>
    <row r="346" ht="15.75" customHeight="1" s="125">
      <c r="A346" s="2" t="n"/>
      <c r="B346" s="2" t="n"/>
      <c r="C346" s="2" t="n"/>
      <c r="D346" s="58" t="n"/>
      <c r="E346" s="62" t="n"/>
      <c r="F346" s="62" t="n"/>
      <c r="G346" s="2" t="n"/>
      <c r="H346" s="62" t="n"/>
      <c r="I346" s="62" t="n"/>
      <c r="J346" s="2" t="n"/>
      <c r="K346" s="2" t="n"/>
      <c r="L346" s="2" t="n"/>
      <c r="M346" s="2" t="n"/>
      <c r="N346" s="2" t="n"/>
    </row>
    <row r="347" ht="15.75" customHeight="1" s="125">
      <c r="A347" s="2" t="n"/>
      <c r="B347" s="2" t="n"/>
      <c r="C347" s="2" t="n"/>
      <c r="D347" s="58" t="n"/>
      <c r="E347" s="62" t="n"/>
      <c r="F347" s="62" t="n"/>
      <c r="G347" s="2" t="n"/>
      <c r="H347" s="62" t="n"/>
      <c r="I347" s="62" t="n"/>
      <c r="J347" s="2" t="n"/>
      <c r="K347" s="2" t="n"/>
      <c r="L347" s="2" t="n"/>
      <c r="M347" s="2" t="n"/>
      <c r="N347" s="2" t="n"/>
    </row>
    <row r="348" ht="15.75" customHeight="1" s="125">
      <c r="A348" s="2" t="n"/>
      <c r="B348" s="2" t="n"/>
      <c r="C348" s="2" t="n"/>
      <c r="D348" s="58" t="n"/>
      <c r="E348" s="62" t="n"/>
      <c r="F348" s="62" t="n"/>
      <c r="G348" s="2" t="n"/>
      <c r="H348" s="62" t="n"/>
      <c r="I348" s="62" t="n"/>
      <c r="J348" s="2" t="n"/>
      <c r="K348" s="2" t="n"/>
      <c r="L348" s="2" t="n"/>
      <c r="M348" s="2" t="n"/>
      <c r="N348" s="2" t="n"/>
    </row>
    <row r="349" ht="15.75" customHeight="1" s="125">
      <c r="A349" s="2" t="n"/>
      <c r="B349" s="2" t="n"/>
      <c r="C349" s="2" t="n"/>
      <c r="D349" s="58" t="n"/>
      <c r="E349" s="62" t="n"/>
      <c r="F349" s="62" t="n"/>
      <c r="G349" s="2" t="n"/>
      <c r="H349" s="62" t="n"/>
      <c r="I349" s="62" t="n"/>
      <c r="J349" s="2" t="n"/>
      <c r="K349" s="2" t="n"/>
      <c r="L349" s="2" t="n"/>
      <c r="M349" s="2" t="n"/>
      <c r="N349" s="2" t="n"/>
    </row>
    <row r="350" ht="15.75" customHeight="1" s="125">
      <c r="A350" s="2" t="n"/>
      <c r="B350" s="2" t="n"/>
      <c r="C350" s="2" t="n"/>
      <c r="D350" s="58" t="n"/>
      <c r="E350" s="62" t="n"/>
      <c r="F350" s="62" t="n"/>
      <c r="G350" s="2" t="n"/>
      <c r="H350" s="62" t="n"/>
      <c r="I350" s="62" t="n"/>
      <c r="J350" s="2" t="n"/>
      <c r="K350" s="2" t="n"/>
      <c r="L350" s="2" t="n"/>
      <c r="M350" s="2" t="n"/>
      <c r="N350" s="2" t="n"/>
    </row>
    <row r="351" ht="15.75" customHeight="1" s="125">
      <c r="A351" s="2" t="n"/>
      <c r="B351" s="2" t="n"/>
      <c r="C351" s="2" t="n"/>
      <c r="D351" s="58" t="n"/>
      <c r="E351" s="62" t="n"/>
      <c r="F351" s="62" t="n"/>
      <c r="G351" s="2" t="n"/>
      <c r="H351" s="62" t="n"/>
      <c r="I351" s="62" t="n"/>
      <c r="J351" s="2" t="n"/>
      <c r="K351" s="2" t="n"/>
      <c r="L351" s="2" t="n"/>
      <c r="M351" s="2" t="n"/>
      <c r="N351" s="2" t="n"/>
    </row>
    <row r="352" ht="15.75" customHeight="1" s="125">
      <c r="A352" s="2" t="n"/>
      <c r="B352" s="2" t="n"/>
      <c r="C352" s="2" t="n"/>
      <c r="D352" s="58" t="n"/>
      <c r="E352" s="62" t="n"/>
      <c r="F352" s="62" t="n"/>
      <c r="G352" s="2" t="n"/>
      <c r="H352" s="62" t="n"/>
      <c r="I352" s="62" t="n"/>
      <c r="J352" s="2" t="n"/>
      <c r="K352" s="2" t="n"/>
      <c r="L352" s="2" t="n"/>
      <c r="M352" s="2" t="n"/>
      <c r="N352" s="2" t="n"/>
    </row>
    <row r="353" ht="15.75" customHeight="1" s="125">
      <c r="A353" s="2" t="n"/>
      <c r="B353" s="2" t="n"/>
      <c r="C353" s="2" t="n"/>
      <c r="D353" s="58" t="n"/>
      <c r="E353" s="62" t="n"/>
      <c r="F353" s="62" t="n"/>
      <c r="G353" s="2" t="n"/>
      <c r="H353" s="62" t="n"/>
      <c r="I353" s="62" t="n"/>
      <c r="J353" s="2" t="n"/>
      <c r="K353" s="2" t="n"/>
      <c r="L353" s="2" t="n"/>
      <c r="M353" s="2" t="n"/>
      <c r="N353" s="2" t="n"/>
    </row>
    <row r="354" ht="15.75" customHeight="1" s="125">
      <c r="A354" s="2" t="n"/>
      <c r="B354" s="2" t="n"/>
      <c r="C354" s="2" t="n"/>
      <c r="D354" s="58" t="n"/>
      <c r="E354" s="62" t="n"/>
      <c r="F354" s="62" t="n"/>
      <c r="G354" s="2" t="n"/>
      <c r="H354" s="62" t="n"/>
      <c r="I354" s="62" t="n"/>
      <c r="J354" s="2" t="n"/>
      <c r="K354" s="2" t="n"/>
      <c r="L354" s="2" t="n"/>
      <c r="M354" s="2" t="n"/>
      <c r="N354" s="2" t="n"/>
    </row>
    <row r="355" ht="15.75" customHeight="1" s="125">
      <c r="A355" s="2" t="n"/>
      <c r="B355" s="2" t="n"/>
      <c r="C355" s="2" t="n"/>
      <c r="D355" s="58" t="n"/>
      <c r="E355" s="62" t="n"/>
      <c r="F355" s="62" t="n"/>
      <c r="G355" s="2" t="n"/>
      <c r="H355" s="62" t="n"/>
      <c r="I355" s="62" t="n"/>
      <c r="J355" s="2" t="n"/>
      <c r="K355" s="2" t="n"/>
      <c r="L355" s="2" t="n"/>
      <c r="M355" s="2" t="n"/>
      <c r="N355" s="2" t="n"/>
    </row>
    <row r="356" ht="15.75" customHeight="1" s="125">
      <c r="A356" s="2" t="n"/>
      <c r="B356" s="2" t="n"/>
      <c r="C356" s="2" t="n"/>
      <c r="D356" s="58" t="n"/>
      <c r="E356" s="62" t="n"/>
      <c r="F356" s="62" t="n"/>
      <c r="G356" s="2" t="n"/>
      <c r="H356" s="62" t="n"/>
      <c r="I356" s="62" t="n"/>
      <c r="J356" s="2" t="n"/>
      <c r="K356" s="2" t="n"/>
      <c r="L356" s="2" t="n"/>
      <c r="M356" s="2" t="n"/>
      <c r="N356" s="2" t="n"/>
    </row>
    <row r="357" ht="15.75" customHeight="1" s="125">
      <c r="A357" s="2" t="n"/>
      <c r="B357" s="2" t="n"/>
      <c r="C357" s="2" t="n"/>
      <c r="D357" s="58" t="n"/>
      <c r="E357" s="62" t="n"/>
      <c r="F357" s="62" t="n"/>
      <c r="G357" s="2" t="n"/>
      <c r="H357" s="62" t="n"/>
      <c r="I357" s="62" t="n"/>
      <c r="J357" s="2" t="n"/>
      <c r="K357" s="2" t="n"/>
      <c r="L357" s="2" t="n"/>
      <c r="M357" s="2" t="n"/>
      <c r="N357" s="2" t="n"/>
    </row>
    <row r="358" ht="15.75" customHeight="1" s="125">
      <c r="A358" s="2" t="n"/>
      <c r="B358" s="2" t="n"/>
      <c r="C358" s="2" t="n"/>
      <c r="D358" s="58" t="n"/>
      <c r="E358" s="62" t="n"/>
      <c r="F358" s="62" t="n"/>
      <c r="G358" s="2" t="n"/>
      <c r="H358" s="62" t="n"/>
      <c r="I358" s="62" t="n"/>
      <c r="J358" s="2" t="n"/>
      <c r="K358" s="2" t="n"/>
      <c r="L358" s="2" t="n"/>
      <c r="M358" s="2" t="n"/>
      <c r="N358" s="2" t="n"/>
    </row>
    <row r="359" ht="15.75" customHeight="1" s="125">
      <c r="A359" s="2" t="n"/>
      <c r="B359" s="2" t="n"/>
      <c r="C359" s="2" t="n"/>
      <c r="D359" s="58" t="n"/>
      <c r="E359" s="62" t="n"/>
      <c r="F359" s="62" t="n"/>
      <c r="G359" s="2" t="n"/>
      <c r="H359" s="62" t="n"/>
      <c r="I359" s="62" t="n"/>
      <c r="J359" s="2" t="n"/>
      <c r="K359" s="2" t="n"/>
      <c r="L359" s="2" t="n"/>
      <c r="M359" s="2" t="n"/>
      <c r="N359" s="2" t="n"/>
    </row>
    <row r="360" ht="15.75" customHeight="1" s="125">
      <c r="A360" s="2" t="n"/>
      <c r="B360" s="2" t="n"/>
      <c r="C360" s="2" t="n"/>
      <c r="D360" s="58" t="n"/>
      <c r="E360" s="62" t="n"/>
      <c r="F360" s="62" t="n"/>
      <c r="G360" s="2" t="n"/>
      <c r="H360" s="62" t="n"/>
      <c r="I360" s="62" t="n"/>
      <c r="J360" s="2" t="n"/>
      <c r="K360" s="2" t="n"/>
      <c r="L360" s="2" t="n"/>
      <c r="M360" s="2" t="n"/>
      <c r="N360" s="2" t="n"/>
    </row>
    <row r="361" ht="15.75" customHeight="1" s="125">
      <c r="A361" s="2" t="n"/>
      <c r="B361" s="2" t="n"/>
      <c r="C361" s="2" t="n"/>
      <c r="D361" s="58" t="n"/>
      <c r="E361" s="62" t="n"/>
      <c r="F361" s="62" t="n"/>
      <c r="G361" s="2" t="n"/>
      <c r="H361" s="62" t="n"/>
      <c r="I361" s="62" t="n"/>
      <c r="J361" s="2" t="n"/>
      <c r="K361" s="2" t="n"/>
      <c r="L361" s="2" t="n"/>
      <c r="M361" s="2" t="n"/>
      <c r="N361" s="2" t="n"/>
    </row>
    <row r="362" ht="15.75" customHeight="1" s="125">
      <c r="A362" s="2" t="n"/>
      <c r="B362" s="2" t="n"/>
      <c r="C362" s="2" t="n"/>
      <c r="D362" s="58" t="n"/>
      <c r="E362" s="62" t="n"/>
      <c r="F362" s="62" t="n"/>
      <c r="G362" s="2" t="n"/>
      <c r="H362" s="62" t="n"/>
      <c r="I362" s="62" t="n"/>
      <c r="J362" s="2" t="n"/>
      <c r="K362" s="2" t="n"/>
      <c r="L362" s="2" t="n"/>
      <c r="M362" s="2" t="n"/>
      <c r="N362" s="2" t="n"/>
    </row>
    <row r="363" ht="15.75" customHeight="1" s="125">
      <c r="A363" s="2" t="n"/>
      <c r="B363" s="2" t="n"/>
      <c r="C363" s="2" t="n"/>
      <c r="D363" s="58" t="n"/>
      <c r="E363" s="62" t="n"/>
      <c r="F363" s="62" t="n"/>
      <c r="G363" s="2" t="n"/>
      <c r="H363" s="62" t="n"/>
      <c r="I363" s="62" t="n"/>
      <c r="J363" s="2" t="n"/>
      <c r="K363" s="2" t="n"/>
      <c r="L363" s="2" t="n"/>
      <c r="M363" s="2" t="n"/>
      <c r="N363" s="2" t="n"/>
    </row>
    <row r="364" ht="15.75" customHeight="1" s="125">
      <c r="A364" s="2" t="n"/>
      <c r="B364" s="2" t="n"/>
      <c r="C364" s="2" t="n"/>
      <c r="D364" s="58" t="n"/>
      <c r="E364" s="62" t="n"/>
      <c r="F364" s="62" t="n"/>
      <c r="G364" s="2" t="n"/>
      <c r="H364" s="62" t="n"/>
      <c r="I364" s="62" t="n"/>
      <c r="J364" s="2" t="n"/>
      <c r="K364" s="2" t="n"/>
      <c r="L364" s="2" t="n"/>
      <c r="M364" s="2" t="n"/>
      <c r="N364" s="2" t="n"/>
    </row>
    <row r="365" ht="15.75" customHeight="1" s="125">
      <c r="A365" s="2" t="n"/>
      <c r="B365" s="2" t="n"/>
      <c r="C365" s="2" t="n"/>
      <c r="D365" s="58" t="n"/>
      <c r="E365" s="62" t="n"/>
      <c r="F365" s="62" t="n"/>
      <c r="G365" s="2" t="n"/>
      <c r="H365" s="62" t="n"/>
      <c r="I365" s="62" t="n"/>
      <c r="J365" s="2" t="n"/>
      <c r="K365" s="2" t="n"/>
      <c r="L365" s="2" t="n"/>
      <c r="M365" s="2" t="n"/>
      <c r="N365" s="2" t="n"/>
    </row>
    <row r="366" ht="15.75" customHeight="1" s="125">
      <c r="A366" s="2" t="n"/>
      <c r="B366" s="2" t="n"/>
      <c r="C366" s="2" t="n"/>
      <c r="D366" s="58" t="n"/>
      <c r="E366" s="62" t="n"/>
      <c r="F366" s="62" t="n"/>
      <c r="G366" s="2" t="n"/>
      <c r="H366" s="62" t="n"/>
      <c r="I366" s="62" t="n"/>
      <c r="J366" s="2" t="n"/>
      <c r="K366" s="2" t="n"/>
      <c r="L366" s="2" t="n"/>
      <c r="M366" s="2" t="n"/>
      <c r="N366" s="2" t="n"/>
    </row>
    <row r="367" ht="15.75" customHeight="1" s="125">
      <c r="A367" s="2" t="n"/>
      <c r="B367" s="2" t="n"/>
      <c r="C367" s="2" t="n"/>
      <c r="D367" s="58" t="n"/>
      <c r="E367" s="62" t="n"/>
      <c r="F367" s="62" t="n"/>
      <c r="G367" s="2" t="n"/>
      <c r="H367" s="62" t="n"/>
      <c r="I367" s="62" t="n"/>
      <c r="J367" s="2" t="n"/>
      <c r="K367" s="2" t="n"/>
      <c r="L367" s="2" t="n"/>
      <c r="M367" s="2" t="n"/>
      <c r="N367" s="2" t="n"/>
    </row>
    <row r="368" ht="15.75" customHeight="1" s="125">
      <c r="A368" s="2" t="n"/>
      <c r="B368" s="2" t="n"/>
      <c r="C368" s="2" t="n"/>
      <c r="D368" s="58" t="n"/>
      <c r="E368" s="62" t="n"/>
      <c r="F368" s="62" t="n"/>
      <c r="G368" s="2" t="n"/>
      <c r="H368" s="62" t="n"/>
      <c r="I368" s="62" t="n"/>
      <c r="J368" s="2" t="n"/>
      <c r="K368" s="2" t="n"/>
      <c r="L368" s="2" t="n"/>
      <c r="M368" s="2" t="n"/>
      <c r="N368" s="2" t="n"/>
    </row>
    <row r="369" ht="15.75" customHeight="1" s="125">
      <c r="A369" s="2" t="n"/>
      <c r="B369" s="2" t="n"/>
      <c r="C369" s="2" t="n"/>
      <c r="D369" s="58" t="n"/>
      <c r="E369" s="62" t="n"/>
      <c r="F369" s="62" t="n"/>
      <c r="G369" s="2" t="n"/>
      <c r="H369" s="62" t="n"/>
      <c r="I369" s="62" t="n"/>
      <c r="J369" s="2" t="n"/>
      <c r="K369" s="2" t="n"/>
      <c r="L369" s="2" t="n"/>
      <c r="M369" s="2" t="n"/>
      <c r="N369" s="2" t="n"/>
    </row>
    <row r="370" ht="15.75" customHeight="1" s="125">
      <c r="A370" s="2" t="n"/>
      <c r="B370" s="2" t="n"/>
      <c r="C370" s="2" t="n"/>
      <c r="D370" s="58" t="n"/>
      <c r="E370" s="62" t="n"/>
      <c r="F370" s="62" t="n"/>
      <c r="G370" s="2" t="n"/>
      <c r="H370" s="62" t="n"/>
      <c r="I370" s="62" t="n"/>
      <c r="J370" s="2" t="n"/>
      <c r="K370" s="2" t="n"/>
      <c r="L370" s="2" t="n"/>
      <c r="M370" s="2" t="n"/>
      <c r="N370" s="2" t="n"/>
    </row>
    <row r="371" ht="15.75" customHeight="1" s="125">
      <c r="A371" s="2" t="n"/>
      <c r="B371" s="2" t="n"/>
      <c r="C371" s="2" t="n"/>
      <c r="D371" s="58" t="n"/>
      <c r="E371" s="62" t="n"/>
      <c r="F371" s="62" t="n"/>
      <c r="G371" s="2" t="n"/>
      <c r="H371" s="62" t="n"/>
      <c r="I371" s="62" t="n"/>
      <c r="J371" s="2" t="n"/>
      <c r="K371" s="2" t="n"/>
      <c r="L371" s="2" t="n"/>
      <c r="M371" s="2" t="n"/>
      <c r="N371" s="2" t="n"/>
    </row>
    <row r="372" ht="15.75" customHeight="1" s="125">
      <c r="A372" s="2" t="n"/>
      <c r="B372" s="2" t="n"/>
      <c r="C372" s="2" t="n"/>
      <c r="D372" s="58" t="n"/>
      <c r="E372" s="62" t="n"/>
      <c r="F372" s="62" t="n"/>
      <c r="G372" s="2" t="n"/>
      <c r="H372" s="62" t="n"/>
      <c r="I372" s="62" t="n"/>
      <c r="J372" s="2" t="n"/>
      <c r="K372" s="2" t="n"/>
      <c r="L372" s="2" t="n"/>
      <c r="M372" s="2" t="n"/>
      <c r="N372" s="2" t="n"/>
    </row>
    <row r="373" ht="15.75" customHeight="1" s="125">
      <c r="A373" s="2" t="n"/>
      <c r="B373" s="2" t="n"/>
      <c r="C373" s="2" t="n"/>
      <c r="D373" s="58" t="n"/>
      <c r="E373" s="62" t="n"/>
      <c r="F373" s="62" t="n"/>
      <c r="G373" s="2" t="n"/>
      <c r="H373" s="62" t="n"/>
      <c r="I373" s="62" t="n"/>
      <c r="J373" s="2" t="n"/>
      <c r="K373" s="2" t="n"/>
      <c r="L373" s="2" t="n"/>
      <c r="M373" s="2" t="n"/>
      <c r="N373" s="2" t="n"/>
    </row>
    <row r="374" ht="15.75" customHeight="1" s="125">
      <c r="A374" s="2" t="n"/>
      <c r="B374" s="2" t="n"/>
      <c r="C374" s="2" t="n"/>
      <c r="D374" s="58" t="n"/>
      <c r="E374" s="62" t="n"/>
      <c r="F374" s="62" t="n"/>
      <c r="G374" s="2" t="n"/>
      <c r="H374" s="62" t="n"/>
      <c r="I374" s="62" t="n"/>
      <c r="J374" s="2" t="n"/>
      <c r="K374" s="2" t="n"/>
      <c r="L374" s="2" t="n"/>
      <c r="M374" s="2" t="n"/>
      <c r="N374" s="2" t="n"/>
    </row>
    <row r="375" ht="15.75" customHeight="1" s="125">
      <c r="A375" s="2" t="n"/>
      <c r="B375" s="2" t="n"/>
      <c r="C375" s="2" t="n"/>
      <c r="D375" s="58" t="n"/>
      <c r="E375" s="62" t="n"/>
      <c r="F375" s="62" t="n"/>
      <c r="G375" s="2" t="n"/>
      <c r="H375" s="62" t="n"/>
      <c r="I375" s="62" t="n"/>
      <c r="J375" s="2" t="n"/>
      <c r="K375" s="2" t="n"/>
      <c r="L375" s="2" t="n"/>
      <c r="M375" s="2" t="n"/>
      <c r="N375" s="2" t="n"/>
    </row>
    <row r="376" ht="15.75" customHeight="1" s="125">
      <c r="A376" s="2" t="n"/>
      <c r="B376" s="2" t="n"/>
      <c r="C376" s="2" t="n"/>
      <c r="D376" s="58" t="n"/>
      <c r="E376" s="62" t="n"/>
      <c r="F376" s="62" t="n"/>
      <c r="G376" s="2" t="n"/>
      <c r="H376" s="62" t="n"/>
      <c r="I376" s="62" t="n"/>
      <c r="J376" s="2" t="n"/>
      <c r="K376" s="2" t="n"/>
      <c r="L376" s="2" t="n"/>
      <c r="M376" s="2" t="n"/>
      <c r="N376" s="2" t="n"/>
    </row>
    <row r="377" ht="15.75" customHeight="1" s="125">
      <c r="A377" s="2" t="n"/>
      <c r="B377" s="2" t="n"/>
      <c r="C377" s="2" t="n"/>
      <c r="D377" s="58" t="n"/>
      <c r="E377" s="62" t="n"/>
      <c r="F377" s="62" t="n"/>
      <c r="G377" s="2" t="n"/>
      <c r="H377" s="62" t="n"/>
      <c r="I377" s="62" t="n"/>
      <c r="J377" s="2" t="n"/>
      <c r="K377" s="2" t="n"/>
      <c r="L377" s="2" t="n"/>
      <c r="M377" s="2" t="n"/>
      <c r="N377" s="2" t="n"/>
    </row>
    <row r="378" ht="15.75" customHeight="1" s="125">
      <c r="A378" s="2" t="n"/>
      <c r="B378" s="2" t="n"/>
      <c r="C378" s="2" t="n"/>
      <c r="D378" s="58" t="n"/>
      <c r="E378" s="62" t="n"/>
      <c r="F378" s="62" t="n"/>
      <c r="G378" s="2" t="n"/>
      <c r="H378" s="62" t="n"/>
      <c r="I378" s="62" t="n"/>
      <c r="J378" s="2" t="n"/>
      <c r="K378" s="2" t="n"/>
      <c r="L378" s="2" t="n"/>
      <c r="M378" s="2" t="n"/>
      <c r="N378" s="2" t="n"/>
    </row>
    <row r="379" ht="15.75" customHeight="1" s="125">
      <c r="A379" s="2" t="n"/>
      <c r="B379" s="2" t="n"/>
      <c r="C379" s="2" t="n"/>
      <c r="D379" s="58" t="n"/>
      <c r="E379" s="62" t="n"/>
      <c r="F379" s="62" t="n"/>
      <c r="G379" s="2" t="n"/>
      <c r="H379" s="62" t="n"/>
      <c r="I379" s="62" t="n"/>
      <c r="J379" s="2" t="n"/>
      <c r="K379" s="2" t="n"/>
      <c r="L379" s="2" t="n"/>
      <c r="M379" s="2" t="n"/>
      <c r="N379" s="2" t="n"/>
    </row>
    <row r="380" ht="15.75" customHeight="1" s="125">
      <c r="A380" s="2" t="n"/>
      <c r="B380" s="2" t="n"/>
      <c r="C380" s="2" t="n"/>
      <c r="D380" s="58" t="n"/>
      <c r="E380" s="62" t="n"/>
      <c r="F380" s="62" t="n"/>
      <c r="G380" s="2" t="n"/>
      <c r="H380" s="62" t="n"/>
      <c r="I380" s="62" t="n"/>
      <c r="J380" s="2" t="n"/>
      <c r="K380" s="2" t="n"/>
      <c r="L380" s="2" t="n"/>
      <c r="M380" s="2" t="n"/>
      <c r="N380" s="2" t="n"/>
    </row>
    <row r="381" ht="15.75" customHeight="1" s="125">
      <c r="A381" s="2" t="n"/>
      <c r="B381" s="2" t="n"/>
      <c r="C381" s="2" t="n"/>
      <c r="D381" s="58" t="n"/>
      <c r="E381" s="62" t="n"/>
      <c r="F381" s="62" t="n"/>
      <c r="G381" s="2" t="n"/>
      <c r="H381" s="62" t="n"/>
      <c r="I381" s="62" t="n"/>
      <c r="J381" s="2" t="n"/>
      <c r="K381" s="2" t="n"/>
      <c r="L381" s="2" t="n"/>
      <c r="M381" s="2" t="n"/>
      <c r="N381" s="2" t="n"/>
    </row>
    <row r="382" ht="15.75" customHeight="1" s="125">
      <c r="A382" s="2" t="n"/>
      <c r="B382" s="2" t="n"/>
      <c r="C382" s="2" t="n"/>
      <c r="D382" s="58" t="n"/>
      <c r="E382" s="62" t="n"/>
      <c r="F382" s="62" t="n"/>
      <c r="G382" s="2" t="n"/>
      <c r="H382" s="62" t="n"/>
      <c r="I382" s="62" t="n"/>
      <c r="J382" s="2" t="n"/>
      <c r="K382" s="2" t="n"/>
      <c r="L382" s="2" t="n"/>
      <c r="M382" s="2" t="n"/>
      <c r="N382" s="2" t="n"/>
    </row>
    <row r="383" ht="15.75" customHeight="1" s="125">
      <c r="A383" s="2" t="n"/>
      <c r="B383" s="2" t="n"/>
      <c r="C383" s="2" t="n"/>
      <c r="D383" s="58" t="n"/>
      <c r="E383" s="62" t="n"/>
      <c r="F383" s="62" t="n"/>
      <c r="G383" s="2" t="n"/>
      <c r="H383" s="62" t="n"/>
      <c r="I383" s="62" t="n"/>
      <c r="J383" s="2" t="n"/>
      <c r="K383" s="2" t="n"/>
      <c r="L383" s="2" t="n"/>
      <c r="M383" s="2" t="n"/>
      <c r="N383" s="2" t="n"/>
    </row>
    <row r="384" ht="15.75" customHeight="1" s="125">
      <c r="A384" s="2" t="n"/>
      <c r="B384" s="2" t="n"/>
      <c r="C384" s="2" t="n"/>
      <c r="D384" s="58" t="n"/>
      <c r="E384" s="62" t="n"/>
      <c r="F384" s="62" t="n"/>
      <c r="G384" s="2" t="n"/>
      <c r="H384" s="62" t="n"/>
      <c r="I384" s="62" t="n"/>
      <c r="J384" s="2" t="n"/>
      <c r="K384" s="2" t="n"/>
      <c r="L384" s="2" t="n"/>
      <c r="M384" s="2" t="n"/>
      <c r="N384" s="2" t="n"/>
    </row>
    <row r="385" ht="15.75" customHeight="1" s="125">
      <c r="A385" s="2" t="n"/>
      <c r="B385" s="2" t="n"/>
      <c r="C385" s="2" t="n"/>
      <c r="D385" s="58" t="n"/>
      <c r="E385" s="62" t="n"/>
      <c r="F385" s="62" t="n"/>
      <c r="G385" s="2" t="n"/>
      <c r="H385" s="62" t="n"/>
      <c r="I385" s="62" t="n"/>
      <c r="J385" s="2" t="n"/>
      <c r="K385" s="2" t="n"/>
      <c r="L385" s="2" t="n"/>
      <c r="M385" s="2" t="n"/>
      <c r="N385" s="2" t="n"/>
    </row>
    <row r="386" ht="15.75" customHeight="1" s="125">
      <c r="A386" s="2" t="n"/>
      <c r="B386" s="2" t="n"/>
      <c r="C386" s="2" t="n"/>
      <c r="D386" s="58" t="n"/>
      <c r="E386" s="62" t="n"/>
      <c r="F386" s="62" t="n"/>
      <c r="G386" s="2" t="n"/>
      <c r="H386" s="62" t="n"/>
      <c r="I386" s="62" t="n"/>
      <c r="J386" s="2" t="n"/>
      <c r="K386" s="2" t="n"/>
      <c r="L386" s="2" t="n"/>
      <c r="M386" s="2" t="n"/>
      <c r="N386" s="2" t="n"/>
    </row>
    <row r="387" ht="15.75" customHeight="1" s="125">
      <c r="A387" s="2" t="n"/>
      <c r="B387" s="2" t="n"/>
      <c r="C387" s="2" t="n"/>
      <c r="D387" s="58" t="n"/>
      <c r="E387" s="62" t="n"/>
      <c r="F387" s="62" t="n"/>
      <c r="G387" s="2" t="n"/>
      <c r="H387" s="62" t="n"/>
      <c r="I387" s="62" t="n"/>
      <c r="J387" s="2" t="n"/>
      <c r="K387" s="2" t="n"/>
      <c r="L387" s="2" t="n"/>
      <c r="M387" s="2" t="n"/>
      <c r="N387" s="2" t="n"/>
    </row>
    <row r="388" ht="15.75" customHeight="1" s="125">
      <c r="A388" s="2" t="n"/>
      <c r="B388" s="2" t="n"/>
      <c r="C388" s="2" t="n"/>
      <c r="D388" s="58" t="n"/>
      <c r="E388" s="62" t="n"/>
      <c r="F388" s="62" t="n"/>
      <c r="G388" s="2" t="n"/>
      <c r="H388" s="62" t="n"/>
      <c r="I388" s="62" t="n"/>
      <c r="J388" s="2" t="n"/>
      <c r="K388" s="2" t="n"/>
      <c r="L388" s="2" t="n"/>
      <c r="M388" s="2" t="n"/>
      <c r="N388" s="2" t="n"/>
    </row>
    <row r="389" ht="15.75" customHeight="1" s="125">
      <c r="A389" s="2" t="n"/>
      <c r="B389" s="2" t="n"/>
      <c r="C389" s="2" t="n"/>
      <c r="D389" s="58" t="n"/>
      <c r="E389" s="62" t="n"/>
      <c r="F389" s="62" t="n"/>
      <c r="G389" s="2" t="n"/>
      <c r="H389" s="62" t="n"/>
      <c r="I389" s="62" t="n"/>
      <c r="J389" s="2" t="n"/>
      <c r="K389" s="2" t="n"/>
      <c r="L389" s="2" t="n"/>
      <c r="M389" s="2" t="n"/>
      <c r="N389" s="2" t="n"/>
    </row>
    <row r="390" ht="15.75" customHeight="1" s="125">
      <c r="A390" s="2" t="n"/>
      <c r="B390" s="2" t="n"/>
      <c r="C390" s="2" t="n"/>
      <c r="D390" s="58" t="n"/>
      <c r="E390" s="62" t="n"/>
      <c r="F390" s="62" t="n"/>
      <c r="G390" s="2" t="n"/>
      <c r="H390" s="62" t="n"/>
      <c r="I390" s="62" t="n"/>
      <c r="J390" s="2" t="n"/>
      <c r="K390" s="2" t="n"/>
      <c r="L390" s="2" t="n"/>
      <c r="M390" s="2" t="n"/>
      <c r="N390" s="2" t="n"/>
    </row>
    <row r="391" ht="15.75" customHeight="1" s="125">
      <c r="A391" s="2" t="n"/>
      <c r="B391" s="2" t="n"/>
      <c r="C391" s="2" t="n"/>
      <c r="D391" s="58" t="n"/>
      <c r="E391" s="62" t="n"/>
      <c r="F391" s="62" t="n"/>
      <c r="G391" s="2" t="n"/>
      <c r="H391" s="62" t="n"/>
      <c r="I391" s="62" t="n"/>
      <c r="J391" s="2" t="n"/>
      <c r="K391" s="2" t="n"/>
      <c r="L391" s="2" t="n"/>
      <c r="M391" s="2" t="n"/>
      <c r="N391" s="2" t="n"/>
    </row>
    <row r="392" ht="15.75" customHeight="1" s="125">
      <c r="A392" s="2" t="n"/>
      <c r="B392" s="2" t="n"/>
      <c r="C392" s="2" t="n"/>
      <c r="D392" s="58" t="n"/>
      <c r="E392" s="62" t="n"/>
      <c r="F392" s="62" t="n"/>
      <c r="G392" s="2" t="n"/>
      <c r="H392" s="62" t="n"/>
      <c r="I392" s="62" t="n"/>
      <c r="J392" s="2" t="n"/>
      <c r="K392" s="2" t="n"/>
      <c r="L392" s="2" t="n"/>
      <c r="M392" s="2" t="n"/>
      <c r="N392" s="2" t="n"/>
    </row>
    <row r="393" ht="15.75" customHeight="1" s="125">
      <c r="A393" s="2" t="n"/>
      <c r="B393" s="2" t="n"/>
      <c r="C393" s="2" t="n"/>
      <c r="D393" s="58" t="n"/>
      <c r="E393" s="62" t="n"/>
      <c r="F393" s="62" t="n"/>
      <c r="G393" s="2" t="n"/>
      <c r="H393" s="62" t="n"/>
      <c r="I393" s="62" t="n"/>
      <c r="J393" s="2" t="n"/>
      <c r="K393" s="2" t="n"/>
      <c r="L393" s="2" t="n"/>
      <c r="M393" s="2" t="n"/>
      <c r="N393" s="2" t="n"/>
    </row>
    <row r="394" ht="15.75" customHeight="1" s="125">
      <c r="A394" s="2" t="n"/>
      <c r="B394" s="2" t="n"/>
      <c r="C394" s="2" t="n"/>
      <c r="D394" s="58" t="n"/>
      <c r="E394" s="62" t="n"/>
      <c r="F394" s="62" t="n"/>
      <c r="G394" s="2" t="n"/>
      <c r="H394" s="62" t="n"/>
      <c r="I394" s="62" t="n"/>
      <c r="J394" s="2" t="n"/>
      <c r="K394" s="2" t="n"/>
      <c r="L394" s="2" t="n"/>
      <c r="M394" s="2" t="n"/>
      <c r="N394" s="2" t="n"/>
    </row>
    <row r="395" ht="15.75" customHeight="1" s="125">
      <c r="A395" s="2" t="n"/>
      <c r="B395" s="2" t="n"/>
      <c r="C395" s="2" t="n"/>
      <c r="D395" s="58" t="n"/>
      <c r="E395" s="62" t="n"/>
      <c r="F395" s="62" t="n"/>
      <c r="G395" s="2" t="n"/>
      <c r="H395" s="62" t="n"/>
      <c r="I395" s="62" t="n"/>
      <c r="J395" s="2" t="n"/>
      <c r="K395" s="2" t="n"/>
      <c r="L395" s="2" t="n"/>
      <c r="M395" s="2" t="n"/>
      <c r="N395" s="2" t="n"/>
    </row>
    <row r="396" ht="15.75" customHeight="1" s="125">
      <c r="A396" s="2" t="n"/>
      <c r="B396" s="2" t="n"/>
      <c r="C396" s="2" t="n"/>
      <c r="D396" s="58" t="n"/>
      <c r="E396" s="62" t="n"/>
      <c r="F396" s="62" t="n"/>
      <c r="G396" s="2" t="n"/>
      <c r="H396" s="62" t="n"/>
      <c r="I396" s="62" t="n"/>
      <c r="J396" s="2" t="n"/>
      <c r="K396" s="2" t="n"/>
      <c r="L396" s="2" t="n"/>
      <c r="M396" s="2" t="n"/>
      <c r="N396" s="2" t="n"/>
    </row>
    <row r="397" ht="15.75" customHeight="1" s="125">
      <c r="A397" s="2" t="n"/>
      <c r="B397" s="2" t="n"/>
      <c r="C397" s="2" t="n"/>
      <c r="D397" s="58" t="n"/>
      <c r="E397" s="62" t="n"/>
      <c r="F397" s="62" t="n"/>
      <c r="G397" s="2" t="n"/>
      <c r="H397" s="62" t="n"/>
      <c r="I397" s="62" t="n"/>
      <c r="J397" s="2" t="n"/>
      <c r="K397" s="2" t="n"/>
      <c r="L397" s="2" t="n"/>
      <c r="M397" s="2" t="n"/>
      <c r="N397" s="2" t="n"/>
    </row>
    <row r="398" ht="15.75" customHeight="1" s="125">
      <c r="A398" s="2" t="n"/>
      <c r="B398" s="2" t="n"/>
      <c r="C398" s="2" t="n"/>
      <c r="D398" s="58" t="n"/>
      <c r="E398" s="62" t="n"/>
      <c r="F398" s="62" t="n"/>
      <c r="G398" s="2" t="n"/>
      <c r="H398" s="62" t="n"/>
      <c r="I398" s="62" t="n"/>
      <c r="J398" s="2" t="n"/>
      <c r="K398" s="2" t="n"/>
      <c r="L398" s="2" t="n"/>
      <c r="M398" s="2" t="n"/>
      <c r="N398" s="2" t="n"/>
    </row>
    <row r="399" ht="15.75" customHeight="1" s="125">
      <c r="A399" s="2" t="n"/>
      <c r="B399" s="2" t="n"/>
      <c r="C399" s="2" t="n"/>
      <c r="D399" s="58" t="n"/>
      <c r="E399" s="62" t="n"/>
      <c r="F399" s="62" t="n"/>
      <c r="G399" s="2" t="n"/>
      <c r="H399" s="62" t="n"/>
      <c r="I399" s="62" t="n"/>
      <c r="J399" s="2" t="n"/>
      <c r="K399" s="2" t="n"/>
      <c r="L399" s="2" t="n"/>
      <c r="M399" s="2" t="n"/>
      <c r="N399" s="2" t="n"/>
    </row>
    <row r="400" ht="15.75" customHeight="1" s="125">
      <c r="A400" s="2" t="n"/>
      <c r="B400" s="2" t="n"/>
      <c r="C400" s="2" t="n"/>
      <c r="D400" s="58" t="n"/>
      <c r="E400" s="62" t="n"/>
      <c r="F400" s="62" t="n"/>
      <c r="G400" s="2" t="n"/>
      <c r="H400" s="62" t="n"/>
      <c r="I400" s="62" t="n"/>
      <c r="J400" s="2" t="n"/>
      <c r="K400" s="2" t="n"/>
      <c r="L400" s="2" t="n"/>
      <c r="M400" s="2" t="n"/>
      <c r="N400" s="2" t="n"/>
    </row>
    <row r="401" ht="15.75" customHeight="1" s="125">
      <c r="A401" s="2" t="n"/>
      <c r="B401" s="2" t="n"/>
      <c r="C401" s="2" t="n"/>
      <c r="D401" s="58" t="n"/>
      <c r="E401" s="62" t="n"/>
      <c r="F401" s="62" t="n"/>
      <c r="G401" s="2" t="n"/>
      <c r="H401" s="62" t="n"/>
      <c r="I401" s="62" t="n"/>
      <c r="J401" s="2" t="n"/>
      <c r="K401" s="2" t="n"/>
      <c r="L401" s="2" t="n"/>
      <c r="M401" s="2" t="n"/>
      <c r="N401" s="2" t="n"/>
    </row>
    <row r="402" ht="15.75" customHeight="1" s="125">
      <c r="A402" s="2" t="n"/>
      <c r="B402" s="2" t="n"/>
      <c r="C402" s="2" t="n"/>
      <c r="D402" s="58" t="n"/>
      <c r="E402" s="62" t="n"/>
      <c r="F402" s="62" t="n"/>
      <c r="G402" s="2" t="n"/>
      <c r="H402" s="62" t="n"/>
      <c r="I402" s="62" t="n"/>
      <c r="J402" s="2" t="n"/>
      <c r="K402" s="2" t="n"/>
      <c r="L402" s="2" t="n"/>
      <c r="M402" s="2" t="n"/>
      <c r="N402" s="2" t="n"/>
    </row>
    <row r="403" ht="15.75" customHeight="1" s="125">
      <c r="A403" s="2" t="n"/>
      <c r="B403" s="2" t="n"/>
      <c r="C403" s="2" t="n"/>
      <c r="D403" s="58" t="n"/>
      <c r="E403" s="62" t="n"/>
      <c r="F403" s="62" t="n"/>
      <c r="G403" s="2" t="n"/>
      <c r="H403" s="62" t="n"/>
      <c r="I403" s="62" t="n"/>
      <c r="J403" s="2" t="n"/>
      <c r="K403" s="2" t="n"/>
      <c r="L403" s="2" t="n"/>
      <c r="M403" s="2" t="n"/>
      <c r="N403" s="2" t="n"/>
    </row>
    <row r="404" ht="15.75" customHeight="1" s="125">
      <c r="A404" s="2" t="n"/>
      <c r="B404" s="2" t="n"/>
      <c r="C404" s="2" t="n"/>
      <c r="D404" s="58" t="n"/>
      <c r="E404" s="62" t="n"/>
      <c r="F404" s="62" t="n"/>
      <c r="G404" s="2" t="n"/>
      <c r="H404" s="62" t="n"/>
      <c r="I404" s="62" t="n"/>
      <c r="J404" s="2" t="n"/>
      <c r="K404" s="2" t="n"/>
      <c r="L404" s="2" t="n"/>
      <c r="M404" s="2" t="n"/>
      <c r="N404" s="2" t="n"/>
    </row>
    <row r="405" ht="15.75" customHeight="1" s="125">
      <c r="A405" s="2" t="n"/>
      <c r="B405" s="2" t="n"/>
      <c r="C405" s="2" t="n"/>
      <c r="D405" s="58" t="n"/>
      <c r="E405" s="62" t="n"/>
      <c r="F405" s="62" t="n"/>
      <c r="G405" s="2" t="n"/>
      <c r="H405" s="62" t="n"/>
      <c r="I405" s="62" t="n"/>
      <c r="J405" s="2" t="n"/>
      <c r="K405" s="2" t="n"/>
      <c r="L405" s="2" t="n"/>
      <c r="M405" s="2" t="n"/>
      <c r="N405" s="2" t="n"/>
    </row>
    <row r="406" ht="15.75" customHeight="1" s="125">
      <c r="A406" s="2" t="n"/>
      <c r="B406" s="2" t="n"/>
      <c r="C406" s="2" t="n"/>
      <c r="D406" s="58" t="n"/>
      <c r="E406" s="62" t="n"/>
      <c r="F406" s="62" t="n"/>
      <c r="G406" s="2" t="n"/>
      <c r="H406" s="62" t="n"/>
      <c r="I406" s="62" t="n"/>
      <c r="J406" s="2" t="n"/>
      <c r="K406" s="2" t="n"/>
      <c r="L406" s="2" t="n"/>
      <c r="M406" s="2" t="n"/>
      <c r="N406" s="2" t="n"/>
    </row>
    <row r="407" ht="15.75" customHeight="1" s="125">
      <c r="A407" s="2" t="n"/>
      <c r="B407" s="2" t="n"/>
      <c r="C407" s="2" t="n"/>
      <c r="D407" s="58" t="n"/>
      <c r="E407" s="62" t="n"/>
      <c r="F407" s="62" t="n"/>
      <c r="G407" s="2" t="n"/>
      <c r="H407" s="62" t="n"/>
      <c r="I407" s="62" t="n"/>
      <c r="J407" s="2" t="n"/>
      <c r="K407" s="2" t="n"/>
      <c r="L407" s="2" t="n"/>
      <c r="M407" s="2" t="n"/>
      <c r="N407" s="2" t="n"/>
    </row>
    <row r="408" ht="15.75" customHeight="1" s="125">
      <c r="A408" s="2" t="n"/>
      <c r="B408" s="2" t="n"/>
      <c r="C408" s="2" t="n"/>
      <c r="D408" s="58" t="n"/>
      <c r="E408" s="62" t="n"/>
      <c r="F408" s="62" t="n"/>
      <c r="G408" s="2" t="n"/>
      <c r="H408" s="62" t="n"/>
      <c r="I408" s="62" t="n"/>
      <c r="J408" s="2" t="n"/>
      <c r="K408" s="2" t="n"/>
      <c r="L408" s="2" t="n"/>
      <c r="M408" s="2" t="n"/>
      <c r="N408" s="2" t="n"/>
    </row>
    <row r="409" ht="15.75" customHeight="1" s="125">
      <c r="A409" s="2" t="n"/>
      <c r="B409" s="2" t="n"/>
      <c r="C409" s="2" t="n"/>
      <c r="D409" s="58" t="n"/>
      <c r="E409" s="62" t="n"/>
      <c r="F409" s="62" t="n"/>
      <c r="G409" s="2" t="n"/>
      <c r="H409" s="62" t="n"/>
      <c r="I409" s="62" t="n"/>
      <c r="J409" s="2" t="n"/>
      <c r="K409" s="2" t="n"/>
      <c r="L409" s="2" t="n"/>
      <c r="M409" s="2" t="n"/>
      <c r="N409" s="2" t="n"/>
    </row>
    <row r="410" ht="15.75" customHeight="1" s="125">
      <c r="A410" s="2" t="n"/>
      <c r="B410" s="2" t="n"/>
      <c r="C410" s="2" t="n"/>
      <c r="D410" s="58" t="n"/>
      <c r="E410" s="62" t="n"/>
      <c r="F410" s="62" t="n"/>
      <c r="G410" s="2" t="n"/>
      <c r="H410" s="62" t="n"/>
      <c r="I410" s="62" t="n"/>
      <c r="J410" s="2" t="n"/>
      <c r="K410" s="2" t="n"/>
      <c r="L410" s="2" t="n"/>
      <c r="M410" s="2" t="n"/>
      <c r="N410" s="2" t="n"/>
    </row>
    <row r="411" ht="15.75" customHeight="1" s="125">
      <c r="A411" s="2" t="n"/>
      <c r="B411" s="2" t="n"/>
      <c r="C411" s="2" t="n"/>
      <c r="D411" s="58" t="n"/>
      <c r="E411" s="62" t="n"/>
      <c r="F411" s="62" t="n"/>
      <c r="G411" s="2" t="n"/>
      <c r="H411" s="62" t="n"/>
      <c r="I411" s="62" t="n"/>
      <c r="J411" s="2" t="n"/>
      <c r="K411" s="2" t="n"/>
      <c r="L411" s="2" t="n"/>
      <c r="M411" s="2" t="n"/>
      <c r="N411" s="2" t="n"/>
    </row>
    <row r="412" ht="15.75" customHeight="1" s="125">
      <c r="A412" s="2" t="n"/>
      <c r="B412" s="2" t="n"/>
      <c r="C412" s="2" t="n"/>
      <c r="D412" s="58" t="n"/>
      <c r="E412" s="62" t="n"/>
      <c r="F412" s="62" t="n"/>
      <c r="G412" s="2" t="n"/>
      <c r="H412" s="62" t="n"/>
      <c r="I412" s="62" t="n"/>
      <c r="J412" s="2" t="n"/>
      <c r="K412" s="2" t="n"/>
      <c r="L412" s="2" t="n"/>
      <c r="M412" s="2" t="n"/>
      <c r="N412" s="2" t="n"/>
    </row>
    <row r="413" ht="15.75" customHeight="1" s="125">
      <c r="A413" s="2" t="n"/>
      <c r="B413" s="2" t="n"/>
      <c r="C413" s="2" t="n"/>
      <c r="D413" s="58" t="n"/>
      <c r="E413" s="62" t="n"/>
      <c r="F413" s="62" t="n"/>
      <c r="G413" s="2" t="n"/>
      <c r="H413" s="62" t="n"/>
      <c r="I413" s="62" t="n"/>
      <c r="J413" s="2" t="n"/>
      <c r="K413" s="2" t="n"/>
      <c r="L413" s="2" t="n"/>
      <c r="M413" s="2" t="n"/>
      <c r="N413" s="2" t="n"/>
    </row>
    <row r="414" ht="15.75" customHeight="1" s="125">
      <c r="A414" s="2" t="n"/>
      <c r="B414" s="2" t="n"/>
      <c r="C414" s="2" t="n"/>
      <c r="D414" s="58" t="n"/>
      <c r="E414" s="62" t="n"/>
      <c r="F414" s="62" t="n"/>
      <c r="G414" s="2" t="n"/>
      <c r="H414" s="62" t="n"/>
      <c r="I414" s="62" t="n"/>
      <c r="J414" s="2" t="n"/>
      <c r="K414" s="2" t="n"/>
      <c r="L414" s="2" t="n"/>
      <c r="M414" s="2" t="n"/>
      <c r="N414" s="2" t="n"/>
    </row>
    <row r="415" ht="15.75" customHeight="1" s="125">
      <c r="A415" s="2" t="n"/>
      <c r="B415" s="2" t="n"/>
      <c r="C415" s="2" t="n"/>
      <c r="D415" s="58" t="n"/>
      <c r="E415" s="62" t="n"/>
      <c r="F415" s="62" t="n"/>
      <c r="G415" s="2" t="n"/>
      <c r="H415" s="62" t="n"/>
      <c r="I415" s="62" t="n"/>
      <c r="J415" s="2" t="n"/>
      <c r="K415" s="2" t="n"/>
      <c r="L415" s="2" t="n"/>
      <c r="M415" s="2" t="n"/>
      <c r="N415" s="2" t="n"/>
    </row>
    <row r="416" ht="15.75" customHeight="1" s="125">
      <c r="A416" s="2" t="n"/>
      <c r="B416" s="2" t="n"/>
      <c r="C416" s="2" t="n"/>
      <c r="D416" s="58" t="n"/>
      <c r="E416" s="62" t="n"/>
      <c r="F416" s="62" t="n"/>
      <c r="G416" s="2" t="n"/>
      <c r="H416" s="62" t="n"/>
      <c r="I416" s="62" t="n"/>
      <c r="J416" s="2" t="n"/>
      <c r="K416" s="2" t="n"/>
      <c r="L416" s="2" t="n"/>
      <c r="M416" s="2" t="n"/>
      <c r="N416" s="2" t="n"/>
    </row>
    <row r="417" ht="15.75" customHeight="1" s="125">
      <c r="A417" s="2" t="n"/>
      <c r="B417" s="2" t="n"/>
      <c r="C417" s="2" t="n"/>
      <c r="D417" s="58" t="n"/>
      <c r="E417" s="62" t="n"/>
      <c r="F417" s="62" t="n"/>
      <c r="G417" s="2" t="n"/>
      <c r="H417" s="62" t="n"/>
      <c r="I417" s="62" t="n"/>
      <c r="J417" s="2" t="n"/>
      <c r="K417" s="2" t="n"/>
      <c r="L417" s="2" t="n"/>
      <c r="M417" s="2" t="n"/>
      <c r="N417" s="2" t="n"/>
    </row>
    <row r="418" ht="15.75" customHeight="1" s="125">
      <c r="A418" s="2" t="n"/>
      <c r="B418" s="2" t="n"/>
      <c r="C418" s="2" t="n"/>
      <c r="D418" s="58" t="n"/>
      <c r="E418" s="62" t="n"/>
      <c r="F418" s="62" t="n"/>
      <c r="G418" s="2" t="n"/>
      <c r="H418" s="62" t="n"/>
      <c r="I418" s="62" t="n"/>
      <c r="J418" s="2" t="n"/>
      <c r="K418" s="2" t="n"/>
      <c r="L418" s="2" t="n"/>
      <c r="M418" s="2" t="n"/>
      <c r="N418" s="2" t="n"/>
    </row>
    <row r="419" ht="15.75" customHeight="1" s="125">
      <c r="A419" s="2" t="n"/>
      <c r="B419" s="2" t="n"/>
      <c r="C419" s="2" t="n"/>
      <c r="D419" s="58" t="n"/>
      <c r="E419" s="62" t="n"/>
      <c r="F419" s="62" t="n"/>
      <c r="G419" s="2" t="n"/>
      <c r="H419" s="62" t="n"/>
      <c r="I419" s="62" t="n"/>
      <c r="J419" s="2" t="n"/>
      <c r="K419" s="2" t="n"/>
      <c r="L419" s="2" t="n"/>
      <c r="M419" s="2" t="n"/>
      <c r="N419" s="2" t="n"/>
    </row>
    <row r="420" ht="15.75" customHeight="1" s="125">
      <c r="A420" s="2" t="n"/>
      <c r="B420" s="2" t="n"/>
      <c r="C420" s="2" t="n"/>
      <c r="D420" s="58" t="n"/>
      <c r="E420" s="62" t="n"/>
      <c r="F420" s="62" t="n"/>
      <c r="G420" s="2" t="n"/>
      <c r="H420" s="62" t="n"/>
      <c r="I420" s="62" t="n"/>
      <c r="J420" s="2" t="n"/>
      <c r="K420" s="2" t="n"/>
      <c r="L420" s="2" t="n"/>
      <c r="M420" s="2" t="n"/>
      <c r="N420" s="2" t="n"/>
    </row>
    <row r="421" ht="15.75" customHeight="1" s="125">
      <c r="A421" s="2" t="n"/>
      <c r="B421" s="2" t="n"/>
      <c r="C421" s="2" t="n"/>
      <c r="D421" s="58" t="n"/>
      <c r="E421" s="62" t="n"/>
      <c r="F421" s="62" t="n"/>
      <c r="G421" s="2" t="n"/>
      <c r="H421" s="62" t="n"/>
      <c r="I421" s="62" t="n"/>
      <c r="J421" s="2" t="n"/>
      <c r="K421" s="2" t="n"/>
      <c r="L421" s="2" t="n"/>
      <c r="M421" s="2" t="n"/>
      <c r="N421" s="2" t="n"/>
    </row>
    <row r="422" ht="15.75" customHeight="1" s="125">
      <c r="A422" s="2" t="n"/>
      <c r="B422" s="2" t="n"/>
      <c r="C422" s="2" t="n"/>
      <c r="D422" s="58" t="n"/>
      <c r="E422" s="62" t="n"/>
      <c r="F422" s="62" t="n"/>
      <c r="G422" s="2" t="n"/>
      <c r="H422" s="62" t="n"/>
      <c r="I422" s="62" t="n"/>
      <c r="J422" s="2" t="n"/>
      <c r="K422" s="2" t="n"/>
      <c r="L422" s="2" t="n"/>
      <c r="M422" s="2" t="n"/>
      <c r="N422" s="2" t="n"/>
    </row>
    <row r="423" ht="15.75" customHeight="1" s="125">
      <c r="A423" s="2" t="n"/>
      <c r="B423" s="2" t="n"/>
      <c r="C423" s="2" t="n"/>
      <c r="D423" s="58" t="n"/>
      <c r="E423" s="62" t="n"/>
      <c r="F423" s="62" t="n"/>
      <c r="G423" s="2" t="n"/>
      <c r="H423" s="62" t="n"/>
      <c r="I423" s="62" t="n"/>
      <c r="J423" s="2" t="n"/>
      <c r="K423" s="2" t="n"/>
      <c r="L423" s="2" t="n"/>
      <c r="M423" s="2" t="n"/>
      <c r="N423" s="2" t="n"/>
    </row>
    <row r="424" ht="15.75" customHeight="1" s="125">
      <c r="A424" s="2" t="n"/>
      <c r="B424" s="2" t="n"/>
      <c r="C424" s="2" t="n"/>
      <c r="D424" s="58" t="n"/>
      <c r="E424" s="62" t="n"/>
      <c r="F424" s="62" t="n"/>
      <c r="G424" s="2" t="n"/>
      <c r="H424" s="62" t="n"/>
      <c r="I424" s="62" t="n"/>
      <c r="J424" s="2" t="n"/>
      <c r="K424" s="2" t="n"/>
      <c r="L424" s="2" t="n"/>
      <c r="M424" s="2" t="n"/>
      <c r="N424" s="2" t="n"/>
    </row>
    <row r="425" ht="15.75" customHeight="1" s="125">
      <c r="A425" s="2" t="n"/>
      <c r="B425" s="2" t="n"/>
      <c r="C425" s="2" t="n"/>
      <c r="D425" s="58" t="n"/>
      <c r="E425" s="62" t="n"/>
      <c r="F425" s="62" t="n"/>
      <c r="G425" s="2" t="n"/>
      <c r="H425" s="62" t="n"/>
      <c r="I425" s="62" t="n"/>
      <c r="J425" s="2" t="n"/>
      <c r="K425" s="2" t="n"/>
      <c r="L425" s="2" t="n"/>
      <c r="M425" s="2" t="n"/>
      <c r="N425" s="2" t="n"/>
    </row>
    <row r="426" ht="15.75" customHeight="1" s="125">
      <c r="A426" s="2" t="n"/>
      <c r="B426" s="2" t="n"/>
      <c r="C426" s="2" t="n"/>
      <c r="D426" s="58" t="n"/>
      <c r="E426" s="62" t="n"/>
      <c r="F426" s="62" t="n"/>
      <c r="G426" s="2" t="n"/>
      <c r="H426" s="62" t="n"/>
      <c r="I426" s="62" t="n"/>
      <c r="J426" s="2" t="n"/>
      <c r="K426" s="2" t="n"/>
      <c r="L426" s="2" t="n"/>
      <c r="M426" s="2" t="n"/>
      <c r="N426" s="2" t="n"/>
    </row>
    <row r="427" ht="15.75" customHeight="1" s="125">
      <c r="A427" s="2" t="n"/>
      <c r="B427" s="2" t="n"/>
      <c r="C427" s="2" t="n"/>
      <c r="D427" s="58" t="n"/>
      <c r="E427" s="62" t="n"/>
      <c r="F427" s="62" t="n"/>
      <c r="G427" s="2" t="n"/>
      <c r="H427" s="62" t="n"/>
      <c r="I427" s="62" t="n"/>
      <c r="J427" s="2" t="n"/>
      <c r="K427" s="2" t="n"/>
      <c r="L427" s="2" t="n"/>
      <c r="M427" s="2" t="n"/>
      <c r="N427" s="2" t="n"/>
    </row>
    <row r="428" ht="15.75" customHeight="1" s="125">
      <c r="A428" s="2" t="n"/>
      <c r="B428" s="2" t="n"/>
      <c r="C428" s="2" t="n"/>
      <c r="D428" s="58" t="n"/>
      <c r="E428" s="62" t="n"/>
      <c r="F428" s="62" t="n"/>
      <c r="G428" s="2" t="n"/>
      <c r="H428" s="62" t="n"/>
      <c r="I428" s="62" t="n"/>
      <c r="J428" s="2" t="n"/>
      <c r="K428" s="2" t="n"/>
      <c r="L428" s="2" t="n"/>
      <c r="M428" s="2" t="n"/>
      <c r="N428" s="2" t="n"/>
    </row>
    <row r="429" ht="15.75" customHeight="1" s="125">
      <c r="A429" s="2" t="n"/>
      <c r="B429" s="2" t="n"/>
      <c r="C429" s="2" t="n"/>
      <c r="D429" s="58" t="n"/>
      <c r="E429" s="62" t="n"/>
      <c r="F429" s="62" t="n"/>
      <c r="G429" s="2" t="n"/>
      <c r="H429" s="62" t="n"/>
      <c r="I429" s="62" t="n"/>
      <c r="J429" s="2" t="n"/>
      <c r="K429" s="2" t="n"/>
      <c r="L429" s="2" t="n"/>
      <c r="M429" s="2" t="n"/>
      <c r="N429" s="2" t="n"/>
    </row>
    <row r="430" ht="15.75" customHeight="1" s="125">
      <c r="A430" s="2" t="n"/>
      <c r="B430" s="2" t="n"/>
      <c r="C430" s="2" t="n"/>
      <c r="D430" s="58" t="n"/>
      <c r="E430" s="62" t="n"/>
      <c r="F430" s="62" t="n"/>
      <c r="G430" s="2" t="n"/>
      <c r="H430" s="62" t="n"/>
      <c r="I430" s="62" t="n"/>
      <c r="J430" s="2" t="n"/>
      <c r="K430" s="2" t="n"/>
      <c r="L430" s="2" t="n"/>
      <c r="M430" s="2" t="n"/>
      <c r="N430" s="2" t="n"/>
    </row>
    <row r="431" ht="15.75" customHeight="1" s="125">
      <c r="A431" s="2" t="n"/>
      <c r="B431" s="2" t="n"/>
      <c r="C431" s="2" t="n"/>
      <c r="D431" s="58" t="n"/>
      <c r="E431" s="62" t="n"/>
      <c r="F431" s="62" t="n"/>
      <c r="G431" s="2" t="n"/>
      <c r="H431" s="62" t="n"/>
      <c r="I431" s="62" t="n"/>
      <c r="J431" s="2" t="n"/>
      <c r="K431" s="2" t="n"/>
      <c r="L431" s="2" t="n"/>
      <c r="M431" s="2" t="n"/>
      <c r="N431" s="2" t="n"/>
    </row>
    <row r="432" ht="15.75" customHeight="1" s="125">
      <c r="A432" s="2" t="n"/>
      <c r="B432" s="2" t="n"/>
      <c r="C432" s="2" t="n"/>
      <c r="D432" s="58" t="n"/>
      <c r="E432" s="62" t="n"/>
      <c r="F432" s="62" t="n"/>
      <c r="G432" s="2" t="n"/>
      <c r="H432" s="62" t="n"/>
      <c r="I432" s="62" t="n"/>
      <c r="J432" s="2" t="n"/>
      <c r="K432" s="2" t="n"/>
      <c r="L432" s="2" t="n"/>
      <c r="M432" s="2" t="n"/>
      <c r="N432" s="2" t="n"/>
    </row>
    <row r="433" ht="15.75" customHeight="1" s="125">
      <c r="A433" s="2" t="n"/>
      <c r="B433" s="2" t="n"/>
      <c r="C433" s="2" t="n"/>
      <c r="D433" s="58" t="n"/>
      <c r="E433" s="62" t="n"/>
      <c r="F433" s="62" t="n"/>
      <c r="G433" s="2" t="n"/>
      <c r="H433" s="62" t="n"/>
      <c r="I433" s="62" t="n"/>
      <c r="J433" s="2" t="n"/>
      <c r="K433" s="2" t="n"/>
      <c r="L433" s="2" t="n"/>
      <c r="M433" s="2" t="n"/>
      <c r="N433" s="2" t="n"/>
    </row>
    <row r="434" ht="15.75" customHeight="1" s="125">
      <c r="A434" s="2" t="n"/>
      <c r="B434" s="2" t="n"/>
      <c r="C434" s="2" t="n"/>
      <c r="D434" s="58" t="n"/>
      <c r="E434" s="62" t="n"/>
      <c r="F434" s="62" t="n"/>
      <c r="G434" s="2" t="n"/>
      <c r="H434" s="62" t="n"/>
      <c r="I434" s="62" t="n"/>
      <c r="J434" s="2" t="n"/>
      <c r="K434" s="2" t="n"/>
      <c r="L434" s="2" t="n"/>
      <c r="M434" s="2" t="n"/>
      <c r="N434" s="2" t="n"/>
    </row>
    <row r="435" ht="15.75" customHeight="1" s="125">
      <c r="A435" s="2" t="n"/>
      <c r="B435" s="2" t="n"/>
      <c r="C435" s="2" t="n"/>
      <c r="D435" s="58" t="n"/>
      <c r="E435" s="62" t="n"/>
      <c r="F435" s="62" t="n"/>
      <c r="G435" s="2" t="n"/>
      <c r="H435" s="62" t="n"/>
      <c r="I435" s="62" t="n"/>
      <c r="J435" s="2" t="n"/>
      <c r="K435" s="2" t="n"/>
      <c r="L435" s="2" t="n"/>
      <c r="M435" s="2" t="n"/>
      <c r="N435" s="2" t="n"/>
    </row>
    <row r="436" ht="15.75" customHeight="1" s="125">
      <c r="A436" s="2" t="n"/>
      <c r="B436" s="2" t="n"/>
      <c r="C436" s="2" t="n"/>
      <c r="D436" s="58" t="n"/>
      <c r="E436" s="62" t="n"/>
      <c r="F436" s="62" t="n"/>
      <c r="G436" s="2" t="n"/>
      <c r="H436" s="62" t="n"/>
      <c r="I436" s="62" t="n"/>
      <c r="J436" s="2" t="n"/>
      <c r="K436" s="2" t="n"/>
      <c r="L436" s="2" t="n"/>
      <c r="M436" s="2" t="n"/>
      <c r="N436" s="2" t="n"/>
    </row>
    <row r="437" ht="15.75" customHeight="1" s="125">
      <c r="A437" s="2" t="n"/>
      <c r="B437" s="2" t="n"/>
      <c r="C437" s="2" t="n"/>
      <c r="D437" s="58" t="n"/>
      <c r="E437" s="62" t="n"/>
      <c r="F437" s="62" t="n"/>
      <c r="G437" s="2" t="n"/>
      <c r="H437" s="62" t="n"/>
      <c r="I437" s="62" t="n"/>
      <c r="J437" s="2" t="n"/>
      <c r="K437" s="2" t="n"/>
      <c r="L437" s="2" t="n"/>
      <c r="M437" s="2" t="n"/>
      <c r="N437" s="2" t="n"/>
    </row>
    <row r="438" ht="15.75" customHeight="1" s="125">
      <c r="A438" s="2" t="n"/>
      <c r="B438" s="2" t="n"/>
      <c r="C438" s="2" t="n"/>
      <c r="D438" s="58" t="n"/>
      <c r="E438" s="62" t="n"/>
      <c r="F438" s="62" t="n"/>
      <c r="G438" s="2" t="n"/>
      <c r="H438" s="62" t="n"/>
      <c r="I438" s="62" t="n"/>
      <c r="J438" s="2" t="n"/>
      <c r="K438" s="2" t="n"/>
      <c r="L438" s="2" t="n"/>
      <c r="M438" s="2" t="n"/>
      <c r="N438" s="2" t="n"/>
    </row>
    <row r="439" ht="15.75" customHeight="1" s="125">
      <c r="A439" s="2" t="n"/>
      <c r="B439" s="2" t="n"/>
      <c r="C439" s="2" t="n"/>
      <c r="D439" s="58" t="n"/>
      <c r="E439" s="62" t="n"/>
      <c r="F439" s="62" t="n"/>
      <c r="G439" s="2" t="n"/>
      <c r="H439" s="62" t="n"/>
      <c r="I439" s="62" t="n"/>
      <c r="J439" s="2" t="n"/>
      <c r="K439" s="2" t="n"/>
      <c r="L439" s="2" t="n"/>
      <c r="M439" s="2" t="n"/>
      <c r="N439" s="2" t="n"/>
    </row>
    <row r="440" ht="15.75" customHeight="1" s="125">
      <c r="A440" s="2" t="n"/>
      <c r="B440" s="2" t="n"/>
      <c r="C440" s="2" t="n"/>
      <c r="D440" s="58" t="n"/>
      <c r="E440" s="62" t="n"/>
      <c r="F440" s="62" t="n"/>
      <c r="G440" s="2" t="n"/>
      <c r="H440" s="62" t="n"/>
      <c r="I440" s="62" t="n"/>
      <c r="J440" s="2" t="n"/>
      <c r="K440" s="2" t="n"/>
      <c r="L440" s="2" t="n"/>
      <c r="M440" s="2" t="n"/>
      <c r="N440" s="2" t="n"/>
    </row>
    <row r="441" ht="15.75" customHeight="1" s="125">
      <c r="A441" s="2" t="n"/>
      <c r="B441" s="2" t="n"/>
      <c r="C441" s="2" t="n"/>
      <c r="D441" s="58" t="n"/>
      <c r="E441" s="62" t="n"/>
      <c r="F441" s="62" t="n"/>
      <c r="G441" s="2" t="n"/>
      <c r="H441" s="62" t="n"/>
      <c r="I441" s="62" t="n"/>
      <c r="J441" s="2" t="n"/>
      <c r="K441" s="2" t="n"/>
      <c r="L441" s="2" t="n"/>
      <c r="M441" s="2" t="n"/>
      <c r="N441" s="2" t="n"/>
    </row>
    <row r="442" ht="15.75" customHeight="1" s="125">
      <c r="A442" s="2" t="n"/>
      <c r="B442" s="2" t="n"/>
      <c r="C442" s="2" t="n"/>
      <c r="D442" s="58" t="n"/>
      <c r="E442" s="62" t="n"/>
      <c r="F442" s="62" t="n"/>
      <c r="G442" s="2" t="n"/>
      <c r="H442" s="62" t="n"/>
      <c r="I442" s="62" t="n"/>
      <c r="J442" s="2" t="n"/>
      <c r="K442" s="2" t="n"/>
      <c r="L442" s="2" t="n"/>
      <c r="M442" s="2" t="n"/>
      <c r="N442" s="2" t="n"/>
    </row>
    <row r="443" ht="15.75" customHeight="1" s="125">
      <c r="A443" s="2" t="n"/>
      <c r="B443" s="2" t="n"/>
      <c r="C443" s="2" t="n"/>
      <c r="D443" s="58" t="n"/>
      <c r="E443" s="62" t="n"/>
      <c r="F443" s="62" t="n"/>
      <c r="G443" s="2" t="n"/>
      <c r="H443" s="62" t="n"/>
      <c r="I443" s="62" t="n"/>
      <c r="J443" s="2" t="n"/>
      <c r="K443" s="2" t="n"/>
      <c r="L443" s="2" t="n"/>
      <c r="M443" s="2" t="n"/>
      <c r="N443" s="2" t="n"/>
    </row>
    <row r="444" ht="15.75" customHeight="1" s="125">
      <c r="A444" s="2" t="n"/>
      <c r="B444" s="2" t="n"/>
      <c r="C444" s="2" t="n"/>
      <c r="D444" s="58" t="n"/>
      <c r="E444" s="62" t="n"/>
      <c r="F444" s="62" t="n"/>
      <c r="G444" s="2" t="n"/>
      <c r="H444" s="62" t="n"/>
      <c r="I444" s="62" t="n"/>
      <c r="J444" s="2" t="n"/>
      <c r="K444" s="2" t="n"/>
      <c r="L444" s="2" t="n"/>
      <c r="M444" s="2" t="n"/>
      <c r="N444" s="2" t="n"/>
    </row>
    <row r="445" ht="15.75" customHeight="1" s="125">
      <c r="A445" s="2" t="n"/>
      <c r="B445" s="2" t="n"/>
      <c r="C445" s="2" t="n"/>
      <c r="D445" s="58" t="n"/>
      <c r="E445" s="62" t="n"/>
      <c r="F445" s="62" t="n"/>
      <c r="G445" s="2" t="n"/>
      <c r="H445" s="62" t="n"/>
      <c r="I445" s="62" t="n"/>
      <c r="J445" s="2" t="n"/>
      <c r="K445" s="2" t="n"/>
      <c r="L445" s="2" t="n"/>
      <c r="M445" s="2" t="n"/>
      <c r="N445" s="2" t="n"/>
    </row>
    <row r="446" ht="15.75" customHeight="1" s="125">
      <c r="A446" s="2" t="n"/>
      <c r="B446" s="2" t="n"/>
      <c r="C446" s="2" t="n"/>
      <c r="D446" s="58" t="n"/>
      <c r="E446" s="62" t="n"/>
      <c r="F446" s="62" t="n"/>
      <c r="G446" s="2" t="n"/>
      <c r="H446" s="62" t="n"/>
      <c r="I446" s="62" t="n"/>
      <c r="J446" s="2" t="n"/>
      <c r="K446" s="2" t="n"/>
      <c r="L446" s="2" t="n"/>
      <c r="M446" s="2" t="n"/>
      <c r="N446" s="2" t="n"/>
    </row>
    <row r="447" ht="15.75" customHeight="1" s="125">
      <c r="A447" s="2" t="n"/>
      <c r="B447" s="2" t="n"/>
      <c r="C447" s="2" t="n"/>
      <c r="D447" s="58" t="n"/>
      <c r="E447" s="62" t="n"/>
      <c r="F447" s="62" t="n"/>
      <c r="G447" s="2" t="n"/>
      <c r="H447" s="62" t="n"/>
      <c r="I447" s="62" t="n"/>
      <c r="J447" s="2" t="n"/>
      <c r="K447" s="2" t="n"/>
      <c r="L447" s="2" t="n"/>
      <c r="M447" s="2" t="n"/>
      <c r="N447" s="2" t="n"/>
    </row>
    <row r="448" ht="15.75" customHeight="1" s="125">
      <c r="A448" s="2" t="n"/>
      <c r="B448" s="2" t="n"/>
      <c r="C448" s="2" t="n"/>
      <c r="D448" s="58" t="n"/>
      <c r="E448" s="62" t="n"/>
      <c r="F448" s="62" t="n"/>
      <c r="G448" s="2" t="n"/>
      <c r="H448" s="62" t="n"/>
      <c r="I448" s="62" t="n"/>
      <c r="J448" s="2" t="n"/>
      <c r="K448" s="2" t="n"/>
      <c r="L448" s="2" t="n"/>
      <c r="M448" s="2" t="n"/>
      <c r="N448" s="2" t="n"/>
    </row>
    <row r="449" ht="15.75" customHeight="1" s="125">
      <c r="A449" s="2" t="n"/>
      <c r="B449" s="2" t="n"/>
      <c r="C449" s="2" t="n"/>
      <c r="D449" s="58" t="n"/>
      <c r="E449" s="62" t="n"/>
      <c r="F449" s="62" t="n"/>
      <c r="G449" s="2" t="n"/>
      <c r="H449" s="62" t="n"/>
      <c r="I449" s="62" t="n"/>
      <c r="J449" s="2" t="n"/>
      <c r="K449" s="2" t="n"/>
      <c r="L449" s="2" t="n"/>
      <c r="M449" s="2" t="n"/>
      <c r="N449" s="2" t="n"/>
    </row>
    <row r="450" ht="15.75" customHeight="1" s="125">
      <c r="A450" s="2" t="n"/>
      <c r="B450" s="2" t="n"/>
      <c r="C450" s="2" t="n"/>
      <c r="D450" s="58" t="n"/>
      <c r="E450" s="62" t="n"/>
      <c r="F450" s="62" t="n"/>
      <c r="G450" s="2" t="n"/>
      <c r="H450" s="62" t="n"/>
      <c r="I450" s="62" t="n"/>
      <c r="J450" s="2" t="n"/>
      <c r="K450" s="2" t="n"/>
      <c r="L450" s="2" t="n"/>
      <c r="M450" s="2" t="n"/>
      <c r="N450" s="2" t="n"/>
    </row>
    <row r="451" ht="15.75" customHeight="1" s="125">
      <c r="A451" s="2" t="n"/>
      <c r="B451" s="2" t="n"/>
      <c r="C451" s="2" t="n"/>
      <c r="D451" s="58" t="n"/>
      <c r="E451" s="62" t="n"/>
      <c r="F451" s="62" t="n"/>
      <c r="G451" s="2" t="n"/>
      <c r="H451" s="62" t="n"/>
      <c r="I451" s="62" t="n"/>
      <c r="J451" s="2" t="n"/>
      <c r="K451" s="2" t="n"/>
      <c r="L451" s="2" t="n"/>
      <c r="M451" s="2" t="n"/>
      <c r="N451" s="2" t="n"/>
    </row>
    <row r="452" ht="15.75" customHeight="1" s="125">
      <c r="A452" s="2" t="n"/>
      <c r="B452" s="2" t="n"/>
      <c r="C452" s="2" t="n"/>
      <c r="D452" s="58" t="n"/>
      <c r="E452" s="62" t="n"/>
      <c r="F452" s="62" t="n"/>
      <c r="G452" s="2" t="n"/>
      <c r="H452" s="62" t="n"/>
      <c r="I452" s="62" t="n"/>
      <c r="J452" s="2" t="n"/>
      <c r="K452" s="2" t="n"/>
      <c r="L452" s="2" t="n"/>
      <c r="M452" s="2" t="n"/>
      <c r="N452" s="2" t="n"/>
    </row>
    <row r="453" ht="15.75" customHeight="1" s="125">
      <c r="A453" s="2" t="n"/>
      <c r="B453" s="2" t="n"/>
      <c r="C453" s="2" t="n"/>
      <c r="D453" s="58" t="n"/>
      <c r="E453" s="62" t="n"/>
      <c r="F453" s="62" t="n"/>
      <c r="G453" s="2" t="n"/>
      <c r="H453" s="62" t="n"/>
      <c r="I453" s="62" t="n"/>
      <c r="J453" s="2" t="n"/>
      <c r="K453" s="2" t="n"/>
      <c r="L453" s="2" t="n"/>
      <c r="M453" s="2" t="n"/>
      <c r="N453" s="2" t="n"/>
    </row>
    <row r="454" ht="15.75" customHeight="1" s="125">
      <c r="A454" s="2" t="n"/>
      <c r="B454" s="2" t="n"/>
      <c r="C454" s="2" t="n"/>
      <c r="D454" s="58" t="n"/>
      <c r="E454" s="62" t="n"/>
      <c r="F454" s="62" t="n"/>
      <c r="G454" s="2" t="n"/>
      <c r="H454" s="62" t="n"/>
      <c r="I454" s="62" t="n"/>
      <c r="J454" s="2" t="n"/>
      <c r="K454" s="2" t="n"/>
      <c r="L454" s="2" t="n"/>
      <c r="M454" s="2" t="n"/>
      <c r="N454" s="2" t="n"/>
    </row>
    <row r="455" ht="15.75" customHeight="1" s="125">
      <c r="A455" s="2" t="n"/>
      <c r="B455" s="2" t="n"/>
      <c r="C455" s="2" t="n"/>
      <c r="D455" s="58" t="n"/>
      <c r="E455" s="62" t="n"/>
      <c r="F455" s="62" t="n"/>
      <c r="G455" s="2" t="n"/>
      <c r="H455" s="62" t="n"/>
      <c r="I455" s="62" t="n"/>
      <c r="J455" s="2" t="n"/>
      <c r="K455" s="2" t="n"/>
      <c r="L455" s="2" t="n"/>
      <c r="M455" s="2" t="n"/>
      <c r="N455" s="2" t="n"/>
    </row>
    <row r="456" ht="15.75" customHeight="1" s="125">
      <c r="A456" s="2" t="n"/>
      <c r="B456" s="2" t="n"/>
      <c r="C456" s="2" t="n"/>
      <c r="D456" s="58" t="n"/>
      <c r="E456" s="62" t="n"/>
      <c r="F456" s="62" t="n"/>
      <c r="G456" s="2" t="n"/>
      <c r="H456" s="62" t="n"/>
      <c r="I456" s="62" t="n"/>
      <c r="J456" s="2" t="n"/>
      <c r="K456" s="2" t="n"/>
      <c r="L456" s="2" t="n"/>
      <c r="M456" s="2" t="n"/>
      <c r="N456" s="2" t="n"/>
    </row>
    <row r="457" ht="15.75" customHeight="1" s="125">
      <c r="A457" s="2" t="n"/>
      <c r="B457" s="2" t="n"/>
      <c r="C457" s="2" t="n"/>
      <c r="D457" s="58" t="n"/>
      <c r="E457" s="62" t="n"/>
      <c r="F457" s="62" t="n"/>
      <c r="G457" s="2" t="n"/>
      <c r="H457" s="62" t="n"/>
      <c r="I457" s="62" t="n"/>
      <c r="J457" s="2" t="n"/>
      <c r="K457" s="2" t="n"/>
      <c r="L457" s="2" t="n"/>
      <c r="M457" s="2" t="n"/>
      <c r="N457" s="2" t="n"/>
    </row>
    <row r="458" ht="15.75" customHeight="1" s="125">
      <c r="A458" s="2" t="n"/>
      <c r="B458" s="2" t="n"/>
      <c r="C458" s="2" t="n"/>
      <c r="D458" s="58" t="n"/>
      <c r="E458" s="62" t="n"/>
      <c r="F458" s="62" t="n"/>
      <c r="G458" s="2" t="n"/>
      <c r="H458" s="62" t="n"/>
      <c r="I458" s="62" t="n"/>
      <c r="J458" s="2" t="n"/>
      <c r="K458" s="2" t="n"/>
      <c r="L458" s="2" t="n"/>
      <c r="M458" s="2" t="n"/>
      <c r="N458" s="2" t="n"/>
    </row>
    <row r="459" ht="15.75" customHeight="1" s="125">
      <c r="A459" s="2" t="n"/>
      <c r="B459" s="2" t="n"/>
      <c r="C459" s="2" t="n"/>
      <c r="D459" s="58" t="n"/>
      <c r="E459" s="62" t="n"/>
      <c r="F459" s="62" t="n"/>
      <c r="G459" s="2" t="n"/>
      <c r="H459" s="62" t="n"/>
      <c r="I459" s="62" t="n"/>
      <c r="J459" s="2" t="n"/>
      <c r="K459" s="2" t="n"/>
      <c r="L459" s="2" t="n"/>
      <c r="M459" s="2" t="n"/>
      <c r="N459" s="2" t="n"/>
    </row>
    <row r="460" ht="15.75" customHeight="1" s="125">
      <c r="A460" s="2" t="n"/>
      <c r="B460" s="2" t="n"/>
      <c r="C460" s="2" t="n"/>
      <c r="D460" s="58" t="n"/>
      <c r="E460" s="62" t="n"/>
      <c r="F460" s="62" t="n"/>
      <c r="G460" s="2" t="n"/>
      <c r="H460" s="62" t="n"/>
      <c r="I460" s="62" t="n"/>
      <c r="J460" s="2" t="n"/>
      <c r="K460" s="2" t="n"/>
      <c r="L460" s="2" t="n"/>
      <c r="M460" s="2" t="n"/>
      <c r="N460" s="2" t="n"/>
    </row>
    <row r="461" ht="15.75" customHeight="1" s="125">
      <c r="A461" s="2" t="n"/>
      <c r="B461" s="2" t="n"/>
      <c r="C461" s="2" t="n"/>
      <c r="D461" s="58" t="n"/>
      <c r="E461" s="62" t="n"/>
      <c r="F461" s="62" t="n"/>
      <c r="G461" s="2" t="n"/>
      <c r="H461" s="62" t="n"/>
      <c r="I461" s="62" t="n"/>
      <c r="J461" s="2" t="n"/>
      <c r="K461" s="2" t="n"/>
      <c r="L461" s="2" t="n"/>
      <c r="M461" s="2" t="n"/>
      <c r="N461" s="2" t="n"/>
    </row>
    <row r="462" ht="15.75" customHeight="1" s="125">
      <c r="A462" s="2" t="n"/>
      <c r="B462" s="2" t="n"/>
      <c r="C462" s="2" t="n"/>
      <c r="D462" s="58" t="n"/>
      <c r="E462" s="62" t="n"/>
      <c r="F462" s="62" t="n"/>
      <c r="G462" s="2" t="n"/>
      <c r="H462" s="62" t="n"/>
      <c r="I462" s="62" t="n"/>
      <c r="J462" s="2" t="n"/>
      <c r="K462" s="2" t="n"/>
      <c r="L462" s="2" t="n"/>
      <c r="M462" s="2" t="n"/>
      <c r="N462" s="2" t="n"/>
    </row>
    <row r="463" ht="15.75" customHeight="1" s="125">
      <c r="A463" s="2" t="n"/>
      <c r="B463" s="2" t="n"/>
      <c r="C463" s="2" t="n"/>
      <c r="D463" s="58" t="n"/>
      <c r="E463" s="62" t="n"/>
      <c r="F463" s="62" t="n"/>
      <c r="G463" s="2" t="n"/>
      <c r="H463" s="62" t="n"/>
      <c r="I463" s="62" t="n"/>
      <c r="J463" s="2" t="n"/>
      <c r="K463" s="2" t="n"/>
      <c r="L463" s="2" t="n"/>
      <c r="M463" s="2" t="n"/>
      <c r="N463" s="2" t="n"/>
    </row>
    <row r="464" ht="15.75" customHeight="1" s="125">
      <c r="A464" s="2" t="n"/>
      <c r="B464" s="2" t="n"/>
      <c r="C464" s="2" t="n"/>
      <c r="D464" s="58" t="n"/>
      <c r="E464" s="62" t="n"/>
      <c r="F464" s="62" t="n"/>
      <c r="G464" s="2" t="n"/>
      <c r="H464" s="62" t="n"/>
      <c r="I464" s="62" t="n"/>
      <c r="J464" s="2" t="n"/>
      <c r="K464" s="2" t="n"/>
      <c r="L464" s="2" t="n"/>
      <c r="M464" s="2" t="n"/>
      <c r="N464" s="2" t="n"/>
    </row>
    <row r="465" ht="15.75" customHeight="1" s="125">
      <c r="A465" s="2" t="n"/>
      <c r="B465" s="2" t="n"/>
      <c r="C465" s="2" t="n"/>
      <c r="D465" s="58" t="n"/>
      <c r="E465" s="62" t="n"/>
      <c r="F465" s="62" t="n"/>
      <c r="G465" s="2" t="n"/>
      <c r="H465" s="62" t="n"/>
      <c r="I465" s="62" t="n"/>
      <c r="J465" s="2" t="n"/>
      <c r="K465" s="2" t="n"/>
      <c r="L465" s="2" t="n"/>
      <c r="M465" s="2" t="n"/>
      <c r="N465" s="2" t="n"/>
    </row>
    <row r="466" ht="15.75" customHeight="1" s="125">
      <c r="A466" s="2" t="n"/>
      <c r="B466" s="2" t="n"/>
      <c r="C466" s="2" t="n"/>
      <c r="D466" s="58" t="n"/>
      <c r="E466" s="62" t="n"/>
      <c r="F466" s="62" t="n"/>
      <c r="G466" s="2" t="n"/>
      <c r="H466" s="62" t="n"/>
      <c r="I466" s="62" t="n"/>
      <c r="J466" s="2" t="n"/>
      <c r="K466" s="2" t="n"/>
      <c r="L466" s="2" t="n"/>
      <c r="M466" s="2" t="n"/>
      <c r="N466" s="2" t="n"/>
    </row>
    <row r="467" ht="15.75" customHeight="1" s="125">
      <c r="A467" s="2" t="n"/>
      <c r="B467" s="2" t="n"/>
      <c r="C467" s="2" t="n"/>
      <c r="D467" s="58" t="n"/>
      <c r="E467" s="62" t="n"/>
      <c r="F467" s="62" t="n"/>
      <c r="G467" s="2" t="n"/>
      <c r="H467" s="62" t="n"/>
      <c r="I467" s="62" t="n"/>
      <c r="J467" s="2" t="n"/>
      <c r="K467" s="2" t="n"/>
      <c r="L467" s="2" t="n"/>
      <c r="M467" s="2" t="n"/>
      <c r="N467" s="2" t="n"/>
    </row>
    <row r="468" ht="15.75" customHeight="1" s="125">
      <c r="A468" s="2" t="n"/>
      <c r="B468" s="2" t="n"/>
      <c r="C468" s="2" t="n"/>
      <c r="D468" s="58" t="n"/>
      <c r="E468" s="62" t="n"/>
      <c r="F468" s="62" t="n"/>
      <c r="G468" s="2" t="n"/>
      <c r="H468" s="62" t="n"/>
      <c r="I468" s="62" t="n"/>
      <c r="J468" s="2" t="n"/>
      <c r="K468" s="2" t="n"/>
      <c r="L468" s="2" t="n"/>
      <c r="M468" s="2" t="n"/>
      <c r="N468" s="2" t="n"/>
    </row>
    <row r="469" ht="15.75" customHeight="1" s="125">
      <c r="A469" s="2" t="n"/>
      <c r="B469" s="2" t="n"/>
      <c r="C469" s="2" t="n"/>
      <c r="D469" s="58" t="n"/>
      <c r="E469" s="62" t="n"/>
      <c r="F469" s="62" t="n"/>
      <c r="G469" s="2" t="n"/>
      <c r="H469" s="62" t="n"/>
      <c r="I469" s="62" t="n"/>
      <c r="J469" s="2" t="n"/>
      <c r="K469" s="2" t="n"/>
      <c r="L469" s="2" t="n"/>
      <c r="M469" s="2" t="n"/>
      <c r="N469" s="2" t="n"/>
    </row>
    <row r="470" ht="15.75" customHeight="1" s="125">
      <c r="A470" s="2" t="n"/>
      <c r="B470" s="2" t="n"/>
      <c r="C470" s="2" t="n"/>
      <c r="D470" s="58" t="n"/>
      <c r="E470" s="62" t="n"/>
      <c r="F470" s="62" t="n"/>
      <c r="G470" s="2" t="n"/>
      <c r="H470" s="62" t="n"/>
      <c r="I470" s="62" t="n"/>
      <c r="J470" s="2" t="n"/>
      <c r="K470" s="2" t="n"/>
      <c r="L470" s="2" t="n"/>
      <c r="M470" s="2" t="n"/>
      <c r="N470" s="2" t="n"/>
    </row>
    <row r="471" ht="15.75" customHeight="1" s="125">
      <c r="A471" s="2" t="n"/>
      <c r="B471" s="2" t="n"/>
      <c r="C471" s="2" t="n"/>
      <c r="D471" s="58" t="n"/>
      <c r="E471" s="62" t="n"/>
      <c r="F471" s="62" t="n"/>
      <c r="G471" s="2" t="n"/>
      <c r="H471" s="62" t="n"/>
      <c r="I471" s="62" t="n"/>
      <c r="J471" s="2" t="n"/>
      <c r="K471" s="2" t="n"/>
      <c r="L471" s="2" t="n"/>
      <c r="M471" s="2" t="n"/>
      <c r="N471" s="2" t="n"/>
    </row>
    <row r="472" ht="15.75" customHeight="1" s="125">
      <c r="A472" s="2" t="n"/>
      <c r="B472" s="2" t="n"/>
      <c r="C472" s="2" t="n"/>
      <c r="D472" s="58" t="n"/>
      <c r="E472" s="62" t="n"/>
      <c r="F472" s="62" t="n"/>
      <c r="G472" s="2" t="n"/>
      <c r="H472" s="62" t="n"/>
      <c r="I472" s="62" t="n"/>
      <c r="J472" s="2" t="n"/>
      <c r="K472" s="2" t="n"/>
      <c r="L472" s="2" t="n"/>
      <c r="M472" s="2" t="n"/>
      <c r="N472" s="2" t="n"/>
    </row>
    <row r="473" ht="15.75" customHeight="1" s="125">
      <c r="A473" s="2" t="n"/>
      <c r="B473" s="2" t="n"/>
      <c r="C473" s="2" t="n"/>
      <c r="D473" s="58" t="n"/>
      <c r="E473" s="62" t="n"/>
      <c r="F473" s="62" t="n"/>
      <c r="G473" s="2" t="n"/>
      <c r="H473" s="62" t="n"/>
      <c r="I473" s="62" t="n"/>
      <c r="J473" s="2" t="n"/>
      <c r="K473" s="2" t="n"/>
      <c r="L473" s="2" t="n"/>
      <c r="M473" s="2" t="n"/>
      <c r="N473" s="2" t="n"/>
    </row>
    <row r="474" ht="15.75" customHeight="1" s="125">
      <c r="A474" s="2" t="n"/>
      <c r="B474" s="2" t="n"/>
      <c r="C474" s="2" t="n"/>
      <c r="D474" s="58" t="n"/>
      <c r="E474" s="62" t="n"/>
      <c r="F474" s="62" t="n"/>
      <c r="G474" s="2" t="n"/>
      <c r="H474" s="62" t="n"/>
      <c r="I474" s="62" t="n"/>
      <c r="J474" s="2" t="n"/>
      <c r="K474" s="2" t="n"/>
      <c r="L474" s="2" t="n"/>
      <c r="M474" s="2" t="n"/>
      <c r="N474" s="2" t="n"/>
    </row>
    <row r="475" ht="15.75" customHeight="1" s="125">
      <c r="A475" s="2" t="n"/>
      <c r="B475" s="2" t="n"/>
      <c r="C475" s="2" t="n"/>
      <c r="D475" s="58" t="n"/>
      <c r="E475" s="62" t="n"/>
      <c r="F475" s="62" t="n"/>
      <c r="G475" s="2" t="n"/>
      <c r="H475" s="62" t="n"/>
      <c r="I475" s="62" t="n"/>
      <c r="J475" s="2" t="n"/>
      <c r="K475" s="2" t="n"/>
      <c r="L475" s="2" t="n"/>
      <c r="M475" s="2" t="n"/>
      <c r="N475" s="2" t="n"/>
    </row>
    <row r="476" ht="15.75" customHeight="1" s="125">
      <c r="A476" s="2" t="n"/>
      <c r="B476" s="2" t="n"/>
      <c r="C476" s="2" t="n"/>
      <c r="D476" s="58" t="n"/>
      <c r="E476" s="62" t="n"/>
      <c r="F476" s="62" t="n"/>
      <c r="G476" s="2" t="n"/>
      <c r="H476" s="62" t="n"/>
      <c r="I476" s="62" t="n"/>
      <c r="J476" s="2" t="n"/>
      <c r="K476" s="2" t="n"/>
      <c r="L476" s="2" t="n"/>
      <c r="M476" s="2" t="n"/>
      <c r="N476" s="2" t="n"/>
    </row>
    <row r="477" ht="15.75" customHeight="1" s="125">
      <c r="A477" s="2" t="n"/>
      <c r="B477" s="2" t="n"/>
      <c r="C477" s="2" t="n"/>
      <c r="D477" s="58" t="n"/>
      <c r="E477" s="62" t="n"/>
      <c r="F477" s="62" t="n"/>
      <c r="G477" s="2" t="n"/>
      <c r="H477" s="62" t="n"/>
      <c r="I477" s="62" t="n"/>
      <c r="J477" s="2" t="n"/>
      <c r="K477" s="2" t="n"/>
      <c r="L477" s="2" t="n"/>
      <c r="M477" s="2" t="n"/>
      <c r="N477" s="2" t="n"/>
    </row>
    <row r="478" ht="15.75" customHeight="1" s="125">
      <c r="A478" s="2" t="n"/>
      <c r="B478" s="2" t="n"/>
      <c r="C478" s="2" t="n"/>
      <c r="D478" s="58" t="n"/>
      <c r="E478" s="62" t="n"/>
      <c r="F478" s="62" t="n"/>
      <c r="G478" s="2" t="n"/>
      <c r="H478" s="62" t="n"/>
      <c r="I478" s="62" t="n"/>
      <c r="J478" s="2" t="n"/>
      <c r="K478" s="2" t="n"/>
      <c r="L478" s="2" t="n"/>
      <c r="M478" s="2" t="n"/>
      <c r="N478" s="2" t="n"/>
    </row>
    <row r="479" ht="15.75" customHeight="1" s="125">
      <c r="A479" s="2" t="n"/>
      <c r="B479" s="2" t="n"/>
      <c r="C479" s="2" t="n"/>
      <c r="D479" s="58" t="n"/>
      <c r="E479" s="62" t="n"/>
      <c r="F479" s="62" t="n"/>
      <c r="G479" s="2" t="n"/>
      <c r="H479" s="62" t="n"/>
      <c r="I479" s="62" t="n"/>
      <c r="J479" s="2" t="n"/>
      <c r="K479" s="2" t="n"/>
      <c r="L479" s="2" t="n"/>
      <c r="M479" s="2" t="n"/>
      <c r="N479" s="2" t="n"/>
    </row>
    <row r="480" ht="15.75" customHeight="1" s="125">
      <c r="A480" s="2" t="n"/>
      <c r="B480" s="2" t="n"/>
      <c r="C480" s="2" t="n"/>
      <c r="D480" s="58" t="n"/>
      <c r="E480" s="62" t="n"/>
      <c r="F480" s="62" t="n"/>
      <c r="G480" s="2" t="n"/>
      <c r="H480" s="62" t="n"/>
      <c r="I480" s="62" t="n"/>
      <c r="J480" s="2" t="n"/>
      <c r="K480" s="2" t="n"/>
      <c r="L480" s="2" t="n"/>
      <c r="M480" s="2" t="n"/>
      <c r="N480" s="2" t="n"/>
    </row>
    <row r="481" ht="15.75" customHeight="1" s="125">
      <c r="A481" s="2" t="n"/>
      <c r="B481" s="2" t="n"/>
      <c r="C481" s="2" t="n"/>
      <c r="D481" s="58" t="n"/>
      <c r="E481" s="62" t="n"/>
      <c r="F481" s="62" t="n"/>
      <c r="G481" s="2" t="n"/>
      <c r="H481" s="62" t="n"/>
      <c r="I481" s="62" t="n"/>
      <c r="J481" s="2" t="n"/>
      <c r="K481" s="2" t="n"/>
      <c r="L481" s="2" t="n"/>
      <c r="M481" s="2" t="n"/>
      <c r="N481" s="2" t="n"/>
    </row>
    <row r="482" ht="15.75" customHeight="1" s="125">
      <c r="A482" s="2" t="n"/>
      <c r="B482" s="2" t="n"/>
      <c r="C482" s="2" t="n"/>
      <c r="D482" s="58" t="n"/>
      <c r="E482" s="62" t="n"/>
      <c r="F482" s="62" t="n"/>
      <c r="G482" s="2" t="n"/>
      <c r="H482" s="62" t="n"/>
      <c r="I482" s="62" t="n"/>
      <c r="J482" s="2" t="n"/>
      <c r="K482" s="2" t="n"/>
      <c r="L482" s="2" t="n"/>
      <c r="M482" s="2" t="n"/>
      <c r="N482" s="2" t="n"/>
    </row>
    <row r="483" ht="15.75" customHeight="1" s="125">
      <c r="A483" s="2" t="n"/>
      <c r="B483" s="2" t="n"/>
      <c r="C483" s="2" t="n"/>
      <c r="D483" s="58" t="n"/>
      <c r="E483" s="62" t="n"/>
      <c r="F483" s="62" t="n"/>
      <c r="G483" s="2" t="n"/>
      <c r="H483" s="62" t="n"/>
      <c r="I483" s="62" t="n"/>
      <c r="J483" s="2" t="n"/>
      <c r="K483" s="2" t="n"/>
      <c r="L483" s="2" t="n"/>
      <c r="M483" s="2" t="n"/>
      <c r="N483" s="2" t="n"/>
    </row>
    <row r="484" ht="15.75" customHeight="1" s="125">
      <c r="A484" s="2" t="n"/>
      <c r="B484" s="2" t="n"/>
      <c r="C484" s="2" t="n"/>
      <c r="D484" s="58" t="n"/>
      <c r="E484" s="62" t="n"/>
      <c r="F484" s="62" t="n"/>
      <c r="G484" s="2" t="n"/>
      <c r="H484" s="62" t="n"/>
      <c r="I484" s="62" t="n"/>
      <c r="J484" s="2" t="n"/>
      <c r="K484" s="2" t="n"/>
      <c r="L484" s="2" t="n"/>
      <c r="M484" s="2" t="n"/>
      <c r="N484" s="2" t="n"/>
    </row>
    <row r="485" ht="15.75" customHeight="1" s="125">
      <c r="A485" s="2" t="n"/>
      <c r="B485" s="2" t="n"/>
      <c r="C485" s="2" t="n"/>
      <c r="D485" s="58" t="n"/>
      <c r="E485" s="62" t="n"/>
      <c r="F485" s="62" t="n"/>
      <c r="G485" s="2" t="n"/>
      <c r="H485" s="62" t="n"/>
      <c r="I485" s="62" t="n"/>
      <c r="J485" s="2" t="n"/>
      <c r="K485" s="2" t="n"/>
      <c r="L485" s="2" t="n"/>
      <c r="M485" s="2" t="n"/>
      <c r="N485" s="2" t="n"/>
    </row>
    <row r="486" ht="15.75" customHeight="1" s="125">
      <c r="A486" s="2" t="n"/>
      <c r="B486" s="2" t="n"/>
      <c r="C486" s="2" t="n"/>
      <c r="D486" s="58" t="n"/>
      <c r="E486" s="62" t="n"/>
      <c r="F486" s="62" t="n"/>
      <c r="G486" s="2" t="n"/>
      <c r="H486" s="62" t="n"/>
      <c r="I486" s="62" t="n"/>
      <c r="J486" s="2" t="n"/>
      <c r="K486" s="2" t="n"/>
      <c r="L486" s="2" t="n"/>
      <c r="M486" s="2" t="n"/>
      <c r="N486" s="2" t="n"/>
    </row>
    <row r="487" ht="15.75" customHeight="1" s="125">
      <c r="A487" s="2" t="n"/>
      <c r="B487" s="2" t="n"/>
      <c r="C487" s="2" t="n"/>
      <c r="D487" s="58" t="n"/>
      <c r="E487" s="62" t="n"/>
      <c r="F487" s="62" t="n"/>
      <c r="G487" s="2" t="n"/>
      <c r="H487" s="62" t="n"/>
      <c r="I487" s="62" t="n"/>
      <c r="J487" s="2" t="n"/>
      <c r="K487" s="2" t="n"/>
      <c r="L487" s="2" t="n"/>
      <c r="M487" s="2" t="n"/>
      <c r="N487" s="2" t="n"/>
    </row>
    <row r="488" ht="15.75" customHeight="1" s="125">
      <c r="A488" s="2" t="n"/>
      <c r="B488" s="2" t="n"/>
      <c r="C488" s="2" t="n"/>
      <c r="D488" s="58" t="n"/>
      <c r="E488" s="62" t="n"/>
      <c r="F488" s="62" t="n"/>
      <c r="G488" s="2" t="n"/>
      <c r="H488" s="62" t="n"/>
      <c r="I488" s="62" t="n"/>
      <c r="J488" s="2" t="n"/>
      <c r="K488" s="2" t="n"/>
      <c r="L488" s="2" t="n"/>
      <c r="M488" s="2" t="n"/>
      <c r="N488" s="2" t="n"/>
    </row>
    <row r="489" ht="15.75" customHeight="1" s="125">
      <c r="A489" s="2" t="n"/>
      <c r="B489" s="2" t="n"/>
      <c r="C489" s="2" t="n"/>
      <c r="D489" s="58" t="n"/>
      <c r="E489" s="62" t="n"/>
      <c r="F489" s="62" t="n"/>
      <c r="G489" s="2" t="n"/>
      <c r="H489" s="62" t="n"/>
      <c r="I489" s="62" t="n"/>
      <c r="J489" s="2" t="n"/>
      <c r="K489" s="2" t="n"/>
      <c r="L489" s="2" t="n"/>
      <c r="M489" s="2" t="n"/>
      <c r="N489" s="2" t="n"/>
    </row>
    <row r="490" ht="15.75" customHeight="1" s="125">
      <c r="A490" s="2" t="n"/>
      <c r="B490" s="2" t="n"/>
      <c r="C490" s="2" t="n"/>
      <c r="D490" s="58" t="n"/>
      <c r="E490" s="62" t="n"/>
      <c r="F490" s="62" t="n"/>
      <c r="G490" s="2" t="n"/>
      <c r="H490" s="62" t="n"/>
      <c r="I490" s="62" t="n"/>
      <c r="J490" s="2" t="n"/>
      <c r="K490" s="2" t="n"/>
      <c r="L490" s="2" t="n"/>
      <c r="M490" s="2" t="n"/>
      <c r="N490" s="2" t="n"/>
    </row>
    <row r="491" ht="15.75" customHeight="1" s="125">
      <c r="A491" s="2" t="n"/>
      <c r="B491" s="2" t="n"/>
      <c r="C491" s="2" t="n"/>
      <c r="D491" s="58" t="n"/>
      <c r="E491" s="62" t="n"/>
      <c r="F491" s="62" t="n"/>
      <c r="G491" s="2" t="n"/>
      <c r="H491" s="62" t="n"/>
      <c r="I491" s="62" t="n"/>
      <c r="J491" s="2" t="n"/>
      <c r="K491" s="2" t="n"/>
      <c r="L491" s="2" t="n"/>
      <c r="M491" s="2" t="n"/>
      <c r="N491" s="2" t="n"/>
    </row>
    <row r="492" ht="15.75" customHeight="1" s="125">
      <c r="A492" s="2" t="n"/>
      <c r="B492" s="2" t="n"/>
      <c r="C492" s="2" t="n"/>
      <c r="D492" s="58" t="n"/>
      <c r="E492" s="62" t="n"/>
      <c r="F492" s="62" t="n"/>
      <c r="G492" s="2" t="n"/>
      <c r="H492" s="62" t="n"/>
      <c r="I492" s="62" t="n"/>
      <c r="J492" s="2" t="n"/>
      <c r="K492" s="2" t="n"/>
      <c r="L492" s="2" t="n"/>
      <c r="M492" s="2" t="n"/>
      <c r="N492" s="2" t="n"/>
    </row>
    <row r="493" ht="15.75" customHeight="1" s="125">
      <c r="A493" s="2" t="n"/>
      <c r="B493" s="2" t="n"/>
      <c r="C493" s="2" t="n"/>
      <c r="D493" s="58" t="n"/>
      <c r="E493" s="62" t="n"/>
      <c r="F493" s="62" t="n"/>
      <c r="G493" s="2" t="n"/>
      <c r="H493" s="62" t="n"/>
      <c r="I493" s="62" t="n"/>
      <c r="J493" s="2" t="n"/>
      <c r="K493" s="2" t="n"/>
      <c r="L493" s="2" t="n"/>
      <c r="M493" s="2" t="n"/>
      <c r="N493" s="2" t="n"/>
    </row>
    <row r="494" ht="15.75" customHeight="1" s="125">
      <c r="A494" s="2" t="n"/>
      <c r="B494" s="2" t="n"/>
      <c r="C494" s="2" t="n"/>
      <c r="D494" s="58" t="n"/>
      <c r="E494" s="62" t="n"/>
      <c r="F494" s="62" t="n"/>
      <c r="G494" s="2" t="n"/>
      <c r="H494" s="62" t="n"/>
      <c r="I494" s="62" t="n"/>
      <c r="J494" s="2" t="n"/>
      <c r="K494" s="2" t="n"/>
      <c r="L494" s="2" t="n"/>
      <c r="M494" s="2" t="n"/>
      <c r="N494" s="2" t="n"/>
    </row>
    <row r="495" ht="15.75" customHeight="1" s="125">
      <c r="A495" s="2" t="n"/>
      <c r="B495" s="2" t="n"/>
      <c r="C495" s="2" t="n"/>
      <c r="D495" s="58" t="n"/>
      <c r="E495" s="62" t="n"/>
      <c r="F495" s="62" t="n"/>
      <c r="G495" s="2" t="n"/>
      <c r="H495" s="62" t="n"/>
      <c r="I495" s="62" t="n"/>
      <c r="J495" s="2" t="n"/>
      <c r="K495" s="2" t="n"/>
      <c r="L495" s="2" t="n"/>
      <c r="M495" s="2" t="n"/>
      <c r="N495" s="2" t="n"/>
    </row>
    <row r="496" ht="15.75" customHeight="1" s="125">
      <c r="A496" s="2" t="n"/>
      <c r="B496" s="2" t="n"/>
      <c r="C496" s="2" t="n"/>
      <c r="D496" s="58" t="n"/>
      <c r="E496" s="62" t="n"/>
      <c r="F496" s="62" t="n"/>
      <c r="G496" s="2" t="n"/>
      <c r="H496" s="62" t="n"/>
      <c r="I496" s="62" t="n"/>
      <c r="J496" s="2" t="n"/>
      <c r="K496" s="2" t="n"/>
      <c r="L496" s="2" t="n"/>
      <c r="M496" s="2" t="n"/>
      <c r="N496" s="2" t="n"/>
    </row>
    <row r="497" ht="15.75" customHeight="1" s="125">
      <c r="A497" s="2" t="n"/>
      <c r="B497" s="2" t="n"/>
      <c r="C497" s="2" t="n"/>
      <c r="D497" s="58" t="n"/>
      <c r="E497" s="62" t="n"/>
      <c r="F497" s="62" t="n"/>
      <c r="G497" s="2" t="n"/>
      <c r="H497" s="62" t="n"/>
      <c r="I497" s="62" t="n"/>
      <c r="J497" s="2" t="n"/>
      <c r="K497" s="2" t="n"/>
      <c r="L497" s="2" t="n"/>
      <c r="M497" s="2" t="n"/>
      <c r="N497" s="2" t="n"/>
    </row>
    <row r="498" ht="15.75" customHeight="1" s="125">
      <c r="A498" s="2" t="n"/>
      <c r="B498" s="2" t="n"/>
      <c r="C498" s="2" t="n"/>
      <c r="D498" s="58" t="n"/>
      <c r="E498" s="62" t="n"/>
      <c r="F498" s="62" t="n"/>
      <c r="G498" s="2" t="n"/>
      <c r="H498" s="62" t="n"/>
      <c r="I498" s="62" t="n"/>
      <c r="J498" s="2" t="n"/>
      <c r="K498" s="2" t="n"/>
      <c r="L498" s="2" t="n"/>
      <c r="M498" s="2" t="n"/>
      <c r="N498" s="2" t="n"/>
    </row>
    <row r="499" ht="15.75" customHeight="1" s="125">
      <c r="A499" s="2" t="n"/>
      <c r="B499" s="2" t="n"/>
      <c r="C499" s="2" t="n"/>
      <c r="D499" s="58" t="n"/>
      <c r="E499" s="62" t="n"/>
      <c r="F499" s="62" t="n"/>
      <c r="G499" s="2" t="n"/>
      <c r="H499" s="62" t="n"/>
      <c r="I499" s="62" t="n"/>
      <c r="J499" s="2" t="n"/>
      <c r="K499" s="2" t="n"/>
      <c r="L499" s="2" t="n"/>
      <c r="M499" s="2" t="n"/>
      <c r="N499" s="2" t="n"/>
    </row>
    <row r="500" ht="15.75" customHeight="1" s="125">
      <c r="A500" s="2" t="n"/>
      <c r="B500" s="2" t="n"/>
      <c r="C500" s="2" t="n"/>
      <c r="D500" s="58" t="n"/>
      <c r="E500" s="62" t="n"/>
      <c r="F500" s="62" t="n"/>
      <c r="G500" s="2" t="n"/>
      <c r="H500" s="62" t="n"/>
      <c r="I500" s="62" t="n"/>
      <c r="J500" s="2" t="n"/>
      <c r="K500" s="2" t="n"/>
      <c r="L500" s="2" t="n"/>
      <c r="M500" s="2" t="n"/>
      <c r="N500" s="2" t="n"/>
    </row>
    <row r="501" ht="15.75" customHeight="1" s="125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 ht="15.75" customHeight="1" s="125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 ht="15.75" customHeight="1" s="125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 ht="15.75" customHeight="1" s="125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 ht="15.75" customHeight="1" s="12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 ht="15.75" customHeight="1" s="125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 ht="15.75" customHeight="1" s="125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 ht="15.75" customHeight="1" s="125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 ht="15.75" customHeight="1" s="125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 ht="15.75" customHeight="1" s="125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 ht="15.75" customHeight="1" s="125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 ht="15.75" customHeight="1" s="125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 ht="15.75" customHeight="1" s="125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 ht="15.75" customHeight="1" s="125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 ht="15.75" customHeight="1" s="12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 ht="15.75" customHeight="1" s="125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 ht="15.75" customHeight="1" s="125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 ht="15.75" customHeight="1" s="125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 ht="15.75" customHeight="1" s="125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 ht="15.75" customHeight="1" s="125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 ht="15.75" customHeight="1" s="125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 ht="15.75" customHeight="1" s="125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 ht="15.75" customHeight="1" s="125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 ht="15.75" customHeight="1" s="125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 ht="15.75" customHeight="1" s="1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 ht="15.75" customHeight="1" s="125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 ht="15.75" customHeight="1" s="125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 ht="15.75" customHeight="1" s="125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 ht="15.75" customHeight="1" s="125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 ht="15.75" customHeight="1" s="125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 ht="15.75" customHeight="1" s="125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 ht="15.75" customHeight="1" s="125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 ht="15.75" customHeight="1" s="125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 ht="15.75" customHeight="1" s="125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 ht="15.75" customHeight="1" s="12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 ht="15.75" customHeight="1" s="125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 ht="15.75" customHeight="1" s="125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 ht="15.75" customHeight="1" s="125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 ht="15.75" customHeight="1" s="125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 ht="15.75" customHeight="1" s="125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 ht="15.75" customHeight="1" s="125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 ht="15.75" customHeight="1" s="125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 ht="15.75" customHeight="1" s="125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 ht="15.75" customHeight="1" s="125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 ht="15.75" customHeight="1" s="12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 ht="15.75" customHeight="1" s="125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 ht="15.75" customHeight="1" s="125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 ht="15.75" customHeight="1" s="125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 ht="15.75" customHeight="1" s="125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 ht="15.75" customHeight="1" s="125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 ht="15.75" customHeight="1" s="125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 ht="15.75" customHeight="1" s="125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 ht="15.75" customHeight="1" s="125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 ht="15.75" customHeight="1" s="125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 ht="15.75" customHeight="1" s="12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 ht="15.75" customHeight="1" s="125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 ht="15.75" customHeight="1" s="125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 ht="15.75" customHeight="1" s="125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 ht="15.75" customHeight="1" s="125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 ht="15.75" customHeight="1" s="125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 ht="15.75" customHeight="1" s="125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 ht="15.75" customHeight="1" s="125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 ht="15.75" customHeight="1" s="125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 ht="15.75" customHeight="1" s="125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 ht="15.75" customHeight="1" s="12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 ht="15.75" customHeight="1" s="125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 ht="15.75" customHeight="1" s="125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 ht="15.75" customHeight="1" s="125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 ht="15.75" customHeight="1" s="125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 ht="15.75" customHeight="1" s="125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 ht="15.75" customHeight="1" s="125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 ht="15.75" customHeight="1" s="125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 ht="15.75" customHeight="1" s="125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 ht="15.75" customHeight="1" s="125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 ht="15.75" customHeight="1" s="12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 ht="15.75" customHeight="1" s="125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 ht="15.75" customHeight="1" s="125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 ht="15.75" customHeight="1" s="125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 ht="15.75" customHeight="1" s="125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 ht="15.75" customHeight="1" s="125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 ht="15.75" customHeight="1" s="125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 ht="15.75" customHeight="1" s="125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 ht="15.75" customHeight="1" s="125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 ht="15.75" customHeight="1" s="125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 ht="15.75" customHeight="1" s="12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 ht="15.75" customHeight="1" s="125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 ht="15.75" customHeight="1" s="125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 ht="15.75" customHeight="1" s="125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 ht="15.75" customHeight="1" s="125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 ht="15.75" customHeight="1" s="125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 ht="15.75" customHeight="1" s="125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 ht="15.75" customHeight="1" s="125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 ht="15.75" customHeight="1" s="125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 ht="15.75" customHeight="1" s="125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 ht="15.75" customHeight="1" s="12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 ht="15.75" customHeight="1" s="125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 ht="15.75" customHeight="1" s="125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 ht="15.75" customHeight="1" s="125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 ht="15.75" customHeight="1" s="125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 ht="15.75" customHeight="1" s="125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 ht="15.75" customHeight="1" s="125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 ht="15.75" customHeight="1" s="125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 ht="15.75" customHeight="1" s="125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 ht="15.75" customHeight="1" s="125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 ht="15.75" customHeight="1" s="12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 ht="15.75" customHeight="1" s="125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 ht="15.75" customHeight="1" s="125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 ht="15.75" customHeight="1" s="125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 ht="15.75" customHeight="1" s="125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 ht="15.75" customHeight="1" s="125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 ht="15.75" customHeight="1" s="125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 ht="15.75" customHeight="1" s="125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 ht="15.75" customHeight="1" s="125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 ht="15.75" customHeight="1" s="125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 ht="15.75" customHeight="1" s="12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 ht="15.75" customHeight="1" s="125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 ht="15.75" customHeight="1" s="125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 ht="15.75" customHeight="1" s="125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 ht="15.75" customHeight="1" s="125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 ht="15.75" customHeight="1" s="125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 ht="15.75" customHeight="1" s="125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 ht="15.75" customHeight="1" s="125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 ht="15.75" customHeight="1" s="125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 ht="15.75" customHeight="1" s="125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 ht="15.75" customHeight="1" s="1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 ht="15.75" customHeight="1" s="125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 ht="15.75" customHeight="1" s="125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 ht="15.75" customHeight="1" s="125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 ht="15.75" customHeight="1" s="125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 ht="15.75" customHeight="1" s="125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 ht="15.75" customHeight="1" s="125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 ht="15.75" customHeight="1" s="125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 ht="15.75" customHeight="1" s="125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 ht="15.75" customHeight="1" s="125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 ht="15.75" customHeight="1" s="12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 ht="15.75" customHeight="1" s="125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 ht="15.75" customHeight="1" s="125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 ht="15.75" customHeight="1" s="125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 ht="15.75" customHeight="1" s="125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 ht="15.75" customHeight="1" s="125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 ht="15.75" customHeight="1" s="125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 ht="15.75" customHeight="1" s="125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 ht="15.75" customHeight="1" s="125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 ht="15.75" customHeight="1" s="125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 ht="15.75" customHeight="1" s="12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 ht="15.75" customHeight="1" s="125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 ht="15.75" customHeight="1" s="125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 ht="15.75" customHeight="1" s="125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 ht="15.75" customHeight="1" s="125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 ht="15.75" customHeight="1" s="125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 ht="15.75" customHeight="1" s="125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 ht="15.75" customHeight="1" s="125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 ht="15.75" customHeight="1" s="125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 ht="15.75" customHeight="1" s="125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 ht="15.75" customHeight="1" s="12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 ht="15.75" customHeight="1" s="125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 ht="15.75" customHeight="1" s="125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 ht="15.75" customHeight="1" s="125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 ht="15.75" customHeight="1" s="125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 ht="15.75" customHeight="1" s="125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 ht="15.75" customHeight="1" s="125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 ht="15.75" customHeight="1" s="125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 ht="15.75" customHeight="1" s="125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 ht="15.75" customHeight="1" s="125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 ht="15.75" customHeight="1" s="12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 ht="15.75" customHeight="1" s="125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 ht="15.75" customHeight="1" s="125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 ht="15.75" customHeight="1" s="125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 ht="15.75" customHeight="1" s="125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 ht="15.75" customHeight="1" s="125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 ht="15.75" customHeight="1" s="125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 ht="15.75" customHeight="1" s="125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 ht="15.75" customHeight="1" s="125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 ht="15.75" customHeight="1" s="125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 ht="15.75" customHeight="1" s="12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 ht="15.75" customHeight="1" s="125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 ht="15.75" customHeight="1" s="125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 ht="15.75" customHeight="1" s="125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 ht="15.75" customHeight="1" s="125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 ht="15.75" customHeight="1" s="125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 ht="15.75" customHeight="1" s="125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 ht="15.75" customHeight="1" s="125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 ht="15.75" customHeight="1" s="125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 ht="15.75" customHeight="1" s="125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 ht="15.75" customHeight="1" s="12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 ht="15.75" customHeight="1" s="125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 ht="15.75" customHeight="1" s="125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 ht="15.75" customHeight="1" s="125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 ht="15.75" customHeight="1" s="125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 ht="15.75" customHeight="1" s="125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 ht="15.75" customHeight="1" s="125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 ht="15.75" customHeight="1" s="125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 ht="15.75" customHeight="1" s="125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 ht="15.75" customHeight="1" s="125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 ht="15.75" customHeight="1" s="12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 ht="15.75" customHeight="1" s="125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 ht="15.75" customHeight="1" s="125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 ht="15.75" customHeight="1" s="125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 ht="15.75" customHeight="1" s="125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 ht="15.75" customHeight="1" s="125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 ht="15.75" customHeight="1" s="125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 ht="15.75" customHeight="1" s="125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 ht="15.75" customHeight="1" s="125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 ht="15.75" customHeight="1" s="125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 ht="15.75" customHeight="1" s="12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 ht="15.75" customHeight="1" s="125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 ht="15.75" customHeight="1" s="125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 ht="15.75" customHeight="1" s="125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 ht="15.75" customHeight="1" s="125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 ht="15.75" customHeight="1" s="125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 ht="15.75" customHeight="1" s="125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 ht="15.75" customHeight="1" s="125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 ht="15.75" customHeight="1" s="125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 ht="15.75" customHeight="1" s="125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 ht="15.75" customHeight="1" s="12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 ht="15.75" customHeight="1" s="125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 ht="15.75" customHeight="1" s="125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 ht="15.75" customHeight="1" s="125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 ht="15.75" customHeight="1" s="125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 ht="15.75" customHeight="1" s="125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 ht="15.75" customHeight="1" s="125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 ht="15.75" customHeight="1" s="125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 ht="15.75" customHeight="1" s="125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 ht="15.75" customHeight="1" s="125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 ht="15.75" customHeight="1" s="1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 ht="15.75" customHeight="1" s="125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 ht="15.75" customHeight="1" s="125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 ht="15.75" customHeight="1" s="125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 ht="15.75" customHeight="1" s="125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 ht="15.75" customHeight="1" s="125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 ht="15.75" customHeight="1" s="125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 ht="15.75" customHeight="1" s="125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 ht="15.75" customHeight="1" s="125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 ht="15.75" customHeight="1" s="125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 ht="15.75" customHeight="1" s="12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 ht="15.75" customHeight="1" s="125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 ht="15.75" customHeight="1" s="125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 ht="15.75" customHeight="1" s="125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 ht="15.75" customHeight="1" s="125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 ht="15.75" customHeight="1" s="125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 ht="15.75" customHeight="1" s="125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 ht="15.75" customHeight="1" s="125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 ht="15.75" customHeight="1" s="125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 ht="15.75" customHeight="1" s="125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 ht="15.75" customHeight="1" s="12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 ht="15.75" customHeight="1" s="125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 ht="15.75" customHeight="1" s="125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 ht="15.75" customHeight="1" s="125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 ht="15.75" customHeight="1" s="125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 ht="15.75" customHeight="1" s="125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 ht="15.75" customHeight="1" s="125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 ht="15.75" customHeight="1" s="125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 ht="15.75" customHeight="1" s="125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 ht="15.75" customHeight="1" s="125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 ht="15.75" customHeight="1" s="12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 ht="15.75" customHeight="1" s="125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 ht="15.75" customHeight="1" s="125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 ht="15.75" customHeight="1" s="125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 ht="15.75" customHeight="1" s="125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 ht="15.75" customHeight="1" s="125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 ht="15.75" customHeight="1" s="125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 ht="15.75" customHeight="1" s="125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 ht="15.75" customHeight="1" s="125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 ht="15.75" customHeight="1" s="125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 ht="15.75" customHeight="1" s="12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 ht="15.75" customHeight="1" s="125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 ht="15.75" customHeight="1" s="125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 ht="15.75" customHeight="1" s="125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 ht="15.75" customHeight="1" s="125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 ht="15.75" customHeight="1" s="125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 ht="15.75" customHeight="1" s="125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 ht="15.75" customHeight="1" s="125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 ht="15.75" customHeight="1" s="125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 ht="15.75" customHeight="1" s="125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 ht="15.75" customHeight="1" s="12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 ht="15.75" customHeight="1" s="125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 ht="15.75" customHeight="1" s="125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 ht="15.75" customHeight="1" s="125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 ht="15.75" customHeight="1" s="125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 ht="15.75" customHeight="1" s="125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 ht="15.75" customHeight="1" s="125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 ht="15.75" customHeight="1" s="125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 ht="15.75" customHeight="1" s="125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 ht="15.75" customHeight="1" s="125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 ht="15.75" customHeight="1" s="12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 ht="15.75" customHeight="1" s="125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 ht="15.75" customHeight="1" s="125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 ht="15.75" customHeight="1" s="125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 ht="15.75" customHeight="1" s="125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 ht="15.75" customHeight="1" s="125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 ht="15.75" customHeight="1" s="125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 ht="15.75" customHeight="1" s="125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 ht="15.75" customHeight="1" s="125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 ht="15.75" customHeight="1" s="125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 ht="15.75" customHeight="1" s="12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 ht="15.75" customHeight="1" s="125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 ht="15.75" customHeight="1" s="125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 ht="15.75" customHeight="1" s="125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 ht="15.75" customHeight="1" s="125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 ht="15.75" customHeight="1" s="125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 ht="15.75" customHeight="1" s="125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 ht="15.75" customHeight="1" s="125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 ht="15.75" customHeight="1" s="125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 ht="15.75" customHeight="1" s="125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 ht="15.75" customHeight="1" s="12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 ht="15.75" customHeight="1" s="125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 ht="15.75" customHeight="1" s="125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 ht="15.75" customHeight="1" s="125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 ht="15.75" customHeight="1" s="125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 ht="15.75" customHeight="1" s="125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 ht="15.75" customHeight="1" s="125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 ht="15.75" customHeight="1" s="125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 ht="15.75" customHeight="1" s="125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 ht="15.75" customHeight="1" s="125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 ht="15.75" customHeight="1" s="12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 ht="15.75" customHeight="1" s="125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 ht="15.75" customHeight="1" s="125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 ht="15.75" customHeight="1" s="125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 ht="15.75" customHeight="1" s="125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 ht="15.75" customHeight="1" s="125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 ht="15.75" customHeight="1" s="125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 ht="15.75" customHeight="1" s="125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 ht="15.75" customHeight="1" s="125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 ht="15.75" customHeight="1" s="125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 ht="15.75" customHeight="1" s="1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 ht="15.75" customHeight="1" s="125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 ht="15.75" customHeight="1" s="125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 ht="15.75" customHeight="1" s="125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 ht="15.75" customHeight="1" s="125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 ht="15.75" customHeight="1" s="125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 ht="15.75" customHeight="1" s="125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 ht="15.75" customHeight="1" s="125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 ht="15.75" customHeight="1" s="125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 ht="15.75" customHeight="1" s="125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 ht="15.75" customHeight="1" s="12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 ht="15.75" customHeight="1" s="125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 ht="15.75" customHeight="1" s="125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 ht="15.75" customHeight="1" s="125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 ht="15.75" customHeight="1" s="125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 ht="15.75" customHeight="1" s="125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 ht="15.75" customHeight="1" s="125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 ht="15.75" customHeight="1" s="125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 ht="15.75" customHeight="1" s="125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 ht="15.75" customHeight="1" s="125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 ht="15.75" customHeight="1" s="12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 ht="15.75" customHeight="1" s="125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 ht="15.75" customHeight="1" s="125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 ht="15.75" customHeight="1" s="125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 ht="15.75" customHeight="1" s="125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 ht="15.75" customHeight="1" s="125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 ht="15.75" customHeight="1" s="125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 ht="15.75" customHeight="1" s="125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 ht="15.75" customHeight="1" s="125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 ht="15.75" customHeight="1" s="125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 ht="15.75" customHeight="1" s="12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 ht="15.75" customHeight="1" s="125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 ht="15.75" customHeight="1" s="125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 ht="15.75" customHeight="1" s="125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 ht="15.75" customHeight="1" s="125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 ht="15.75" customHeight="1" s="125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 ht="15.75" customHeight="1" s="125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 ht="15.75" customHeight="1" s="125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 ht="15.75" customHeight="1" s="125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 ht="15.75" customHeight="1" s="125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 ht="15.75" customHeight="1" s="12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 ht="15.75" customHeight="1" s="125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 ht="15.75" customHeight="1" s="125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 ht="15.75" customHeight="1" s="125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 ht="15.75" customHeight="1" s="125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 ht="15.75" customHeight="1" s="125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 ht="15.75" customHeight="1" s="125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 ht="15.75" customHeight="1" s="125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 ht="15.75" customHeight="1" s="125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 ht="15.75" customHeight="1" s="125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 ht="15.75" customHeight="1" s="12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 ht="15.75" customHeight="1" s="125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 ht="15.75" customHeight="1" s="125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 ht="15.75" customHeight="1" s="125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 ht="15.75" customHeight="1" s="125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 ht="15.75" customHeight="1" s="125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 ht="15.75" customHeight="1" s="125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 ht="15.75" customHeight="1" s="125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 ht="15.75" customHeight="1" s="125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 ht="15.75" customHeight="1" s="125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 ht="15.75" customHeight="1" s="12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 ht="15.75" customHeight="1" s="125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 ht="15.75" customHeight="1" s="125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 ht="15.75" customHeight="1" s="125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 ht="15.75" customHeight="1" s="125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 ht="15.75" customHeight="1" s="125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 ht="15.75" customHeight="1" s="125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 ht="15.75" customHeight="1" s="125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 ht="15.75" customHeight="1" s="125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 ht="15.75" customHeight="1" s="125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 ht="15.75" customHeight="1" s="12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 ht="15.75" customHeight="1" s="125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 ht="15.75" customHeight="1" s="125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 ht="15.75" customHeight="1" s="125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 ht="15.75" customHeight="1" s="125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 ht="15.75" customHeight="1" s="125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 ht="15.75" customHeight="1" s="125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 ht="15.75" customHeight="1" s="125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 ht="15.75" customHeight="1" s="125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 ht="15.75" customHeight="1" s="125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 ht="15.75" customHeight="1" s="12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 ht="15.75" customHeight="1" s="125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 ht="15.75" customHeight="1" s="125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 ht="15.75" customHeight="1" s="125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 ht="15.75" customHeight="1" s="125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 ht="15.75" customHeight="1" s="125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 ht="15.75" customHeight="1" s="125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 ht="15.75" customHeight="1" s="125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 ht="15.75" customHeight="1" s="125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 ht="15.75" customHeight="1" s="125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 ht="15.75" customHeight="1" s="12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 ht="15.75" customHeight="1" s="125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 ht="15.75" customHeight="1" s="125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 ht="15.75" customHeight="1" s="125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 ht="15.75" customHeight="1" s="125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 ht="15.75" customHeight="1" s="125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 ht="15.75" customHeight="1" s="125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 ht="15.75" customHeight="1" s="125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 ht="15.75" customHeight="1" s="125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 ht="15.75" customHeight="1" s="125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 ht="15.75" customHeight="1" s="1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 ht="15.75" customHeight="1" s="125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 ht="15.75" customHeight="1" s="125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 ht="15.75" customHeight="1" s="125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 ht="15.75" customHeight="1" s="125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 ht="15.75" customHeight="1" s="125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 ht="15.75" customHeight="1" s="125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 ht="15.75" customHeight="1" s="125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 ht="15.75" customHeight="1" s="125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 ht="15.75" customHeight="1" s="125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 ht="15.75" customHeight="1" s="12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 ht="15.75" customHeight="1" s="125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 ht="15.75" customHeight="1" s="125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 ht="15.75" customHeight="1" s="125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 ht="15.75" customHeight="1" s="125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 ht="15.75" customHeight="1" s="125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 ht="15.75" customHeight="1" s="125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 ht="15.75" customHeight="1" s="125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 ht="15.75" customHeight="1" s="125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 ht="15.75" customHeight="1" s="125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 ht="15.75" customHeight="1" s="12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 ht="15.75" customHeight="1" s="125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 ht="15.75" customHeight="1" s="125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 ht="15.75" customHeight="1" s="125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 ht="15.75" customHeight="1" s="125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 ht="15.75" customHeight="1" s="125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 ht="15.75" customHeight="1" s="125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 ht="15.75" customHeight="1" s="125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 ht="15.75" customHeight="1" s="125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 ht="15.75" customHeight="1" s="125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 ht="15.75" customHeight="1" s="12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 ht="15.75" customHeight="1" s="125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 ht="15.75" customHeight="1" s="125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 ht="15.75" customHeight="1" s="125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 ht="15.75" customHeight="1" s="125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 ht="15.75" customHeight="1" s="125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 ht="15.75" customHeight="1" s="125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 ht="15.75" customHeight="1" s="125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 ht="15.75" customHeight="1" s="125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 ht="15.75" customHeight="1" s="125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 ht="15.75" customHeight="1" s="12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 ht="15.75" customHeight="1" s="125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 ht="15.75" customHeight="1" s="125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 ht="15.75" customHeight="1" s="125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 ht="15.75" customHeight="1" s="125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 ht="15.75" customHeight="1" s="125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 ht="15.75" customHeight="1" s="125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 ht="15.75" customHeight="1" s="125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 ht="15.75" customHeight="1" s="125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 ht="15.75" customHeight="1" s="125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 ht="15.75" customHeight="1" s="12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 ht="15.75" customHeight="1" s="125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 ht="15.75" customHeight="1" s="125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 ht="15.75" customHeight="1" s="125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 ht="15.75" customHeight="1" s="125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 ht="15.75" customHeight="1" s="125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 ht="15.75" customHeight="1" s="125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 ht="15.75" customHeight="1" s="125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 ht="15.75" customHeight="1" s="125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 ht="15.75" customHeight="1" s="125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 ht="15.75" customHeight="1" s="12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 ht="15.75" customHeight="1" s="125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 ht="15.75" customHeight="1" s="125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 ht="15.75" customHeight="1" s="125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 ht="15.75" customHeight="1" s="125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 ht="15.75" customHeight="1" s="125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 ht="15.75" customHeight="1" s="125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 ht="15.75" customHeight="1" s="125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 ht="15.75" customHeight="1" s="125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 ht="15.75" customHeight="1" s="125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 ht="15.75" customHeight="1" s="12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 ht="15.75" customHeight="1" s="125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 ht="15.75" customHeight="1" s="125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 ht="15.75" customHeight="1" s="125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 ht="15.75" customHeight="1" s="125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 ht="15.75" customHeight="1" s="125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dataValidations count="3">
    <dataValidation sqref="D16:D250" showDropDown="0" showInputMessage="0" showErrorMessage="0" allowBlank="1" type="list">
      <formula1>PRODUCT!$B$2:$B$187</formula1>
    </dataValidation>
    <dataValidation sqref="C16:C250" showDropDown="0" showInputMessage="0" showErrorMessage="1" allowBlank="1" type="list">
      <formula1>"SI,NO"</formula1>
    </dataValidation>
    <dataValidation sqref="B16:B187" showDropDown="0" showInputMessage="0" showErrorMessage="1" allowBlank="1" type="list">
      <formula1>"Placa,Perfilería,Accesorio,Masillas"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125" min="1" max="1"/>
    <col width="17.88" customWidth="1" style="125" min="2" max="2"/>
    <col width="12.5" customWidth="1" style="125" min="3" max="3"/>
    <col width="13" customWidth="1" style="125" min="4" max="4"/>
    <col width="39" customWidth="1" style="125" min="5" max="5"/>
    <col width="14.5" customWidth="1" style="125" min="6" max="6"/>
    <col width="14.25" customWidth="1" style="125" min="7" max="7"/>
    <col width="23" customWidth="1" style="125" min="8" max="8"/>
    <col width="16.38" customWidth="1" style="125" min="9" max="9"/>
    <col width="22.25" customWidth="1" style="125" min="10" max="10"/>
    <col width="8.75" customWidth="1" style="125" min="11" max="11"/>
    <col width="16.75" customWidth="1" style="125" min="12" max="12"/>
    <col width="30.13" customWidth="1" style="125" min="13" max="13"/>
    <col width="19.75" customWidth="1" style="125" min="14" max="14"/>
    <col width="23.13" customWidth="1" style="125" min="15" max="15"/>
    <col width="20.13" customWidth="1" style="125" min="16" max="16"/>
    <col width="18" customWidth="1" style="125" min="17" max="17"/>
    <col width="25.13" customWidth="1" style="125" min="18" max="18"/>
    <col width="20" customWidth="1" style="125" min="19" max="19"/>
    <col width="19.63" customWidth="1" style="125" min="20" max="20"/>
    <col width="8.380000000000001" customWidth="1" style="125" min="21" max="21"/>
    <col width="19.88" customWidth="1" style="125" min="22" max="22"/>
  </cols>
  <sheetData>
    <row r="1" ht="15.75" customHeight="1" s="125">
      <c r="A1" s="1" t="inlineStr">
        <is>
          <t>ITEM</t>
        </is>
      </c>
      <c r="B1" s="1" t="inlineStr">
        <is>
          <t>GRUPO_COMPOSICION</t>
        </is>
      </c>
      <c r="C1" s="1" t="inlineStr">
        <is>
          <t>SKU_FASSA</t>
        </is>
      </c>
      <c r="D1" s="1" t="inlineStr">
        <is>
          <t>FAMILIA</t>
        </is>
      </c>
      <c r="E1" s="1" t="inlineStr">
        <is>
          <t>NOMBRE_PRODUCTO</t>
        </is>
      </c>
      <c r="F1" s="1" t="inlineStr">
        <is>
          <t>UNIDAD_PRECIO</t>
        </is>
      </c>
      <c r="G1" s="1" t="inlineStr">
        <is>
          <t>UDS_POR_PALE</t>
        </is>
      </c>
      <c r="H1" s="1" t="inlineStr">
        <is>
          <t>M2_POR_PALE_O_EQUIVALENTE</t>
        </is>
      </c>
      <c r="I1" s="1" t="inlineStr">
        <is>
          <t>AREA_APLICADA_M2</t>
        </is>
      </c>
      <c r="J1" s="1" t="inlineStr">
        <is>
          <t>RENDIMIENTO_APLICADO</t>
        </is>
      </c>
      <c r="K1" s="1" t="inlineStr">
        <is>
          <t>MERMA_%</t>
        </is>
      </c>
      <c r="L1" s="1" t="inlineStr">
        <is>
          <t>FACTOR_AJUSTE</t>
        </is>
      </c>
      <c r="M1" s="1" t="inlineStr">
        <is>
          <t>CANTIDAD_MANUAL_OVERRIDE</t>
        </is>
      </c>
      <c r="N1" s="1" t="inlineStr">
        <is>
          <t>CANTIDAD_TECNICA</t>
        </is>
      </c>
      <c r="O1" s="1" t="inlineStr">
        <is>
          <t>UNIDADES_SUMINISTRO</t>
        </is>
      </c>
      <c r="P1" s="1" t="inlineStr">
        <is>
          <t>PRECIO_BASE_ARIAS_EUR</t>
        </is>
      </c>
      <c r="Q1" s="1" t="inlineStr">
        <is>
          <t>MARGEN_%_APLICADO</t>
        </is>
      </c>
      <c r="R1" s="1" t="inlineStr">
        <is>
          <t>PRECIO_UNITARIO_CLIENTE_EUR</t>
        </is>
      </c>
      <c r="S1" s="1" t="inlineStr">
        <is>
          <t>SUBTOTAL_INTERNO_EUR</t>
        </is>
      </c>
      <c r="T1" s="1" t="inlineStr">
        <is>
          <t>SUBTOTAL_CLIENTE_EUR</t>
        </is>
      </c>
      <c r="U1" s="1" t="inlineStr">
        <is>
          <t>INCLUIR</t>
        </is>
      </c>
      <c r="V1" s="1" t="inlineStr">
        <is>
          <t>OBSERVACION_ITEM</t>
        </is>
      </c>
    </row>
    <row r="2" ht="15.75" customHeight="1" s="125">
      <c r="A2" s="62">
        <f>INPUT_SYSTEM!A2</f>
        <v/>
      </c>
      <c r="B2" s="62">
        <f>INPUT_SYSTEM!B2</f>
        <v/>
      </c>
      <c r="C2" s="58">
        <f>INPUT_SYSTEM!D2</f>
        <v/>
      </c>
      <c r="D2" s="62">
        <f t="array" ref="D2">IFERROR(XLOOKUP($C2,PRODUCT!B:B,PRODUCT!A:A),"")</f>
        <v/>
      </c>
      <c r="E2" s="62">
        <f>IF(C2="","",INPUT_SYSTEM!F16)</f>
        <v/>
      </c>
      <c r="F2" s="63">
        <f t="array" ref="F2">IFERROR(INDEX(PRODUCT!$D:$D,MATCH(C2,PRODUCT!$B:$B,0)),"")</f>
        <v/>
      </c>
      <c r="G2" s="18">
        <f t="array" ref="G2">IFERROR(INDEX(PRODUCT!$E:$E,MATCH(C2,PRODUCT!$B:$B,0)),"")</f>
        <v/>
      </c>
      <c r="H2" s="18">
        <f t="array" ref="H2">IFERROR(INDEX(PRODUCT!$F:$F,MATCH(C2,PRODUCT!$B:$B,0)),"")</f>
        <v/>
      </c>
      <c r="I2" s="63">
        <f>IF(C2="","",INPUT_SYSTEM!G16)</f>
        <v/>
      </c>
      <c r="J2" s="63">
        <f>IF(C2="","",INPUT_SYSTEM!H16)</f>
        <v/>
      </c>
      <c r="K2" s="60">
        <f>IF(C2="","",INPUT_SYSTEM!J16)</f>
        <v/>
      </c>
      <c r="L2" s="61">
        <f>IF(C2="","",INPUT_SYSTEM!K16)</f>
        <v/>
      </c>
      <c r="M2" s="61">
        <f>IF(C2="","",INPUT_SYSTEM!L16)</f>
        <v/>
      </c>
      <c r="N2" s="62">
        <f>IF(U2&lt;&gt;"SI","",IF(M2&lt;&gt;"",M2,IFERROR(I2*J2*(1+K2)*L2,"")))</f>
        <v/>
      </c>
      <c r="O2" s="62">
        <f>IF(N2="","",IF(OR(H2="",H2=0),N2,ROUNDUP(N2/H2,0)))</f>
        <v/>
      </c>
      <c r="P2" s="63">
        <f t="array" ref="P2">IFERROR(INDEX(PRODUCT!$I:$I,MATCH(C2,PRODUCT!$B:$B,0)),"")</f>
        <v/>
      </c>
      <c r="Q2" s="63">
        <f>IF(C2="","",INPUT_SYSTEM!M16)</f>
        <v/>
      </c>
      <c r="R2" s="63">
        <f>IF(P2="","",P2*(1+Q2))</f>
        <v/>
      </c>
      <c r="S2" s="63">
        <f>IF(O2="","",IF(OR(H2="",H2=0),O2*P2,O2*H2*P2))</f>
        <v/>
      </c>
      <c r="T2" s="63">
        <f>IF(O2="","",IF(OR(H2="",H2=0),O2*R2,O2*H2*R2))</f>
        <v/>
      </c>
      <c r="U2" s="62">
        <f>IF(C2="","",INPUT_SYSTEM!C16)</f>
        <v/>
      </c>
      <c r="V2" s="62">
        <f>IF(C2="","",INPUT_SYSTEM!N16)</f>
        <v/>
      </c>
    </row>
    <row r="3" ht="15.75" customHeight="1" s="125">
      <c r="A3" s="62">
        <f>IF(INPUT_SYSTEM!D17="","",INPUT_SYSTEM!A17)</f>
        <v/>
      </c>
      <c r="B3" s="62">
        <f>IF(INPUT_SYSTEM!D17="","",INPUT_SYSTEM!B17)</f>
        <v/>
      </c>
      <c r="C3" s="58">
        <f>IF(INPUT_SYSTEM!D17="","",INPUT_SYSTEM!D17)</f>
        <v/>
      </c>
      <c r="D3" s="62">
        <f>IF(C3="","",INPUT_SYSTEM!E17)</f>
        <v/>
      </c>
      <c r="E3" s="62">
        <f>IF(C3="","",INPUT_SYSTEM!F17)</f>
        <v/>
      </c>
      <c r="F3" s="62">
        <f t="array" ref="F3">IFERROR(INDEX(PRODUCT!$D:$D,MATCH(C3,PRODUCT!$B:$B,0)),"")</f>
        <v/>
      </c>
      <c r="G3" s="14">
        <f t="array" ref="G3">IFERROR(INDEX(PRODUCT!$E:$E,MATCH(C3,PRODUCT!$B:$B,0)),"")</f>
        <v/>
      </c>
      <c r="H3" s="18">
        <f t="array" ref="H3">IFERROR(INDEX(PRODUCT!$F:$F,MATCH(C3,PRODUCT!$B:$B,0)),"")</f>
        <v/>
      </c>
      <c r="I3" s="61">
        <f>IF(C3="","",INPUT_SYSTEM!G17)</f>
        <v/>
      </c>
      <c r="J3" s="61">
        <f>IF(C3="","",INPUT_SYSTEM!H17)</f>
        <v/>
      </c>
      <c r="K3" s="60">
        <f>IF(C3="","",INPUT_SYSTEM!J17)</f>
        <v/>
      </c>
      <c r="L3" s="61">
        <f>IF(C3="","",INPUT_SYSTEM!K17)</f>
        <v/>
      </c>
      <c r="M3" s="61">
        <f>IF(C3="","",INPUT_SYSTEM!L17)</f>
        <v/>
      </c>
      <c r="N3" s="61">
        <f>IF(U3&lt;&gt;"SI","",IF(M3&lt;&gt;"",M3,IFERROR(I3*J3*(1+K3)*L3,"")))</f>
        <v/>
      </c>
      <c r="O3" s="61">
        <f>IF(N3="","",IF(OR(H3="",H3=0),N3,ROUNDUP(N3/H3,0)))</f>
        <v/>
      </c>
      <c r="P3" s="63">
        <f t="array" ref="P3">IFERROR(INDEX(PRODUCT!$I:$I,MATCH(C3,PRODUCT!$B:$B,0)),"")</f>
        <v/>
      </c>
      <c r="Q3" s="63">
        <f>IF(C3="","",INPUT_SYSTEM!M17)</f>
        <v/>
      </c>
      <c r="R3" s="63">
        <f>IF(P3="","",P3*(1+Q3))</f>
        <v/>
      </c>
      <c r="S3" s="63">
        <f>IF(O3="","",IF(OR(H3="",H3=0),O3*P3,O3*H3*P3))</f>
        <v/>
      </c>
      <c r="T3" s="63">
        <f>IF(O3="","",IF(OR(H3="",H3=0),O3*R3,O3*H3*R3))</f>
        <v/>
      </c>
      <c r="U3" s="62">
        <f>IF(C3="","",INPUT_SYSTEM!C17)</f>
        <v/>
      </c>
      <c r="V3" s="62">
        <f>IF(C3="","",INPUT_SYSTEM!N17)</f>
        <v/>
      </c>
    </row>
    <row r="4" ht="15.75" customHeight="1" s="125">
      <c r="A4" s="62">
        <f>IF(INPUT_SYSTEM!D18="","",INPUT_SYSTEM!A18)</f>
        <v/>
      </c>
      <c r="B4" s="62">
        <f>IF(INPUT_SYSTEM!D18="","",INPUT_SYSTEM!B18)</f>
        <v/>
      </c>
      <c r="C4" s="58">
        <f>IF(INPUT_SYSTEM!D18="","",INPUT_SYSTEM!D18)</f>
        <v/>
      </c>
      <c r="D4" s="62">
        <f>IF(C4="","",INPUT_SYSTEM!E18)</f>
        <v/>
      </c>
      <c r="E4" s="62">
        <f>IF(C4="","",INPUT_SYSTEM!F18)</f>
        <v/>
      </c>
      <c r="F4" s="62">
        <f t="array" ref="F4">IFERROR(INDEX(PRODUCT!$D:$D,MATCH(C4,PRODUCT!$B:$B,0)),"")</f>
        <v/>
      </c>
      <c r="G4" s="14">
        <f t="array" ref="G4">IFERROR(INDEX(PRODUCT!$E:$E,MATCH(C4,PRODUCT!$B:$B,0)),"")</f>
        <v/>
      </c>
      <c r="H4" s="18">
        <f t="array" ref="H4">IFERROR(INDEX(PRODUCT!$F:$F,MATCH(C4,PRODUCT!$B:$B,0)),"")</f>
        <v/>
      </c>
      <c r="I4" s="61">
        <f>IF(C4="","",INPUT_SYSTEM!G18)</f>
        <v/>
      </c>
      <c r="J4" s="61">
        <f>IF(C4="","",INPUT_SYSTEM!H18)</f>
        <v/>
      </c>
      <c r="K4" s="60">
        <f>IF(C4="","",INPUT_SYSTEM!J18)</f>
        <v/>
      </c>
      <c r="L4" s="61">
        <f>IF(C4="","",INPUT_SYSTEM!K18)</f>
        <v/>
      </c>
      <c r="M4" s="61">
        <f>IF(C4="","",INPUT_SYSTEM!L18)</f>
        <v/>
      </c>
      <c r="N4" s="61">
        <f>IF(U4&lt;&gt;"SI","",IF(M4&lt;&gt;"",M4,IFERROR(I4*J4*(1+K4)*L4,"")))</f>
        <v/>
      </c>
      <c r="O4" s="61">
        <f>IF(N4="","",IF(OR(H4="",H4=0),N4,ROUNDUP(N4/H4,0)))</f>
        <v/>
      </c>
      <c r="P4" s="63">
        <f t="array" ref="P4">IFERROR(INDEX(PRODUCT!$I:$I,MATCH(C4,PRODUCT!$B:$B,0)),"")</f>
        <v/>
      </c>
      <c r="Q4" s="63">
        <f>IF(C4="","",INPUT_SYSTEM!M18)</f>
        <v/>
      </c>
      <c r="R4" s="63">
        <f>IF(P4="","",P4*(1+Q4))</f>
        <v/>
      </c>
      <c r="S4" s="63">
        <f>IF(O4="","",IF(OR(H4="",H4=0),O4*P4,O4*H4*P4))</f>
        <v/>
      </c>
      <c r="T4" s="63">
        <f>IF(O4="","",IF(OR(H4="",H4=0),O4*R4,O4*H4*R4))</f>
        <v/>
      </c>
      <c r="U4" s="62">
        <f>IF(C4="","",INPUT_SYSTEM!C18)</f>
        <v/>
      </c>
      <c r="V4" s="62">
        <f>IF(C4="","",INPUT_SYSTEM!N18)</f>
        <v/>
      </c>
    </row>
    <row r="5" ht="15.75" customHeight="1" s="125">
      <c r="A5" s="62">
        <f>IF(INPUT_SYSTEM!D19="","",INPUT_SYSTEM!A19)</f>
        <v/>
      </c>
      <c r="B5" s="62">
        <f>IF(INPUT_SYSTEM!D19="","",INPUT_SYSTEM!B19)</f>
        <v/>
      </c>
      <c r="C5" s="58">
        <f>IF(INPUT_SYSTEM!D19="","",INPUT_SYSTEM!D19)</f>
        <v/>
      </c>
      <c r="D5" s="62">
        <f>IF(C5="","",INPUT_SYSTEM!E19)</f>
        <v/>
      </c>
      <c r="E5" s="62">
        <f>IF(C5="","",INPUT_SYSTEM!F19)</f>
        <v/>
      </c>
      <c r="F5" s="62">
        <f t="array" ref="F5">IFERROR(INDEX(PRODUCT!$D:$D,MATCH(C5,PRODUCT!$B:$B,0)),"")</f>
        <v/>
      </c>
      <c r="G5" s="14">
        <f t="array" ref="G5">IFERROR(INDEX(PRODUCT!$E:$E,MATCH(C5,PRODUCT!$B:$B,0)),"")</f>
        <v/>
      </c>
      <c r="H5" s="18">
        <f t="array" ref="H5">IFERROR(INDEX(PRODUCT!$F:$F,MATCH(C5,PRODUCT!$B:$B,0)),"")</f>
        <v/>
      </c>
      <c r="I5" s="61">
        <f>IF(C5="","",INPUT_SYSTEM!G19)</f>
        <v/>
      </c>
      <c r="J5" s="61">
        <f>IF(C5="","",INPUT_SYSTEM!H19)</f>
        <v/>
      </c>
      <c r="K5" s="60">
        <f>IF(C5="","",INPUT_SYSTEM!J19)</f>
        <v/>
      </c>
      <c r="L5" s="61">
        <f>IF(C5="","",INPUT_SYSTEM!K19)</f>
        <v/>
      </c>
      <c r="M5" s="61">
        <f>IF(C5="","",INPUT_SYSTEM!L19)</f>
        <v/>
      </c>
      <c r="N5" s="61">
        <f>IF(U5&lt;&gt;"SI","",IF(M5&lt;&gt;"",M5,IFERROR(I5*J5*(1+K5)*L5,"")))</f>
        <v/>
      </c>
      <c r="O5" s="61">
        <f>IF(N5="","",IF(OR(H5="",H5=0),N5,ROUNDUP(N5/H5,0)))</f>
        <v/>
      </c>
      <c r="P5" s="63">
        <f t="array" ref="P5">IFERROR(INDEX(PRODUCT!$I:$I,MATCH(C5,PRODUCT!$B:$B,0)),"")</f>
        <v/>
      </c>
      <c r="Q5" s="63">
        <f>IF(C5="","",INPUT_SYSTEM!M19)</f>
        <v/>
      </c>
      <c r="R5" s="63">
        <f>IF(P5="","",P5*(1+Q5))</f>
        <v/>
      </c>
      <c r="S5" s="63">
        <f>IF(O5="","",IF(OR(H5="",H5=0),O5*P5,O5*H5*P5))</f>
        <v/>
      </c>
      <c r="T5" s="63">
        <f>IF(O5="","",IF(OR(H5="",H5=0),O5*R5,O5*H5*R5))</f>
        <v/>
      </c>
      <c r="U5" s="62">
        <f>IF(C5="","",INPUT_SYSTEM!C19)</f>
        <v/>
      </c>
      <c r="V5" s="62">
        <f>IF(C5="","",INPUT_SYSTEM!N19)</f>
        <v/>
      </c>
    </row>
    <row r="6" ht="15.75" customHeight="1" s="125">
      <c r="A6" s="62">
        <f>IF(INPUT_SYSTEM!D20="","",INPUT_SYSTEM!A20)</f>
        <v/>
      </c>
      <c r="B6" s="62">
        <f>IF(INPUT_SYSTEM!D20="","",INPUT_SYSTEM!B20)</f>
        <v/>
      </c>
      <c r="C6" s="58">
        <f>IF(INPUT_SYSTEM!D20="","",INPUT_SYSTEM!D20)</f>
        <v/>
      </c>
      <c r="D6" s="62">
        <f>IF(C6="","",INPUT_SYSTEM!E20)</f>
        <v/>
      </c>
      <c r="E6" s="62">
        <f>IF(C6="","",INPUT_SYSTEM!F20)</f>
        <v/>
      </c>
      <c r="F6" s="62">
        <f t="array" ref="F6">IFERROR(INDEX(PRODUCT!$D:$D,MATCH(C6,PRODUCT!$B:$B,0)),"")</f>
        <v/>
      </c>
      <c r="G6" s="14">
        <f t="array" ref="G6">IFERROR(INDEX(PRODUCT!$E:$E,MATCH(C6,PRODUCT!$B:$B,0)),"")</f>
        <v/>
      </c>
      <c r="H6" s="18">
        <f t="array" ref="H6">IFERROR(INDEX(PRODUCT!$F:$F,MATCH(C6,PRODUCT!$B:$B,0)),"")</f>
        <v/>
      </c>
      <c r="I6" s="61">
        <f>IF(C6="","",INPUT_SYSTEM!G20)</f>
        <v/>
      </c>
      <c r="J6" s="61">
        <f>IF(C6="","",INPUT_SYSTEM!H20)</f>
        <v/>
      </c>
      <c r="K6" s="60">
        <f>IF(C6="","",INPUT_SYSTEM!J20)</f>
        <v/>
      </c>
      <c r="L6" s="61">
        <f>IF(C6="","",INPUT_SYSTEM!K20)</f>
        <v/>
      </c>
      <c r="M6" s="61">
        <f>IF(C6="","",INPUT_SYSTEM!L20)</f>
        <v/>
      </c>
      <c r="N6" s="61">
        <f>IF(U6&lt;&gt;"SI","",IF(M6&lt;&gt;"",M6,IFERROR(I6*J6*(1+K6)*L6,"")))</f>
        <v/>
      </c>
      <c r="O6" s="61">
        <f>IF(N6="","",IF(OR(H6="",H6=0),N6,ROUNDUP(N6/H6,0)))</f>
        <v/>
      </c>
      <c r="P6" s="63">
        <f t="array" ref="P6">IFERROR(INDEX(PRODUCT!$I:$I,MATCH(C6,PRODUCT!$B:$B,0)),"")</f>
        <v/>
      </c>
      <c r="Q6" s="63">
        <f>IF(C6="","",INPUT_SYSTEM!M20)</f>
        <v/>
      </c>
      <c r="R6" s="63">
        <f>IF(P6="","",P6*(1+Q6))</f>
        <v/>
      </c>
      <c r="S6" s="63">
        <f>IF(O6="","",IF(OR(H6="",H6=0),O6*P6,O6*H6*P6))</f>
        <v/>
      </c>
      <c r="T6" s="63">
        <f>IF(O6="","",IF(OR(H6="",H6=0),O6*R6,O6*H6*R6))</f>
        <v/>
      </c>
      <c r="U6" s="62">
        <f>IF(C6="","",INPUT_SYSTEM!C20)</f>
        <v/>
      </c>
      <c r="V6" s="62">
        <f>IF(C6="","",INPUT_SYSTEM!N20)</f>
        <v/>
      </c>
    </row>
    <row r="7" ht="15.75" customHeight="1" s="125">
      <c r="A7" s="62">
        <f>IF(INPUT_SYSTEM!D21="","",INPUT_SYSTEM!A21)</f>
        <v/>
      </c>
      <c r="B7" s="62">
        <f>IF(INPUT_SYSTEM!D21="","",INPUT_SYSTEM!B21)</f>
        <v/>
      </c>
      <c r="C7" s="58">
        <f>IF(INPUT_SYSTEM!D21="","",INPUT_SYSTEM!D21)</f>
        <v/>
      </c>
      <c r="D7" s="62">
        <f>IF(C7="","",INPUT_SYSTEM!E21)</f>
        <v/>
      </c>
      <c r="E7" s="62">
        <f>IF(C7="","",INPUT_SYSTEM!F21)</f>
        <v/>
      </c>
      <c r="F7" s="62">
        <f t="array" ref="F7">IFERROR(INDEX(PRODUCT!$D:$D,MATCH(C7,PRODUCT!$B:$B,0)),"")</f>
        <v/>
      </c>
      <c r="G7" s="14">
        <f t="array" ref="G7">IFERROR(INDEX(PRODUCT!$E:$E,MATCH(C7,PRODUCT!$B:$B,0)),"")</f>
        <v/>
      </c>
      <c r="H7" s="18">
        <f t="array" ref="H7">IFERROR(INDEX(PRODUCT!$F:$F,MATCH(C7,PRODUCT!$B:$B,0)),"")</f>
        <v/>
      </c>
      <c r="I7" s="61">
        <f>IF(C7="","",INPUT_SYSTEM!G21)</f>
        <v/>
      </c>
      <c r="J7" s="61">
        <f>IF(C7="","",INPUT_SYSTEM!H21)</f>
        <v/>
      </c>
      <c r="K7" s="60">
        <f>IF(C7="","",INPUT_SYSTEM!J21)</f>
        <v/>
      </c>
      <c r="L7" s="61">
        <f>IF(C7="","",INPUT_SYSTEM!K21)</f>
        <v/>
      </c>
      <c r="M7" s="61">
        <f>IF(C7="","",INPUT_SYSTEM!L21)</f>
        <v/>
      </c>
      <c r="N7" s="61">
        <f>IF(U7&lt;&gt;"SI","",IF(M7&lt;&gt;"",M7,IFERROR(I7*J7*(1+K7)*L7,"")))</f>
        <v/>
      </c>
      <c r="O7" s="61">
        <f>IF(N7="","",IF(OR(H7="",H7=0),N7,ROUNDUP(N7/H7,0)))</f>
        <v/>
      </c>
      <c r="P7" s="63">
        <f t="array" ref="P7">IFERROR(INDEX(PRODUCT!$I:$I,MATCH(C7,PRODUCT!$B:$B,0)),"")</f>
        <v/>
      </c>
      <c r="Q7" s="63">
        <f>IF(C7="","",INPUT_SYSTEM!M21)</f>
        <v/>
      </c>
      <c r="R7" s="63">
        <f>IF(P7="","",P7*(1+Q7))</f>
        <v/>
      </c>
      <c r="S7" s="63">
        <f>IF(O7="","",IF(OR(H7="",H7=0),O7*P7,O7*H7*P7))</f>
        <v/>
      </c>
      <c r="T7" s="63">
        <f>IF(O7="","",IF(OR(H7="",H7=0),O7*R7,O7*H7*R7))</f>
        <v/>
      </c>
      <c r="U7" s="62">
        <f>IF(C7="","",INPUT_SYSTEM!C21)</f>
        <v/>
      </c>
      <c r="V7" s="62">
        <f>IF(C7="","",INPUT_SYSTEM!N21)</f>
        <v/>
      </c>
    </row>
    <row r="8" ht="15.75" customHeight="1" s="125">
      <c r="A8" s="62">
        <f>IF(INPUT_SYSTEM!D22="","",INPUT_SYSTEM!A22)</f>
        <v/>
      </c>
      <c r="B8" s="62">
        <f>IF(INPUT_SYSTEM!D22="","",INPUT_SYSTEM!B22)</f>
        <v/>
      </c>
      <c r="C8" s="58">
        <f>IF(INPUT_SYSTEM!D22="","",INPUT_SYSTEM!D22)</f>
        <v/>
      </c>
      <c r="D8" s="62">
        <f>IF(C8="","",INPUT_SYSTEM!E22)</f>
        <v/>
      </c>
      <c r="E8" s="62">
        <f>IF(C8="","",INPUT_SYSTEM!F22)</f>
        <v/>
      </c>
      <c r="F8" s="62">
        <f t="array" ref="F8">IFERROR(INDEX(PRODUCT!$D:$D,MATCH(C8,PRODUCT!$B:$B,0)),"")</f>
        <v/>
      </c>
      <c r="G8" s="14">
        <f t="array" ref="G8">IFERROR(INDEX(PRODUCT!$E:$E,MATCH(C8,PRODUCT!$B:$B,0)),"")</f>
        <v/>
      </c>
      <c r="H8" s="18">
        <f t="array" ref="H8">IFERROR(INDEX(PRODUCT!$F:$F,MATCH(C8,PRODUCT!$B:$B,0)),"")</f>
        <v/>
      </c>
      <c r="I8" s="61">
        <f>IF(C8="","",INPUT_SYSTEM!G22)</f>
        <v/>
      </c>
      <c r="J8" s="61">
        <f>IF(C8="","",INPUT_SYSTEM!H22)</f>
        <v/>
      </c>
      <c r="K8" s="60">
        <f>IF(C8="","",INPUT_SYSTEM!J22)</f>
        <v/>
      </c>
      <c r="L8" s="61">
        <f>IF(C8="","",INPUT_SYSTEM!K22)</f>
        <v/>
      </c>
      <c r="M8" s="61">
        <f>IF(C8="","",INPUT_SYSTEM!L22)</f>
        <v/>
      </c>
      <c r="N8" s="61">
        <f>IF(U8&lt;&gt;"SI","",IF(M8&lt;&gt;"",M8,IFERROR(I8*J8*(1+K8)*L8,"")))</f>
        <v/>
      </c>
      <c r="O8" s="61">
        <f>IF(N8="","",IF(OR(H8="",H8=0),N8,ROUNDUP(N8/H8,0)))</f>
        <v/>
      </c>
      <c r="P8" s="63">
        <f t="array" ref="P8">IFERROR(INDEX(PRODUCT!$I:$I,MATCH(C8,PRODUCT!$B:$B,0)),"")</f>
        <v/>
      </c>
      <c r="Q8" s="63">
        <f>IF(C8="","",INPUT_SYSTEM!M22)</f>
        <v/>
      </c>
      <c r="R8" s="63">
        <f>IF(P8="","",P8*(1+Q8))</f>
        <v/>
      </c>
      <c r="S8" s="63">
        <f>IF(O8="","",IF(OR(H8="",H8=0),O8*P8,O8*H8*P8))</f>
        <v/>
      </c>
      <c r="T8" s="63">
        <f>IF(O8="","",IF(OR(H8="",H8=0),O8*R8,O8*H8*R8))</f>
        <v/>
      </c>
      <c r="U8" s="62">
        <f>IF(C8="","",INPUT_SYSTEM!C22)</f>
        <v/>
      </c>
      <c r="V8" s="62">
        <f>IF(C8="","",INPUT_SYSTEM!N22)</f>
        <v/>
      </c>
    </row>
    <row r="9" ht="15.75" customHeight="1" s="125">
      <c r="A9" s="62">
        <f>IF(INPUT_SYSTEM!D23="","",INPUT_SYSTEM!A23)</f>
        <v/>
      </c>
      <c r="B9" s="62">
        <f>IF(INPUT_SYSTEM!D23="","",INPUT_SYSTEM!B23)</f>
        <v/>
      </c>
      <c r="C9" s="62">
        <f>IF(INPUT_SYSTEM!D23="","",INPUT_SYSTEM!D23)</f>
        <v/>
      </c>
      <c r="D9" s="62">
        <f>IF(C9="","",INPUT_SYSTEM!E23)</f>
        <v/>
      </c>
      <c r="E9" s="62">
        <f>IF(C9="","",INPUT_SYSTEM!F23)</f>
        <v/>
      </c>
      <c r="F9" s="62">
        <f t="array" ref="F9">IFERROR(INDEX(PRODUCT!$D:$D,MATCH(C9,PRODUCT!$B:$B,0)),"")</f>
        <v/>
      </c>
      <c r="G9" s="62">
        <f t="array" ref="G9">IFERROR(INDEX(PRODUCT!$E:$E,MATCH(C9,PRODUCT!$B:$B,0)),"")</f>
        <v/>
      </c>
      <c r="H9" s="62">
        <f t="array" ref="H9">IFERROR(INDEX(PRODUCT!$F:$F,MATCH(C9,PRODUCT!$B:$B,0)),"")</f>
        <v/>
      </c>
      <c r="I9" s="62">
        <f>IF(C9="","",INPUT_SYSTEM!G23)</f>
        <v/>
      </c>
      <c r="J9" s="62">
        <f>IF(C9="","",INPUT_SYSTEM!H23)</f>
        <v/>
      </c>
      <c r="K9" s="60">
        <f>IF(C9="","",INPUT_SYSTEM!J23)</f>
        <v/>
      </c>
      <c r="L9" s="62">
        <f>IF(C9="","",INPUT_SYSTEM!K23)</f>
        <v/>
      </c>
      <c r="M9" s="62">
        <f>IF(C9="","",INPUT_SYSTEM!L23)</f>
        <v/>
      </c>
      <c r="N9" s="62">
        <f>IF(U9&lt;&gt;"SI","",IF(M9&lt;&gt;"",M9,IFERROR(I9*J9*(1+K9)*L9,"")))</f>
        <v/>
      </c>
      <c r="O9" s="62">
        <f>IF(N9="","",IF(OR(H9="",H9=0),N9,ROUNDUP(N9/H9,0)))</f>
        <v/>
      </c>
      <c r="P9" s="63">
        <f t="array" ref="P9">IFERROR(INDEX(PRODUCT!$I:$I,MATCH(C9,PRODUCT!$B:$B,0)),"")</f>
        <v/>
      </c>
      <c r="Q9" s="63">
        <f>IF(C9="","",INPUT_SYSTEM!M23)</f>
        <v/>
      </c>
      <c r="R9" s="63">
        <f>IF(P9="","",P9*(1+Q9))</f>
        <v/>
      </c>
      <c r="S9" s="63">
        <f>IF(O9="","",IF(OR(H9="",H9=0),O9*P9,O9*H9*P9))</f>
        <v/>
      </c>
      <c r="T9" s="63">
        <f>IF(O9="","",IF(OR(H9="",H9=0),O9*R9,O9*H9*R9))</f>
        <v/>
      </c>
      <c r="U9" s="62">
        <f>IF(C9="","",INPUT_SYSTEM!C23)</f>
        <v/>
      </c>
      <c r="V9" s="62">
        <f>IF(C9="","",INPUT_SYSTEM!N23)</f>
        <v/>
      </c>
    </row>
    <row r="10" ht="15.75" customHeight="1" s="125">
      <c r="A10" s="62">
        <f>IF(INPUT_SYSTEM!D24="","",INPUT_SYSTEM!A24)</f>
        <v/>
      </c>
      <c r="B10" s="62">
        <f>IF(INPUT_SYSTEM!D24="","",INPUT_SYSTEM!B24)</f>
        <v/>
      </c>
      <c r="C10" s="62">
        <f>IF(INPUT_SYSTEM!D24="","",INPUT_SYSTEM!D24)</f>
        <v/>
      </c>
      <c r="D10" s="62">
        <f>IF(C10="","",INPUT_SYSTEM!E24)</f>
        <v/>
      </c>
      <c r="E10" s="62">
        <f>IF(C10="","",INPUT_SYSTEM!F24)</f>
        <v/>
      </c>
      <c r="F10" s="62">
        <f t="array" ref="F10">IFERROR(INDEX(PRODUCT!$D:$D,MATCH(C10,PRODUCT!$B:$B,0)),"")</f>
        <v/>
      </c>
      <c r="G10" s="62">
        <f t="array" ref="G10">IFERROR(INDEX(PRODUCT!$E:$E,MATCH(C10,PRODUCT!$B:$B,0)),"")</f>
        <v/>
      </c>
      <c r="H10" s="62">
        <f t="array" ref="H10">IFERROR(INDEX(PRODUCT!$F:$F,MATCH(C10,PRODUCT!$B:$B,0)),"")</f>
        <v/>
      </c>
      <c r="I10" s="62">
        <f>IF(C10="","",INPUT_SYSTEM!G24)</f>
        <v/>
      </c>
      <c r="J10" s="62">
        <f>IF(C10="","",INPUT_SYSTEM!H24)</f>
        <v/>
      </c>
      <c r="K10" s="60">
        <f>IF(C10="","",INPUT_SYSTEM!J24)</f>
        <v/>
      </c>
      <c r="L10" s="62">
        <f>IF(C10="","",INPUT_SYSTEM!K24)</f>
        <v/>
      </c>
      <c r="M10" s="62">
        <f>IF(C10="","",INPUT_SYSTEM!L24)</f>
        <v/>
      </c>
      <c r="N10" s="62">
        <f>IF(U10&lt;&gt;"SI","",IF(M10&lt;&gt;"",M10,IFERROR(I10*J10*(1+K10)*L10,"")))</f>
        <v/>
      </c>
      <c r="O10" s="62">
        <f>IF(N10="","",IF(OR(H10="",H10=0),N10,ROUNDUP(N10/H10,0)))</f>
        <v/>
      </c>
      <c r="P10" s="63">
        <f t="array" ref="P10">IFERROR(INDEX(PRODUCT!$I:$I,MATCH(C10,PRODUCT!$B:$B,0)),"")</f>
        <v/>
      </c>
      <c r="Q10" s="63">
        <f>IF(C10="","",INPUT_SYSTEM!M24)</f>
        <v/>
      </c>
      <c r="R10" s="63">
        <f>IF(P10="","",P10*(1+Q10))</f>
        <v/>
      </c>
      <c r="S10" s="63">
        <f>IF(O10="","",IF(OR(H10="",H10=0),O10*P10,O10*H10*P10))</f>
        <v/>
      </c>
      <c r="T10" s="63">
        <f>IF(O10="","",IF(OR(H10="",H10=0),O10*R10,O10*H10*R10))</f>
        <v/>
      </c>
      <c r="U10" s="62">
        <f>IF(C10="","",INPUT_SYSTEM!C24)</f>
        <v/>
      </c>
      <c r="V10" s="62">
        <f>IF(C10="","",INPUT_SYSTEM!N24)</f>
        <v/>
      </c>
    </row>
    <row r="11" ht="15.75" customHeight="1" s="125">
      <c r="A11" s="62">
        <f>IF(INPUT_SYSTEM!D25="","",INPUT_SYSTEM!A25)</f>
        <v/>
      </c>
      <c r="B11" s="62">
        <f>IF(INPUT_SYSTEM!D25="","",INPUT_SYSTEM!B25)</f>
        <v/>
      </c>
      <c r="C11" s="62">
        <f>IF(INPUT_SYSTEM!D25="","",INPUT_SYSTEM!D25)</f>
        <v/>
      </c>
      <c r="D11" s="62">
        <f>IF(C11="","",INPUT_SYSTEM!E25)</f>
        <v/>
      </c>
      <c r="E11" s="62">
        <f>IF(C11="","",INPUT_SYSTEM!F25)</f>
        <v/>
      </c>
      <c r="F11" s="62">
        <f t="array" ref="F11">IFERROR(INDEX(PRODUCT!$D:$D,MATCH(C11,PRODUCT!$B:$B,0)),"")</f>
        <v/>
      </c>
      <c r="G11" s="62">
        <f t="array" ref="G11">IFERROR(INDEX(PRODUCT!$E:$E,MATCH(C11,PRODUCT!$B:$B,0)),"")</f>
        <v/>
      </c>
      <c r="H11" s="62">
        <f t="array" ref="H11">IFERROR(INDEX(PRODUCT!$F:$F,MATCH(C11,PRODUCT!$B:$B,0)),"")</f>
        <v/>
      </c>
      <c r="I11" s="62">
        <f>IF(C11="","",INPUT_SYSTEM!G25)</f>
        <v/>
      </c>
      <c r="J11" s="62">
        <f>IF(C11="","",INPUT_SYSTEM!H25)</f>
        <v/>
      </c>
      <c r="K11" s="60">
        <f>IF(C11="","",INPUT_SYSTEM!J25)</f>
        <v/>
      </c>
      <c r="L11" s="62">
        <f>IF(C11="","",INPUT_SYSTEM!K25)</f>
        <v/>
      </c>
      <c r="M11" s="62">
        <f>IF(C11="","",INPUT_SYSTEM!L25)</f>
        <v/>
      </c>
      <c r="N11" s="62">
        <f>IF(U11&lt;&gt;"SI","",IF(M11&lt;&gt;"",M11,IFERROR(I11*J11*(1+K11)*L11,"")))</f>
        <v/>
      </c>
      <c r="O11" s="62">
        <f>IF(N11="","",IF(OR(H11="",H11=0),N11,ROUNDUP(N11/H11,0)))</f>
        <v/>
      </c>
      <c r="P11" s="63">
        <f t="array" ref="P11">IFERROR(INDEX(PRODUCT!$I:$I,MATCH(C11,PRODUCT!$B:$B,0)),"")</f>
        <v/>
      </c>
      <c r="Q11" s="63">
        <f>IF(C11="","",INPUT_SYSTEM!M25)</f>
        <v/>
      </c>
      <c r="R11" s="63">
        <f>IF(P11="","",P11*(1+Q11))</f>
        <v/>
      </c>
      <c r="S11" s="63">
        <f>IF(O11="","",IF(OR(H11="",H11=0),O11*P11,O11*H11*P11))</f>
        <v/>
      </c>
      <c r="T11" s="63">
        <f>IF(O11="","",IF(OR(H11="",H11=0),O11*R11,O11*H11*R11))</f>
        <v/>
      </c>
      <c r="U11" s="62">
        <f>IF(C11="","",INPUT_SYSTEM!C25)</f>
        <v/>
      </c>
      <c r="V11" s="62">
        <f>IF(C11="","",INPUT_SYSTEM!N25)</f>
        <v/>
      </c>
    </row>
    <row r="12" ht="15.75" customHeight="1" s="125">
      <c r="A12" s="62">
        <f>IF(INPUT_SYSTEM!D26="","",INPUT_SYSTEM!A26)</f>
        <v/>
      </c>
      <c r="B12" s="62">
        <f>IF(INPUT_SYSTEM!D26="","",INPUT_SYSTEM!B26)</f>
        <v/>
      </c>
      <c r="C12" s="62">
        <f>IF(INPUT_SYSTEM!D26="","",INPUT_SYSTEM!D26)</f>
        <v/>
      </c>
      <c r="D12" s="62">
        <f>IF(C12="","",INPUT_SYSTEM!E26)</f>
        <v/>
      </c>
      <c r="E12" s="62">
        <f>IF(C12="","",INPUT_SYSTEM!F26)</f>
        <v/>
      </c>
      <c r="F12" s="62">
        <f t="array" ref="F12">IFERROR(INDEX(PRODUCT!$D:$D,MATCH(C12,PRODUCT!$B:$B,0)),"")</f>
        <v/>
      </c>
      <c r="G12" s="62">
        <f t="array" ref="G12">IFERROR(INDEX(PRODUCT!$E:$E,MATCH(C12,PRODUCT!$B:$B,0)),"")</f>
        <v/>
      </c>
      <c r="H12" s="62">
        <f t="array" ref="H12">IFERROR(INDEX(PRODUCT!$F:$F,MATCH(C12,PRODUCT!$B:$B,0)),"")</f>
        <v/>
      </c>
      <c r="I12" s="62">
        <f>IF(C12="","",INPUT_SYSTEM!G26)</f>
        <v/>
      </c>
      <c r="J12" s="62">
        <f>IF(C12="","",INPUT_SYSTEM!H26)</f>
        <v/>
      </c>
      <c r="K12" s="60">
        <f>IF(C12="","",INPUT_SYSTEM!J26)</f>
        <v/>
      </c>
      <c r="L12" s="62">
        <f>IF(C12="","",INPUT_SYSTEM!K26)</f>
        <v/>
      </c>
      <c r="M12" s="62">
        <f>IF(C12="","",INPUT_SYSTEM!L26)</f>
        <v/>
      </c>
      <c r="N12" s="62">
        <f>IF(U12&lt;&gt;"SI","",IF(M12&lt;&gt;"",M12,IFERROR(I12*J12*(1+K12)*L12,"")))</f>
        <v/>
      </c>
      <c r="O12" s="62">
        <f>IF(N12="","",IF(OR(H12="",H12=0),N12,ROUNDUP(N12/H12,0)))</f>
        <v/>
      </c>
      <c r="P12" s="63">
        <f t="array" ref="P12">IFERROR(INDEX(PRODUCT!$I:$I,MATCH(C12,PRODUCT!$B:$B,0)),"")</f>
        <v/>
      </c>
      <c r="Q12" s="63">
        <f>IF(C12="","",INPUT_SYSTEM!M26)</f>
        <v/>
      </c>
      <c r="R12" s="63">
        <f>IF(P12="","",P12*(1+Q12))</f>
        <v/>
      </c>
      <c r="S12" s="63">
        <f>IF(O12="","",IF(OR(H12="",H12=0),O12*P12,O12*H12*P12))</f>
        <v/>
      </c>
      <c r="T12" s="63">
        <f>IF(O12="","",IF(OR(H12="",H12=0),O12*R12,O12*H12*R12))</f>
        <v/>
      </c>
      <c r="U12" s="62">
        <f>IF(C12="","",INPUT_SYSTEM!C26)</f>
        <v/>
      </c>
      <c r="V12" s="62">
        <f>IF(C12="","",INPUT_SYSTEM!N26)</f>
        <v/>
      </c>
    </row>
    <row r="13" ht="15.75" customHeight="1" s="125">
      <c r="A13" s="62">
        <f>IF(INPUT_SYSTEM!D27="","",INPUT_SYSTEM!A27)</f>
        <v/>
      </c>
      <c r="B13" s="62">
        <f>IF(INPUT_SYSTEM!D27="","",INPUT_SYSTEM!B27)</f>
        <v/>
      </c>
      <c r="C13" s="62">
        <f>IF(INPUT_SYSTEM!D27="","",INPUT_SYSTEM!D27)</f>
        <v/>
      </c>
      <c r="D13" s="62">
        <f>IF(C13="","",INPUT_SYSTEM!E27)</f>
        <v/>
      </c>
      <c r="E13" s="62">
        <f>IF(C13="","",INPUT_SYSTEM!F27)</f>
        <v/>
      </c>
      <c r="F13" s="62">
        <f t="array" ref="F13">IFERROR(INDEX(PRODUCT!$D:$D,MATCH(C13,PRODUCT!$B:$B,0)),"")</f>
        <v/>
      </c>
      <c r="G13" s="62">
        <f t="array" ref="G13">IFERROR(INDEX(PRODUCT!$E:$E,MATCH(C13,PRODUCT!$B:$B,0)),"")</f>
        <v/>
      </c>
      <c r="H13" s="62">
        <f t="array" ref="H13">IFERROR(INDEX(PRODUCT!$F:$F,MATCH(C13,PRODUCT!$B:$B,0)),"")</f>
        <v/>
      </c>
      <c r="I13" s="62">
        <f>IF(C13="","",INPUT_SYSTEM!G27)</f>
        <v/>
      </c>
      <c r="J13" s="62">
        <f>IF(C13="","",INPUT_SYSTEM!H27)</f>
        <v/>
      </c>
      <c r="K13" s="60">
        <f>IF(C13="","",INPUT_SYSTEM!J27)</f>
        <v/>
      </c>
      <c r="L13" s="62">
        <f>IF(C13="","",INPUT_SYSTEM!K27)</f>
        <v/>
      </c>
      <c r="M13" s="62">
        <f>IF(C13="","",INPUT_SYSTEM!L27)</f>
        <v/>
      </c>
      <c r="N13" s="62">
        <f>IF(U13&lt;&gt;"SI","",IF(M13&lt;&gt;"",M13,IFERROR(I13*J13*(1+K13)*L13,"")))</f>
        <v/>
      </c>
      <c r="O13" s="62">
        <f>IF(N13="","",IF(OR(H13="",H13=0),N13,ROUNDUP(N13/H13,0)))</f>
        <v/>
      </c>
      <c r="P13" s="63">
        <f t="array" ref="P13">IFERROR(INDEX(PRODUCT!$I:$I,MATCH(C13,PRODUCT!$B:$B,0)),"")</f>
        <v/>
      </c>
      <c r="Q13" s="63">
        <f>IF(C13="","",INPUT_SYSTEM!M27)</f>
        <v/>
      </c>
      <c r="R13" s="63">
        <f>IF(P13="","",P13*(1+Q13))</f>
        <v/>
      </c>
      <c r="S13" s="63">
        <f>IF(O13="","",IF(OR(H13="",H13=0),O13*P13,O13*H13*P13))</f>
        <v/>
      </c>
      <c r="T13" s="63">
        <f>IF(O13="","",IF(OR(H13="",H13=0),O13*R13,O13*H13*R13))</f>
        <v/>
      </c>
      <c r="U13" s="62">
        <f>IF(C13="","",INPUT_SYSTEM!C27)</f>
        <v/>
      </c>
      <c r="V13" s="62">
        <f>IF(C13="","",INPUT_SYSTEM!N27)</f>
        <v/>
      </c>
    </row>
    <row r="14" ht="15.75" customHeight="1" s="125">
      <c r="A14" s="62">
        <f>IF(INPUT_SYSTEM!D28="","",INPUT_SYSTEM!A28)</f>
        <v/>
      </c>
      <c r="B14" s="62">
        <f>IF(INPUT_SYSTEM!D28="","",INPUT_SYSTEM!B28)</f>
        <v/>
      </c>
      <c r="C14" s="62">
        <f>IF(INPUT_SYSTEM!D28="","",INPUT_SYSTEM!D28)</f>
        <v/>
      </c>
      <c r="D14" s="62">
        <f>IF(C14="","",INPUT_SYSTEM!E28)</f>
        <v/>
      </c>
      <c r="E14" s="62">
        <f>IF(C14="","",INPUT_SYSTEM!F28)</f>
        <v/>
      </c>
      <c r="F14" s="62">
        <f t="array" ref="F14">IFERROR(INDEX(PRODUCT!$D:$D,MATCH(C14,PRODUCT!$B:$B,0)),"")</f>
        <v/>
      </c>
      <c r="G14" s="62">
        <f t="array" ref="G14">IFERROR(INDEX(PRODUCT!$E:$E,MATCH(C14,PRODUCT!$B:$B,0)),"")</f>
        <v/>
      </c>
      <c r="H14" s="62">
        <f t="array" ref="H14">IFERROR(INDEX(PRODUCT!$F:$F,MATCH(C14,PRODUCT!$B:$B,0)),"")</f>
        <v/>
      </c>
      <c r="I14" s="62">
        <f>IF(C14="","",INPUT_SYSTEM!G28)</f>
        <v/>
      </c>
      <c r="J14" s="62">
        <f>IF(C14="","",INPUT_SYSTEM!H28)</f>
        <v/>
      </c>
      <c r="K14" s="60">
        <f>IF(C14="","",INPUT_SYSTEM!J28)</f>
        <v/>
      </c>
      <c r="L14" s="62">
        <f>IF(C14="","",INPUT_SYSTEM!K28)</f>
        <v/>
      </c>
      <c r="M14" s="62">
        <f>IF(C14="","",INPUT_SYSTEM!L28)</f>
        <v/>
      </c>
      <c r="N14" s="62">
        <f>IF(U14&lt;&gt;"SI","",IF(M14&lt;&gt;"",M14,IFERROR(I14*J14*(1+K14)*L14,"")))</f>
        <v/>
      </c>
      <c r="O14" s="62">
        <f>IF(N14="","",IF(OR(H14="",H14=0),N14,ROUNDUP(N14/H14,0)))</f>
        <v/>
      </c>
      <c r="P14" s="63">
        <f t="array" ref="P14">IFERROR(INDEX(PRODUCT!$I:$I,MATCH(C14,PRODUCT!$B:$B,0)),"")</f>
        <v/>
      </c>
      <c r="Q14" s="63">
        <f>IF(C14="","",INPUT_SYSTEM!M28)</f>
        <v/>
      </c>
      <c r="R14" s="63">
        <f>IF(P14="","",P14*(1+Q14))</f>
        <v/>
      </c>
      <c r="S14" s="63">
        <f>IF(O14="","",IF(OR(H14="",H14=0),O14*P14,O14*H14*P14))</f>
        <v/>
      </c>
      <c r="T14" s="63">
        <f>IF(O14="","",IF(OR(H14="",H14=0),O14*R14,O14*H14*R14))</f>
        <v/>
      </c>
      <c r="U14" s="62">
        <f>IF(C14="","",INPUT_SYSTEM!C28)</f>
        <v/>
      </c>
      <c r="V14" s="62">
        <f>IF(C14="","",INPUT_SYSTEM!N28)</f>
        <v/>
      </c>
    </row>
    <row r="15" ht="15.75" customHeight="1" s="125">
      <c r="A15" s="62">
        <f>IF(INPUT_SYSTEM!D29="","",INPUT_SYSTEM!A29)</f>
        <v/>
      </c>
      <c r="B15" s="62">
        <f>IF(INPUT_SYSTEM!D29="","",INPUT_SYSTEM!B29)</f>
        <v/>
      </c>
      <c r="C15" s="62">
        <f>IF(INPUT_SYSTEM!D29="","",INPUT_SYSTEM!D29)</f>
        <v/>
      </c>
      <c r="D15" s="62">
        <f>IF(C15="","",INPUT_SYSTEM!E29)</f>
        <v/>
      </c>
      <c r="E15" s="62">
        <f>IF(C15="","",INPUT_SYSTEM!F29)</f>
        <v/>
      </c>
      <c r="F15" s="62">
        <f t="array" ref="F15">IFERROR(INDEX(PRODUCT!$D:$D,MATCH(C15,PRODUCT!$B:$B,0)),"")</f>
        <v/>
      </c>
      <c r="G15" s="62">
        <f t="array" ref="G15">IFERROR(INDEX(PRODUCT!$E:$E,MATCH(C15,PRODUCT!$B:$B,0)),"")</f>
        <v/>
      </c>
      <c r="H15" s="62">
        <f t="array" ref="H15">IFERROR(INDEX(PRODUCT!$F:$F,MATCH(C15,PRODUCT!$B:$B,0)),"")</f>
        <v/>
      </c>
      <c r="I15" s="62">
        <f>IF(C15="","",INPUT_SYSTEM!G29)</f>
        <v/>
      </c>
      <c r="J15" s="62">
        <f>IF(C15="","",INPUT_SYSTEM!H29)</f>
        <v/>
      </c>
      <c r="K15" s="60">
        <f>IF(C15="","",INPUT_SYSTEM!J29)</f>
        <v/>
      </c>
      <c r="L15" s="62">
        <f>IF(C15="","",INPUT_SYSTEM!K29)</f>
        <v/>
      </c>
      <c r="M15" s="62">
        <f>IF(C15="","",INPUT_SYSTEM!L29)</f>
        <v/>
      </c>
      <c r="N15" s="62">
        <f>IF(U15&lt;&gt;"SI","",IF(M15&lt;&gt;"",M15,IFERROR(I15*J15*(1+K15)*L15,"")))</f>
        <v/>
      </c>
      <c r="O15" s="62">
        <f>IF(N15="","",IF(OR(H15="",H15=0),N15,ROUNDUP(N15/H15,0)))</f>
        <v/>
      </c>
      <c r="P15" s="63">
        <f t="array" ref="P15">IFERROR(INDEX(PRODUCT!$I:$I,MATCH(C15,PRODUCT!$B:$B,0)),"")</f>
        <v/>
      </c>
      <c r="Q15" s="63">
        <f>IF(C15="","",INPUT_SYSTEM!M29)</f>
        <v/>
      </c>
      <c r="R15" s="63">
        <f>IF(P15="","",P15*(1+Q15))</f>
        <v/>
      </c>
      <c r="S15" s="63">
        <f>IF(O15="","",IF(OR(H15="",H15=0),O15*P15,O15*H15*P15))</f>
        <v/>
      </c>
      <c r="T15" s="63">
        <f>IF(O15="","",IF(OR(H15="",H15=0),O15*R15,O15*H15*R15))</f>
        <v/>
      </c>
      <c r="U15" s="62">
        <f>IF(C15="","",INPUT_SYSTEM!C29)</f>
        <v/>
      </c>
      <c r="V15" s="62">
        <f>IF(C15="","",INPUT_SYSTEM!N29)</f>
        <v/>
      </c>
    </row>
    <row r="16" ht="15.75" customHeight="1" s="125">
      <c r="A16" s="62">
        <f>IF(INPUT_SYSTEM!D30="","",INPUT_SYSTEM!A30)</f>
        <v/>
      </c>
      <c r="B16" s="62">
        <f>IF(INPUT_SYSTEM!D30="","",INPUT_SYSTEM!B30)</f>
        <v/>
      </c>
      <c r="C16" s="62">
        <f>IF(INPUT_SYSTEM!D30="","",INPUT_SYSTEM!D30)</f>
        <v/>
      </c>
      <c r="D16" s="62">
        <f>IF(C16="","",INPUT_SYSTEM!E30)</f>
        <v/>
      </c>
      <c r="E16" s="62">
        <f>IF(C16="","",INPUT_SYSTEM!F30)</f>
        <v/>
      </c>
      <c r="F16" s="62">
        <f t="array" ref="F16">IFERROR(INDEX(PRODUCT!$D:$D,MATCH(C16,PRODUCT!$B:$B,0)),"")</f>
        <v/>
      </c>
      <c r="G16" s="62">
        <f t="array" ref="G16">IFERROR(INDEX(PRODUCT!$E:$E,MATCH(C16,PRODUCT!$B:$B,0)),"")</f>
        <v/>
      </c>
      <c r="H16" s="62">
        <f t="array" ref="H16">IFERROR(INDEX(PRODUCT!$F:$F,MATCH(C16,PRODUCT!$B:$B,0)),"")</f>
        <v/>
      </c>
      <c r="I16" s="62">
        <f>IF(C16="","",INPUT_SYSTEM!G30)</f>
        <v/>
      </c>
      <c r="J16" s="62">
        <f>IF(C16="","",INPUT_SYSTEM!H30)</f>
        <v/>
      </c>
      <c r="K16" s="60">
        <f>IF(C16="","",INPUT_SYSTEM!J30)</f>
        <v/>
      </c>
      <c r="L16" s="62">
        <f>IF(C16="","",INPUT_SYSTEM!K30)</f>
        <v/>
      </c>
      <c r="M16" s="62">
        <f>IF(C16="","",INPUT_SYSTEM!L30)</f>
        <v/>
      </c>
      <c r="N16" s="62">
        <f>IF(U16&lt;&gt;"SI","",IF(M16&lt;&gt;"",M16,IFERROR(I16*J16*(1+K16)*L16,"")))</f>
        <v/>
      </c>
      <c r="O16" s="62">
        <f>IF(N16="","",IF(OR(H16="",H16=0),N16,ROUNDUP(N16/H16,0)))</f>
        <v/>
      </c>
      <c r="P16" s="63">
        <f t="array" ref="P16">IFERROR(INDEX(PRODUCT!$I:$I,MATCH(C16,PRODUCT!$B:$B,0)),"")</f>
        <v/>
      </c>
      <c r="Q16" s="63">
        <f>IF(C16="","",INPUT_SYSTEM!M30)</f>
        <v/>
      </c>
      <c r="R16" s="63">
        <f>IF(P16="","",P16*(1+Q16))</f>
        <v/>
      </c>
      <c r="S16" s="63">
        <f>IF(O16="","",IF(OR(H16="",H16=0),O16*P16,O16*H16*P16))</f>
        <v/>
      </c>
      <c r="T16" s="63">
        <f>IF(O16="","",IF(OR(H16="",H16=0),O16*R16,O16*H16*R16))</f>
        <v/>
      </c>
      <c r="U16" s="62">
        <f>IF(C16="","",INPUT_SYSTEM!C30)</f>
        <v/>
      </c>
      <c r="V16" s="62">
        <f>IF(C16="","",INPUT_SYSTEM!N30)</f>
        <v/>
      </c>
    </row>
    <row r="17" ht="15.75" customHeight="1" s="125">
      <c r="A17" s="62">
        <f>IF(INPUT_SYSTEM!D31="","",INPUT_SYSTEM!A31)</f>
        <v/>
      </c>
      <c r="B17" s="62">
        <f>IF(INPUT_SYSTEM!D31="","",INPUT_SYSTEM!B31)</f>
        <v/>
      </c>
      <c r="C17" s="62">
        <f>IF(INPUT_SYSTEM!D31="","",INPUT_SYSTEM!D31)</f>
        <v/>
      </c>
      <c r="D17" s="62">
        <f>IF(C17="","",INPUT_SYSTEM!E31)</f>
        <v/>
      </c>
      <c r="E17" s="62">
        <f>IF(C17="","",INPUT_SYSTEM!F31)</f>
        <v/>
      </c>
      <c r="F17" s="62">
        <f t="array" ref="F17">IFERROR(INDEX(PRODUCT!$D:$D,MATCH(C17,PRODUCT!$B:$B,0)),"")</f>
        <v/>
      </c>
      <c r="G17" s="62">
        <f t="array" ref="G17">IFERROR(INDEX(PRODUCT!$E:$E,MATCH(C17,PRODUCT!$B:$B,0)),"")</f>
        <v/>
      </c>
      <c r="H17" s="62">
        <f t="array" ref="H17">IFERROR(INDEX(PRODUCT!$F:$F,MATCH(C17,PRODUCT!$B:$B,0)),"")</f>
        <v/>
      </c>
      <c r="I17" s="62">
        <f>IF(C17="","",INPUT_SYSTEM!G31)</f>
        <v/>
      </c>
      <c r="J17" s="62">
        <f>IF(C17="","",INPUT_SYSTEM!H31)</f>
        <v/>
      </c>
      <c r="K17" s="60">
        <f>IF(C17="","",INPUT_SYSTEM!J31)</f>
        <v/>
      </c>
      <c r="L17" s="62">
        <f>IF(C17="","",INPUT_SYSTEM!K31)</f>
        <v/>
      </c>
      <c r="M17" s="62">
        <f>IF(C17="","",INPUT_SYSTEM!L31)</f>
        <v/>
      </c>
      <c r="N17" s="62">
        <f>IF(U17&lt;&gt;"SI","",IF(M17&lt;&gt;"",M17,IFERROR(I17*J17*(1+K17)*L17,"")))</f>
        <v/>
      </c>
      <c r="O17" s="62">
        <f>IF(N17="","",IF(OR(H17="",H17=0),N17,ROUNDUP(N17/H17,0)))</f>
        <v/>
      </c>
      <c r="P17" s="63">
        <f t="array" ref="P17">IFERROR(INDEX(PRODUCT!$I:$I,MATCH(C17,PRODUCT!$B:$B,0)),"")</f>
        <v/>
      </c>
      <c r="Q17" s="63">
        <f>IF(C17="","",INPUT_SYSTEM!M31)</f>
        <v/>
      </c>
      <c r="R17" s="63">
        <f>IF(P17="","",P17*(1+Q17))</f>
        <v/>
      </c>
      <c r="S17" s="63">
        <f>IF(O17="","",IF(OR(H17="",H17=0),O17*P17,O17*H17*P17))</f>
        <v/>
      </c>
      <c r="T17" s="63">
        <f>IF(O17="","",IF(OR(H17="",H17=0),O17*R17,O17*H17*R17))</f>
        <v/>
      </c>
      <c r="U17" s="62">
        <f>IF(C17="","",INPUT_SYSTEM!C31)</f>
        <v/>
      </c>
      <c r="V17" s="62">
        <f>IF(C17="","",INPUT_SYSTEM!N31)</f>
        <v/>
      </c>
    </row>
    <row r="18" ht="15.75" customHeight="1" s="125">
      <c r="A18" s="62">
        <f>IF(INPUT_SYSTEM!D32="","",INPUT_SYSTEM!A32)</f>
        <v/>
      </c>
      <c r="B18" s="62">
        <f>IF(INPUT_SYSTEM!D32="","",INPUT_SYSTEM!B32)</f>
        <v/>
      </c>
      <c r="C18" s="62">
        <f>IF(INPUT_SYSTEM!D32="","",INPUT_SYSTEM!D32)</f>
        <v/>
      </c>
      <c r="D18" s="62">
        <f>IF(C18="","",INPUT_SYSTEM!E32)</f>
        <v/>
      </c>
      <c r="E18" s="62">
        <f>IF(C18="","",INPUT_SYSTEM!F32)</f>
        <v/>
      </c>
      <c r="F18" s="62">
        <f t="array" ref="F18">IFERROR(INDEX(PRODUCT!$D:$D,MATCH(C18,PRODUCT!$B:$B,0)),"")</f>
        <v/>
      </c>
      <c r="G18" s="62">
        <f t="array" ref="G18">IFERROR(INDEX(PRODUCT!$E:$E,MATCH(C18,PRODUCT!$B:$B,0)),"")</f>
        <v/>
      </c>
      <c r="H18" s="62">
        <f t="array" ref="H18">IFERROR(INDEX(PRODUCT!$F:$F,MATCH(C18,PRODUCT!$B:$B,0)),"")</f>
        <v/>
      </c>
      <c r="I18" s="62">
        <f>IF(C18="","",INPUT_SYSTEM!G32)</f>
        <v/>
      </c>
      <c r="J18" s="62">
        <f>IF(C18="","",INPUT_SYSTEM!H32)</f>
        <v/>
      </c>
      <c r="K18" s="60">
        <f>IF(C18="","",INPUT_SYSTEM!J32)</f>
        <v/>
      </c>
      <c r="L18" s="62">
        <f>IF(C18="","",INPUT_SYSTEM!K32)</f>
        <v/>
      </c>
      <c r="M18" s="62">
        <f>IF(C18="","",INPUT_SYSTEM!L32)</f>
        <v/>
      </c>
      <c r="N18" s="62">
        <f>IF(U18&lt;&gt;"SI","",IF(M18&lt;&gt;"",M18,IFERROR(I18*J18*(1+K18)*L18,"")))</f>
        <v/>
      </c>
      <c r="O18" s="62">
        <f>IF(N18="","",IF(OR(H18="",H18=0),N18,ROUNDUP(N18/H18,0)))</f>
        <v/>
      </c>
      <c r="P18" s="63">
        <f t="array" ref="P18">IFERROR(INDEX(PRODUCT!$I:$I,MATCH(C18,PRODUCT!$B:$B,0)),"")</f>
        <v/>
      </c>
      <c r="Q18" s="63">
        <f>IF(C18="","",INPUT_SYSTEM!M32)</f>
        <v/>
      </c>
      <c r="R18" s="63">
        <f>IF(P18="","",P18*(1+Q18))</f>
        <v/>
      </c>
      <c r="S18" s="63">
        <f>IF(O18="","",IF(OR(H18="",H18=0),O18*P18,O18*H18*P18))</f>
        <v/>
      </c>
      <c r="T18" s="63">
        <f>IF(O18="","",IF(OR(H18="",H18=0),O18*R18,O18*H18*R18))</f>
        <v/>
      </c>
      <c r="U18" s="62">
        <f>IF(C18="","",INPUT_SYSTEM!C32)</f>
        <v/>
      </c>
      <c r="V18" s="62">
        <f>IF(C18="","",INPUT_SYSTEM!N32)</f>
        <v/>
      </c>
    </row>
    <row r="19" ht="15.75" customHeight="1" s="125">
      <c r="A19" s="62">
        <f>IF(INPUT_SYSTEM!D33="","",INPUT_SYSTEM!A33)</f>
        <v/>
      </c>
      <c r="B19" s="62">
        <f>IF(INPUT_SYSTEM!D33="","",INPUT_SYSTEM!B33)</f>
        <v/>
      </c>
      <c r="C19" s="62">
        <f>IF(INPUT_SYSTEM!D33="","",INPUT_SYSTEM!D33)</f>
        <v/>
      </c>
      <c r="D19" s="62">
        <f>IF(C19="","",INPUT_SYSTEM!E33)</f>
        <v/>
      </c>
      <c r="E19" s="62">
        <f>IF(C19="","",INPUT_SYSTEM!F33)</f>
        <v/>
      </c>
      <c r="F19" s="62">
        <f t="array" ref="F19">IFERROR(INDEX(PRODUCT!$D:$D,MATCH(C19,PRODUCT!$B:$B,0)),"")</f>
        <v/>
      </c>
      <c r="G19" s="62">
        <f t="array" ref="G19">IFERROR(INDEX(PRODUCT!$E:$E,MATCH(C19,PRODUCT!$B:$B,0)),"")</f>
        <v/>
      </c>
      <c r="H19" s="62">
        <f t="array" ref="H19">IFERROR(INDEX(PRODUCT!$F:$F,MATCH(C19,PRODUCT!$B:$B,0)),"")</f>
        <v/>
      </c>
      <c r="I19" s="62">
        <f>IF(C19="","",INPUT_SYSTEM!G33)</f>
        <v/>
      </c>
      <c r="J19" s="62">
        <f>IF(C19="","",INPUT_SYSTEM!H33)</f>
        <v/>
      </c>
      <c r="K19" s="60">
        <f>IF(C19="","",INPUT_SYSTEM!J33)</f>
        <v/>
      </c>
      <c r="L19" s="62">
        <f>IF(C19="","",INPUT_SYSTEM!K33)</f>
        <v/>
      </c>
      <c r="M19" s="62">
        <f>IF(C19="","",INPUT_SYSTEM!L33)</f>
        <v/>
      </c>
      <c r="N19" s="62">
        <f>IF(U19&lt;&gt;"SI","",IF(M19&lt;&gt;"",M19,IFERROR(I19*J19*(1+K19)*L19,"")))</f>
        <v/>
      </c>
      <c r="O19" s="62">
        <f>IF(N19="","",IF(OR(H19="",H19=0),N19,ROUNDUP(N19/H19,0)))</f>
        <v/>
      </c>
      <c r="P19" s="63">
        <f t="array" ref="P19">IFERROR(INDEX(PRODUCT!$I:$I,MATCH(C19,PRODUCT!$B:$B,0)),"")</f>
        <v/>
      </c>
      <c r="Q19" s="63">
        <f>IF(C19="","",INPUT_SYSTEM!M33)</f>
        <v/>
      </c>
      <c r="R19" s="63">
        <f>IF(P19="","",P19*(1+Q19))</f>
        <v/>
      </c>
      <c r="S19" s="63">
        <f>IF(O19="","",IF(OR(H19="",H19=0),O19*P19,O19*H19*P19))</f>
        <v/>
      </c>
      <c r="T19" s="63">
        <f>IF(O19="","",IF(OR(H19="",H19=0),O19*R19,O19*H19*R19))</f>
        <v/>
      </c>
      <c r="U19" s="62">
        <f>IF(C19="","",INPUT_SYSTEM!C33)</f>
        <v/>
      </c>
      <c r="V19" s="62">
        <f>IF(C19="","",INPUT_SYSTEM!N33)</f>
        <v/>
      </c>
    </row>
    <row r="20" ht="15.75" customHeight="1" s="125">
      <c r="A20" s="62">
        <f>IF(INPUT_SYSTEM!D34="","",INPUT_SYSTEM!A34)</f>
        <v/>
      </c>
      <c r="B20" s="62">
        <f>IF(INPUT_SYSTEM!D34="","",INPUT_SYSTEM!B34)</f>
        <v/>
      </c>
      <c r="C20" s="62">
        <f>IF(INPUT_SYSTEM!D34="","",INPUT_SYSTEM!D34)</f>
        <v/>
      </c>
      <c r="D20" s="62">
        <f>IF(C20="","",INPUT_SYSTEM!E34)</f>
        <v/>
      </c>
      <c r="E20" s="62">
        <f>IF(C20="","",INPUT_SYSTEM!F34)</f>
        <v/>
      </c>
      <c r="F20" s="62">
        <f t="array" ref="F20">IFERROR(INDEX(PRODUCT!$D:$D,MATCH(C20,PRODUCT!$B:$B,0)),"")</f>
        <v/>
      </c>
      <c r="G20" s="62">
        <f t="array" ref="G20">IFERROR(INDEX(PRODUCT!$E:$E,MATCH(C20,PRODUCT!$B:$B,0)),"")</f>
        <v/>
      </c>
      <c r="H20" s="62">
        <f t="array" ref="H20">IFERROR(INDEX(PRODUCT!$F:$F,MATCH(C20,PRODUCT!$B:$B,0)),"")</f>
        <v/>
      </c>
      <c r="I20" s="62">
        <f>IF(C20="","",INPUT_SYSTEM!G34)</f>
        <v/>
      </c>
      <c r="J20" s="62">
        <f>IF(C20="","",INPUT_SYSTEM!H34)</f>
        <v/>
      </c>
      <c r="K20" s="60">
        <f>IF(C20="","",INPUT_SYSTEM!J34)</f>
        <v/>
      </c>
      <c r="L20" s="62">
        <f>IF(C20="","",INPUT_SYSTEM!K34)</f>
        <v/>
      </c>
      <c r="M20" s="62">
        <f>IF(C20="","",INPUT_SYSTEM!L34)</f>
        <v/>
      </c>
      <c r="N20" s="62">
        <f>IF(U20&lt;&gt;"SI","",IF(M20&lt;&gt;"",M20,IFERROR(I20*J20*(1+K20)*L20,"")))</f>
        <v/>
      </c>
      <c r="O20" s="62">
        <f>IF(N20="","",IF(OR(H20="",H20=0),N20,ROUNDUP(N20/H20,0)))</f>
        <v/>
      </c>
      <c r="P20" s="63">
        <f t="array" ref="P20">IFERROR(INDEX(PRODUCT!$I:$I,MATCH(C20,PRODUCT!$B:$B,0)),"")</f>
        <v/>
      </c>
      <c r="Q20" s="63">
        <f>IF(C20="","",INPUT_SYSTEM!M34)</f>
        <v/>
      </c>
      <c r="R20" s="63">
        <f>IF(P20="","",P20*(1+Q20))</f>
        <v/>
      </c>
      <c r="S20" s="63">
        <f>IF(O20="","",IF(OR(H20="",H20=0),O20*P20,O20*H20*P20))</f>
        <v/>
      </c>
      <c r="T20" s="63">
        <f>IF(O20="","",IF(OR(H20="",H20=0),O20*R20,O20*H20*R20))</f>
        <v/>
      </c>
      <c r="U20" s="62">
        <f>IF(C20="","",INPUT_SYSTEM!C34)</f>
        <v/>
      </c>
      <c r="V20" s="62">
        <f>IF(C20="","",INPUT_SYSTEM!N34)</f>
        <v/>
      </c>
    </row>
    <row r="21" ht="15.75" customHeight="1" s="125">
      <c r="A21" s="62">
        <f>IF(INPUT_SYSTEM!D35="","",INPUT_SYSTEM!A35)</f>
        <v/>
      </c>
      <c r="B21" s="62">
        <f>IF(INPUT_SYSTEM!D35="","",INPUT_SYSTEM!B35)</f>
        <v/>
      </c>
      <c r="C21" s="62">
        <f>IF(INPUT_SYSTEM!D35="","",INPUT_SYSTEM!D35)</f>
        <v/>
      </c>
      <c r="D21" s="62">
        <f>IF(C21="","",INPUT_SYSTEM!E35)</f>
        <v/>
      </c>
      <c r="E21" s="62">
        <f>IF(C21="","",INPUT_SYSTEM!F35)</f>
        <v/>
      </c>
      <c r="F21" s="62">
        <f t="array" ref="F21">IFERROR(INDEX(PRODUCT!$D:$D,MATCH(C21,PRODUCT!$B:$B,0)),"")</f>
        <v/>
      </c>
      <c r="G21" s="62">
        <f t="array" ref="G21">IFERROR(INDEX(PRODUCT!$E:$E,MATCH(C21,PRODUCT!$B:$B,0)),"")</f>
        <v/>
      </c>
      <c r="H21" s="62">
        <f t="array" ref="H21">IFERROR(INDEX(PRODUCT!$F:$F,MATCH(C21,PRODUCT!$B:$B,0)),"")</f>
        <v/>
      </c>
      <c r="I21" s="62">
        <f>IF(C21="","",INPUT_SYSTEM!G35)</f>
        <v/>
      </c>
      <c r="J21" s="62">
        <f>IF(C21="","",INPUT_SYSTEM!H35)</f>
        <v/>
      </c>
      <c r="K21" s="60">
        <f>IF(C21="","",INPUT_SYSTEM!J35)</f>
        <v/>
      </c>
      <c r="L21" s="62">
        <f>IF(C21="","",INPUT_SYSTEM!K35)</f>
        <v/>
      </c>
      <c r="M21" s="62">
        <f>IF(C21="","",INPUT_SYSTEM!L35)</f>
        <v/>
      </c>
      <c r="N21" s="62">
        <f>IF(U21&lt;&gt;"SI","",IF(M21&lt;&gt;"",M21,IFERROR(I21*J21*(1+K21)*L21,"")))</f>
        <v/>
      </c>
      <c r="O21" s="62">
        <f>IF(N21="","",IF(OR(H21="",H21=0),N21,ROUNDUP(N21/H21,0)))</f>
        <v/>
      </c>
      <c r="P21" s="63">
        <f t="array" ref="P21">IFERROR(INDEX(PRODUCT!$I:$I,MATCH(C21,PRODUCT!$B:$B,0)),"")</f>
        <v/>
      </c>
      <c r="Q21" s="63">
        <f>IF(C21="","",INPUT_SYSTEM!M35)</f>
        <v/>
      </c>
      <c r="R21" s="63">
        <f>IF(P21="","",P21*(1+Q21))</f>
        <v/>
      </c>
      <c r="S21" s="63">
        <f>IF(O21="","",IF(OR(H21="",H21=0),O21*P21,O21*H21*P21))</f>
        <v/>
      </c>
      <c r="T21" s="63">
        <f>IF(O21="","",IF(OR(H21="",H21=0),O21*R21,O21*H21*R21))</f>
        <v/>
      </c>
      <c r="U21" s="62">
        <f>IF(C21="","",INPUT_SYSTEM!C35)</f>
        <v/>
      </c>
      <c r="V21" s="62">
        <f>IF(C21="","",INPUT_SYSTEM!N35)</f>
        <v/>
      </c>
    </row>
    <row r="22" ht="15.75" customHeight="1" s="125">
      <c r="A22" s="62">
        <f>IF(INPUT_SYSTEM!D36="","",INPUT_SYSTEM!A36)</f>
        <v/>
      </c>
      <c r="B22" s="62">
        <f>IF(INPUT_SYSTEM!D36="","",INPUT_SYSTEM!B36)</f>
        <v/>
      </c>
      <c r="C22" s="62">
        <f>IF(INPUT_SYSTEM!D36="","",INPUT_SYSTEM!D36)</f>
        <v/>
      </c>
      <c r="D22" s="62">
        <f>IF(C22="","",INPUT_SYSTEM!E36)</f>
        <v/>
      </c>
      <c r="E22" s="62">
        <f>IF(C22="","",INPUT_SYSTEM!F36)</f>
        <v/>
      </c>
      <c r="F22" s="62">
        <f t="array" ref="F22">IFERROR(INDEX(PRODUCT!$D:$D,MATCH(C22,PRODUCT!$B:$B,0)),"")</f>
        <v/>
      </c>
      <c r="G22" s="62">
        <f t="array" ref="G22">IFERROR(INDEX(PRODUCT!$E:$E,MATCH(C22,PRODUCT!$B:$B,0)),"")</f>
        <v/>
      </c>
      <c r="H22" s="62">
        <f t="array" ref="H22">IFERROR(INDEX(PRODUCT!$F:$F,MATCH(C22,PRODUCT!$B:$B,0)),"")</f>
        <v/>
      </c>
      <c r="I22" s="62">
        <f>IF(C22="","",INPUT_SYSTEM!G36)</f>
        <v/>
      </c>
      <c r="J22" s="62">
        <f>IF(C22="","",INPUT_SYSTEM!H36)</f>
        <v/>
      </c>
      <c r="K22" s="60">
        <f>IF(C22="","",INPUT_SYSTEM!J36)</f>
        <v/>
      </c>
      <c r="L22" s="62">
        <f>IF(C22="","",INPUT_SYSTEM!K36)</f>
        <v/>
      </c>
      <c r="M22" s="62">
        <f>IF(C22="","",INPUT_SYSTEM!L36)</f>
        <v/>
      </c>
      <c r="N22" s="62">
        <f>IF(U22&lt;&gt;"SI","",IF(M22&lt;&gt;"",M22,IFERROR(I22*J22*(1+K22)*L22,"")))</f>
        <v/>
      </c>
      <c r="O22" s="62">
        <f>IF(N22="","",IF(OR(H22="",H22=0),N22,ROUNDUP(N22/H22,0)))</f>
        <v/>
      </c>
      <c r="P22" s="63">
        <f t="array" ref="P22">IFERROR(INDEX(PRODUCT!$I:$I,MATCH(C22,PRODUCT!$B:$B,0)),"")</f>
        <v/>
      </c>
      <c r="Q22" s="63">
        <f>IF(C22="","",INPUT_SYSTEM!M36)</f>
        <v/>
      </c>
      <c r="R22" s="63">
        <f>IF(P22="","",P22*(1+Q22))</f>
        <v/>
      </c>
      <c r="S22" s="63">
        <f>IF(O22="","",IF(OR(H22="",H22=0),O22*P22,O22*H22*P22))</f>
        <v/>
      </c>
      <c r="T22" s="63">
        <f>IF(O22="","",IF(OR(H22="",H22=0),O22*R22,O22*H22*R22))</f>
        <v/>
      </c>
      <c r="U22" s="62">
        <f>IF(C22="","",INPUT_SYSTEM!C36)</f>
        <v/>
      </c>
      <c r="V22" s="62">
        <f>IF(C22="","",INPUT_SYSTEM!N36)</f>
        <v/>
      </c>
    </row>
    <row r="23" ht="15.75" customHeight="1" s="125">
      <c r="A23" s="62">
        <f>IF(INPUT_SYSTEM!D37="","",INPUT_SYSTEM!A37)</f>
        <v/>
      </c>
      <c r="B23" s="62">
        <f>IF(INPUT_SYSTEM!D37="","",INPUT_SYSTEM!B37)</f>
        <v/>
      </c>
      <c r="C23" s="62">
        <f>IF(INPUT_SYSTEM!D37="","",INPUT_SYSTEM!D37)</f>
        <v/>
      </c>
      <c r="D23" s="62">
        <f>IF(C23="","",INPUT_SYSTEM!E37)</f>
        <v/>
      </c>
      <c r="E23" s="62">
        <f>IF(C23="","",INPUT_SYSTEM!F37)</f>
        <v/>
      </c>
      <c r="F23" s="62">
        <f t="array" ref="F23">IFERROR(INDEX(PRODUCT!$D:$D,MATCH(C23,PRODUCT!$B:$B,0)),"")</f>
        <v/>
      </c>
      <c r="G23" s="62">
        <f t="array" ref="G23">IFERROR(INDEX(PRODUCT!$E:$E,MATCH(C23,PRODUCT!$B:$B,0)),"")</f>
        <v/>
      </c>
      <c r="H23" s="62">
        <f t="array" ref="H23">IFERROR(INDEX(PRODUCT!$F:$F,MATCH(C23,PRODUCT!$B:$B,0)),"")</f>
        <v/>
      </c>
      <c r="I23" s="62">
        <f>IF(C23="","",INPUT_SYSTEM!G37)</f>
        <v/>
      </c>
      <c r="J23" s="62">
        <f>IF(C23="","",INPUT_SYSTEM!H37)</f>
        <v/>
      </c>
      <c r="K23" s="60">
        <f>IF(C23="","",INPUT_SYSTEM!J37)</f>
        <v/>
      </c>
      <c r="L23" s="62">
        <f>IF(C23="","",INPUT_SYSTEM!K37)</f>
        <v/>
      </c>
      <c r="M23" s="62">
        <f>IF(C23="","",INPUT_SYSTEM!L37)</f>
        <v/>
      </c>
      <c r="N23" s="62">
        <f>IF(U23&lt;&gt;"SI","",IF(M23&lt;&gt;"",M23,IFERROR(I23*J23*(1+K23)*L23,"")))</f>
        <v/>
      </c>
      <c r="O23" s="62">
        <f>IF(N23="","",IF(OR(H23="",H23=0),N23,ROUNDUP(N23/H23,0)))</f>
        <v/>
      </c>
      <c r="P23" s="63">
        <f t="array" ref="P23">IFERROR(INDEX(PRODUCT!$I:$I,MATCH(C23,PRODUCT!$B:$B,0)),"")</f>
        <v/>
      </c>
      <c r="Q23" s="63">
        <f>IF(C23="","",INPUT_SYSTEM!M37)</f>
        <v/>
      </c>
      <c r="R23" s="63">
        <f>IF(P23="","",P23*(1+Q23))</f>
        <v/>
      </c>
      <c r="S23" s="63">
        <f>IF(O23="","",IF(OR(H23="",H23=0),O23*P23,O23*H23*P23))</f>
        <v/>
      </c>
      <c r="T23" s="63">
        <f>IF(O23="","",IF(OR(H23="",H23=0),O23*R23,O23*H23*R23))</f>
        <v/>
      </c>
      <c r="U23" s="62">
        <f>IF(C23="","",INPUT_SYSTEM!C37)</f>
        <v/>
      </c>
      <c r="V23" s="62">
        <f>IF(C23="","",INPUT_SYSTEM!N37)</f>
        <v/>
      </c>
    </row>
    <row r="24" ht="15.75" customHeight="1" s="125">
      <c r="A24" s="62">
        <f>IF(INPUT_SYSTEM!D38="","",INPUT_SYSTEM!A38)</f>
        <v/>
      </c>
      <c r="B24" s="62">
        <f>IF(INPUT_SYSTEM!D38="","",INPUT_SYSTEM!B38)</f>
        <v/>
      </c>
      <c r="C24" s="62">
        <f>IF(INPUT_SYSTEM!D38="","",INPUT_SYSTEM!D38)</f>
        <v/>
      </c>
      <c r="D24" s="62">
        <f>IF(C24="","",INPUT_SYSTEM!E38)</f>
        <v/>
      </c>
      <c r="E24" s="62">
        <f>IF(C24="","",INPUT_SYSTEM!F38)</f>
        <v/>
      </c>
      <c r="F24" s="62">
        <f t="array" ref="F24">IFERROR(INDEX(PRODUCT!$D:$D,MATCH(C24,PRODUCT!$B:$B,0)),"")</f>
        <v/>
      </c>
      <c r="G24" s="62">
        <f t="array" ref="G24">IFERROR(INDEX(PRODUCT!$E:$E,MATCH(C24,PRODUCT!$B:$B,0)),"")</f>
        <v/>
      </c>
      <c r="H24" s="62">
        <f t="array" ref="H24">IFERROR(INDEX(PRODUCT!$F:$F,MATCH(C24,PRODUCT!$B:$B,0)),"")</f>
        <v/>
      </c>
      <c r="I24" s="62">
        <f>IF(C24="","",INPUT_SYSTEM!G38)</f>
        <v/>
      </c>
      <c r="J24" s="62">
        <f>IF(C24="","",INPUT_SYSTEM!H38)</f>
        <v/>
      </c>
      <c r="K24" s="60">
        <f>IF(C24="","",INPUT_SYSTEM!J38)</f>
        <v/>
      </c>
      <c r="L24" s="62">
        <f>IF(C24="","",INPUT_SYSTEM!K38)</f>
        <v/>
      </c>
      <c r="M24" s="62">
        <f>IF(C24="","",INPUT_SYSTEM!L38)</f>
        <v/>
      </c>
      <c r="N24" s="62">
        <f>IF(U24&lt;&gt;"SI","",IF(M24&lt;&gt;"",M24,IFERROR(I24*J24*(1+K24)*L24,"")))</f>
        <v/>
      </c>
      <c r="O24" s="62">
        <f>IF(N24="","",IF(OR(H24="",H24=0),N24,ROUNDUP(N24/H24,0)))</f>
        <v/>
      </c>
      <c r="P24" s="63">
        <f t="array" ref="P24">IFERROR(INDEX(PRODUCT!$I:$I,MATCH(C24,PRODUCT!$B:$B,0)),"")</f>
        <v/>
      </c>
      <c r="Q24" s="63">
        <f>IF(C24="","",INPUT_SYSTEM!M38)</f>
        <v/>
      </c>
      <c r="R24" s="63">
        <f>IF(P24="","",P24*(1+Q24))</f>
        <v/>
      </c>
      <c r="S24" s="63">
        <f>IF(O24="","",IF(OR(H24="",H24=0),O24*P24,O24*H24*P24))</f>
        <v/>
      </c>
      <c r="T24" s="63">
        <f>IF(O24="","",IF(OR(H24="",H24=0),O24*R24,O24*H24*R24))</f>
        <v/>
      </c>
      <c r="U24" s="62">
        <f>IF(C24="","",INPUT_SYSTEM!C38)</f>
        <v/>
      </c>
      <c r="V24" s="62">
        <f>IF(C24="","",INPUT_SYSTEM!N38)</f>
        <v/>
      </c>
    </row>
    <row r="25" ht="15.75" customHeight="1" s="125">
      <c r="A25" s="62">
        <f>IF(INPUT_SYSTEM!D39="","",INPUT_SYSTEM!A39)</f>
        <v/>
      </c>
      <c r="B25" s="62">
        <f>IF(INPUT_SYSTEM!D39="","",INPUT_SYSTEM!B39)</f>
        <v/>
      </c>
      <c r="C25" s="62">
        <f>IF(INPUT_SYSTEM!D39="","",INPUT_SYSTEM!D39)</f>
        <v/>
      </c>
      <c r="D25" s="62">
        <f>IF(C25="","",INPUT_SYSTEM!E39)</f>
        <v/>
      </c>
      <c r="E25" s="62">
        <f>IF(C25="","",INPUT_SYSTEM!F39)</f>
        <v/>
      </c>
      <c r="F25" s="62">
        <f t="array" ref="F25">IFERROR(INDEX(PRODUCT!$D:$D,MATCH(C25,PRODUCT!$B:$B,0)),"")</f>
        <v/>
      </c>
      <c r="G25" s="62">
        <f t="array" ref="G25">IFERROR(INDEX(PRODUCT!$E:$E,MATCH(C25,PRODUCT!$B:$B,0)),"")</f>
        <v/>
      </c>
      <c r="H25" s="62">
        <f t="array" ref="H25">IFERROR(INDEX(PRODUCT!$F:$F,MATCH(C25,PRODUCT!$B:$B,0)),"")</f>
        <v/>
      </c>
      <c r="I25" s="62">
        <f>IF(C25="","",INPUT_SYSTEM!G39)</f>
        <v/>
      </c>
      <c r="J25" s="62">
        <f>IF(C25="","",INPUT_SYSTEM!H39)</f>
        <v/>
      </c>
      <c r="K25" s="60">
        <f>IF(C25="","",INPUT_SYSTEM!J39)</f>
        <v/>
      </c>
      <c r="L25" s="62">
        <f>IF(C25="","",INPUT_SYSTEM!K39)</f>
        <v/>
      </c>
      <c r="M25" s="62">
        <f>IF(C25="","",INPUT_SYSTEM!L39)</f>
        <v/>
      </c>
      <c r="N25" s="62">
        <f>IF(U25&lt;&gt;"SI","",IF(M25&lt;&gt;"",M25,IFERROR(I25*J25*(1+K25)*L25,"")))</f>
        <v/>
      </c>
      <c r="O25" s="62">
        <f>IF(N25="","",IF(OR(H25="",H25=0),N25,ROUNDUP(N25/H25,0)))</f>
        <v/>
      </c>
      <c r="P25" s="63">
        <f t="array" ref="P25">IFERROR(INDEX(PRODUCT!$I:$I,MATCH(C25,PRODUCT!$B:$B,0)),"")</f>
        <v/>
      </c>
      <c r="Q25" s="63">
        <f>IF(C25="","",INPUT_SYSTEM!M39)</f>
        <v/>
      </c>
      <c r="R25" s="63">
        <f>IF(P25="","",P25*(1+Q25))</f>
        <v/>
      </c>
      <c r="S25" s="63">
        <f>IF(O25="","",IF(OR(H25="",H25=0),O25*P25,O25*H25*P25))</f>
        <v/>
      </c>
      <c r="T25" s="63">
        <f>IF(O25="","",IF(OR(H25="",H25=0),O25*R25,O25*H25*R25))</f>
        <v/>
      </c>
      <c r="U25" s="62">
        <f>IF(C25="","",INPUT_SYSTEM!C39)</f>
        <v/>
      </c>
      <c r="V25" s="62">
        <f>IF(C25="","",INPUT_SYSTEM!N39)</f>
        <v/>
      </c>
    </row>
    <row r="26" ht="15.75" customHeight="1" s="125">
      <c r="A26" s="62">
        <f>IF(INPUT_SYSTEM!D40="","",INPUT_SYSTEM!A40)</f>
        <v/>
      </c>
      <c r="B26" s="62">
        <f>IF(INPUT_SYSTEM!D40="","",INPUT_SYSTEM!B40)</f>
        <v/>
      </c>
      <c r="C26" s="62">
        <f>IF(INPUT_SYSTEM!D40="","",INPUT_SYSTEM!D40)</f>
        <v/>
      </c>
      <c r="D26" s="62">
        <f>IF(C26="","",INPUT_SYSTEM!E40)</f>
        <v/>
      </c>
      <c r="E26" s="62">
        <f>IF(C26="","",INPUT_SYSTEM!F40)</f>
        <v/>
      </c>
      <c r="F26" s="62">
        <f t="array" ref="F26">IFERROR(INDEX(PRODUCT!$D:$D,MATCH(C26,PRODUCT!$B:$B,0)),"")</f>
        <v/>
      </c>
      <c r="G26" s="62">
        <f t="array" ref="G26">IFERROR(INDEX(PRODUCT!$E:$E,MATCH(C26,PRODUCT!$B:$B,0)),"")</f>
        <v/>
      </c>
      <c r="H26" s="62">
        <f t="array" ref="H26">IFERROR(INDEX(PRODUCT!$F:$F,MATCH(C26,PRODUCT!$B:$B,0)),"")</f>
        <v/>
      </c>
      <c r="I26" s="62">
        <f>IF(C26="","",INPUT_SYSTEM!G40)</f>
        <v/>
      </c>
      <c r="J26" s="62">
        <f>IF(C26="","",INPUT_SYSTEM!H40)</f>
        <v/>
      </c>
      <c r="K26" s="60">
        <f>IF(C26="","",INPUT_SYSTEM!J40)</f>
        <v/>
      </c>
      <c r="L26" s="62">
        <f>IF(C26="","",INPUT_SYSTEM!K40)</f>
        <v/>
      </c>
      <c r="M26" s="62">
        <f>IF(C26="","",INPUT_SYSTEM!L40)</f>
        <v/>
      </c>
      <c r="N26" s="62">
        <f>IF(U26&lt;&gt;"SI","",IF(M26&lt;&gt;"",M26,IFERROR(I26*J26*(1+K26)*L26,"")))</f>
        <v/>
      </c>
      <c r="O26" s="62">
        <f>IF(N26="","",IF(OR(H26="",H26=0),N26,ROUNDUP(N26/H26,0)))</f>
        <v/>
      </c>
      <c r="P26" s="63">
        <f t="array" ref="P26">IFERROR(INDEX(PRODUCT!$I:$I,MATCH(C26,PRODUCT!$B:$B,0)),"")</f>
        <v/>
      </c>
      <c r="Q26" s="63">
        <f>IF(C26="","",INPUT_SYSTEM!M40)</f>
        <v/>
      </c>
      <c r="R26" s="63">
        <f>IF(P26="","",P26*(1+Q26))</f>
        <v/>
      </c>
      <c r="S26" s="63">
        <f>IF(O26="","",IF(OR(H26="",H26=0),O26*P26,O26*H26*P26))</f>
        <v/>
      </c>
      <c r="T26" s="63">
        <f>IF(O26="","",IF(OR(H26="",H26=0),O26*R26,O26*H26*R26))</f>
        <v/>
      </c>
      <c r="U26" s="62">
        <f>IF(C26="","",INPUT_SYSTEM!C40)</f>
        <v/>
      </c>
      <c r="V26" s="62">
        <f>IF(C26="","",INPUT_SYSTEM!N40)</f>
        <v/>
      </c>
    </row>
    <row r="27" ht="15.75" customHeight="1" s="125">
      <c r="A27" s="62">
        <f>IF(INPUT_SYSTEM!D41="","",INPUT_SYSTEM!A41)</f>
        <v/>
      </c>
      <c r="B27" s="62">
        <f>IF(INPUT_SYSTEM!D41="","",INPUT_SYSTEM!B41)</f>
        <v/>
      </c>
      <c r="C27" s="62">
        <f>IF(INPUT_SYSTEM!D41="","",INPUT_SYSTEM!D41)</f>
        <v/>
      </c>
      <c r="D27" s="62">
        <f>IF(C27="","",INPUT_SYSTEM!E41)</f>
        <v/>
      </c>
      <c r="E27" s="62">
        <f>IF(C27="","",INPUT_SYSTEM!F41)</f>
        <v/>
      </c>
      <c r="F27" s="62">
        <f t="array" ref="F27">IFERROR(INDEX(PRODUCT!$D:$D,MATCH(C27,PRODUCT!$B:$B,0)),"")</f>
        <v/>
      </c>
      <c r="G27" s="62">
        <f t="array" ref="G27">IFERROR(INDEX(PRODUCT!$E:$E,MATCH(C27,PRODUCT!$B:$B,0)),"")</f>
        <v/>
      </c>
      <c r="H27" s="62">
        <f t="array" ref="H27">IFERROR(INDEX(PRODUCT!$F:$F,MATCH(C27,PRODUCT!$B:$B,0)),"")</f>
        <v/>
      </c>
      <c r="I27" s="62">
        <f>IF(C27="","",INPUT_SYSTEM!G41)</f>
        <v/>
      </c>
      <c r="J27" s="62">
        <f>IF(C27="","",INPUT_SYSTEM!H41)</f>
        <v/>
      </c>
      <c r="K27" s="60">
        <f>IF(C27="","",INPUT_SYSTEM!J41)</f>
        <v/>
      </c>
      <c r="L27" s="62">
        <f>IF(C27="","",INPUT_SYSTEM!K41)</f>
        <v/>
      </c>
      <c r="M27" s="62">
        <f>IF(C27="","",INPUT_SYSTEM!L41)</f>
        <v/>
      </c>
      <c r="N27" s="62">
        <f>IF(U27&lt;&gt;"SI","",IF(M27&lt;&gt;"",M27,IFERROR(I27*J27*(1+K27)*L27,"")))</f>
        <v/>
      </c>
      <c r="O27" s="62">
        <f>IF(N27="","",IF(OR(H27="",H27=0),N27,ROUNDUP(N27/H27,0)))</f>
        <v/>
      </c>
      <c r="P27" s="63">
        <f t="array" ref="P27">IFERROR(INDEX(PRODUCT!$I:$I,MATCH(C27,PRODUCT!$B:$B,0)),"")</f>
        <v/>
      </c>
      <c r="Q27" s="63">
        <f>IF(C27="","",INPUT_SYSTEM!M41)</f>
        <v/>
      </c>
      <c r="R27" s="63">
        <f>IF(P27="","",P27*(1+Q27))</f>
        <v/>
      </c>
      <c r="S27" s="63">
        <f>IF(O27="","",IF(OR(H27="",H27=0),O27*P27,O27*H27*P27))</f>
        <v/>
      </c>
      <c r="T27" s="63">
        <f>IF(O27="","",IF(OR(H27="",H27=0),O27*R27,O27*H27*R27))</f>
        <v/>
      </c>
      <c r="U27" s="62">
        <f>IF(C27="","",INPUT_SYSTEM!C41)</f>
        <v/>
      </c>
      <c r="V27" s="62">
        <f>IF(C27="","",INPUT_SYSTEM!N41)</f>
        <v/>
      </c>
    </row>
    <row r="28" ht="15.75" customHeight="1" s="125">
      <c r="A28" s="62">
        <f>IF(INPUT_SYSTEM!D42="","",INPUT_SYSTEM!A42)</f>
        <v/>
      </c>
      <c r="B28" s="62">
        <f>IF(INPUT_SYSTEM!D42="","",INPUT_SYSTEM!B42)</f>
        <v/>
      </c>
      <c r="C28" s="62">
        <f>IF(INPUT_SYSTEM!D42="","",INPUT_SYSTEM!D42)</f>
        <v/>
      </c>
      <c r="D28" s="62">
        <f>IF(C28="","",INPUT_SYSTEM!E42)</f>
        <v/>
      </c>
      <c r="E28" s="62">
        <f>IF(C28="","",INPUT_SYSTEM!F42)</f>
        <v/>
      </c>
      <c r="F28" s="62">
        <f t="array" ref="F28">IFERROR(INDEX(PRODUCT!$D:$D,MATCH(C28,PRODUCT!$B:$B,0)),"")</f>
        <v/>
      </c>
      <c r="G28" s="62">
        <f t="array" ref="G28">IFERROR(INDEX(PRODUCT!$E:$E,MATCH(C28,PRODUCT!$B:$B,0)),"")</f>
        <v/>
      </c>
      <c r="H28" s="62">
        <f t="array" ref="H28">IFERROR(INDEX(PRODUCT!$F:$F,MATCH(C28,PRODUCT!$B:$B,0)),"")</f>
        <v/>
      </c>
      <c r="I28" s="62">
        <f>IF(C28="","",INPUT_SYSTEM!G42)</f>
        <v/>
      </c>
      <c r="J28" s="62">
        <f>IF(C28="","",INPUT_SYSTEM!H42)</f>
        <v/>
      </c>
      <c r="K28" s="60">
        <f>IF(C28="","",INPUT_SYSTEM!J42)</f>
        <v/>
      </c>
      <c r="L28" s="62">
        <f>IF(C28="","",INPUT_SYSTEM!K42)</f>
        <v/>
      </c>
      <c r="M28" s="62">
        <f>IF(C28="","",INPUT_SYSTEM!L42)</f>
        <v/>
      </c>
      <c r="N28" s="62">
        <f>IF(U28&lt;&gt;"SI","",IF(M28&lt;&gt;"",M28,IFERROR(I28*J28*(1+K28)*L28,"")))</f>
        <v/>
      </c>
      <c r="O28" s="62">
        <f>IF(N28="","",IF(OR(H28="",H28=0),N28,ROUNDUP(N28/H28,0)))</f>
        <v/>
      </c>
      <c r="P28" s="63">
        <f t="array" ref="P28">IFERROR(INDEX(PRODUCT!$I:$I,MATCH(C28,PRODUCT!$B:$B,0)),"")</f>
        <v/>
      </c>
      <c r="Q28" s="63">
        <f>IF(C28="","",INPUT_SYSTEM!M42)</f>
        <v/>
      </c>
      <c r="R28" s="63">
        <f>IF(P28="","",P28*(1+Q28))</f>
        <v/>
      </c>
      <c r="S28" s="63">
        <f>IF(O28="","",IF(OR(H28="",H28=0),O28*P28,O28*H28*P28))</f>
        <v/>
      </c>
      <c r="T28" s="63">
        <f>IF(O28="","",IF(OR(H28="",H28=0),O28*R28,O28*H28*R28))</f>
        <v/>
      </c>
      <c r="U28" s="62">
        <f>IF(C28="","",INPUT_SYSTEM!C42)</f>
        <v/>
      </c>
      <c r="V28" s="62">
        <f>IF(C28="","",INPUT_SYSTEM!N42)</f>
        <v/>
      </c>
    </row>
    <row r="29" ht="15.75" customHeight="1" s="125">
      <c r="A29" s="62">
        <f>IF(INPUT_SYSTEM!D43="","",INPUT_SYSTEM!A43)</f>
        <v/>
      </c>
      <c r="B29" s="62">
        <f>IF(INPUT_SYSTEM!D43="","",INPUT_SYSTEM!B43)</f>
        <v/>
      </c>
      <c r="C29" s="62">
        <f>IF(INPUT_SYSTEM!D43="","",INPUT_SYSTEM!D43)</f>
        <v/>
      </c>
      <c r="D29" s="62">
        <f>IF(C29="","",INPUT_SYSTEM!E43)</f>
        <v/>
      </c>
      <c r="E29" s="62">
        <f>IF(C29="","",INPUT_SYSTEM!F43)</f>
        <v/>
      </c>
      <c r="F29" s="62">
        <f t="array" ref="F29">IFERROR(INDEX(PRODUCT!$D:$D,MATCH(C29,PRODUCT!$B:$B,0)),"")</f>
        <v/>
      </c>
      <c r="G29" s="62">
        <f t="array" ref="G29">IFERROR(INDEX(PRODUCT!$E:$E,MATCH(C29,PRODUCT!$B:$B,0)),"")</f>
        <v/>
      </c>
      <c r="H29" s="62">
        <f t="array" ref="H29">IFERROR(INDEX(PRODUCT!$F:$F,MATCH(C29,PRODUCT!$B:$B,0)),"")</f>
        <v/>
      </c>
      <c r="I29" s="62">
        <f>IF(C29="","",INPUT_SYSTEM!G43)</f>
        <v/>
      </c>
      <c r="J29" s="62">
        <f>IF(C29="","",INPUT_SYSTEM!H43)</f>
        <v/>
      </c>
      <c r="K29" s="60">
        <f>IF(C29="","",INPUT_SYSTEM!J43)</f>
        <v/>
      </c>
      <c r="L29" s="62">
        <f>IF(C29="","",INPUT_SYSTEM!K43)</f>
        <v/>
      </c>
      <c r="M29" s="62">
        <f>IF(C29="","",INPUT_SYSTEM!L43)</f>
        <v/>
      </c>
      <c r="N29" s="62">
        <f>IF(U29&lt;&gt;"SI","",IF(M29&lt;&gt;"",M29,IFERROR(I29*J29*(1+K29)*L29,"")))</f>
        <v/>
      </c>
      <c r="O29" s="62">
        <f>IF(N29="","",IF(OR(H29="",H29=0),N29,ROUNDUP(N29/H29,0)))</f>
        <v/>
      </c>
      <c r="P29" s="63">
        <f t="array" ref="P29">IFERROR(INDEX(PRODUCT!$I:$I,MATCH(C29,PRODUCT!$B:$B,0)),"")</f>
        <v/>
      </c>
      <c r="Q29" s="63">
        <f>IF(C29="","",INPUT_SYSTEM!M43)</f>
        <v/>
      </c>
      <c r="R29" s="63">
        <f>IF(P29="","",P29*(1+Q29))</f>
        <v/>
      </c>
      <c r="S29" s="63">
        <f>IF(O29="","",IF(OR(H29="",H29=0),O29*P29,O29*H29*P29))</f>
        <v/>
      </c>
      <c r="T29" s="63">
        <f>IF(O29="","",IF(OR(H29="",H29=0),O29*R29,O29*H29*R29))</f>
        <v/>
      </c>
      <c r="U29" s="62">
        <f>IF(C29="","",INPUT_SYSTEM!C43)</f>
        <v/>
      </c>
      <c r="V29" s="62">
        <f>IF(C29="","",INPUT_SYSTEM!N43)</f>
        <v/>
      </c>
    </row>
    <row r="30" ht="15.75" customHeight="1" s="125">
      <c r="A30" s="62">
        <f>IF(INPUT_SYSTEM!D44="","",INPUT_SYSTEM!A44)</f>
        <v/>
      </c>
      <c r="B30" s="62">
        <f>IF(INPUT_SYSTEM!D44="","",INPUT_SYSTEM!B44)</f>
        <v/>
      </c>
      <c r="C30" s="62">
        <f>IF(INPUT_SYSTEM!D44="","",INPUT_SYSTEM!D44)</f>
        <v/>
      </c>
      <c r="D30" s="62">
        <f>IF(C30="","",INPUT_SYSTEM!E44)</f>
        <v/>
      </c>
      <c r="E30" s="62">
        <f>IF(C30="","",INPUT_SYSTEM!F44)</f>
        <v/>
      </c>
      <c r="F30" s="62">
        <f t="array" ref="F30">IFERROR(INDEX(PRODUCT!$D:$D,MATCH(C30,PRODUCT!$B:$B,0)),"")</f>
        <v/>
      </c>
      <c r="G30" s="62">
        <f t="array" ref="G30">IFERROR(INDEX(PRODUCT!$E:$E,MATCH(C30,PRODUCT!$B:$B,0)),"")</f>
        <v/>
      </c>
      <c r="H30" s="62">
        <f t="array" ref="H30">IFERROR(INDEX(PRODUCT!$F:$F,MATCH(C30,PRODUCT!$B:$B,0)),"")</f>
        <v/>
      </c>
      <c r="I30" s="62">
        <f>IF(C30="","",INPUT_SYSTEM!G44)</f>
        <v/>
      </c>
      <c r="J30" s="62">
        <f>IF(C30="","",INPUT_SYSTEM!H44)</f>
        <v/>
      </c>
      <c r="K30" s="60">
        <f>IF(C30="","",INPUT_SYSTEM!J44)</f>
        <v/>
      </c>
      <c r="L30" s="62">
        <f>IF(C30="","",INPUT_SYSTEM!K44)</f>
        <v/>
      </c>
      <c r="M30" s="62">
        <f>IF(C30="","",INPUT_SYSTEM!L44)</f>
        <v/>
      </c>
      <c r="N30" s="62">
        <f>IF(U30&lt;&gt;"SI","",IF(M30&lt;&gt;"",M30,IFERROR(I30*J30*(1+K30)*L30,"")))</f>
        <v/>
      </c>
      <c r="O30" s="62">
        <f>IF(N30="","",IF(OR(H30="",H30=0),N30,ROUNDUP(N30/H30,0)))</f>
        <v/>
      </c>
      <c r="P30" s="63">
        <f t="array" ref="P30">IFERROR(INDEX(PRODUCT!$I:$I,MATCH(C30,PRODUCT!$B:$B,0)),"")</f>
        <v/>
      </c>
      <c r="Q30" s="63">
        <f>IF(C30="","",INPUT_SYSTEM!M44)</f>
        <v/>
      </c>
      <c r="R30" s="63">
        <f>IF(P30="","",P30*(1+Q30))</f>
        <v/>
      </c>
      <c r="S30" s="63">
        <f>IF(O30="","",IF(OR(H30="",H30=0),O30*P30,O30*H30*P30))</f>
        <v/>
      </c>
      <c r="T30" s="63">
        <f>IF(O30="","",IF(OR(H30="",H30=0),O30*R30,O30*H30*R30))</f>
        <v/>
      </c>
      <c r="U30" s="62">
        <f>IF(C30="","",INPUT_SYSTEM!C44)</f>
        <v/>
      </c>
      <c r="V30" s="62">
        <f>IF(C30="","",INPUT_SYSTEM!N44)</f>
        <v/>
      </c>
    </row>
    <row r="31" ht="15.75" customHeight="1" s="125">
      <c r="A31" s="62">
        <f>IF(INPUT_SYSTEM!D45="","",INPUT_SYSTEM!A45)</f>
        <v/>
      </c>
      <c r="B31" s="62">
        <f>IF(INPUT_SYSTEM!D45="","",INPUT_SYSTEM!B45)</f>
        <v/>
      </c>
      <c r="C31" s="62">
        <f>IF(INPUT_SYSTEM!D45="","",INPUT_SYSTEM!D45)</f>
        <v/>
      </c>
      <c r="D31" s="62">
        <f>IF(C31="","",INPUT_SYSTEM!E45)</f>
        <v/>
      </c>
      <c r="E31" s="62">
        <f>IF(C31="","",INPUT_SYSTEM!F45)</f>
        <v/>
      </c>
      <c r="F31" s="62">
        <f t="array" ref="F31">IFERROR(INDEX(PRODUCT!$D:$D,MATCH(C31,PRODUCT!$B:$B,0)),"")</f>
        <v/>
      </c>
      <c r="G31" s="62">
        <f t="array" ref="G31">IFERROR(INDEX(PRODUCT!$E:$E,MATCH(C31,PRODUCT!$B:$B,0)),"")</f>
        <v/>
      </c>
      <c r="H31" s="62">
        <f t="array" ref="H31">IFERROR(INDEX(PRODUCT!$F:$F,MATCH(C31,PRODUCT!$B:$B,0)),"")</f>
        <v/>
      </c>
      <c r="I31" s="62">
        <f>IF(C31="","",INPUT_SYSTEM!G45)</f>
        <v/>
      </c>
      <c r="J31" s="62">
        <f>IF(C31="","",INPUT_SYSTEM!H45)</f>
        <v/>
      </c>
      <c r="K31" s="60">
        <f>IF(C31="","",INPUT_SYSTEM!J45)</f>
        <v/>
      </c>
      <c r="L31" s="62">
        <f>IF(C31="","",INPUT_SYSTEM!K45)</f>
        <v/>
      </c>
      <c r="M31" s="62">
        <f>IF(C31="","",INPUT_SYSTEM!L45)</f>
        <v/>
      </c>
      <c r="N31" s="62">
        <f>IF(U31&lt;&gt;"SI","",IF(M31&lt;&gt;"",M31,IFERROR(I31*J31*(1+K31)*L31,"")))</f>
        <v/>
      </c>
      <c r="O31" s="62">
        <f>IF(N31="","",IF(OR(H31="",H31=0),N31,ROUNDUP(N31/H31,0)))</f>
        <v/>
      </c>
      <c r="P31" s="63">
        <f t="array" ref="P31">IFERROR(INDEX(PRODUCT!$I:$I,MATCH(C31,PRODUCT!$B:$B,0)),"")</f>
        <v/>
      </c>
      <c r="Q31" s="63">
        <f>IF(C31="","",INPUT_SYSTEM!M45)</f>
        <v/>
      </c>
      <c r="R31" s="63">
        <f>IF(P31="","",P31*(1+Q31))</f>
        <v/>
      </c>
      <c r="S31" s="63">
        <f>IF(O31="","",IF(OR(H31="",H31=0),O31*P31,O31*H31*P31))</f>
        <v/>
      </c>
      <c r="T31" s="63">
        <f>IF(O31="","",IF(OR(H31="",H31=0),O31*R31,O31*H31*R31))</f>
        <v/>
      </c>
      <c r="U31" s="62">
        <f>IF(C31="","",INPUT_SYSTEM!C45)</f>
        <v/>
      </c>
      <c r="V31" s="62">
        <f>IF(C31="","",INPUT_SYSTEM!N45)</f>
        <v/>
      </c>
    </row>
    <row r="32" ht="15.75" customHeight="1" s="125">
      <c r="A32" s="62">
        <f>IF(INPUT_SYSTEM!D46="","",INPUT_SYSTEM!A46)</f>
        <v/>
      </c>
      <c r="B32" s="62">
        <f>IF(INPUT_SYSTEM!D46="","",INPUT_SYSTEM!B46)</f>
        <v/>
      </c>
      <c r="C32" s="62">
        <f>IF(INPUT_SYSTEM!D46="","",INPUT_SYSTEM!D46)</f>
        <v/>
      </c>
      <c r="D32" s="62">
        <f>IF(C32="","",INPUT_SYSTEM!E46)</f>
        <v/>
      </c>
      <c r="E32" s="62">
        <f>IF(C32="","",INPUT_SYSTEM!F46)</f>
        <v/>
      </c>
      <c r="F32" s="62">
        <f t="array" ref="F32">IFERROR(INDEX(PRODUCT!$D:$D,MATCH(C32,PRODUCT!$B:$B,0)),"")</f>
        <v/>
      </c>
      <c r="G32" s="62">
        <f t="array" ref="G32">IFERROR(INDEX(PRODUCT!$E:$E,MATCH(C32,PRODUCT!$B:$B,0)),"")</f>
        <v/>
      </c>
      <c r="H32" s="62">
        <f t="array" ref="H32">IFERROR(INDEX(PRODUCT!$F:$F,MATCH(C32,PRODUCT!$B:$B,0)),"")</f>
        <v/>
      </c>
      <c r="I32" s="62">
        <f>IF(C32="","",INPUT_SYSTEM!G46)</f>
        <v/>
      </c>
      <c r="J32" s="62">
        <f>IF(C32="","",INPUT_SYSTEM!H46)</f>
        <v/>
      </c>
      <c r="K32" s="60">
        <f>IF(C32="","",INPUT_SYSTEM!J46)</f>
        <v/>
      </c>
      <c r="L32" s="62">
        <f>IF(C32="","",INPUT_SYSTEM!K46)</f>
        <v/>
      </c>
      <c r="M32" s="62">
        <f>IF(C32="","",INPUT_SYSTEM!L46)</f>
        <v/>
      </c>
      <c r="N32" s="62">
        <f>IF(U32&lt;&gt;"SI","",IF(M32&lt;&gt;"",M32,IFERROR(I32*J32*(1+K32)*L32,"")))</f>
        <v/>
      </c>
      <c r="O32" s="62">
        <f>IF(N32="","",IF(OR(H32="",H32=0),N32,ROUNDUP(N32/H32,0)))</f>
        <v/>
      </c>
      <c r="P32" s="63">
        <f t="array" ref="P32">IFERROR(INDEX(PRODUCT!$I:$I,MATCH(C32,PRODUCT!$B:$B,0)),"")</f>
        <v/>
      </c>
      <c r="Q32" s="63">
        <f>IF(C32="","",INPUT_SYSTEM!M46)</f>
        <v/>
      </c>
      <c r="R32" s="63">
        <f>IF(P32="","",P32*(1+Q32))</f>
        <v/>
      </c>
      <c r="S32" s="63">
        <f>IF(O32="","",IF(OR(H32="",H32=0),O32*P32,O32*H32*P32))</f>
        <v/>
      </c>
      <c r="T32" s="63">
        <f>IF(O32="","",IF(OR(H32="",H32=0),O32*R32,O32*H32*R32))</f>
        <v/>
      </c>
      <c r="U32" s="62">
        <f>IF(C32="","",INPUT_SYSTEM!C46)</f>
        <v/>
      </c>
      <c r="V32" s="62">
        <f>IF(C32="","",INPUT_SYSTEM!N46)</f>
        <v/>
      </c>
    </row>
    <row r="33" ht="15.75" customHeight="1" s="125">
      <c r="A33" s="62">
        <f>IF(INPUT_SYSTEM!D47="","",INPUT_SYSTEM!A47)</f>
        <v/>
      </c>
      <c r="B33" s="62">
        <f>IF(INPUT_SYSTEM!D47="","",INPUT_SYSTEM!B47)</f>
        <v/>
      </c>
      <c r="C33" s="62">
        <f>IF(INPUT_SYSTEM!D47="","",INPUT_SYSTEM!D47)</f>
        <v/>
      </c>
      <c r="D33" s="62">
        <f>IF(C33="","",INPUT_SYSTEM!E47)</f>
        <v/>
      </c>
      <c r="E33" s="62">
        <f>IF(C33="","",INPUT_SYSTEM!F47)</f>
        <v/>
      </c>
      <c r="F33" s="62">
        <f t="array" ref="F33">IFERROR(INDEX(PRODUCT!$D:$D,MATCH(C33,PRODUCT!$B:$B,0)),"")</f>
        <v/>
      </c>
      <c r="G33" s="62">
        <f t="array" ref="G33">IFERROR(INDEX(PRODUCT!$E:$E,MATCH(C33,PRODUCT!$B:$B,0)),"")</f>
        <v/>
      </c>
      <c r="H33" s="62">
        <f t="array" ref="H33">IFERROR(INDEX(PRODUCT!$F:$F,MATCH(C33,PRODUCT!$B:$B,0)),"")</f>
        <v/>
      </c>
      <c r="I33" s="62">
        <f>IF(C33="","",INPUT_SYSTEM!G47)</f>
        <v/>
      </c>
      <c r="J33" s="62">
        <f>IF(C33="","",INPUT_SYSTEM!H47)</f>
        <v/>
      </c>
      <c r="K33" s="60">
        <f>IF(C33="","",INPUT_SYSTEM!J47)</f>
        <v/>
      </c>
      <c r="L33" s="62">
        <f>IF(C33="","",INPUT_SYSTEM!K47)</f>
        <v/>
      </c>
      <c r="M33" s="62">
        <f>IF(C33="","",INPUT_SYSTEM!L47)</f>
        <v/>
      </c>
      <c r="N33" s="62">
        <f>IF(U33&lt;&gt;"SI","",IF(M33&lt;&gt;"",M33,IFERROR(I33*J33*(1+K33)*L33,"")))</f>
        <v/>
      </c>
      <c r="O33" s="62">
        <f>IF(N33="","",IF(OR(H33="",H33=0),N33,ROUNDUP(N33/H33,0)))</f>
        <v/>
      </c>
      <c r="P33" s="63">
        <f t="array" ref="P33">IFERROR(INDEX(PRODUCT!$I:$I,MATCH(C33,PRODUCT!$B:$B,0)),"")</f>
        <v/>
      </c>
      <c r="Q33" s="63">
        <f>IF(C33="","",INPUT_SYSTEM!M47)</f>
        <v/>
      </c>
      <c r="R33" s="63">
        <f>IF(P33="","",P33*(1+Q33))</f>
        <v/>
      </c>
      <c r="S33" s="63">
        <f>IF(O33="","",IF(OR(H33="",H33=0),O33*P33,O33*H33*P33))</f>
        <v/>
      </c>
      <c r="T33" s="63">
        <f>IF(O33="","",IF(OR(H33="",H33=0),O33*R33,O33*H33*R33))</f>
        <v/>
      </c>
      <c r="U33" s="62">
        <f>IF(C33="","",INPUT_SYSTEM!C47)</f>
        <v/>
      </c>
      <c r="V33" s="62">
        <f>IF(C33="","",INPUT_SYSTEM!N47)</f>
        <v/>
      </c>
    </row>
    <row r="34" ht="15.75" customHeight="1" s="125">
      <c r="A34" s="62">
        <f>IF(INPUT_SYSTEM!D48="","",INPUT_SYSTEM!A48)</f>
        <v/>
      </c>
      <c r="B34" s="62">
        <f>IF(INPUT_SYSTEM!D48="","",INPUT_SYSTEM!B48)</f>
        <v/>
      </c>
      <c r="C34" s="62">
        <f>IF(INPUT_SYSTEM!D48="","",INPUT_SYSTEM!D48)</f>
        <v/>
      </c>
      <c r="D34" s="62">
        <f>IF(C34="","",INPUT_SYSTEM!E48)</f>
        <v/>
      </c>
      <c r="E34" s="62">
        <f>IF(C34="","",INPUT_SYSTEM!F48)</f>
        <v/>
      </c>
      <c r="F34" s="62">
        <f t="array" ref="F34">IFERROR(INDEX(PRODUCT!$D:$D,MATCH(C34,PRODUCT!$B:$B,0)),"")</f>
        <v/>
      </c>
      <c r="G34" s="62">
        <f t="array" ref="G34">IFERROR(INDEX(PRODUCT!$E:$E,MATCH(C34,PRODUCT!$B:$B,0)),"")</f>
        <v/>
      </c>
      <c r="H34" s="62">
        <f t="array" ref="H34">IFERROR(INDEX(PRODUCT!$F:$F,MATCH(C34,PRODUCT!$B:$B,0)),"")</f>
        <v/>
      </c>
      <c r="I34" s="62">
        <f>IF(C34="","",INPUT_SYSTEM!G48)</f>
        <v/>
      </c>
      <c r="J34" s="62">
        <f>IF(C34="","",INPUT_SYSTEM!H48)</f>
        <v/>
      </c>
      <c r="K34" s="60">
        <f>IF(C34="","",INPUT_SYSTEM!J48)</f>
        <v/>
      </c>
      <c r="L34" s="62">
        <f>IF(C34="","",INPUT_SYSTEM!K48)</f>
        <v/>
      </c>
      <c r="M34" s="62">
        <f>IF(C34="","",INPUT_SYSTEM!L48)</f>
        <v/>
      </c>
      <c r="N34" s="62">
        <f>IF(U34&lt;&gt;"SI","",IF(M34&lt;&gt;"",M34,IFERROR(I34*J34*(1+K34)*L34,"")))</f>
        <v/>
      </c>
      <c r="O34" s="62">
        <f>IF(N34="","",IF(OR(H34="",H34=0),N34,ROUNDUP(N34/H34,0)))</f>
        <v/>
      </c>
      <c r="P34" s="63">
        <f t="array" ref="P34">IFERROR(INDEX(PRODUCT!$I:$I,MATCH(C34,PRODUCT!$B:$B,0)),"")</f>
        <v/>
      </c>
      <c r="Q34" s="63">
        <f>IF(C34="","",INPUT_SYSTEM!M48)</f>
        <v/>
      </c>
      <c r="R34" s="63">
        <f>IF(P34="","",P34*(1+Q34))</f>
        <v/>
      </c>
      <c r="S34" s="63">
        <f>IF(O34="","",IF(OR(H34="",H34=0),O34*P34,O34*H34*P34))</f>
        <v/>
      </c>
      <c r="T34" s="63">
        <f>IF(O34="","",IF(OR(H34="",H34=0),O34*R34,O34*H34*R34))</f>
        <v/>
      </c>
      <c r="U34" s="62">
        <f>IF(C34="","",INPUT_SYSTEM!C48)</f>
        <v/>
      </c>
      <c r="V34" s="62">
        <f>IF(C34="","",INPUT_SYSTEM!N48)</f>
        <v/>
      </c>
    </row>
    <row r="35" ht="15.75" customHeight="1" s="125">
      <c r="A35" s="62">
        <f>IF(INPUT_SYSTEM!D49="","",INPUT_SYSTEM!A49)</f>
        <v/>
      </c>
      <c r="B35" s="62">
        <f>IF(INPUT_SYSTEM!D49="","",INPUT_SYSTEM!B49)</f>
        <v/>
      </c>
      <c r="C35" s="62">
        <f>IF(INPUT_SYSTEM!D49="","",INPUT_SYSTEM!D49)</f>
        <v/>
      </c>
      <c r="D35" s="62">
        <f>IF(C35="","",INPUT_SYSTEM!E49)</f>
        <v/>
      </c>
      <c r="E35" s="62">
        <f>IF(C35="","",INPUT_SYSTEM!F49)</f>
        <v/>
      </c>
      <c r="F35" s="62">
        <f t="array" ref="F35">IFERROR(INDEX(PRODUCT!$D:$D,MATCH(C35,PRODUCT!$B:$B,0)),"")</f>
        <v/>
      </c>
      <c r="G35" s="62">
        <f t="array" ref="G35">IFERROR(INDEX(PRODUCT!$E:$E,MATCH(C35,PRODUCT!$B:$B,0)),"")</f>
        <v/>
      </c>
      <c r="H35" s="62">
        <f t="array" ref="H35">IFERROR(INDEX(PRODUCT!$F:$F,MATCH(C35,PRODUCT!$B:$B,0)),"")</f>
        <v/>
      </c>
      <c r="I35" s="62">
        <f>IF(C35="","",INPUT_SYSTEM!G49)</f>
        <v/>
      </c>
      <c r="J35" s="62">
        <f>IF(C35="","",INPUT_SYSTEM!H49)</f>
        <v/>
      </c>
      <c r="K35" s="60">
        <f>IF(C35="","",INPUT_SYSTEM!J49)</f>
        <v/>
      </c>
      <c r="L35" s="62">
        <f>IF(C35="","",INPUT_SYSTEM!K49)</f>
        <v/>
      </c>
      <c r="M35" s="62">
        <f>IF(C35="","",INPUT_SYSTEM!L49)</f>
        <v/>
      </c>
      <c r="N35" s="62">
        <f>IF(U35&lt;&gt;"SI","",IF(M35&lt;&gt;"",M35,IFERROR(I35*J35*(1+K35)*L35,"")))</f>
        <v/>
      </c>
      <c r="O35" s="62">
        <f>IF(N35="","",IF(OR(H35="",H35=0),N35,ROUNDUP(N35/H35,0)))</f>
        <v/>
      </c>
      <c r="P35" s="63">
        <f t="array" ref="P35">IFERROR(INDEX(PRODUCT!$I:$I,MATCH(C35,PRODUCT!$B:$B,0)),"")</f>
        <v/>
      </c>
      <c r="Q35" s="63">
        <f>IF(C35="","",INPUT_SYSTEM!M49)</f>
        <v/>
      </c>
      <c r="R35" s="63">
        <f>IF(P35="","",P35*(1+Q35))</f>
        <v/>
      </c>
      <c r="S35" s="63">
        <f>IF(O35="","",IF(OR(H35="",H35=0),O35*P35,O35*H35*P35))</f>
        <v/>
      </c>
      <c r="T35" s="63">
        <f>IF(O35="","",IF(OR(H35="",H35=0),O35*R35,O35*H35*R35))</f>
        <v/>
      </c>
      <c r="U35" s="62">
        <f>IF(C35="","",INPUT_SYSTEM!C49)</f>
        <v/>
      </c>
      <c r="V35" s="62">
        <f>IF(C35="","",INPUT_SYSTEM!N49)</f>
        <v/>
      </c>
    </row>
    <row r="36" ht="15.75" customHeight="1" s="125">
      <c r="A36" s="62">
        <f>IF(INPUT_SYSTEM!D50="","",INPUT_SYSTEM!A50)</f>
        <v/>
      </c>
      <c r="B36" s="62">
        <f>IF(INPUT_SYSTEM!D50="","",INPUT_SYSTEM!B50)</f>
        <v/>
      </c>
      <c r="C36" s="62">
        <f>IF(INPUT_SYSTEM!D50="","",INPUT_SYSTEM!D50)</f>
        <v/>
      </c>
      <c r="D36" s="62">
        <f>IF(C36="","",INPUT_SYSTEM!E50)</f>
        <v/>
      </c>
      <c r="E36" s="62">
        <f>IF(C36="","",INPUT_SYSTEM!F50)</f>
        <v/>
      </c>
      <c r="F36" s="62">
        <f t="array" ref="F36">IFERROR(INDEX(PRODUCT!$D:$D,MATCH(C36,PRODUCT!$B:$B,0)),"")</f>
        <v/>
      </c>
      <c r="G36" s="62">
        <f t="array" ref="G36">IFERROR(INDEX(PRODUCT!$E:$E,MATCH(C36,PRODUCT!$B:$B,0)),"")</f>
        <v/>
      </c>
      <c r="H36" s="62">
        <f t="array" ref="H36">IFERROR(INDEX(PRODUCT!$F:$F,MATCH(C36,PRODUCT!$B:$B,0)),"")</f>
        <v/>
      </c>
      <c r="I36" s="62">
        <f>IF(C36="","",INPUT_SYSTEM!G50)</f>
        <v/>
      </c>
      <c r="J36" s="62">
        <f>IF(C36="","",INPUT_SYSTEM!H50)</f>
        <v/>
      </c>
      <c r="K36" s="60">
        <f>IF(C36="","",INPUT_SYSTEM!J50)</f>
        <v/>
      </c>
      <c r="L36" s="62">
        <f>IF(C36="","",INPUT_SYSTEM!K50)</f>
        <v/>
      </c>
      <c r="M36" s="62">
        <f>IF(C36="","",INPUT_SYSTEM!L50)</f>
        <v/>
      </c>
      <c r="N36" s="62">
        <f>IF(U36&lt;&gt;"SI","",IF(M36&lt;&gt;"",M36,IFERROR(I36*J36*(1+K36)*L36,"")))</f>
        <v/>
      </c>
      <c r="O36" s="62">
        <f>IF(N36="","",IF(OR(H36="",H36=0),N36,ROUNDUP(N36/H36,0)))</f>
        <v/>
      </c>
      <c r="P36" s="63">
        <f t="array" ref="P36">IFERROR(INDEX(PRODUCT!$I:$I,MATCH(C36,PRODUCT!$B:$B,0)),"")</f>
        <v/>
      </c>
      <c r="Q36" s="63">
        <f>IF(C36="","",INPUT_SYSTEM!M50)</f>
        <v/>
      </c>
      <c r="R36" s="63">
        <f>IF(P36="","",P36*(1+Q36))</f>
        <v/>
      </c>
      <c r="S36" s="63">
        <f>IF(O36="","",IF(OR(H36="",H36=0),O36*P36,O36*H36*P36))</f>
        <v/>
      </c>
      <c r="T36" s="63">
        <f>IF(O36="","",IF(OR(H36="",H36=0),O36*R36,O36*H36*R36))</f>
        <v/>
      </c>
      <c r="U36" s="62">
        <f>IF(C36="","",INPUT_SYSTEM!C50)</f>
        <v/>
      </c>
      <c r="V36" s="62">
        <f>IF(C36="","",INPUT_SYSTEM!N50)</f>
        <v/>
      </c>
    </row>
    <row r="37" ht="15.75" customHeight="1" s="125">
      <c r="A37" s="62">
        <f>IF(INPUT_SYSTEM!D51="","",INPUT_SYSTEM!A51)</f>
        <v/>
      </c>
      <c r="B37" s="62">
        <f>IF(INPUT_SYSTEM!D51="","",INPUT_SYSTEM!B51)</f>
        <v/>
      </c>
      <c r="C37" s="62">
        <f>IF(INPUT_SYSTEM!D51="","",INPUT_SYSTEM!D51)</f>
        <v/>
      </c>
      <c r="D37" s="62">
        <f>IF(C37="","",INPUT_SYSTEM!E51)</f>
        <v/>
      </c>
      <c r="E37" s="62">
        <f>IF(C37="","",INPUT_SYSTEM!F51)</f>
        <v/>
      </c>
      <c r="F37" s="62">
        <f t="array" ref="F37">IFERROR(INDEX(PRODUCT!$D:$D,MATCH(C37,PRODUCT!$B:$B,0)),"")</f>
        <v/>
      </c>
      <c r="G37" s="62">
        <f t="array" ref="G37">IFERROR(INDEX(PRODUCT!$E:$E,MATCH(C37,PRODUCT!$B:$B,0)),"")</f>
        <v/>
      </c>
      <c r="H37" s="62">
        <f t="array" ref="H37">IFERROR(INDEX(PRODUCT!$F:$F,MATCH(C37,PRODUCT!$B:$B,0)),"")</f>
        <v/>
      </c>
      <c r="I37" s="62">
        <f>IF(C37="","",INPUT_SYSTEM!G51)</f>
        <v/>
      </c>
      <c r="J37" s="62">
        <f>IF(C37="","",INPUT_SYSTEM!H51)</f>
        <v/>
      </c>
      <c r="K37" s="60">
        <f>IF(C37="","",INPUT_SYSTEM!J51)</f>
        <v/>
      </c>
      <c r="L37" s="62">
        <f>IF(C37="","",INPUT_SYSTEM!K51)</f>
        <v/>
      </c>
      <c r="M37" s="62">
        <f>IF(C37="","",INPUT_SYSTEM!L51)</f>
        <v/>
      </c>
      <c r="N37" s="62">
        <f>IF(U37&lt;&gt;"SI","",IF(M37&lt;&gt;"",M37,IFERROR(I37*J37*(1+K37)*L37,"")))</f>
        <v/>
      </c>
      <c r="O37" s="62">
        <f>IF(N37="","",IF(OR(H37="",H37=0),N37,ROUNDUP(N37/H37,0)))</f>
        <v/>
      </c>
      <c r="P37" s="63">
        <f t="array" ref="P37">IFERROR(INDEX(PRODUCT!$I:$I,MATCH(C37,PRODUCT!$B:$B,0)),"")</f>
        <v/>
      </c>
      <c r="Q37" s="63">
        <f>IF(C37="","",INPUT_SYSTEM!M51)</f>
        <v/>
      </c>
      <c r="R37" s="63">
        <f>IF(P37="","",P37*(1+Q37))</f>
        <v/>
      </c>
      <c r="S37" s="63">
        <f>IF(O37="","",IF(OR(H37="",H37=0),O37*P37,O37*H37*P37))</f>
        <v/>
      </c>
      <c r="T37" s="63">
        <f>IF(O37="","",IF(OR(H37="",H37=0),O37*R37,O37*H37*R37))</f>
        <v/>
      </c>
      <c r="U37" s="62">
        <f>IF(C37="","",INPUT_SYSTEM!C51)</f>
        <v/>
      </c>
      <c r="V37" s="62">
        <f>IF(C37="","",INPUT_SYSTEM!N51)</f>
        <v/>
      </c>
    </row>
    <row r="38" ht="15.75" customHeight="1" s="125">
      <c r="A38" s="62">
        <f>IF(INPUT_SYSTEM!D52="","",INPUT_SYSTEM!A52)</f>
        <v/>
      </c>
      <c r="B38" s="62">
        <f>IF(INPUT_SYSTEM!D52="","",INPUT_SYSTEM!B52)</f>
        <v/>
      </c>
      <c r="C38" s="62">
        <f>IF(INPUT_SYSTEM!D52="","",INPUT_SYSTEM!D52)</f>
        <v/>
      </c>
      <c r="D38" s="62">
        <f>IF(C38="","",INPUT_SYSTEM!E52)</f>
        <v/>
      </c>
      <c r="E38" s="62">
        <f>IF(C38="","",INPUT_SYSTEM!F52)</f>
        <v/>
      </c>
      <c r="F38" s="62">
        <f t="array" ref="F38">IFERROR(INDEX(PRODUCT!$D:$D,MATCH(C38,PRODUCT!$B:$B,0)),"")</f>
        <v/>
      </c>
      <c r="G38" s="62">
        <f t="array" ref="G38">IFERROR(INDEX(PRODUCT!$E:$E,MATCH(C38,PRODUCT!$B:$B,0)),"")</f>
        <v/>
      </c>
      <c r="H38" s="62">
        <f t="array" ref="H38">IFERROR(INDEX(PRODUCT!$F:$F,MATCH(C38,PRODUCT!$B:$B,0)),"")</f>
        <v/>
      </c>
      <c r="I38" s="62">
        <f>IF(C38="","",INPUT_SYSTEM!G52)</f>
        <v/>
      </c>
      <c r="J38" s="62">
        <f>IF(C38="","",INPUT_SYSTEM!H52)</f>
        <v/>
      </c>
      <c r="K38" s="60">
        <f>IF(C38="","",INPUT_SYSTEM!J52)</f>
        <v/>
      </c>
      <c r="L38" s="62">
        <f>IF(C38="","",INPUT_SYSTEM!K52)</f>
        <v/>
      </c>
      <c r="M38" s="62">
        <f>IF(C38="","",INPUT_SYSTEM!L52)</f>
        <v/>
      </c>
      <c r="N38" s="62">
        <f>IF(U38&lt;&gt;"SI","",IF(M38&lt;&gt;"",M38,IFERROR(I38*J38*(1+K38)*L38,"")))</f>
        <v/>
      </c>
      <c r="O38" s="62">
        <f>IF(N38="","",IF(OR(H38="",H38=0),N38,ROUNDUP(N38/H38,0)))</f>
        <v/>
      </c>
      <c r="P38" s="63">
        <f t="array" ref="P38">IFERROR(INDEX(PRODUCT!$I:$I,MATCH(C38,PRODUCT!$B:$B,0)),"")</f>
        <v/>
      </c>
      <c r="Q38" s="63">
        <f>IF(C38="","",INPUT_SYSTEM!M52)</f>
        <v/>
      </c>
      <c r="R38" s="63">
        <f>IF(P38="","",P38*(1+Q38))</f>
        <v/>
      </c>
      <c r="S38" s="63">
        <f>IF(O38="","",IF(OR(H38="",H38=0),O38*P38,O38*H38*P38))</f>
        <v/>
      </c>
      <c r="T38" s="63">
        <f>IF(O38="","",IF(OR(H38="",H38=0),O38*R38,O38*H38*R38))</f>
        <v/>
      </c>
      <c r="U38" s="62">
        <f>IF(C38="","",INPUT_SYSTEM!C52)</f>
        <v/>
      </c>
      <c r="V38" s="62">
        <f>IF(C38="","",INPUT_SYSTEM!N52)</f>
        <v/>
      </c>
    </row>
    <row r="39" ht="15.75" customHeight="1" s="125">
      <c r="A39" s="62">
        <f>IF(INPUT_SYSTEM!D53="","",INPUT_SYSTEM!A53)</f>
        <v/>
      </c>
      <c r="B39" s="62">
        <f>IF(INPUT_SYSTEM!D53="","",INPUT_SYSTEM!B53)</f>
        <v/>
      </c>
      <c r="C39" s="62">
        <f>IF(INPUT_SYSTEM!D53="","",INPUT_SYSTEM!D53)</f>
        <v/>
      </c>
      <c r="D39" s="62">
        <f>IF(C39="","",INPUT_SYSTEM!E53)</f>
        <v/>
      </c>
      <c r="E39" s="62">
        <f>IF(C39="","",INPUT_SYSTEM!F53)</f>
        <v/>
      </c>
      <c r="F39" s="62">
        <f t="array" ref="F39">IFERROR(INDEX(PRODUCT!$D:$D,MATCH(C39,PRODUCT!$B:$B,0)),"")</f>
        <v/>
      </c>
      <c r="G39" s="62">
        <f t="array" ref="G39">IFERROR(INDEX(PRODUCT!$E:$E,MATCH(C39,PRODUCT!$B:$B,0)),"")</f>
        <v/>
      </c>
      <c r="H39" s="62">
        <f t="array" ref="H39">IFERROR(INDEX(PRODUCT!$F:$F,MATCH(C39,PRODUCT!$B:$B,0)),"")</f>
        <v/>
      </c>
      <c r="I39" s="62">
        <f>IF(C39="","",INPUT_SYSTEM!G53)</f>
        <v/>
      </c>
      <c r="J39" s="62">
        <f>IF(C39="","",INPUT_SYSTEM!H53)</f>
        <v/>
      </c>
      <c r="K39" s="60">
        <f>IF(C39="","",INPUT_SYSTEM!J53)</f>
        <v/>
      </c>
      <c r="L39" s="62">
        <f>IF(C39="","",INPUT_SYSTEM!K53)</f>
        <v/>
      </c>
      <c r="M39" s="62">
        <f>IF(C39="","",INPUT_SYSTEM!L53)</f>
        <v/>
      </c>
      <c r="N39" s="62">
        <f>IF(U39&lt;&gt;"SI","",IF(M39&lt;&gt;"",M39,IFERROR(I39*J39*(1+K39)*L39,"")))</f>
        <v/>
      </c>
      <c r="O39" s="62">
        <f>IF(N39="","",IF(OR(H39="",H39=0),N39,ROUNDUP(N39/H39,0)))</f>
        <v/>
      </c>
      <c r="P39" s="63">
        <f t="array" ref="P39">IFERROR(INDEX(PRODUCT!$I:$I,MATCH(C39,PRODUCT!$B:$B,0)),"")</f>
        <v/>
      </c>
      <c r="Q39" s="63">
        <f>IF(C39="","",INPUT_SYSTEM!M53)</f>
        <v/>
      </c>
      <c r="R39" s="63">
        <f>IF(P39="","",P39*(1+Q39))</f>
        <v/>
      </c>
      <c r="S39" s="63">
        <f>IF(O39="","",IF(OR(H39="",H39=0),O39*P39,O39*H39*P39))</f>
        <v/>
      </c>
      <c r="T39" s="63">
        <f>IF(O39="","",IF(OR(H39="",H39=0),O39*R39,O39*H39*R39))</f>
        <v/>
      </c>
      <c r="U39" s="62">
        <f>IF(C39="","",INPUT_SYSTEM!C53)</f>
        <v/>
      </c>
      <c r="V39" s="62">
        <f>IF(C39="","",INPUT_SYSTEM!N53)</f>
        <v/>
      </c>
    </row>
    <row r="40" ht="15.75" customHeight="1" s="125">
      <c r="A40" s="62">
        <f>IF(INPUT_SYSTEM!D54="","",INPUT_SYSTEM!A54)</f>
        <v/>
      </c>
      <c r="B40" s="62">
        <f>IF(INPUT_SYSTEM!D54="","",INPUT_SYSTEM!B54)</f>
        <v/>
      </c>
      <c r="C40" s="62">
        <f>IF(INPUT_SYSTEM!D54="","",INPUT_SYSTEM!D54)</f>
        <v/>
      </c>
      <c r="D40" s="62">
        <f>IF(C40="","",INPUT_SYSTEM!E54)</f>
        <v/>
      </c>
      <c r="E40" s="62">
        <f>IF(C40="","",INPUT_SYSTEM!F54)</f>
        <v/>
      </c>
      <c r="F40" s="62">
        <f t="array" ref="F40">IFERROR(INDEX(PRODUCT!$D:$D,MATCH(C40,PRODUCT!$B:$B,0)),"")</f>
        <v/>
      </c>
      <c r="G40" s="62">
        <f t="array" ref="G40">IFERROR(INDEX(PRODUCT!$E:$E,MATCH(C40,PRODUCT!$B:$B,0)),"")</f>
        <v/>
      </c>
      <c r="H40" s="62">
        <f t="array" ref="H40">IFERROR(INDEX(PRODUCT!$F:$F,MATCH(C40,PRODUCT!$B:$B,0)),"")</f>
        <v/>
      </c>
      <c r="I40" s="62">
        <f>IF(C40="","",INPUT_SYSTEM!G54)</f>
        <v/>
      </c>
      <c r="J40" s="62">
        <f>IF(C40="","",INPUT_SYSTEM!H54)</f>
        <v/>
      </c>
      <c r="K40" s="60">
        <f>IF(C40="","",INPUT_SYSTEM!J54)</f>
        <v/>
      </c>
      <c r="L40" s="62">
        <f>IF(C40="","",INPUT_SYSTEM!K54)</f>
        <v/>
      </c>
      <c r="M40" s="62">
        <f>IF(C40="","",INPUT_SYSTEM!L54)</f>
        <v/>
      </c>
      <c r="N40" s="62">
        <f>IF(U40&lt;&gt;"SI","",IF(M40&lt;&gt;"",M40,IFERROR(I40*J40*(1+K40)*L40,"")))</f>
        <v/>
      </c>
      <c r="O40" s="62">
        <f>IF(N40="","",IF(OR(H40="",H40=0),N40,ROUNDUP(N40/H40,0)))</f>
        <v/>
      </c>
      <c r="P40" s="63">
        <f t="array" ref="P40">IFERROR(INDEX(PRODUCT!$I:$I,MATCH(C40,PRODUCT!$B:$B,0)),"")</f>
        <v/>
      </c>
      <c r="Q40" s="63">
        <f>IF(C40="","",INPUT_SYSTEM!M54)</f>
        <v/>
      </c>
      <c r="R40" s="63">
        <f>IF(P40="","",P40*(1+Q40))</f>
        <v/>
      </c>
      <c r="S40" s="63">
        <f>IF(O40="","",IF(OR(H40="",H40=0),O40*P40,O40*H40*P40))</f>
        <v/>
      </c>
      <c r="T40" s="63">
        <f>IF(O40="","",IF(OR(H40="",H40=0),O40*R40,O40*H40*R40))</f>
        <v/>
      </c>
      <c r="U40" s="62">
        <f>IF(C40="","",INPUT_SYSTEM!C54)</f>
        <v/>
      </c>
      <c r="V40" s="62">
        <f>IF(C40="","",INPUT_SYSTEM!N54)</f>
        <v/>
      </c>
    </row>
    <row r="41" ht="15.75" customHeight="1" s="125">
      <c r="A41" s="62">
        <f>IF(INPUT_SYSTEM!D55="","",INPUT_SYSTEM!A55)</f>
        <v/>
      </c>
      <c r="B41" s="62">
        <f>IF(INPUT_SYSTEM!D55="","",INPUT_SYSTEM!B55)</f>
        <v/>
      </c>
      <c r="C41" s="62">
        <f>IF(INPUT_SYSTEM!D55="","",INPUT_SYSTEM!D55)</f>
        <v/>
      </c>
      <c r="D41" s="62">
        <f>IF(C41="","",INPUT_SYSTEM!E55)</f>
        <v/>
      </c>
      <c r="E41" s="62">
        <f>IF(C41="","",INPUT_SYSTEM!F55)</f>
        <v/>
      </c>
      <c r="F41" s="62">
        <f t="array" ref="F41">IFERROR(INDEX(PRODUCT!$D:$D,MATCH(C41,PRODUCT!$B:$B,0)),"")</f>
        <v/>
      </c>
      <c r="G41" s="62">
        <f t="array" ref="G41">IFERROR(INDEX(PRODUCT!$E:$E,MATCH(C41,PRODUCT!$B:$B,0)),"")</f>
        <v/>
      </c>
      <c r="H41" s="62">
        <f t="array" ref="H41">IFERROR(INDEX(PRODUCT!$F:$F,MATCH(C41,PRODUCT!$B:$B,0)),"")</f>
        <v/>
      </c>
      <c r="I41" s="62">
        <f>IF(C41="","",INPUT_SYSTEM!G55)</f>
        <v/>
      </c>
      <c r="J41" s="62">
        <f>IF(C41="","",INPUT_SYSTEM!H55)</f>
        <v/>
      </c>
      <c r="K41" s="60">
        <f>IF(C41="","",INPUT_SYSTEM!J55)</f>
        <v/>
      </c>
      <c r="L41" s="62">
        <f>IF(C41="","",INPUT_SYSTEM!K55)</f>
        <v/>
      </c>
      <c r="M41" s="62">
        <f>IF(C41="","",INPUT_SYSTEM!L55)</f>
        <v/>
      </c>
      <c r="N41" s="62">
        <f>IF(U41&lt;&gt;"SI","",IF(M41&lt;&gt;"",M41,IFERROR(I41*J41*(1+K41)*L41,"")))</f>
        <v/>
      </c>
      <c r="O41" s="62">
        <f>IF(N41="","",IF(OR(H41="",H41=0),N41,ROUNDUP(N41/H41,0)))</f>
        <v/>
      </c>
      <c r="P41" s="63">
        <f t="array" ref="P41">IFERROR(INDEX(PRODUCT!$I:$I,MATCH(C41,PRODUCT!$B:$B,0)),"")</f>
        <v/>
      </c>
      <c r="Q41" s="63">
        <f>IF(C41="","",INPUT_SYSTEM!M55)</f>
        <v/>
      </c>
      <c r="R41" s="63">
        <f>IF(P41="","",P41*(1+Q41))</f>
        <v/>
      </c>
      <c r="S41" s="63">
        <f>IF(O41="","",IF(OR(H41="",H41=0),O41*P41,O41*H41*P41))</f>
        <v/>
      </c>
      <c r="T41" s="63">
        <f>IF(O41="","",IF(OR(H41="",H41=0),O41*R41,O41*H41*R41))</f>
        <v/>
      </c>
      <c r="U41" s="62">
        <f>IF(C41="","",INPUT_SYSTEM!C55)</f>
        <v/>
      </c>
      <c r="V41" s="62">
        <f>IF(C41="","",INPUT_SYSTEM!N55)</f>
        <v/>
      </c>
    </row>
    <row r="42" ht="15.75" customHeight="1" s="125">
      <c r="A42" s="62">
        <f>IF(INPUT_SYSTEM!D56="","",INPUT_SYSTEM!A56)</f>
        <v/>
      </c>
      <c r="B42" s="62">
        <f>IF(INPUT_SYSTEM!D56="","",INPUT_SYSTEM!B56)</f>
        <v/>
      </c>
      <c r="C42" s="62">
        <f>IF(INPUT_SYSTEM!D56="","",INPUT_SYSTEM!D56)</f>
        <v/>
      </c>
      <c r="D42" s="62">
        <f>IF(C42="","",INPUT_SYSTEM!E56)</f>
        <v/>
      </c>
      <c r="E42" s="62">
        <f>IF(C42="","",INPUT_SYSTEM!F56)</f>
        <v/>
      </c>
      <c r="F42" s="62">
        <f t="array" ref="F42">IFERROR(INDEX(PRODUCT!$D:$D,MATCH(C42,PRODUCT!$B:$B,0)),"")</f>
        <v/>
      </c>
      <c r="G42" s="62">
        <f t="array" ref="G42">IFERROR(INDEX(PRODUCT!$E:$E,MATCH(C42,PRODUCT!$B:$B,0)),"")</f>
        <v/>
      </c>
      <c r="H42" s="62">
        <f t="array" ref="H42">IFERROR(INDEX(PRODUCT!$F:$F,MATCH(C42,PRODUCT!$B:$B,0)),"")</f>
        <v/>
      </c>
      <c r="I42" s="62">
        <f>IF(C42="","",INPUT_SYSTEM!G56)</f>
        <v/>
      </c>
      <c r="J42" s="62">
        <f>IF(C42="","",INPUT_SYSTEM!H56)</f>
        <v/>
      </c>
      <c r="K42" s="60">
        <f>IF(C42="","",INPUT_SYSTEM!J56)</f>
        <v/>
      </c>
      <c r="L42" s="62">
        <f>IF(C42="","",INPUT_SYSTEM!K56)</f>
        <v/>
      </c>
      <c r="M42" s="62">
        <f>IF(C42="","",INPUT_SYSTEM!L56)</f>
        <v/>
      </c>
      <c r="N42" s="62">
        <f>IF(U42&lt;&gt;"SI","",IF(M42&lt;&gt;"",M42,IFERROR(I42*J42*(1+K42)*L42,"")))</f>
        <v/>
      </c>
      <c r="O42" s="62">
        <f>IF(N42="","",IF(OR(H42="",H42=0),N42,ROUNDUP(N42/H42,0)))</f>
        <v/>
      </c>
      <c r="P42" s="63">
        <f t="array" ref="P42">IFERROR(INDEX(PRODUCT!$I:$I,MATCH(C42,PRODUCT!$B:$B,0)),"")</f>
        <v/>
      </c>
      <c r="Q42" s="63">
        <f>IF(C42="","",INPUT_SYSTEM!M56)</f>
        <v/>
      </c>
      <c r="R42" s="63">
        <f>IF(P42="","",P42*(1+Q42))</f>
        <v/>
      </c>
      <c r="S42" s="63">
        <f>IF(O42="","",IF(OR(H42="",H42=0),O42*P42,O42*H42*P42))</f>
        <v/>
      </c>
      <c r="T42" s="63">
        <f>IF(O42="","",IF(OR(H42="",H42=0),O42*R42,O42*H42*R42))</f>
        <v/>
      </c>
      <c r="U42" s="62">
        <f>IF(C42="","",INPUT_SYSTEM!C56)</f>
        <v/>
      </c>
      <c r="V42" s="62">
        <f>IF(C42="","",INPUT_SYSTEM!N56)</f>
        <v/>
      </c>
    </row>
    <row r="43" ht="15.75" customHeight="1" s="125">
      <c r="A43" s="62">
        <f>IF(INPUT_SYSTEM!D57="","",INPUT_SYSTEM!A57)</f>
        <v/>
      </c>
      <c r="B43" s="62">
        <f>IF(INPUT_SYSTEM!D57="","",INPUT_SYSTEM!B57)</f>
        <v/>
      </c>
      <c r="C43" s="62">
        <f>IF(INPUT_SYSTEM!D57="","",INPUT_SYSTEM!D57)</f>
        <v/>
      </c>
      <c r="D43" s="62">
        <f>IF(C43="","",INPUT_SYSTEM!E57)</f>
        <v/>
      </c>
      <c r="E43" s="62">
        <f>IF(C43="","",INPUT_SYSTEM!F57)</f>
        <v/>
      </c>
      <c r="F43" s="62">
        <f t="array" ref="F43">IFERROR(INDEX(PRODUCT!$D:$D,MATCH(C43,PRODUCT!$B:$B,0)),"")</f>
        <v/>
      </c>
      <c r="G43" s="62">
        <f t="array" ref="G43">IFERROR(INDEX(PRODUCT!$E:$E,MATCH(C43,PRODUCT!$B:$B,0)),"")</f>
        <v/>
      </c>
      <c r="H43" s="62">
        <f t="array" ref="H43">IFERROR(INDEX(PRODUCT!$F:$F,MATCH(C43,PRODUCT!$B:$B,0)),"")</f>
        <v/>
      </c>
      <c r="I43" s="62">
        <f>IF(C43="","",INPUT_SYSTEM!G57)</f>
        <v/>
      </c>
      <c r="J43" s="62">
        <f>IF(C43="","",INPUT_SYSTEM!H57)</f>
        <v/>
      </c>
      <c r="K43" s="60">
        <f>IF(C43="","",INPUT_SYSTEM!J57)</f>
        <v/>
      </c>
      <c r="L43" s="62">
        <f>IF(C43="","",INPUT_SYSTEM!K57)</f>
        <v/>
      </c>
      <c r="M43" s="62">
        <f>IF(C43="","",INPUT_SYSTEM!L57)</f>
        <v/>
      </c>
      <c r="N43" s="62">
        <f>IF(U43&lt;&gt;"SI","",IF(M43&lt;&gt;"",M43,IFERROR(I43*J43*(1+K43)*L43,"")))</f>
        <v/>
      </c>
      <c r="O43" s="62">
        <f>IF(N43="","",IF(OR(H43="",H43=0),N43,ROUNDUP(N43/H43,0)))</f>
        <v/>
      </c>
      <c r="P43" s="63">
        <f t="array" ref="P43">IFERROR(INDEX(PRODUCT!$I:$I,MATCH(C43,PRODUCT!$B:$B,0)),"")</f>
        <v/>
      </c>
      <c r="Q43" s="63">
        <f>IF(C43="","",INPUT_SYSTEM!M57)</f>
        <v/>
      </c>
      <c r="R43" s="63">
        <f>IF(P43="","",P43*(1+Q43))</f>
        <v/>
      </c>
      <c r="S43" s="63">
        <f>IF(O43="","",IF(OR(H43="",H43=0),O43*P43,O43*H43*P43))</f>
        <v/>
      </c>
      <c r="T43" s="63">
        <f>IF(O43="","",IF(OR(H43="",H43=0),O43*R43,O43*H43*R43))</f>
        <v/>
      </c>
      <c r="U43" s="62">
        <f>IF(C43="","",INPUT_SYSTEM!C57)</f>
        <v/>
      </c>
      <c r="V43" s="62">
        <f>IF(C43="","",INPUT_SYSTEM!N57)</f>
        <v/>
      </c>
    </row>
    <row r="44" ht="15.75" customHeight="1" s="125">
      <c r="A44" s="62">
        <f>IF(INPUT_SYSTEM!D58="","",INPUT_SYSTEM!A58)</f>
        <v/>
      </c>
      <c r="B44" s="62">
        <f>IF(INPUT_SYSTEM!D58="","",INPUT_SYSTEM!B58)</f>
        <v/>
      </c>
      <c r="C44" s="62">
        <f>IF(INPUT_SYSTEM!D58="","",INPUT_SYSTEM!D58)</f>
        <v/>
      </c>
      <c r="D44" s="62">
        <f>IF(C44="","",INPUT_SYSTEM!E58)</f>
        <v/>
      </c>
      <c r="E44" s="62">
        <f>IF(C44="","",INPUT_SYSTEM!F58)</f>
        <v/>
      </c>
      <c r="F44" s="62">
        <f t="array" ref="F44">IFERROR(INDEX(PRODUCT!$D:$D,MATCH(C44,PRODUCT!$B:$B,0)),"")</f>
        <v/>
      </c>
      <c r="G44" s="62">
        <f t="array" ref="G44">IFERROR(INDEX(PRODUCT!$E:$E,MATCH(C44,PRODUCT!$B:$B,0)),"")</f>
        <v/>
      </c>
      <c r="H44" s="62">
        <f t="array" ref="H44">IFERROR(INDEX(PRODUCT!$F:$F,MATCH(C44,PRODUCT!$B:$B,0)),"")</f>
        <v/>
      </c>
      <c r="I44" s="62">
        <f>IF(C44="","",INPUT_SYSTEM!G58)</f>
        <v/>
      </c>
      <c r="J44" s="62">
        <f>IF(C44="","",INPUT_SYSTEM!H58)</f>
        <v/>
      </c>
      <c r="K44" s="60">
        <f>IF(C44="","",INPUT_SYSTEM!J58)</f>
        <v/>
      </c>
      <c r="L44" s="62">
        <f>IF(C44="","",INPUT_SYSTEM!K58)</f>
        <v/>
      </c>
      <c r="M44" s="62">
        <f>IF(C44="","",INPUT_SYSTEM!L58)</f>
        <v/>
      </c>
      <c r="N44" s="62">
        <f>IF(U44&lt;&gt;"SI","",IF(M44&lt;&gt;"",M44,IFERROR(I44*J44*(1+K44)*L44,"")))</f>
        <v/>
      </c>
      <c r="O44" s="62">
        <f>IF(N44="","",IF(OR(H44="",H44=0),N44,ROUNDUP(N44/H44,0)))</f>
        <v/>
      </c>
      <c r="P44" s="63">
        <f t="array" ref="P44">IFERROR(INDEX(PRODUCT!$I:$I,MATCH(C44,PRODUCT!$B:$B,0)),"")</f>
        <v/>
      </c>
      <c r="Q44" s="63">
        <f>IF(C44="","",INPUT_SYSTEM!M58)</f>
        <v/>
      </c>
      <c r="R44" s="63">
        <f>IF(P44="","",P44*(1+Q44))</f>
        <v/>
      </c>
      <c r="S44" s="63">
        <f>IF(O44="","",IF(OR(H44="",H44=0),O44*P44,O44*H44*P44))</f>
        <v/>
      </c>
      <c r="T44" s="63">
        <f>IF(O44="","",IF(OR(H44="",H44=0),O44*R44,O44*H44*R44))</f>
        <v/>
      </c>
      <c r="U44" s="62">
        <f>IF(C44="","",INPUT_SYSTEM!C58)</f>
        <v/>
      </c>
      <c r="V44" s="62">
        <f>IF(C44="","",INPUT_SYSTEM!N58)</f>
        <v/>
      </c>
    </row>
    <row r="45" ht="15.75" customHeight="1" s="125">
      <c r="A45" s="62">
        <f>IF(INPUT_SYSTEM!D59="","",INPUT_SYSTEM!A59)</f>
        <v/>
      </c>
      <c r="B45" s="62">
        <f>IF(INPUT_SYSTEM!D59="","",INPUT_SYSTEM!B59)</f>
        <v/>
      </c>
      <c r="C45" s="62">
        <f>IF(INPUT_SYSTEM!D59="","",INPUT_SYSTEM!D59)</f>
        <v/>
      </c>
      <c r="D45" s="62">
        <f>IF(C45="","",INPUT_SYSTEM!E59)</f>
        <v/>
      </c>
      <c r="E45" s="62">
        <f>IF(C45="","",INPUT_SYSTEM!F59)</f>
        <v/>
      </c>
      <c r="F45" s="62">
        <f t="array" ref="F45">IFERROR(INDEX(PRODUCT!$D:$D,MATCH(C45,PRODUCT!$B:$B,0)),"")</f>
        <v/>
      </c>
      <c r="G45" s="62">
        <f t="array" ref="G45">IFERROR(INDEX(PRODUCT!$E:$E,MATCH(C45,PRODUCT!$B:$B,0)),"")</f>
        <v/>
      </c>
      <c r="H45" s="62">
        <f t="array" ref="H45">IFERROR(INDEX(PRODUCT!$F:$F,MATCH(C45,PRODUCT!$B:$B,0)),"")</f>
        <v/>
      </c>
      <c r="I45" s="62">
        <f>IF(C45="","",INPUT_SYSTEM!G59)</f>
        <v/>
      </c>
      <c r="J45" s="62">
        <f>IF(C45="","",INPUT_SYSTEM!H59)</f>
        <v/>
      </c>
      <c r="K45" s="60">
        <f>IF(C45="","",INPUT_SYSTEM!J59)</f>
        <v/>
      </c>
      <c r="L45" s="62">
        <f>IF(C45="","",INPUT_SYSTEM!K59)</f>
        <v/>
      </c>
      <c r="M45" s="62">
        <f>IF(C45="","",INPUT_SYSTEM!L59)</f>
        <v/>
      </c>
      <c r="N45" s="62">
        <f>IF(U45&lt;&gt;"SI","",IF(M45&lt;&gt;"",M45,IFERROR(I45*J45*(1+K45)*L45,"")))</f>
        <v/>
      </c>
      <c r="O45" s="62">
        <f>IF(N45="","",IF(OR(H45="",H45=0),N45,ROUNDUP(N45/H45,0)))</f>
        <v/>
      </c>
      <c r="P45" s="63">
        <f t="array" ref="P45">IFERROR(INDEX(PRODUCT!$I:$I,MATCH(C45,PRODUCT!$B:$B,0)),"")</f>
        <v/>
      </c>
      <c r="Q45" s="63">
        <f>IF(C45="","",INPUT_SYSTEM!M59)</f>
        <v/>
      </c>
      <c r="R45" s="63">
        <f>IF(P45="","",P45*(1+Q45))</f>
        <v/>
      </c>
      <c r="S45" s="63">
        <f>IF(O45="","",IF(OR(H45="",H45=0),O45*P45,O45*H45*P45))</f>
        <v/>
      </c>
      <c r="T45" s="63">
        <f>IF(O45="","",IF(OR(H45="",H45=0),O45*R45,O45*H45*R45))</f>
        <v/>
      </c>
      <c r="U45" s="62">
        <f>IF(C45="","",INPUT_SYSTEM!C59)</f>
        <v/>
      </c>
      <c r="V45" s="62">
        <f>IF(C45="","",INPUT_SYSTEM!N59)</f>
        <v/>
      </c>
    </row>
    <row r="46" ht="15.75" customHeight="1" s="125">
      <c r="A46" s="62">
        <f>IF(INPUT_SYSTEM!D60="","",INPUT_SYSTEM!A60)</f>
        <v/>
      </c>
      <c r="B46" s="62">
        <f>IF(INPUT_SYSTEM!D60="","",INPUT_SYSTEM!B60)</f>
        <v/>
      </c>
      <c r="C46" s="62">
        <f>IF(INPUT_SYSTEM!D60="","",INPUT_SYSTEM!D60)</f>
        <v/>
      </c>
      <c r="D46" s="62">
        <f>IF(C46="","",INPUT_SYSTEM!E60)</f>
        <v/>
      </c>
      <c r="E46" s="62">
        <f>IF(C46="","",INPUT_SYSTEM!F60)</f>
        <v/>
      </c>
      <c r="F46" s="62">
        <f t="array" ref="F46">IFERROR(INDEX(PRODUCT!$D:$D,MATCH(C46,PRODUCT!$B:$B,0)),"")</f>
        <v/>
      </c>
      <c r="G46" s="62">
        <f t="array" ref="G46">IFERROR(INDEX(PRODUCT!$E:$E,MATCH(C46,PRODUCT!$B:$B,0)),"")</f>
        <v/>
      </c>
      <c r="H46" s="62">
        <f t="array" ref="H46">IFERROR(INDEX(PRODUCT!$F:$F,MATCH(C46,PRODUCT!$B:$B,0)),"")</f>
        <v/>
      </c>
      <c r="I46" s="62">
        <f>IF(C46="","",INPUT_SYSTEM!G60)</f>
        <v/>
      </c>
      <c r="J46" s="62">
        <f>IF(C46="","",INPUT_SYSTEM!H60)</f>
        <v/>
      </c>
      <c r="K46" s="60">
        <f>IF(C46="","",INPUT_SYSTEM!J60)</f>
        <v/>
      </c>
      <c r="L46" s="62">
        <f>IF(C46="","",INPUT_SYSTEM!K60)</f>
        <v/>
      </c>
      <c r="M46" s="62">
        <f>IF(C46="","",INPUT_SYSTEM!L60)</f>
        <v/>
      </c>
      <c r="N46" s="62">
        <f>IF(U46&lt;&gt;"SI","",IF(M46&lt;&gt;"",M46,IFERROR(I46*J46*(1+K46)*L46,"")))</f>
        <v/>
      </c>
      <c r="O46" s="62">
        <f>IF(N46="","",IF(OR(H46="",H46=0),N46,ROUNDUP(N46/H46,0)))</f>
        <v/>
      </c>
      <c r="P46" s="63">
        <f t="array" ref="P46">IFERROR(INDEX(PRODUCT!$I:$I,MATCH(C46,PRODUCT!$B:$B,0)),"")</f>
        <v/>
      </c>
      <c r="Q46" s="63">
        <f>IF(C46="","",INPUT_SYSTEM!M60)</f>
        <v/>
      </c>
      <c r="R46" s="63">
        <f>IF(P46="","",P46*(1+Q46))</f>
        <v/>
      </c>
      <c r="S46" s="63">
        <f>IF(O46="","",IF(OR(H46="",H46=0),O46*P46,O46*H46*P46))</f>
        <v/>
      </c>
      <c r="T46" s="63">
        <f>IF(O46="","",IF(OR(H46="",H46=0),O46*R46,O46*H46*R46))</f>
        <v/>
      </c>
      <c r="U46" s="62">
        <f>IF(C46="","",INPUT_SYSTEM!C60)</f>
        <v/>
      </c>
      <c r="V46" s="62">
        <f>IF(C46="","",INPUT_SYSTEM!N60)</f>
        <v/>
      </c>
    </row>
    <row r="47" ht="15.75" customHeight="1" s="125">
      <c r="A47" s="62">
        <f>IF(INPUT_SYSTEM!D61="","",INPUT_SYSTEM!A61)</f>
        <v/>
      </c>
      <c r="B47" s="62">
        <f>IF(INPUT_SYSTEM!D61="","",INPUT_SYSTEM!B61)</f>
        <v/>
      </c>
      <c r="C47" s="62">
        <f>IF(INPUT_SYSTEM!D61="","",INPUT_SYSTEM!D61)</f>
        <v/>
      </c>
      <c r="D47" s="62">
        <f>IF(C47="","",INPUT_SYSTEM!E61)</f>
        <v/>
      </c>
      <c r="E47" s="62">
        <f>IF(C47="","",INPUT_SYSTEM!F61)</f>
        <v/>
      </c>
      <c r="F47" s="62">
        <f t="array" ref="F47">IFERROR(INDEX(PRODUCT!$D:$D,MATCH(C47,PRODUCT!$B:$B,0)),"")</f>
        <v/>
      </c>
      <c r="G47" s="62">
        <f t="array" ref="G47">IFERROR(INDEX(PRODUCT!$E:$E,MATCH(C47,PRODUCT!$B:$B,0)),"")</f>
        <v/>
      </c>
      <c r="H47" s="62">
        <f t="array" ref="H47">IFERROR(INDEX(PRODUCT!$F:$F,MATCH(C47,PRODUCT!$B:$B,0)),"")</f>
        <v/>
      </c>
      <c r="I47" s="62">
        <f>IF(C47="","",INPUT_SYSTEM!G61)</f>
        <v/>
      </c>
      <c r="J47" s="62">
        <f>IF(C47="","",INPUT_SYSTEM!H61)</f>
        <v/>
      </c>
      <c r="K47" s="60">
        <f>IF(C47="","",INPUT_SYSTEM!J61)</f>
        <v/>
      </c>
      <c r="L47" s="62">
        <f>IF(C47="","",INPUT_SYSTEM!K61)</f>
        <v/>
      </c>
      <c r="M47" s="62">
        <f>IF(C47="","",INPUT_SYSTEM!L61)</f>
        <v/>
      </c>
      <c r="N47" s="62">
        <f>IF(U47&lt;&gt;"SI","",IF(M47&lt;&gt;"",M47,IFERROR(I47*J47*(1+K47)*L47,"")))</f>
        <v/>
      </c>
      <c r="O47" s="62">
        <f>IF(N47="","",IF(OR(H47="",H47=0),N47,ROUNDUP(N47/H47,0)))</f>
        <v/>
      </c>
      <c r="P47" s="63">
        <f t="array" ref="P47">IFERROR(INDEX(PRODUCT!$I:$I,MATCH(C47,PRODUCT!$B:$B,0)),"")</f>
        <v/>
      </c>
      <c r="Q47" s="63">
        <f>IF(C47="","",INPUT_SYSTEM!M61)</f>
        <v/>
      </c>
      <c r="R47" s="63">
        <f>IF(P47="","",P47*(1+Q47))</f>
        <v/>
      </c>
      <c r="S47" s="63">
        <f>IF(O47="","",IF(OR(H47="",H47=0),O47*P47,O47*H47*P47))</f>
        <v/>
      </c>
      <c r="T47" s="63">
        <f>IF(O47="","",IF(OR(H47="",H47=0),O47*R47,O47*H47*R47))</f>
        <v/>
      </c>
      <c r="U47" s="62">
        <f>IF(C47="","",INPUT_SYSTEM!C61)</f>
        <v/>
      </c>
      <c r="V47" s="62">
        <f>IF(C47="","",INPUT_SYSTEM!N61)</f>
        <v/>
      </c>
    </row>
    <row r="48" ht="15.75" customHeight="1" s="125">
      <c r="A48" s="62">
        <f>IF(INPUT_SYSTEM!D62="","",INPUT_SYSTEM!A62)</f>
        <v/>
      </c>
      <c r="B48" s="62">
        <f>IF(INPUT_SYSTEM!D62="","",INPUT_SYSTEM!B62)</f>
        <v/>
      </c>
      <c r="C48" s="62">
        <f>IF(INPUT_SYSTEM!D62="","",INPUT_SYSTEM!D62)</f>
        <v/>
      </c>
      <c r="D48" s="62">
        <f>IF(C48="","",INPUT_SYSTEM!E62)</f>
        <v/>
      </c>
      <c r="E48" s="62">
        <f>IF(C48="","",INPUT_SYSTEM!F62)</f>
        <v/>
      </c>
      <c r="F48" s="62">
        <f t="array" ref="F48">IFERROR(INDEX(PRODUCT!$D:$D,MATCH(C48,PRODUCT!$B:$B,0)),"")</f>
        <v/>
      </c>
      <c r="G48" s="62">
        <f t="array" ref="G48">IFERROR(INDEX(PRODUCT!$E:$E,MATCH(C48,PRODUCT!$B:$B,0)),"")</f>
        <v/>
      </c>
      <c r="H48" s="62">
        <f t="array" ref="H48">IFERROR(INDEX(PRODUCT!$F:$F,MATCH(C48,PRODUCT!$B:$B,0)),"")</f>
        <v/>
      </c>
      <c r="I48" s="62">
        <f>IF(C48="","",INPUT_SYSTEM!G62)</f>
        <v/>
      </c>
      <c r="J48" s="62">
        <f>IF(C48="","",INPUT_SYSTEM!H62)</f>
        <v/>
      </c>
      <c r="K48" s="60">
        <f>IF(C48="","",INPUT_SYSTEM!J62)</f>
        <v/>
      </c>
      <c r="L48" s="62">
        <f>IF(C48="","",INPUT_SYSTEM!K62)</f>
        <v/>
      </c>
      <c r="M48" s="62">
        <f>IF(C48="","",INPUT_SYSTEM!L62)</f>
        <v/>
      </c>
      <c r="N48" s="62">
        <f>IF(U48&lt;&gt;"SI","",IF(M48&lt;&gt;"",M48,IFERROR(I48*J48*(1+K48)*L48,"")))</f>
        <v/>
      </c>
      <c r="O48" s="62">
        <f>IF(N48="","",IF(OR(H48="",H48=0),N48,ROUNDUP(N48/H48,0)))</f>
        <v/>
      </c>
      <c r="P48" s="63">
        <f t="array" ref="P48">IFERROR(INDEX(PRODUCT!$I:$I,MATCH(C48,PRODUCT!$B:$B,0)),"")</f>
        <v/>
      </c>
      <c r="Q48" s="63">
        <f>IF(C48="","",INPUT_SYSTEM!M62)</f>
        <v/>
      </c>
      <c r="R48" s="63">
        <f>IF(P48="","",P48*(1+Q48))</f>
        <v/>
      </c>
      <c r="S48" s="63">
        <f>IF(O48="","",IF(OR(H48="",H48=0),O48*P48,O48*H48*P48))</f>
        <v/>
      </c>
      <c r="T48" s="63">
        <f>IF(O48="","",IF(OR(H48="",H48=0),O48*R48,O48*H48*R48))</f>
        <v/>
      </c>
      <c r="U48" s="62">
        <f>IF(C48="","",INPUT_SYSTEM!C62)</f>
        <v/>
      </c>
      <c r="V48" s="62">
        <f>IF(C48="","",INPUT_SYSTEM!N62)</f>
        <v/>
      </c>
    </row>
    <row r="49" ht="15.75" customHeight="1" s="125">
      <c r="A49" s="62">
        <f>IF(INPUT_SYSTEM!D63="","",INPUT_SYSTEM!A63)</f>
        <v/>
      </c>
      <c r="B49" s="62">
        <f>IF(INPUT_SYSTEM!D63="","",INPUT_SYSTEM!B63)</f>
        <v/>
      </c>
      <c r="C49" s="62">
        <f>IF(INPUT_SYSTEM!D63="","",INPUT_SYSTEM!D63)</f>
        <v/>
      </c>
      <c r="D49" s="62">
        <f>IF(C49="","",INPUT_SYSTEM!E63)</f>
        <v/>
      </c>
      <c r="E49" s="62">
        <f>IF(C49="","",INPUT_SYSTEM!F63)</f>
        <v/>
      </c>
      <c r="F49" s="62">
        <f t="array" ref="F49">IFERROR(INDEX(PRODUCT!$D:$D,MATCH(C49,PRODUCT!$B:$B,0)),"")</f>
        <v/>
      </c>
      <c r="G49" s="62">
        <f t="array" ref="G49">IFERROR(INDEX(PRODUCT!$E:$E,MATCH(C49,PRODUCT!$B:$B,0)),"")</f>
        <v/>
      </c>
      <c r="H49" s="62">
        <f t="array" ref="H49">IFERROR(INDEX(PRODUCT!$F:$F,MATCH(C49,PRODUCT!$B:$B,0)),"")</f>
        <v/>
      </c>
      <c r="I49" s="62">
        <f>IF(C49="","",INPUT_SYSTEM!G63)</f>
        <v/>
      </c>
      <c r="J49" s="62">
        <f>IF(C49="","",INPUT_SYSTEM!H63)</f>
        <v/>
      </c>
      <c r="K49" s="60">
        <f>IF(C49="","",INPUT_SYSTEM!J63)</f>
        <v/>
      </c>
      <c r="L49" s="62">
        <f>IF(C49="","",INPUT_SYSTEM!K63)</f>
        <v/>
      </c>
      <c r="M49" s="62">
        <f>IF(C49="","",INPUT_SYSTEM!L63)</f>
        <v/>
      </c>
      <c r="N49" s="62">
        <f>IF(U49&lt;&gt;"SI","",IF(M49&lt;&gt;"",M49,IFERROR(I49*J49*(1+K49)*L49,"")))</f>
        <v/>
      </c>
      <c r="O49" s="62">
        <f>IF(N49="","",IF(OR(H49="",H49=0),N49,ROUNDUP(N49/H49,0)))</f>
        <v/>
      </c>
      <c r="P49" s="63">
        <f t="array" ref="P49">IFERROR(INDEX(PRODUCT!$I:$I,MATCH(C49,PRODUCT!$B:$B,0)),"")</f>
        <v/>
      </c>
      <c r="Q49" s="63">
        <f>IF(C49="","",INPUT_SYSTEM!M63)</f>
        <v/>
      </c>
      <c r="R49" s="63">
        <f>IF(P49="","",P49*(1+Q49))</f>
        <v/>
      </c>
      <c r="S49" s="63">
        <f>IF(O49="","",IF(OR(H49="",H49=0),O49*P49,O49*H49*P49))</f>
        <v/>
      </c>
      <c r="T49" s="63">
        <f>IF(O49="","",IF(OR(H49="",H49=0),O49*R49,O49*H49*R49))</f>
        <v/>
      </c>
      <c r="U49" s="62">
        <f>IF(C49="","",INPUT_SYSTEM!C63)</f>
        <v/>
      </c>
      <c r="V49" s="62">
        <f>IF(C49="","",INPUT_SYSTEM!N63)</f>
        <v/>
      </c>
    </row>
    <row r="50" ht="15.75" customHeight="1" s="125">
      <c r="A50" s="62">
        <f>IF(INPUT_SYSTEM!D64="","",INPUT_SYSTEM!A64)</f>
        <v/>
      </c>
      <c r="B50" s="62">
        <f>IF(INPUT_SYSTEM!D64="","",INPUT_SYSTEM!B64)</f>
        <v/>
      </c>
      <c r="C50" s="62">
        <f>IF(INPUT_SYSTEM!D64="","",INPUT_SYSTEM!D64)</f>
        <v/>
      </c>
      <c r="D50" s="62">
        <f>IF(C50="","",INPUT_SYSTEM!E64)</f>
        <v/>
      </c>
      <c r="E50" s="62">
        <f>IF(C50="","",INPUT_SYSTEM!F64)</f>
        <v/>
      </c>
      <c r="F50" s="62">
        <f t="array" ref="F50">IFERROR(INDEX(PRODUCT!$D:$D,MATCH(C50,PRODUCT!$B:$B,0)),"")</f>
        <v/>
      </c>
      <c r="G50" s="62">
        <f t="array" ref="G50">IFERROR(INDEX(PRODUCT!$E:$E,MATCH(C50,PRODUCT!$B:$B,0)),"")</f>
        <v/>
      </c>
      <c r="H50" s="62">
        <f t="array" ref="H50">IFERROR(INDEX(PRODUCT!$F:$F,MATCH(C50,PRODUCT!$B:$B,0)),"")</f>
        <v/>
      </c>
      <c r="I50" s="62">
        <f>IF(C50="","",INPUT_SYSTEM!G64)</f>
        <v/>
      </c>
      <c r="J50" s="62">
        <f>IF(C50="","",INPUT_SYSTEM!H64)</f>
        <v/>
      </c>
      <c r="K50" s="60">
        <f>IF(C50="","",INPUT_SYSTEM!J64)</f>
        <v/>
      </c>
      <c r="L50" s="62">
        <f>IF(C50="","",INPUT_SYSTEM!K64)</f>
        <v/>
      </c>
      <c r="M50" s="62">
        <f>IF(C50="","",INPUT_SYSTEM!L64)</f>
        <v/>
      </c>
      <c r="N50" s="62">
        <f>IF(U50&lt;&gt;"SI","",IF(M50&lt;&gt;"",M50,IFERROR(I50*J50*(1+K50)*L50,"")))</f>
        <v/>
      </c>
      <c r="O50" s="62">
        <f>IF(N50="","",IF(OR(H50="",H50=0),N50,ROUNDUP(N50/H50,0)))</f>
        <v/>
      </c>
      <c r="P50" s="63">
        <f t="array" ref="P50">IFERROR(INDEX(PRODUCT!$I:$I,MATCH(C50,PRODUCT!$B:$B,0)),"")</f>
        <v/>
      </c>
      <c r="Q50" s="63">
        <f>IF(C50="","",INPUT_SYSTEM!M64)</f>
        <v/>
      </c>
      <c r="R50" s="63">
        <f>IF(P50="","",P50*(1+Q50))</f>
        <v/>
      </c>
      <c r="S50" s="63">
        <f>IF(O50="","",IF(OR(H50="",H50=0),O50*P50,O50*H50*P50))</f>
        <v/>
      </c>
      <c r="T50" s="63">
        <f>IF(O50="","",IF(OR(H50="",H50=0),O50*R50,O50*H50*R50))</f>
        <v/>
      </c>
      <c r="U50" s="62">
        <f>IF(C50="","",INPUT_SYSTEM!C64)</f>
        <v/>
      </c>
      <c r="V50" s="62">
        <f>IF(C50="","",INPUT_SYSTEM!N64)</f>
        <v/>
      </c>
    </row>
    <row r="51" ht="15.75" customHeight="1" s="125">
      <c r="A51" s="62">
        <f>IF(INPUT_SYSTEM!D65="","",INPUT_SYSTEM!A65)</f>
        <v/>
      </c>
      <c r="B51" s="62">
        <f>IF(INPUT_SYSTEM!D65="","",INPUT_SYSTEM!B65)</f>
        <v/>
      </c>
      <c r="C51" s="62">
        <f>IF(INPUT_SYSTEM!D65="","",INPUT_SYSTEM!D65)</f>
        <v/>
      </c>
      <c r="D51" s="62">
        <f>IF(C51="","",INPUT_SYSTEM!E65)</f>
        <v/>
      </c>
      <c r="E51" s="62">
        <f>IF(C51="","",INPUT_SYSTEM!F65)</f>
        <v/>
      </c>
      <c r="F51" s="62">
        <f t="array" ref="F51">IFERROR(INDEX(PRODUCT!$D:$D,MATCH(C51,PRODUCT!$B:$B,0)),"")</f>
        <v/>
      </c>
      <c r="G51" s="62">
        <f t="array" ref="G51">IFERROR(INDEX(PRODUCT!$E:$E,MATCH(C51,PRODUCT!$B:$B,0)),"")</f>
        <v/>
      </c>
      <c r="H51" s="62">
        <f t="array" ref="H51">IFERROR(INDEX(PRODUCT!$F:$F,MATCH(C51,PRODUCT!$B:$B,0)),"")</f>
        <v/>
      </c>
      <c r="I51" s="62">
        <f>IF(C51="","",INPUT_SYSTEM!G65)</f>
        <v/>
      </c>
      <c r="J51" s="62">
        <f>IF(C51="","",INPUT_SYSTEM!H65)</f>
        <v/>
      </c>
      <c r="K51" s="60">
        <f>IF(C51="","",INPUT_SYSTEM!J65)</f>
        <v/>
      </c>
      <c r="L51" s="62">
        <f>IF(C51="","",INPUT_SYSTEM!K65)</f>
        <v/>
      </c>
      <c r="M51" s="62">
        <f>IF(C51="","",INPUT_SYSTEM!L65)</f>
        <v/>
      </c>
      <c r="N51" s="62">
        <f>IF(U51&lt;&gt;"SI","",IF(M51&lt;&gt;"",M51,IFERROR(I51*J51*(1+K51)*L51,"")))</f>
        <v/>
      </c>
      <c r="O51" s="62">
        <f>IF(N51="","",IF(OR(H51="",H51=0),N51,ROUNDUP(N51/H51,0)))</f>
        <v/>
      </c>
      <c r="P51" s="63">
        <f t="array" ref="P51">IFERROR(INDEX(PRODUCT!$I:$I,MATCH(C51,PRODUCT!$B:$B,0)),"")</f>
        <v/>
      </c>
      <c r="Q51" s="63">
        <f>IF(C51="","",INPUT_SYSTEM!M65)</f>
        <v/>
      </c>
      <c r="R51" s="63">
        <f>IF(P51="","",P51*(1+Q51))</f>
        <v/>
      </c>
      <c r="S51" s="63">
        <f>IF(O51="","",IF(OR(H51="",H51=0),O51*P51,O51*H51*P51))</f>
        <v/>
      </c>
      <c r="T51" s="63">
        <f>IF(O51="","",IF(OR(H51="",H51=0),O51*R51,O51*H51*R51))</f>
        <v/>
      </c>
      <c r="U51" s="62">
        <f>IF(C51="","",INPUT_SYSTEM!C65)</f>
        <v/>
      </c>
      <c r="V51" s="62">
        <f>IF(C51="","",INPUT_SYSTEM!N65)</f>
        <v/>
      </c>
    </row>
    <row r="52" ht="15.75" customHeight="1" s="125">
      <c r="A52" s="62">
        <f>IF(INPUT_SYSTEM!D66="","",INPUT_SYSTEM!A66)</f>
        <v/>
      </c>
      <c r="B52" s="62">
        <f>IF(INPUT_SYSTEM!D66="","",INPUT_SYSTEM!B66)</f>
        <v/>
      </c>
      <c r="C52" s="62">
        <f>IF(INPUT_SYSTEM!D66="","",INPUT_SYSTEM!D66)</f>
        <v/>
      </c>
      <c r="D52" s="62">
        <f>IF(C52="","",INPUT_SYSTEM!E66)</f>
        <v/>
      </c>
      <c r="E52" s="62">
        <f>IF(C52="","",INPUT_SYSTEM!F66)</f>
        <v/>
      </c>
      <c r="F52" s="62">
        <f t="array" ref="F52">IFERROR(INDEX(PRODUCT!$D:$D,MATCH(C52,PRODUCT!$B:$B,0)),"")</f>
        <v/>
      </c>
      <c r="G52" s="62">
        <f t="array" ref="G52">IFERROR(INDEX(PRODUCT!$E:$E,MATCH(C52,PRODUCT!$B:$B,0)),"")</f>
        <v/>
      </c>
      <c r="H52" s="62">
        <f t="array" ref="H52">IFERROR(INDEX(PRODUCT!$F:$F,MATCH(C52,PRODUCT!$B:$B,0)),"")</f>
        <v/>
      </c>
      <c r="I52" s="62">
        <f>IF(C52="","",INPUT_SYSTEM!G66)</f>
        <v/>
      </c>
      <c r="J52" s="62">
        <f>IF(C52="","",INPUT_SYSTEM!H66)</f>
        <v/>
      </c>
      <c r="K52" s="60">
        <f>IF(C52="","",INPUT_SYSTEM!J66)</f>
        <v/>
      </c>
      <c r="L52" s="62">
        <f>IF(C52="","",INPUT_SYSTEM!K66)</f>
        <v/>
      </c>
      <c r="M52" s="62">
        <f>IF(C52="","",INPUT_SYSTEM!L66)</f>
        <v/>
      </c>
      <c r="N52" s="62">
        <f>IF(U52&lt;&gt;"SI","",IF(M52&lt;&gt;"",M52,IFERROR(I52*J52*(1+K52)*L52,"")))</f>
        <v/>
      </c>
      <c r="O52" s="62">
        <f>IF(N52="","",IF(OR(H52="",H52=0),N52,ROUNDUP(N52/H52,0)))</f>
        <v/>
      </c>
      <c r="P52" s="63">
        <f t="array" ref="P52">IFERROR(INDEX(PRODUCT!$I:$I,MATCH(C52,PRODUCT!$B:$B,0)),"")</f>
        <v/>
      </c>
      <c r="Q52" s="63">
        <f>IF(C52="","",INPUT_SYSTEM!M66)</f>
        <v/>
      </c>
      <c r="R52" s="63">
        <f>IF(P52="","",P52*(1+Q52))</f>
        <v/>
      </c>
      <c r="S52" s="63">
        <f>IF(O52="","",IF(OR(H52="",H52=0),O52*P52,O52*H52*P52))</f>
        <v/>
      </c>
      <c r="T52" s="63">
        <f>IF(O52="","",IF(OR(H52="",H52=0),O52*R52,O52*H52*R52))</f>
        <v/>
      </c>
      <c r="U52" s="62">
        <f>IF(C52="","",INPUT_SYSTEM!C66)</f>
        <v/>
      </c>
      <c r="V52" s="62">
        <f>IF(C52="","",INPUT_SYSTEM!N66)</f>
        <v/>
      </c>
    </row>
    <row r="53" ht="15.75" customHeight="1" s="125">
      <c r="A53" s="62">
        <f>IF(INPUT_SYSTEM!D67="","",INPUT_SYSTEM!A67)</f>
        <v/>
      </c>
      <c r="B53" s="62">
        <f>IF(INPUT_SYSTEM!D67="","",INPUT_SYSTEM!B67)</f>
        <v/>
      </c>
      <c r="C53" s="62">
        <f>IF(INPUT_SYSTEM!D67="","",INPUT_SYSTEM!D67)</f>
        <v/>
      </c>
      <c r="D53" s="62">
        <f>IF(C53="","",INPUT_SYSTEM!E67)</f>
        <v/>
      </c>
      <c r="E53" s="62">
        <f>IF(C53="","",INPUT_SYSTEM!F67)</f>
        <v/>
      </c>
      <c r="F53" s="62">
        <f t="array" ref="F53">IFERROR(INDEX(PRODUCT!$D:$D,MATCH(C53,PRODUCT!$B:$B,0)),"")</f>
        <v/>
      </c>
      <c r="G53" s="62">
        <f t="array" ref="G53">IFERROR(INDEX(PRODUCT!$E:$E,MATCH(C53,PRODUCT!$B:$B,0)),"")</f>
        <v/>
      </c>
      <c r="H53" s="62">
        <f t="array" ref="H53">IFERROR(INDEX(PRODUCT!$F:$F,MATCH(C53,PRODUCT!$B:$B,0)),"")</f>
        <v/>
      </c>
      <c r="I53" s="62">
        <f>IF(C53="","",INPUT_SYSTEM!G67)</f>
        <v/>
      </c>
      <c r="J53" s="62">
        <f>IF(C53="","",INPUT_SYSTEM!H67)</f>
        <v/>
      </c>
      <c r="K53" s="60">
        <f>IF(C53="","",INPUT_SYSTEM!J67)</f>
        <v/>
      </c>
      <c r="L53" s="62">
        <f>IF(C53="","",INPUT_SYSTEM!K67)</f>
        <v/>
      </c>
      <c r="M53" s="62">
        <f>IF(C53="","",INPUT_SYSTEM!L67)</f>
        <v/>
      </c>
      <c r="N53" s="62">
        <f>IF(U53&lt;&gt;"SI","",IF(M53&lt;&gt;"",M53,IFERROR(I53*J53*(1+K53)*L53,"")))</f>
        <v/>
      </c>
      <c r="O53" s="62">
        <f>IF(N53="","",IF(OR(H53="",H53=0),N53,ROUNDUP(N53/H53,0)))</f>
        <v/>
      </c>
      <c r="P53" s="63">
        <f t="array" ref="P53">IFERROR(INDEX(PRODUCT!$I:$I,MATCH(C53,PRODUCT!$B:$B,0)),"")</f>
        <v/>
      </c>
      <c r="Q53" s="63">
        <f>IF(C53="","",INPUT_SYSTEM!M67)</f>
        <v/>
      </c>
      <c r="R53" s="63">
        <f>IF(P53="","",P53*(1+Q53))</f>
        <v/>
      </c>
      <c r="S53" s="63">
        <f>IF(O53="","",IF(OR(H53="",H53=0),O53*P53,O53*H53*P53))</f>
        <v/>
      </c>
      <c r="T53" s="63">
        <f>IF(O53="","",IF(OR(H53="",H53=0),O53*R53,O53*H53*R53))</f>
        <v/>
      </c>
      <c r="U53" s="62">
        <f>IF(C53="","",INPUT_SYSTEM!C67)</f>
        <v/>
      </c>
      <c r="V53" s="62">
        <f>IF(C53="","",INPUT_SYSTEM!N67)</f>
        <v/>
      </c>
    </row>
    <row r="54" ht="15.75" customHeight="1" s="125">
      <c r="A54" s="62">
        <f>IF(INPUT_SYSTEM!D68="","",INPUT_SYSTEM!A68)</f>
        <v/>
      </c>
      <c r="B54" s="62">
        <f>IF(INPUT_SYSTEM!D68="","",INPUT_SYSTEM!B68)</f>
        <v/>
      </c>
      <c r="C54" s="62">
        <f>IF(INPUT_SYSTEM!D68="","",INPUT_SYSTEM!D68)</f>
        <v/>
      </c>
      <c r="D54" s="62">
        <f>IF(C54="","",INPUT_SYSTEM!E68)</f>
        <v/>
      </c>
      <c r="E54" s="62">
        <f>IF(C54="","",INPUT_SYSTEM!F68)</f>
        <v/>
      </c>
      <c r="F54" s="62">
        <f t="array" ref="F54">IFERROR(INDEX(PRODUCT!$D:$D,MATCH(C54,PRODUCT!$B:$B,0)),"")</f>
        <v/>
      </c>
      <c r="G54" s="62">
        <f t="array" ref="G54">IFERROR(INDEX(PRODUCT!$E:$E,MATCH(C54,PRODUCT!$B:$B,0)),"")</f>
        <v/>
      </c>
      <c r="H54" s="62">
        <f t="array" ref="H54">IFERROR(INDEX(PRODUCT!$F:$F,MATCH(C54,PRODUCT!$B:$B,0)),"")</f>
        <v/>
      </c>
      <c r="I54" s="62">
        <f>IF(C54="","",INPUT_SYSTEM!G68)</f>
        <v/>
      </c>
      <c r="J54" s="62">
        <f>IF(C54="","",INPUT_SYSTEM!H68)</f>
        <v/>
      </c>
      <c r="K54" s="60">
        <f>IF(C54="","",INPUT_SYSTEM!J68)</f>
        <v/>
      </c>
      <c r="L54" s="62">
        <f>IF(C54="","",INPUT_SYSTEM!K68)</f>
        <v/>
      </c>
      <c r="M54" s="62">
        <f>IF(C54="","",INPUT_SYSTEM!L68)</f>
        <v/>
      </c>
      <c r="N54" s="62">
        <f>IF(U54&lt;&gt;"SI","",IF(M54&lt;&gt;"",M54,IFERROR(I54*J54*(1+K54)*L54,"")))</f>
        <v/>
      </c>
      <c r="O54" s="62">
        <f>IF(N54="","",IF(OR(H54="",H54=0),N54,ROUNDUP(N54/H54,0)))</f>
        <v/>
      </c>
      <c r="P54" s="63">
        <f t="array" ref="P54">IFERROR(INDEX(PRODUCT!$I:$I,MATCH(C54,PRODUCT!$B:$B,0)),"")</f>
        <v/>
      </c>
      <c r="Q54" s="63">
        <f>IF(C54="","",INPUT_SYSTEM!M68)</f>
        <v/>
      </c>
      <c r="R54" s="63">
        <f>IF(P54="","",P54*(1+Q54))</f>
        <v/>
      </c>
      <c r="S54" s="63">
        <f>IF(O54="","",IF(OR(H54="",H54=0),O54*P54,O54*H54*P54))</f>
        <v/>
      </c>
      <c r="T54" s="63">
        <f>IF(O54="","",IF(OR(H54="",H54=0),O54*R54,O54*H54*R54))</f>
        <v/>
      </c>
      <c r="U54" s="62">
        <f>IF(C54="","",INPUT_SYSTEM!C68)</f>
        <v/>
      </c>
      <c r="V54" s="62">
        <f>IF(C54="","",INPUT_SYSTEM!N68)</f>
        <v/>
      </c>
    </row>
    <row r="55" ht="15.75" customHeight="1" s="125">
      <c r="A55" s="62">
        <f>IF(INPUT_SYSTEM!D69="","",INPUT_SYSTEM!A69)</f>
        <v/>
      </c>
      <c r="B55" s="62">
        <f>IF(INPUT_SYSTEM!D69="","",INPUT_SYSTEM!B69)</f>
        <v/>
      </c>
      <c r="C55" s="62">
        <f>IF(INPUT_SYSTEM!D69="","",INPUT_SYSTEM!D69)</f>
        <v/>
      </c>
      <c r="D55" s="62">
        <f>IF(C55="","",INPUT_SYSTEM!E69)</f>
        <v/>
      </c>
      <c r="E55" s="62">
        <f>IF(C55="","",INPUT_SYSTEM!F69)</f>
        <v/>
      </c>
      <c r="F55" s="62">
        <f t="array" ref="F55">IFERROR(INDEX(PRODUCT!$D:$D,MATCH(C55,PRODUCT!$B:$B,0)),"")</f>
        <v/>
      </c>
      <c r="G55" s="62">
        <f t="array" ref="G55">IFERROR(INDEX(PRODUCT!$E:$E,MATCH(C55,PRODUCT!$B:$B,0)),"")</f>
        <v/>
      </c>
      <c r="H55" s="62">
        <f t="array" ref="H55">IFERROR(INDEX(PRODUCT!$F:$F,MATCH(C55,PRODUCT!$B:$B,0)),"")</f>
        <v/>
      </c>
      <c r="I55" s="62">
        <f>IF(C55="","",INPUT_SYSTEM!G69)</f>
        <v/>
      </c>
      <c r="J55" s="62">
        <f>IF(C55="","",INPUT_SYSTEM!H69)</f>
        <v/>
      </c>
      <c r="K55" s="60">
        <f>IF(C55="","",INPUT_SYSTEM!J69)</f>
        <v/>
      </c>
      <c r="L55" s="62">
        <f>IF(C55="","",INPUT_SYSTEM!K69)</f>
        <v/>
      </c>
      <c r="M55" s="62">
        <f>IF(C55="","",INPUT_SYSTEM!L69)</f>
        <v/>
      </c>
      <c r="N55" s="62">
        <f>IF(U55&lt;&gt;"SI","",IF(M55&lt;&gt;"",M55,IFERROR(I55*J55*(1+K55)*L55,"")))</f>
        <v/>
      </c>
      <c r="O55" s="62">
        <f>IF(N55="","",IF(OR(H55="",H55=0),N55,ROUNDUP(N55/H55,0)))</f>
        <v/>
      </c>
      <c r="P55" s="63">
        <f t="array" ref="P55">IFERROR(INDEX(PRODUCT!$I:$I,MATCH(C55,PRODUCT!$B:$B,0)),"")</f>
        <v/>
      </c>
      <c r="Q55" s="63">
        <f>IF(C55="","",INPUT_SYSTEM!M69)</f>
        <v/>
      </c>
      <c r="R55" s="63">
        <f>IF(P55="","",P55*(1+Q55))</f>
        <v/>
      </c>
      <c r="S55" s="63">
        <f>IF(O55="","",IF(OR(H55="",H55=0),O55*P55,O55*H55*P55))</f>
        <v/>
      </c>
      <c r="T55" s="63">
        <f>IF(O55="","",IF(OR(H55="",H55=0),O55*R55,O55*H55*R55))</f>
        <v/>
      </c>
      <c r="U55" s="62">
        <f>IF(C55="","",INPUT_SYSTEM!C69)</f>
        <v/>
      </c>
      <c r="V55" s="62">
        <f>IF(C55="","",INPUT_SYSTEM!N69)</f>
        <v/>
      </c>
    </row>
    <row r="56" ht="15.75" customHeight="1" s="125">
      <c r="A56" s="62">
        <f>IF(INPUT_SYSTEM!D70="","",INPUT_SYSTEM!A70)</f>
        <v/>
      </c>
      <c r="B56" s="62">
        <f>IF(INPUT_SYSTEM!D70="","",INPUT_SYSTEM!B70)</f>
        <v/>
      </c>
      <c r="C56" s="62">
        <f>IF(INPUT_SYSTEM!D70="","",INPUT_SYSTEM!D70)</f>
        <v/>
      </c>
      <c r="D56" s="62">
        <f>IF(C56="","",INPUT_SYSTEM!E70)</f>
        <v/>
      </c>
      <c r="E56" s="62">
        <f>IF(C56="","",INPUT_SYSTEM!F70)</f>
        <v/>
      </c>
      <c r="F56" s="62">
        <f t="array" ref="F56">IFERROR(INDEX(PRODUCT!$D:$D,MATCH(C56,PRODUCT!$B:$B,0)),"")</f>
        <v/>
      </c>
      <c r="G56" s="62">
        <f t="array" ref="G56">IFERROR(INDEX(PRODUCT!$E:$E,MATCH(C56,PRODUCT!$B:$B,0)),"")</f>
        <v/>
      </c>
      <c r="H56" s="62">
        <f t="array" ref="H56">IFERROR(INDEX(PRODUCT!$F:$F,MATCH(C56,PRODUCT!$B:$B,0)),"")</f>
        <v/>
      </c>
      <c r="I56" s="62">
        <f>IF(C56="","",INPUT_SYSTEM!G70)</f>
        <v/>
      </c>
      <c r="J56" s="62">
        <f>IF(C56="","",INPUT_SYSTEM!H70)</f>
        <v/>
      </c>
      <c r="K56" s="60">
        <f>IF(C56="","",INPUT_SYSTEM!J70)</f>
        <v/>
      </c>
      <c r="L56" s="62">
        <f>IF(C56="","",INPUT_SYSTEM!K70)</f>
        <v/>
      </c>
      <c r="M56" s="62">
        <f>IF(C56="","",INPUT_SYSTEM!L70)</f>
        <v/>
      </c>
      <c r="N56" s="62">
        <f>IF(U56&lt;&gt;"SI","",IF(M56&lt;&gt;"",M56,IFERROR(I56*J56*(1+K56)*L56,"")))</f>
        <v/>
      </c>
      <c r="O56" s="62">
        <f>IF(N56="","",IF(OR(H56="",H56=0),N56,ROUNDUP(N56/H56,0)))</f>
        <v/>
      </c>
      <c r="P56" s="63">
        <f t="array" ref="P56">IFERROR(INDEX(PRODUCT!$I:$I,MATCH(C56,PRODUCT!$B:$B,0)),"")</f>
        <v/>
      </c>
      <c r="Q56" s="63">
        <f>IF(C56="","",INPUT_SYSTEM!M70)</f>
        <v/>
      </c>
      <c r="R56" s="63">
        <f>IF(P56="","",P56*(1+Q56))</f>
        <v/>
      </c>
      <c r="S56" s="63">
        <f>IF(O56="","",IF(OR(H56="",H56=0),O56*P56,O56*H56*P56))</f>
        <v/>
      </c>
      <c r="T56" s="63">
        <f>IF(O56="","",IF(OR(H56="",H56=0),O56*R56,O56*H56*R56))</f>
        <v/>
      </c>
      <c r="U56" s="62">
        <f>IF(C56="","",INPUT_SYSTEM!C70)</f>
        <v/>
      </c>
      <c r="V56" s="62">
        <f>IF(C56="","",INPUT_SYSTEM!N70)</f>
        <v/>
      </c>
    </row>
    <row r="57" ht="15.75" customHeight="1" s="125">
      <c r="A57" s="62">
        <f>IF(INPUT_SYSTEM!D71="","",INPUT_SYSTEM!A71)</f>
        <v/>
      </c>
      <c r="B57" s="62">
        <f>IF(INPUT_SYSTEM!D71="","",INPUT_SYSTEM!B71)</f>
        <v/>
      </c>
      <c r="C57" s="62">
        <f>IF(INPUT_SYSTEM!D71="","",INPUT_SYSTEM!D71)</f>
        <v/>
      </c>
      <c r="D57" s="62">
        <f>IF(C57="","",INPUT_SYSTEM!E71)</f>
        <v/>
      </c>
      <c r="E57" s="62">
        <f>IF(C57="","",INPUT_SYSTEM!F71)</f>
        <v/>
      </c>
      <c r="F57" s="62">
        <f t="array" ref="F57">IFERROR(INDEX(PRODUCT!$D:$D,MATCH(C57,PRODUCT!$B:$B,0)),"")</f>
        <v/>
      </c>
      <c r="G57" s="62">
        <f t="array" ref="G57">IFERROR(INDEX(PRODUCT!$E:$E,MATCH(C57,PRODUCT!$B:$B,0)),"")</f>
        <v/>
      </c>
      <c r="H57" s="62">
        <f t="array" ref="H57">IFERROR(INDEX(PRODUCT!$F:$F,MATCH(C57,PRODUCT!$B:$B,0)),"")</f>
        <v/>
      </c>
      <c r="I57" s="62">
        <f>IF(C57="","",INPUT_SYSTEM!G71)</f>
        <v/>
      </c>
      <c r="J57" s="62">
        <f>IF(C57="","",INPUT_SYSTEM!H71)</f>
        <v/>
      </c>
      <c r="K57" s="60">
        <f>IF(C57="","",INPUT_SYSTEM!J71)</f>
        <v/>
      </c>
      <c r="L57" s="62">
        <f>IF(C57="","",INPUT_SYSTEM!K71)</f>
        <v/>
      </c>
      <c r="M57" s="62">
        <f>IF(C57="","",INPUT_SYSTEM!L71)</f>
        <v/>
      </c>
      <c r="N57" s="62">
        <f>IF(U57&lt;&gt;"SI","",IF(M57&lt;&gt;"",M57,IFERROR(I57*J57*(1+K57)*L57,"")))</f>
        <v/>
      </c>
      <c r="O57" s="62">
        <f>IF(N57="","",IF(OR(H57="",H57=0),N57,ROUNDUP(N57/H57,0)))</f>
        <v/>
      </c>
      <c r="P57" s="63">
        <f t="array" ref="P57">IFERROR(INDEX(PRODUCT!$I:$I,MATCH(C57,PRODUCT!$B:$B,0)),"")</f>
        <v/>
      </c>
      <c r="Q57" s="63">
        <f>IF(C57="","",INPUT_SYSTEM!M71)</f>
        <v/>
      </c>
      <c r="R57" s="63">
        <f>IF(P57="","",P57*(1+Q57))</f>
        <v/>
      </c>
      <c r="S57" s="63">
        <f>IF(O57="","",IF(OR(H57="",H57=0),O57*P57,O57*H57*P57))</f>
        <v/>
      </c>
      <c r="T57" s="63">
        <f>IF(O57="","",IF(OR(H57="",H57=0),O57*R57,O57*H57*R57))</f>
        <v/>
      </c>
      <c r="U57" s="62">
        <f>IF(C57="","",INPUT_SYSTEM!C71)</f>
        <v/>
      </c>
      <c r="V57" s="62">
        <f>IF(C57="","",INPUT_SYSTEM!N71)</f>
        <v/>
      </c>
    </row>
    <row r="58" ht="15.75" customHeight="1" s="125">
      <c r="A58" s="62">
        <f>IF(INPUT_SYSTEM!D72="","",INPUT_SYSTEM!A72)</f>
        <v/>
      </c>
      <c r="B58" s="62">
        <f>IF(INPUT_SYSTEM!D72="","",INPUT_SYSTEM!B72)</f>
        <v/>
      </c>
      <c r="C58" s="62">
        <f>IF(INPUT_SYSTEM!D72="","",INPUT_SYSTEM!D72)</f>
        <v/>
      </c>
      <c r="D58" s="62">
        <f>IF(C58="","",INPUT_SYSTEM!E72)</f>
        <v/>
      </c>
      <c r="E58" s="62">
        <f>IF(C58="","",INPUT_SYSTEM!F72)</f>
        <v/>
      </c>
      <c r="F58" s="62">
        <f t="array" ref="F58">IFERROR(INDEX(PRODUCT!$D:$D,MATCH(C58,PRODUCT!$B:$B,0)),"")</f>
        <v/>
      </c>
      <c r="G58" s="62">
        <f t="array" ref="G58">IFERROR(INDEX(PRODUCT!$E:$E,MATCH(C58,PRODUCT!$B:$B,0)),"")</f>
        <v/>
      </c>
      <c r="H58" s="62">
        <f t="array" ref="H58">IFERROR(INDEX(PRODUCT!$F:$F,MATCH(C58,PRODUCT!$B:$B,0)),"")</f>
        <v/>
      </c>
      <c r="I58" s="62">
        <f>IF(C58="","",INPUT_SYSTEM!G72)</f>
        <v/>
      </c>
      <c r="J58" s="62">
        <f>IF(C58="","",INPUT_SYSTEM!H72)</f>
        <v/>
      </c>
      <c r="K58" s="60">
        <f>IF(C58="","",INPUT_SYSTEM!J72)</f>
        <v/>
      </c>
      <c r="L58" s="62">
        <f>IF(C58="","",INPUT_SYSTEM!K72)</f>
        <v/>
      </c>
      <c r="M58" s="62">
        <f>IF(C58="","",INPUT_SYSTEM!L72)</f>
        <v/>
      </c>
      <c r="N58" s="62">
        <f>IF(U58&lt;&gt;"SI","",IF(M58&lt;&gt;"",M58,IFERROR(I58*J58*(1+K58)*L58,"")))</f>
        <v/>
      </c>
      <c r="O58" s="62">
        <f>IF(N58="","",IF(OR(H58="",H58=0),N58,ROUNDUP(N58/H58,0)))</f>
        <v/>
      </c>
      <c r="P58" s="63">
        <f t="array" ref="P58">IFERROR(INDEX(PRODUCT!$I:$I,MATCH(C58,PRODUCT!$B:$B,0)),"")</f>
        <v/>
      </c>
      <c r="Q58" s="63">
        <f>IF(C58="","",INPUT_SYSTEM!M72)</f>
        <v/>
      </c>
      <c r="R58" s="63">
        <f>IF(P58="","",P58*(1+Q58))</f>
        <v/>
      </c>
      <c r="S58" s="63">
        <f>IF(O58="","",IF(OR(H58="",H58=0),O58*P58,O58*H58*P58))</f>
        <v/>
      </c>
      <c r="T58" s="63">
        <f>IF(O58="","",IF(OR(H58="",H58=0),O58*R58,O58*H58*R58))</f>
        <v/>
      </c>
      <c r="U58" s="62">
        <f>IF(C58="","",INPUT_SYSTEM!C72)</f>
        <v/>
      </c>
      <c r="V58" s="62">
        <f>IF(C58="","",INPUT_SYSTEM!N72)</f>
        <v/>
      </c>
    </row>
    <row r="59" ht="15.75" customHeight="1" s="125">
      <c r="A59" s="62">
        <f>IF(INPUT_SYSTEM!D73="","",INPUT_SYSTEM!A73)</f>
        <v/>
      </c>
      <c r="B59" s="62">
        <f>IF(INPUT_SYSTEM!D73="","",INPUT_SYSTEM!B73)</f>
        <v/>
      </c>
      <c r="C59" s="62">
        <f>IF(INPUT_SYSTEM!D73="","",INPUT_SYSTEM!D73)</f>
        <v/>
      </c>
      <c r="D59" s="62">
        <f>IF(C59="","",INPUT_SYSTEM!E73)</f>
        <v/>
      </c>
      <c r="E59" s="62">
        <f>IF(C59="","",INPUT_SYSTEM!F73)</f>
        <v/>
      </c>
      <c r="F59" s="62">
        <f t="array" ref="F59">IFERROR(INDEX(PRODUCT!$D:$D,MATCH(C59,PRODUCT!$B:$B,0)),"")</f>
        <v/>
      </c>
      <c r="G59" s="62">
        <f t="array" ref="G59">IFERROR(INDEX(PRODUCT!$E:$E,MATCH(C59,PRODUCT!$B:$B,0)),"")</f>
        <v/>
      </c>
      <c r="H59" s="62">
        <f t="array" ref="H59">IFERROR(INDEX(PRODUCT!$F:$F,MATCH(C59,PRODUCT!$B:$B,0)),"")</f>
        <v/>
      </c>
      <c r="I59" s="62">
        <f>IF(C59="","",INPUT_SYSTEM!G73)</f>
        <v/>
      </c>
      <c r="J59" s="62">
        <f>IF(C59="","",INPUT_SYSTEM!H73)</f>
        <v/>
      </c>
      <c r="K59" s="60">
        <f>IF(C59="","",INPUT_SYSTEM!J73)</f>
        <v/>
      </c>
      <c r="L59" s="62">
        <f>IF(C59="","",INPUT_SYSTEM!K73)</f>
        <v/>
      </c>
      <c r="M59" s="62">
        <f>IF(C59="","",INPUT_SYSTEM!L73)</f>
        <v/>
      </c>
      <c r="N59" s="62">
        <f>IF(U59&lt;&gt;"SI","",IF(M59&lt;&gt;"",M59,IFERROR(I59*J59*(1+K59)*L59,"")))</f>
        <v/>
      </c>
      <c r="O59" s="62">
        <f>IF(N59="","",IF(OR(H59="",H59=0),N59,ROUNDUP(N59/H59,0)))</f>
        <v/>
      </c>
      <c r="P59" s="63">
        <f t="array" ref="P59">IFERROR(INDEX(PRODUCT!$I:$I,MATCH(C59,PRODUCT!$B:$B,0)),"")</f>
        <v/>
      </c>
      <c r="Q59" s="63">
        <f>IF(C59="","",INPUT_SYSTEM!M73)</f>
        <v/>
      </c>
      <c r="R59" s="63">
        <f>IF(P59="","",P59*(1+Q59))</f>
        <v/>
      </c>
      <c r="S59" s="63">
        <f>IF(O59="","",IF(OR(H59="",H59=0),O59*P59,O59*H59*P59))</f>
        <v/>
      </c>
      <c r="T59" s="63">
        <f>IF(O59="","",IF(OR(H59="",H59=0),O59*R59,O59*H59*R59))</f>
        <v/>
      </c>
      <c r="U59" s="62">
        <f>IF(C59="","",INPUT_SYSTEM!C73)</f>
        <v/>
      </c>
      <c r="V59" s="62">
        <f>IF(C59="","",INPUT_SYSTEM!N73)</f>
        <v/>
      </c>
    </row>
    <row r="60" ht="15.75" customHeight="1" s="125">
      <c r="A60" s="62">
        <f>IF(INPUT_SYSTEM!D74="","",INPUT_SYSTEM!A74)</f>
        <v/>
      </c>
      <c r="B60" s="62">
        <f>IF(INPUT_SYSTEM!D74="","",INPUT_SYSTEM!B74)</f>
        <v/>
      </c>
      <c r="C60" s="62">
        <f>IF(INPUT_SYSTEM!D74="","",INPUT_SYSTEM!D74)</f>
        <v/>
      </c>
      <c r="D60" s="62">
        <f>IF(C60="","",INPUT_SYSTEM!E74)</f>
        <v/>
      </c>
      <c r="E60" s="62">
        <f>IF(C60="","",INPUT_SYSTEM!F74)</f>
        <v/>
      </c>
      <c r="F60" s="62">
        <f t="array" ref="F60">IFERROR(INDEX(PRODUCT!$D:$D,MATCH(C60,PRODUCT!$B:$B,0)),"")</f>
        <v/>
      </c>
      <c r="G60" s="62">
        <f t="array" ref="G60">IFERROR(INDEX(PRODUCT!$E:$E,MATCH(C60,PRODUCT!$B:$B,0)),"")</f>
        <v/>
      </c>
      <c r="H60" s="62">
        <f t="array" ref="H60">IFERROR(INDEX(PRODUCT!$F:$F,MATCH(C60,PRODUCT!$B:$B,0)),"")</f>
        <v/>
      </c>
      <c r="I60" s="62">
        <f>IF(C60="","",INPUT_SYSTEM!G74)</f>
        <v/>
      </c>
      <c r="J60" s="62">
        <f>IF(C60="","",INPUT_SYSTEM!H74)</f>
        <v/>
      </c>
      <c r="K60" s="60">
        <f>IF(C60="","",INPUT_SYSTEM!J74)</f>
        <v/>
      </c>
      <c r="L60" s="62">
        <f>IF(C60="","",INPUT_SYSTEM!K74)</f>
        <v/>
      </c>
      <c r="M60" s="62">
        <f>IF(C60="","",INPUT_SYSTEM!L74)</f>
        <v/>
      </c>
      <c r="N60" s="62">
        <f>IF(U60&lt;&gt;"SI","",IF(M60&lt;&gt;"",M60,IFERROR(I60*J60*(1+K60)*L60,"")))</f>
        <v/>
      </c>
      <c r="O60" s="62">
        <f>IF(N60="","",IF(OR(H60="",H60=0),N60,ROUNDUP(N60/H60,0)))</f>
        <v/>
      </c>
      <c r="P60" s="63">
        <f t="array" ref="P60">IFERROR(INDEX(PRODUCT!$I:$I,MATCH(C60,PRODUCT!$B:$B,0)),"")</f>
        <v/>
      </c>
      <c r="Q60" s="63">
        <f>IF(C60="","",INPUT_SYSTEM!M74)</f>
        <v/>
      </c>
      <c r="R60" s="63">
        <f>IF(P60="","",P60*(1+Q60))</f>
        <v/>
      </c>
      <c r="S60" s="63">
        <f>IF(O60="","",IF(OR(H60="",H60=0),O60*P60,O60*H60*P60))</f>
        <v/>
      </c>
      <c r="T60" s="63">
        <f>IF(O60="","",IF(OR(H60="",H60=0),O60*R60,O60*H60*R60))</f>
        <v/>
      </c>
      <c r="U60" s="62">
        <f>IF(C60="","",INPUT_SYSTEM!C74)</f>
        <v/>
      </c>
      <c r="V60" s="62">
        <f>IF(C60="","",INPUT_SYSTEM!N74)</f>
        <v/>
      </c>
    </row>
    <row r="61" ht="15.75" customHeight="1" s="125">
      <c r="A61" s="62">
        <f>IF(INPUT_SYSTEM!D75="","",INPUT_SYSTEM!A75)</f>
        <v/>
      </c>
      <c r="B61" s="62">
        <f>IF(INPUT_SYSTEM!D75="","",INPUT_SYSTEM!B75)</f>
        <v/>
      </c>
      <c r="C61" s="62">
        <f>IF(INPUT_SYSTEM!D75="","",INPUT_SYSTEM!D75)</f>
        <v/>
      </c>
      <c r="D61" s="62">
        <f>IF(C61="","",INPUT_SYSTEM!E75)</f>
        <v/>
      </c>
      <c r="E61" s="62">
        <f>IF(C61="","",INPUT_SYSTEM!F75)</f>
        <v/>
      </c>
      <c r="F61" s="62">
        <f t="array" ref="F61">IFERROR(INDEX(PRODUCT!$D:$D,MATCH(C61,PRODUCT!$B:$B,0)),"")</f>
        <v/>
      </c>
      <c r="G61" s="62">
        <f t="array" ref="G61">IFERROR(INDEX(PRODUCT!$E:$E,MATCH(C61,PRODUCT!$B:$B,0)),"")</f>
        <v/>
      </c>
      <c r="H61" s="62">
        <f t="array" ref="H61">IFERROR(INDEX(PRODUCT!$F:$F,MATCH(C61,PRODUCT!$B:$B,0)),"")</f>
        <v/>
      </c>
      <c r="I61" s="62">
        <f>IF(C61="","",INPUT_SYSTEM!G75)</f>
        <v/>
      </c>
      <c r="J61" s="62">
        <f>IF(C61="","",INPUT_SYSTEM!H75)</f>
        <v/>
      </c>
      <c r="K61" s="60">
        <f>IF(C61="","",INPUT_SYSTEM!J75)</f>
        <v/>
      </c>
      <c r="L61" s="62">
        <f>IF(C61="","",INPUT_SYSTEM!K75)</f>
        <v/>
      </c>
      <c r="M61" s="62">
        <f>IF(C61="","",INPUT_SYSTEM!L75)</f>
        <v/>
      </c>
      <c r="N61" s="62">
        <f>IF(U61&lt;&gt;"SI","",IF(M61&lt;&gt;"",M61,IFERROR(I61*J61*(1+K61)*L61,"")))</f>
        <v/>
      </c>
      <c r="O61" s="62">
        <f>IF(N61="","",IF(OR(H61="",H61=0),N61,ROUNDUP(N61/H61,0)))</f>
        <v/>
      </c>
      <c r="P61" s="63">
        <f t="array" ref="P61">IFERROR(INDEX(PRODUCT!$I:$I,MATCH(C61,PRODUCT!$B:$B,0)),"")</f>
        <v/>
      </c>
      <c r="Q61" s="63">
        <f>IF(C61="","",INPUT_SYSTEM!M75)</f>
        <v/>
      </c>
      <c r="R61" s="63">
        <f>IF(P61="","",P61*(1+Q61))</f>
        <v/>
      </c>
      <c r="S61" s="63">
        <f>IF(O61="","",IF(OR(H61="",H61=0),O61*P61,O61*H61*P61))</f>
        <v/>
      </c>
      <c r="T61" s="63">
        <f>IF(O61="","",IF(OR(H61="",H61=0),O61*R61,O61*H61*R61))</f>
        <v/>
      </c>
      <c r="U61" s="62">
        <f>IF(C61="","",INPUT_SYSTEM!C75)</f>
        <v/>
      </c>
      <c r="V61" s="62">
        <f>IF(C61="","",INPUT_SYSTEM!N75)</f>
        <v/>
      </c>
    </row>
    <row r="62" ht="15.75" customHeight="1" s="125">
      <c r="A62" s="62">
        <f>IF(INPUT_SYSTEM!D76="","",INPUT_SYSTEM!A76)</f>
        <v/>
      </c>
      <c r="B62" s="62">
        <f>IF(INPUT_SYSTEM!D76="","",INPUT_SYSTEM!B76)</f>
        <v/>
      </c>
      <c r="C62" s="62">
        <f>IF(INPUT_SYSTEM!D76="","",INPUT_SYSTEM!D76)</f>
        <v/>
      </c>
      <c r="D62" s="62">
        <f>IF(C62="","",INPUT_SYSTEM!E76)</f>
        <v/>
      </c>
      <c r="E62" s="62">
        <f>IF(C62="","",INPUT_SYSTEM!F76)</f>
        <v/>
      </c>
      <c r="F62" s="62">
        <f t="array" ref="F62">IFERROR(INDEX(PRODUCT!$D:$D,MATCH(C62,PRODUCT!$B:$B,0)),"")</f>
        <v/>
      </c>
      <c r="G62" s="62">
        <f t="array" ref="G62">IFERROR(INDEX(PRODUCT!$E:$E,MATCH(C62,PRODUCT!$B:$B,0)),"")</f>
        <v/>
      </c>
      <c r="H62" s="62">
        <f t="array" ref="H62">IFERROR(INDEX(PRODUCT!$F:$F,MATCH(C62,PRODUCT!$B:$B,0)),"")</f>
        <v/>
      </c>
      <c r="I62" s="62">
        <f>IF(C62="","",INPUT_SYSTEM!G76)</f>
        <v/>
      </c>
      <c r="J62" s="62">
        <f>IF(C62="","",INPUT_SYSTEM!H76)</f>
        <v/>
      </c>
      <c r="K62" s="60">
        <f>IF(C62="","",INPUT_SYSTEM!J76)</f>
        <v/>
      </c>
      <c r="L62" s="62">
        <f>IF(C62="","",INPUT_SYSTEM!K76)</f>
        <v/>
      </c>
      <c r="M62" s="62">
        <f>IF(C62="","",INPUT_SYSTEM!L76)</f>
        <v/>
      </c>
      <c r="N62" s="62">
        <f>IF(U62&lt;&gt;"SI","",IF(M62&lt;&gt;"",M62,IFERROR(I62*J62*(1+K62)*L62,"")))</f>
        <v/>
      </c>
      <c r="O62" s="62">
        <f>IF(N62="","",IF(OR(H62="",H62=0),N62,ROUNDUP(N62/H62,0)))</f>
        <v/>
      </c>
      <c r="P62" s="63">
        <f t="array" ref="P62">IFERROR(INDEX(PRODUCT!$I:$I,MATCH(C62,PRODUCT!$B:$B,0)),"")</f>
        <v/>
      </c>
      <c r="Q62" s="63">
        <f>IF(C62="","",INPUT_SYSTEM!M76)</f>
        <v/>
      </c>
      <c r="R62" s="63">
        <f>IF(P62="","",P62*(1+Q62))</f>
        <v/>
      </c>
      <c r="S62" s="63">
        <f>IF(O62="","",IF(OR(H62="",H62=0),O62*P62,O62*H62*P62))</f>
        <v/>
      </c>
      <c r="T62" s="63">
        <f>IF(O62="","",IF(OR(H62="",H62=0),O62*R62,O62*H62*R62))</f>
        <v/>
      </c>
      <c r="U62" s="62">
        <f>IF(C62="","",INPUT_SYSTEM!C76)</f>
        <v/>
      </c>
      <c r="V62" s="62">
        <f>IF(C62="","",INPUT_SYSTEM!N76)</f>
        <v/>
      </c>
    </row>
    <row r="63" ht="15.75" customHeight="1" s="125">
      <c r="A63" s="62">
        <f>IF(INPUT_SYSTEM!D77="","",INPUT_SYSTEM!A77)</f>
        <v/>
      </c>
      <c r="B63" s="62">
        <f>IF(INPUT_SYSTEM!D77="","",INPUT_SYSTEM!B77)</f>
        <v/>
      </c>
      <c r="C63" s="62">
        <f>IF(INPUT_SYSTEM!D77="","",INPUT_SYSTEM!D77)</f>
        <v/>
      </c>
      <c r="D63" s="62">
        <f>IF(C63="","",INPUT_SYSTEM!E77)</f>
        <v/>
      </c>
      <c r="E63" s="62">
        <f>IF(C63="","",INPUT_SYSTEM!F77)</f>
        <v/>
      </c>
      <c r="F63" s="62">
        <f t="array" ref="F63">IFERROR(INDEX(PRODUCT!$D:$D,MATCH(C63,PRODUCT!$B:$B,0)),"")</f>
        <v/>
      </c>
      <c r="G63" s="62">
        <f t="array" ref="G63">IFERROR(INDEX(PRODUCT!$E:$E,MATCH(C63,PRODUCT!$B:$B,0)),"")</f>
        <v/>
      </c>
      <c r="H63" s="62">
        <f t="array" ref="H63">IFERROR(INDEX(PRODUCT!$F:$F,MATCH(C63,PRODUCT!$B:$B,0)),"")</f>
        <v/>
      </c>
      <c r="I63" s="62">
        <f>IF(C63="","",INPUT_SYSTEM!G77)</f>
        <v/>
      </c>
      <c r="J63" s="62">
        <f>IF(C63="","",INPUT_SYSTEM!H77)</f>
        <v/>
      </c>
      <c r="K63" s="60">
        <f>IF(C63="","",INPUT_SYSTEM!J77)</f>
        <v/>
      </c>
      <c r="L63" s="62">
        <f>IF(C63="","",INPUT_SYSTEM!K77)</f>
        <v/>
      </c>
      <c r="M63" s="62">
        <f>IF(C63="","",INPUT_SYSTEM!L77)</f>
        <v/>
      </c>
      <c r="N63" s="62">
        <f>IF(U63&lt;&gt;"SI","",IF(M63&lt;&gt;"",M63,IFERROR(I63*J63*(1+K63)*L63,"")))</f>
        <v/>
      </c>
      <c r="O63" s="62">
        <f>IF(N63="","",IF(OR(H63="",H63=0),N63,ROUNDUP(N63/H63,0)))</f>
        <v/>
      </c>
      <c r="P63" s="63">
        <f t="array" ref="P63">IFERROR(INDEX(PRODUCT!$I:$I,MATCH(C63,PRODUCT!$B:$B,0)),"")</f>
        <v/>
      </c>
      <c r="Q63" s="63">
        <f>IF(C63="","",INPUT_SYSTEM!M77)</f>
        <v/>
      </c>
      <c r="R63" s="63">
        <f>IF(P63="","",P63*(1+Q63))</f>
        <v/>
      </c>
      <c r="S63" s="63">
        <f>IF(O63="","",IF(OR(H63="",H63=0),O63*P63,O63*H63*P63))</f>
        <v/>
      </c>
      <c r="T63" s="63">
        <f>IF(O63="","",IF(OR(H63="",H63=0),O63*R63,O63*H63*R63))</f>
        <v/>
      </c>
      <c r="U63" s="62">
        <f>IF(C63="","",INPUT_SYSTEM!C77)</f>
        <v/>
      </c>
      <c r="V63" s="62">
        <f>IF(C63="","",INPUT_SYSTEM!N77)</f>
        <v/>
      </c>
    </row>
    <row r="64" ht="15.75" customHeight="1" s="125">
      <c r="A64" s="62">
        <f>IF(INPUT_SYSTEM!D78="","",INPUT_SYSTEM!A78)</f>
        <v/>
      </c>
      <c r="B64" s="62">
        <f>IF(INPUT_SYSTEM!D78="","",INPUT_SYSTEM!B78)</f>
        <v/>
      </c>
      <c r="C64" s="62">
        <f>IF(INPUT_SYSTEM!D78="","",INPUT_SYSTEM!D78)</f>
        <v/>
      </c>
      <c r="D64" s="62">
        <f>IF(C64="","",INPUT_SYSTEM!E78)</f>
        <v/>
      </c>
      <c r="E64" s="62">
        <f>IF(C64="","",INPUT_SYSTEM!F78)</f>
        <v/>
      </c>
      <c r="F64" s="62">
        <f t="array" ref="F64">IFERROR(INDEX(PRODUCT!$D:$D,MATCH(C64,PRODUCT!$B:$B,0)),"")</f>
        <v/>
      </c>
      <c r="G64" s="62">
        <f t="array" ref="G64">IFERROR(INDEX(PRODUCT!$E:$E,MATCH(C64,PRODUCT!$B:$B,0)),"")</f>
        <v/>
      </c>
      <c r="H64" s="62">
        <f t="array" ref="H64">IFERROR(INDEX(PRODUCT!$F:$F,MATCH(C64,PRODUCT!$B:$B,0)),"")</f>
        <v/>
      </c>
      <c r="I64" s="62">
        <f>IF(C64="","",INPUT_SYSTEM!G78)</f>
        <v/>
      </c>
      <c r="J64" s="62">
        <f>IF(C64="","",INPUT_SYSTEM!H78)</f>
        <v/>
      </c>
      <c r="K64" s="60">
        <f>IF(C64="","",INPUT_SYSTEM!J78)</f>
        <v/>
      </c>
      <c r="L64" s="62">
        <f>IF(C64="","",INPUT_SYSTEM!K78)</f>
        <v/>
      </c>
      <c r="M64" s="62">
        <f>IF(C64="","",INPUT_SYSTEM!L78)</f>
        <v/>
      </c>
      <c r="N64" s="62">
        <f>IF(U64&lt;&gt;"SI","",IF(M64&lt;&gt;"",M64,IFERROR(I64*J64*(1+K64)*L64,"")))</f>
        <v/>
      </c>
      <c r="O64" s="62">
        <f>IF(N64="","",IF(OR(H64="",H64=0),N64,ROUNDUP(N64/H64,0)))</f>
        <v/>
      </c>
      <c r="P64" s="63">
        <f t="array" ref="P64">IFERROR(INDEX(PRODUCT!$I:$I,MATCH(C64,PRODUCT!$B:$B,0)),"")</f>
        <v/>
      </c>
      <c r="Q64" s="63">
        <f>IF(C64="","",INPUT_SYSTEM!M78)</f>
        <v/>
      </c>
      <c r="R64" s="63">
        <f>IF(P64="","",P64*(1+Q64))</f>
        <v/>
      </c>
      <c r="S64" s="63">
        <f>IF(O64="","",IF(OR(H64="",H64=0),O64*P64,O64*H64*P64))</f>
        <v/>
      </c>
      <c r="T64" s="63">
        <f>IF(O64="","",IF(OR(H64="",H64=0),O64*R64,O64*H64*R64))</f>
        <v/>
      </c>
      <c r="U64" s="62">
        <f>IF(C64="","",INPUT_SYSTEM!C78)</f>
        <v/>
      </c>
      <c r="V64" s="62">
        <f>IF(C64="","",INPUT_SYSTEM!N78)</f>
        <v/>
      </c>
    </row>
    <row r="65" ht="15.75" customHeight="1" s="125">
      <c r="A65" s="62">
        <f>IF(INPUT_SYSTEM!D79="","",INPUT_SYSTEM!A79)</f>
        <v/>
      </c>
      <c r="B65" s="62">
        <f>IF(INPUT_SYSTEM!D79="","",INPUT_SYSTEM!B79)</f>
        <v/>
      </c>
      <c r="C65" s="62">
        <f>IF(INPUT_SYSTEM!D79="","",INPUT_SYSTEM!D79)</f>
        <v/>
      </c>
      <c r="D65" s="62">
        <f>IF(C65="","",INPUT_SYSTEM!E79)</f>
        <v/>
      </c>
      <c r="E65" s="62">
        <f>IF(C65="","",INPUT_SYSTEM!F79)</f>
        <v/>
      </c>
      <c r="F65" s="62">
        <f t="array" ref="F65">IFERROR(INDEX(PRODUCT!$D:$D,MATCH(C65,PRODUCT!$B:$B,0)),"")</f>
        <v/>
      </c>
      <c r="G65" s="62">
        <f t="array" ref="G65">IFERROR(INDEX(PRODUCT!$E:$E,MATCH(C65,PRODUCT!$B:$B,0)),"")</f>
        <v/>
      </c>
      <c r="H65" s="62">
        <f t="array" ref="H65">IFERROR(INDEX(PRODUCT!$F:$F,MATCH(C65,PRODUCT!$B:$B,0)),"")</f>
        <v/>
      </c>
      <c r="I65" s="62">
        <f>IF(C65="","",INPUT_SYSTEM!G79)</f>
        <v/>
      </c>
      <c r="J65" s="62">
        <f>IF(C65="","",INPUT_SYSTEM!H79)</f>
        <v/>
      </c>
      <c r="K65" s="60">
        <f>IF(C65="","",INPUT_SYSTEM!J79)</f>
        <v/>
      </c>
      <c r="L65" s="62">
        <f>IF(C65="","",INPUT_SYSTEM!K79)</f>
        <v/>
      </c>
      <c r="M65" s="62">
        <f>IF(C65="","",INPUT_SYSTEM!L79)</f>
        <v/>
      </c>
      <c r="N65" s="62">
        <f>IF(U65&lt;&gt;"SI","",IF(M65&lt;&gt;"",M65,IFERROR(I65*J65*(1+K65)*L65,"")))</f>
        <v/>
      </c>
      <c r="O65" s="62">
        <f>IF(N65="","",IF(OR(H65="",H65=0),N65,ROUNDUP(N65/H65,0)))</f>
        <v/>
      </c>
      <c r="P65" s="63">
        <f t="array" ref="P65">IFERROR(INDEX(PRODUCT!$I:$I,MATCH(C65,PRODUCT!$B:$B,0)),"")</f>
        <v/>
      </c>
      <c r="Q65" s="63">
        <f>IF(C65="","",INPUT_SYSTEM!M79)</f>
        <v/>
      </c>
      <c r="R65" s="63">
        <f>IF(P65="","",P65*(1+Q65))</f>
        <v/>
      </c>
      <c r="S65" s="63">
        <f>IF(O65="","",IF(OR(H65="",H65=0),O65*P65,O65*H65*P65))</f>
        <v/>
      </c>
      <c r="T65" s="63">
        <f>IF(O65="","",IF(OR(H65="",H65=0),O65*R65,O65*H65*R65))</f>
        <v/>
      </c>
      <c r="U65" s="62">
        <f>IF(C65="","",INPUT_SYSTEM!C79)</f>
        <v/>
      </c>
      <c r="V65" s="62">
        <f>IF(C65="","",INPUT_SYSTEM!N79)</f>
        <v/>
      </c>
    </row>
    <row r="66" ht="15.75" customHeight="1" s="125">
      <c r="A66" s="62">
        <f>IF(INPUT_SYSTEM!D80="","",INPUT_SYSTEM!A80)</f>
        <v/>
      </c>
      <c r="B66" s="62">
        <f>IF(INPUT_SYSTEM!D80="","",INPUT_SYSTEM!B80)</f>
        <v/>
      </c>
      <c r="C66" s="62">
        <f>IF(INPUT_SYSTEM!D80="","",INPUT_SYSTEM!D80)</f>
        <v/>
      </c>
      <c r="D66" s="62">
        <f>IF(C66="","",INPUT_SYSTEM!E80)</f>
        <v/>
      </c>
      <c r="E66" s="62">
        <f>IF(C66="","",INPUT_SYSTEM!F80)</f>
        <v/>
      </c>
      <c r="F66" s="62">
        <f t="array" ref="F66">IFERROR(INDEX(PRODUCT!$D:$D,MATCH(C66,PRODUCT!$B:$B,0)),"")</f>
        <v/>
      </c>
      <c r="G66" s="62">
        <f t="array" ref="G66">IFERROR(INDEX(PRODUCT!$E:$E,MATCH(C66,PRODUCT!$B:$B,0)),"")</f>
        <v/>
      </c>
      <c r="H66" s="62">
        <f t="array" ref="H66">IFERROR(INDEX(PRODUCT!$F:$F,MATCH(C66,PRODUCT!$B:$B,0)),"")</f>
        <v/>
      </c>
      <c r="I66" s="62">
        <f>IF(C66="","",INPUT_SYSTEM!G80)</f>
        <v/>
      </c>
      <c r="J66" s="62">
        <f>IF(C66="","",INPUT_SYSTEM!H80)</f>
        <v/>
      </c>
      <c r="K66" s="60">
        <f>IF(C66="","",INPUT_SYSTEM!J80)</f>
        <v/>
      </c>
      <c r="L66" s="62">
        <f>IF(C66="","",INPUT_SYSTEM!K80)</f>
        <v/>
      </c>
      <c r="M66" s="62">
        <f>IF(C66="","",INPUT_SYSTEM!L80)</f>
        <v/>
      </c>
      <c r="N66" s="62">
        <f>IF(U66&lt;&gt;"SI","",IF(M66&lt;&gt;"",M66,IFERROR(I66*J66*(1+K66)*L66,"")))</f>
        <v/>
      </c>
      <c r="O66" s="62">
        <f>IF(N66="","",IF(OR(H66="",H66=0),N66,ROUNDUP(N66/H66,0)))</f>
        <v/>
      </c>
      <c r="P66" s="63">
        <f t="array" ref="P66">IFERROR(INDEX(PRODUCT!$I:$I,MATCH(C66,PRODUCT!$B:$B,0)),"")</f>
        <v/>
      </c>
      <c r="Q66" s="63">
        <f>IF(C66="","",INPUT_SYSTEM!M80)</f>
        <v/>
      </c>
      <c r="R66" s="63">
        <f>IF(P66="","",P66*(1+Q66))</f>
        <v/>
      </c>
      <c r="S66" s="63">
        <f>IF(O66="","",IF(OR(H66="",H66=0),O66*P66,O66*H66*P66))</f>
        <v/>
      </c>
      <c r="T66" s="63">
        <f>IF(O66="","",IF(OR(H66="",H66=0),O66*R66,O66*H66*R66))</f>
        <v/>
      </c>
      <c r="U66" s="62">
        <f>IF(C66="","",INPUT_SYSTEM!C80)</f>
        <v/>
      </c>
      <c r="V66" s="62">
        <f>IF(C66="","",INPUT_SYSTEM!N80)</f>
        <v/>
      </c>
    </row>
    <row r="67" ht="15.75" customHeight="1" s="125">
      <c r="A67" s="62">
        <f>IF(INPUT_SYSTEM!D81="","",INPUT_SYSTEM!A81)</f>
        <v/>
      </c>
      <c r="B67" s="62">
        <f>IF(INPUT_SYSTEM!D81="","",INPUT_SYSTEM!B81)</f>
        <v/>
      </c>
      <c r="C67" s="62">
        <f>IF(INPUT_SYSTEM!D81="","",INPUT_SYSTEM!D81)</f>
        <v/>
      </c>
      <c r="D67" s="62">
        <f>IF(C67="","",INPUT_SYSTEM!E81)</f>
        <v/>
      </c>
      <c r="E67" s="62">
        <f>IF(C67="","",INPUT_SYSTEM!F81)</f>
        <v/>
      </c>
      <c r="F67" s="62">
        <f t="array" ref="F67">IFERROR(INDEX(PRODUCT!$D:$D,MATCH(C67,PRODUCT!$B:$B,0)),"")</f>
        <v/>
      </c>
      <c r="G67" s="62">
        <f t="array" ref="G67">IFERROR(INDEX(PRODUCT!$E:$E,MATCH(C67,PRODUCT!$B:$B,0)),"")</f>
        <v/>
      </c>
      <c r="H67" s="62">
        <f t="array" ref="H67">IFERROR(INDEX(PRODUCT!$F:$F,MATCH(C67,PRODUCT!$B:$B,0)),"")</f>
        <v/>
      </c>
      <c r="I67" s="62">
        <f>IF(C67="","",INPUT_SYSTEM!G81)</f>
        <v/>
      </c>
      <c r="J67" s="62">
        <f>IF(C67="","",INPUT_SYSTEM!H81)</f>
        <v/>
      </c>
      <c r="K67" s="60">
        <f>IF(C67="","",INPUT_SYSTEM!J81)</f>
        <v/>
      </c>
      <c r="L67" s="62">
        <f>IF(C67="","",INPUT_SYSTEM!K81)</f>
        <v/>
      </c>
      <c r="M67" s="62">
        <f>IF(C67="","",INPUT_SYSTEM!L81)</f>
        <v/>
      </c>
      <c r="N67" s="62">
        <f>IF(U67&lt;&gt;"SI","",IF(M67&lt;&gt;"",M67,IFERROR(I67*J67*(1+K67)*L67,"")))</f>
        <v/>
      </c>
      <c r="O67" s="62">
        <f>IF(N67="","",IF(OR(H67="",H67=0),N67,ROUNDUP(N67/H67,0)))</f>
        <v/>
      </c>
      <c r="P67" s="63">
        <f t="array" ref="P67">IFERROR(INDEX(PRODUCT!$I:$I,MATCH(C67,PRODUCT!$B:$B,0)),"")</f>
        <v/>
      </c>
      <c r="Q67" s="63">
        <f>IF(C67="","",INPUT_SYSTEM!M81)</f>
        <v/>
      </c>
      <c r="R67" s="63">
        <f>IF(P67="","",P67*(1+Q67))</f>
        <v/>
      </c>
      <c r="S67" s="63">
        <f>IF(O67="","",IF(OR(H67="",H67=0),O67*P67,O67*H67*P67))</f>
        <v/>
      </c>
      <c r="T67" s="63">
        <f>IF(O67="","",IF(OR(H67="",H67=0),O67*R67,O67*H67*R67))</f>
        <v/>
      </c>
      <c r="U67" s="62">
        <f>IF(C67="","",INPUT_SYSTEM!C81)</f>
        <v/>
      </c>
      <c r="V67" s="62">
        <f>IF(C67="","",INPUT_SYSTEM!N81)</f>
        <v/>
      </c>
    </row>
    <row r="68" ht="15.75" customHeight="1" s="125">
      <c r="A68" s="62">
        <f>IF(INPUT_SYSTEM!D82="","",INPUT_SYSTEM!A82)</f>
        <v/>
      </c>
      <c r="B68" s="62">
        <f>IF(INPUT_SYSTEM!D82="","",INPUT_SYSTEM!B82)</f>
        <v/>
      </c>
      <c r="C68" s="62">
        <f>IF(INPUT_SYSTEM!D82="","",INPUT_SYSTEM!D82)</f>
        <v/>
      </c>
      <c r="D68" s="62">
        <f>IF(C68="","",INPUT_SYSTEM!E82)</f>
        <v/>
      </c>
      <c r="E68" s="62">
        <f>IF(C68="","",INPUT_SYSTEM!F82)</f>
        <v/>
      </c>
      <c r="F68" s="62">
        <f t="array" ref="F68">IFERROR(INDEX(PRODUCT!$D:$D,MATCH(C68,PRODUCT!$B:$B,0)),"")</f>
        <v/>
      </c>
      <c r="G68" s="62">
        <f t="array" ref="G68">IFERROR(INDEX(PRODUCT!$E:$E,MATCH(C68,PRODUCT!$B:$B,0)),"")</f>
        <v/>
      </c>
      <c r="H68" s="62">
        <f t="array" ref="H68">IFERROR(INDEX(PRODUCT!$F:$F,MATCH(C68,PRODUCT!$B:$B,0)),"")</f>
        <v/>
      </c>
      <c r="I68" s="62">
        <f>IF(C68="","",INPUT_SYSTEM!G82)</f>
        <v/>
      </c>
      <c r="J68" s="62">
        <f>IF(C68="","",INPUT_SYSTEM!H82)</f>
        <v/>
      </c>
      <c r="K68" s="60">
        <f>IF(C68="","",INPUT_SYSTEM!J82)</f>
        <v/>
      </c>
      <c r="L68" s="62">
        <f>IF(C68="","",INPUT_SYSTEM!K82)</f>
        <v/>
      </c>
      <c r="M68" s="62">
        <f>IF(C68="","",INPUT_SYSTEM!L82)</f>
        <v/>
      </c>
      <c r="N68" s="62">
        <f>IF(U68&lt;&gt;"SI","",IF(M68&lt;&gt;"",M68,IFERROR(I68*J68*(1+K68)*L68,"")))</f>
        <v/>
      </c>
      <c r="O68" s="62">
        <f>IF(N68="","",IF(OR(H68="",H68=0),N68,ROUNDUP(N68/H68,0)))</f>
        <v/>
      </c>
      <c r="P68" s="63">
        <f t="array" ref="P68">IFERROR(INDEX(PRODUCT!$I:$I,MATCH(C68,PRODUCT!$B:$B,0)),"")</f>
        <v/>
      </c>
      <c r="Q68" s="63">
        <f>IF(C68="","",INPUT_SYSTEM!M82)</f>
        <v/>
      </c>
      <c r="R68" s="63">
        <f>IF(P68="","",P68*(1+Q68))</f>
        <v/>
      </c>
      <c r="S68" s="63">
        <f>IF(O68="","",IF(OR(H68="",H68=0),O68*P68,O68*H68*P68))</f>
        <v/>
      </c>
      <c r="T68" s="63">
        <f>IF(O68="","",IF(OR(H68="",H68=0),O68*R68,O68*H68*R68))</f>
        <v/>
      </c>
      <c r="U68" s="62">
        <f>IF(C68="","",INPUT_SYSTEM!C82)</f>
        <v/>
      </c>
      <c r="V68" s="62">
        <f>IF(C68="","",INPUT_SYSTEM!N82)</f>
        <v/>
      </c>
    </row>
    <row r="69" ht="15.75" customHeight="1" s="125">
      <c r="A69" s="62">
        <f>IF(INPUT_SYSTEM!D83="","",INPUT_SYSTEM!A83)</f>
        <v/>
      </c>
      <c r="B69" s="62">
        <f>IF(INPUT_SYSTEM!D83="","",INPUT_SYSTEM!B83)</f>
        <v/>
      </c>
      <c r="C69" s="62">
        <f>IF(INPUT_SYSTEM!D83="","",INPUT_SYSTEM!D83)</f>
        <v/>
      </c>
      <c r="D69" s="62">
        <f>IF(C69="","",INPUT_SYSTEM!E83)</f>
        <v/>
      </c>
      <c r="E69" s="62">
        <f>IF(C69="","",INPUT_SYSTEM!F83)</f>
        <v/>
      </c>
      <c r="F69" s="62">
        <f t="array" ref="F69">IFERROR(INDEX(PRODUCT!$D:$D,MATCH(C69,PRODUCT!$B:$B,0)),"")</f>
        <v/>
      </c>
      <c r="G69" s="62">
        <f t="array" ref="G69">IFERROR(INDEX(PRODUCT!$E:$E,MATCH(C69,PRODUCT!$B:$B,0)),"")</f>
        <v/>
      </c>
      <c r="H69" s="62">
        <f t="array" ref="H69">IFERROR(INDEX(PRODUCT!$F:$F,MATCH(C69,PRODUCT!$B:$B,0)),"")</f>
        <v/>
      </c>
      <c r="I69" s="62">
        <f>IF(C69="","",INPUT_SYSTEM!G83)</f>
        <v/>
      </c>
      <c r="J69" s="62">
        <f>IF(C69="","",INPUT_SYSTEM!H83)</f>
        <v/>
      </c>
      <c r="K69" s="60">
        <f>IF(C69="","",INPUT_SYSTEM!J83)</f>
        <v/>
      </c>
      <c r="L69" s="62">
        <f>IF(C69="","",INPUT_SYSTEM!K83)</f>
        <v/>
      </c>
      <c r="M69" s="62">
        <f>IF(C69="","",INPUT_SYSTEM!L83)</f>
        <v/>
      </c>
      <c r="N69" s="62">
        <f>IF(U69&lt;&gt;"SI","",IF(M69&lt;&gt;"",M69,IFERROR(I69*J69*(1+K69)*L69,"")))</f>
        <v/>
      </c>
      <c r="O69" s="62">
        <f>IF(N69="","",IF(OR(H69="",H69=0),N69,ROUNDUP(N69/H69,0)))</f>
        <v/>
      </c>
      <c r="P69" s="63">
        <f t="array" ref="P69">IFERROR(INDEX(PRODUCT!$I:$I,MATCH(C69,PRODUCT!$B:$B,0)),"")</f>
        <v/>
      </c>
      <c r="Q69" s="63">
        <f>IF(C69="","",INPUT_SYSTEM!M83)</f>
        <v/>
      </c>
      <c r="R69" s="63">
        <f>IF(P69="","",P69*(1+Q69))</f>
        <v/>
      </c>
      <c r="S69" s="63">
        <f>IF(O69="","",IF(OR(H69="",H69=0),O69*P69,O69*H69*P69))</f>
        <v/>
      </c>
      <c r="T69" s="63">
        <f>IF(O69="","",IF(OR(H69="",H69=0),O69*R69,O69*H69*R69))</f>
        <v/>
      </c>
      <c r="U69" s="62">
        <f>IF(C69="","",INPUT_SYSTEM!C83)</f>
        <v/>
      </c>
      <c r="V69" s="62">
        <f>IF(C69="","",INPUT_SYSTEM!N83)</f>
        <v/>
      </c>
    </row>
    <row r="70" ht="15.75" customHeight="1" s="125">
      <c r="A70" s="62">
        <f>IF(INPUT_SYSTEM!D84="","",INPUT_SYSTEM!A84)</f>
        <v/>
      </c>
      <c r="B70" s="62">
        <f>IF(INPUT_SYSTEM!D84="","",INPUT_SYSTEM!B84)</f>
        <v/>
      </c>
      <c r="C70" s="62">
        <f>IF(INPUT_SYSTEM!D84="","",INPUT_SYSTEM!D84)</f>
        <v/>
      </c>
      <c r="D70" s="62">
        <f>IF(C70="","",INPUT_SYSTEM!E84)</f>
        <v/>
      </c>
      <c r="E70" s="62">
        <f>IF(C70="","",INPUT_SYSTEM!F84)</f>
        <v/>
      </c>
      <c r="F70" s="62">
        <f t="array" ref="F70">IFERROR(INDEX(PRODUCT!$D:$D,MATCH(C70,PRODUCT!$B:$B,0)),"")</f>
        <v/>
      </c>
      <c r="G70" s="62">
        <f t="array" ref="G70">IFERROR(INDEX(PRODUCT!$E:$E,MATCH(C70,PRODUCT!$B:$B,0)),"")</f>
        <v/>
      </c>
      <c r="H70" s="62">
        <f t="array" ref="H70">IFERROR(INDEX(PRODUCT!$F:$F,MATCH(C70,PRODUCT!$B:$B,0)),"")</f>
        <v/>
      </c>
      <c r="I70" s="62">
        <f>IF(C70="","",INPUT_SYSTEM!G84)</f>
        <v/>
      </c>
      <c r="J70" s="62">
        <f>IF(C70="","",INPUT_SYSTEM!H84)</f>
        <v/>
      </c>
      <c r="K70" s="60">
        <f>IF(C70="","",INPUT_SYSTEM!J84)</f>
        <v/>
      </c>
      <c r="L70" s="62">
        <f>IF(C70="","",INPUT_SYSTEM!K84)</f>
        <v/>
      </c>
      <c r="M70" s="62">
        <f>IF(C70="","",INPUT_SYSTEM!L84)</f>
        <v/>
      </c>
      <c r="N70" s="62">
        <f>IF(U70&lt;&gt;"SI","",IF(M70&lt;&gt;"",M70,IFERROR(I70*J70*(1+K70)*L70,"")))</f>
        <v/>
      </c>
      <c r="O70" s="62">
        <f>IF(N70="","",IF(OR(H70="",H70=0),N70,ROUNDUP(N70/H70,0)))</f>
        <v/>
      </c>
      <c r="P70" s="63">
        <f t="array" ref="P70">IFERROR(INDEX(PRODUCT!$I:$I,MATCH(C70,PRODUCT!$B:$B,0)),"")</f>
        <v/>
      </c>
      <c r="Q70" s="63">
        <f>IF(C70="","",INPUT_SYSTEM!M84)</f>
        <v/>
      </c>
      <c r="R70" s="63">
        <f>IF(P70="","",P70*(1+Q70))</f>
        <v/>
      </c>
      <c r="S70" s="63">
        <f>IF(O70="","",IF(OR(H70="",H70=0),O70*P70,O70*H70*P70))</f>
        <v/>
      </c>
      <c r="T70" s="63">
        <f>IF(O70="","",IF(OR(H70="",H70=0),O70*R70,O70*H70*R70))</f>
        <v/>
      </c>
      <c r="U70" s="62">
        <f>IF(C70="","",INPUT_SYSTEM!C84)</f>
        <v/>
      </c>
      <c r="V70" s="62">
        <f>IF(C70="","",INPUT_SYSTEM!N84)</f>
        <v/>
      </c>
    </row>
    <row r="71" ht="15.75" customHeight="1" s="125">
      <c r="A71" s="62">
        <f>IF(INPUT_SYSTEM!D85="","",INPUT_SYSTEM!A85)</f>
        <v/>
      </c>
      <c r="B71" s="62">
        <f>IF(INPUT_SYSTEM!D85="","",INPUT_SYSTEM!B85)</f>
        <v/>
      </c>
      <c r="C71" s="62">
        <f>IF(INPUT_SYSTEM!D85="","",INPUT_SYSTEM!D85)</f>
        <v/>
      </c>
      <c r="D71" s="62">
        <f>IF(C71="","",INPUT_SYSTEM!E85)</f>
        <v/>
      </c>
      <c r="E71" s="62">
        <f>IF(C71="","",INPUT_SYSTEM!F85)</f>
        <v/>
      </c>
      <c r="F71" s="62">
        <f t="array" ref="F71">IFERROR(INDEX(PRODUCT!$D:$D,MATCH(C71,PRODUCT!$B:$B,0)),"")</f>
        <v/>
      </c>
      <c r="G71" s="62">
        <f t="array" ref="G71">IFERROR(INDEX(PRODUCT!$E:$E,MATCH(C71,PRODUCT!$B:$B,0)),"")</f>
        <v/>
      </c>
      <c r="H71" s="62">
        <f t="array" ref="H71">IFERROR(INDEX(PRODUCT!$F:$F,MATCH(C71,PRODUCT!$B:$B,0)),"")</f>
        <v/>
      </c>
      <c r="I71" s="62">
        <f>IF(C71="","",INPUT_SYSTEM!G85)</f>
        <v/>
      </c>
      <c r="J71" s="62">
        <f>IF(C71="","",INPUT_SYSTEM!H85)</f>
        <v/>
      </c>
      <c r="K71" s="60">
        <f>IF(C71="","",INPUT_SYSTEM!J85)</f>
        <v/>
      </c>
      <c r="L71" s="62">
        <f>IF(C71="","",INPUT_SYSTEM!K85)</f>
        <v/>
      </c>
      <c r="M71" s="62">
        <f>IF(C71="","",INPUT_SYSTEM!L85)</f>
        <v/>
      </c>
      <c r="N71" s="62">
        <f>IF(U71&lt;&gt;"SI","",IF(M71&lt;&gt;"",M71,IFERROR(I71*J71*(1+K71)*L71,"")))</f>
        <v/>
      </c>
      <c r="O71" s="62">
        <f>IF(N71="","",IF(OR(H71="",H71=0),N71,ROUNDUP(N71/H71,0)))</f>
        <v/>
      </c>
      <c r="P71" s="63">
        <f t="array" ref="P71">IFERROR(INDEX(PRODUCT!$I:$I,MATCH(C71,PRODUCT!$B:$B,0)),"")</f>
        <v/>
      </c>
      <c r="Q71" s="63">
        <f>IF(C71="","",INPUT_SYSTEM!M85)</f>
        <v/>
      </c>
      <c r="R71" s="63">
        <f>IF(P71="","",P71*(1+Q71))</f>
        <v/>
      </c>
      <c r="S71" s="63">
        <f>IF(O71="","",IF(OR(H71="",H71=0),O71*P71,O71*H71*P71))</f>
        <v/>
      </c>
      <c r="T71" s="63">
        <f>IF(O71="","",IF(OR(H71="",H71=0),O71*R71,O71*H71*R71))</f>
        <v/>
      </c>
      <c r="U71" s="62">
        <f>IF(C71="","",INPUT_SYSTEM!C85)</f>
        <v/>
      </c>
      <c r="V71" s="62">
        <f>IF(C71="","",INPUT_SYSTEM!N85)</f>
        <v/>
      </c>
    </row>
    <row r="72" ht="15.75" customHeight="1" s="125">
      <c r="A72" s="62">
        <f>IF(INPUT_SYSTEM!D86="","",INPUT_SYSTEM!A86)</f>
        <v/>
      </c>
      <c r="B72" s="62">
        <f>IF(INPUT_SYSTEM!D86="","",INPUT_SYSTEM!B86)</f>
        <v/>
      </c>
      <c r="C72" s="62">
        <f>IF(INPUT_SYSTEM!D86="","",INPUT_SYSTEM!D86)</f>
        <v/>
      </c>
      <c r="D72" s="62">
        <f>IF(C72="","",INPUT_SYSTEM!E86)</f>
        <v/>
      </c>
      <c r="E72" s="62">
        <f>IF(C72="","",INPUT_SYSTEM!F86)</f>
        <v/>
      </c>
      <c r="F72" s="62">
        <f t="array" ref="F72">IFERROR(INDEX(PRODUCT!$D:$D,MATCH(C72,PRODUCT!$B:$B,0)),"")</f>
        <v/>
      </c>
      <c r="G72" s="62">
        <f t="array" ref="G72">IFERROR(INDEX(PRODUCT!$E:$E,MATCH(C72,PRODUCT!$B:$B,0)),"")</f>
        <v/>
      </c>
      <c r="H72" s="62">
        <f t="array" ref="H72">IFERROR(INDEX(PRODUCT!$F:$F,MATCH(C72,PRODUCT!$B:$B,0)),"")</f>
        <v/>
      </c>
      <c r="I72" s="62">
        <f>IF(C72="","",INPUT_SYSTEM!G86)</f>
        <v/>
      </c>
      <c r="J72" s="62">
        <f>IF(C72="","",INPUT_SYSTEM!H86)</f>
        <v/>
      </c>
      <c r="K72" s="60">
        <f>IF(C72="","",INPUT_SYSTEM!J86)</f>
        <v/>
      </c>
      <c r="L72" s="62">
        <f>IF(C72="","",INPUT_SYSTEM!K86)</f>
        <v/>
      </c>
      <c r="M72" s="62">
        <f>IF(C72="","",INPUT_SYSTEM!L86)</f>
        <v/>
      </c>
      <c r="N72" s="62">
        <f>IF(U72&lt;&gt;"SI","",IF(M72&lt;&gt;"",M72,IFERROR(I72*J72*(1+K72)*L72,"")))</f>
        <v/>
      </c>
      <c r="O72" s="62">
        <f>IF(N72="","",IF(OR(H72="",H72=0),N72,ROUNDUP(N72/H72,0)))</f>
        <v/>
      </c>
      <c r="P72" s="63">
        <f t="array" ref="P72">IFERROR(INDEX(PRODUCT!$I:$I,MATCH(C72,PRODUCT!$B:$B,0)),"")</f>
        <v/>
      </c>
      <c r="Q72" s="63">
        <f>IF(C72="","",INPUT_SYSTEM!M86)</f>
        <v/>
      </c>
      <c r="R72" s="63">
        <f>IF(P72="","",P72*(1+Q72))</f>
        <v/>
      </c>
      <c r="S72" s="63">
        <f>IF(O72="","",IF(OR(H72="",H72=0),O72*P72,O72*H72*P72))</f>
        <v/>
      </c>
      <c r="T72" s="63">
        <f>IF(O72="","",IF(OR(H72="",H72=0),O72*R72,O72*H72*R72))</f>
        <v/>
      </c>
      <c r="U72" s="62">
        <f>IF(C72="","",INPUT_SYSTEM!C86)</f>
        <v/>
      </c>
      <c r="V72" s="62">
        <f>IF(C72="","",INPUT_SYSTEM!N86)</f>
        <v/>
      </c>
    </row>
    <row r="73" ht="15.75" customHeight="1" s="125">
      <c r="A73" s="62">
        <f>IF(INPUT_SYSTEM!D87="","",INPUT_SYSTEM!A87)</f>
        <v/>
      </c>
      <c r="B73" s="62">
        <f>IF(INPUT_SYSTEM!D87="","",INPUT_SYSTEM!B87)</f>
        <v/>
      </c>
      <c r="C73" s="62">
        <f>IF(INPUT_SYSTEM!D87="","",INPUT_SYSTEM!D87)</f>
        <v/>
      </c>
      <c r="D73" s="62">
        <f>IF(C73="","",INPUT_SYSTEM!E87)</f>
        <v/>
      </c>
      <c r="E73" s="62">
        <f>IF(C73="","",INPUT_SYSTEM!F87)</f>
        <v/>
      </c>
      <c r="F73" s="62">
        <f t="array" ref="F73">IFERROR(INDEX(PRODUCT!$D:$D,MATCH(C73,PRODUCT!$B:$B,0)),"")</f>
        <v/>
      </c>
      <c r="G73" s="62">
        <f t="array" ref="G73">IFERROR(INDEX(PRODUCT!$E:$E,MATCH(C73,PRODUCT!$B:$B,0)),"")</f>
        <v/>
      </c>
      <c r="H73" s="62">
        <f t="array" ref="H73">IFERROR(INDEX(PRODUCT!$F:$F,MATCH(C73,PRODUCT!$B:$B,0)),"")</f>
        <v/>
      </c>
      <c r="I73" s="62">
        <f>IF(C73="","",INPUT_SYSTEM!G87)</f>
        <v/>
      </c>
      <c r="J73" s="62">
        <f>IF(C73="","",INPUT_SYSTEM!H87)</f>
        <v/>
      </c>
      <c r="K73" s="60">
        <f>IF(C73="","",INPUT_SYSTEM!J87)</f>
        <v/>
      </c>
      <c r="L73" s="62">
        <f>IF(C73="","",INPUT_SYSTEM!K87)</f>
        <v/>
      </c>
      <c r="M73" s="62">
        <f>IF(C73="","",INPUT_SYSTEM!L87)</f>
        <v/>
      </c>
      <c r="N73" s="62">
        <f>IF(U73&lt;&gt;"SI","",IF(M73&lt;&gt;"",M73,IFERROR(I73*J73*(1+K73)*L73,"")))</f>
        <v/>
      </c>
      <c r="O73" s="62">
        <f>IF(N73="","",IF(OR(H73="",H73=0),N73,ROUNDUP(N73/H73,0)))</f>
        <v/>
      </c>
      <c r="P73" s="63">
        <f t="array" ref="P73">IFERROR(INDEX(PRODUCT!$I:$I,MATCH(C73,PRODUCT!$B:$B,0)),"")</f>
        <v/>
      </c>
      <c r="Q73" s="63">
        <f>IF(C73="","",INPUT_SYSTEM!M87)</f>
        <v/>
      </c>
      <c r="R73" s="63">
        <f>IF(P73="","",P73*(1+Q73))</f>
        <v/>
      </c>
      <c r="S73" s="63">
        <f>IF(O73="","",IF(OR(H73="",H73=0),O73*P73,O73*H73*P73))</f>
        <v/>
      </c>
      <c r="T73" s="63">
        <f>IF(O73="","",IF(OR(H73="",H73=0),O73*R73,O73*H73*R73))</f>
        <v/>
      </c>
      <c r="U73" s="62">
        <f>IF(C73="","",INPUT_SYSTEM!C87)</f>
        <v/>
      </c>
      <c r="V73" s="62">
        <f>IF(C73="","",INPUT_SYSTEM!N87)</f>
        <v/>
      </c>
    </row>
    <row r="74" ht="15.75" customHeight="1" s="125">
      <c r="A74" s="62">
        <f>IF(INPUT_SYSTEM!D88="","",INPUT_SYSTEM!A88)</f>
        <v/>
      </c>
      <c r="B74" s="62">
        <f>IF(INPUT_SYSTEM!D88="","",INPUT_SYSTEM!B88)</f>
        <v/>
      </c>
      <c r="C74" s="62">
        <f>IF(INPUT_SYSTEM!D88="","",INPUT_SYSTEM!D88)</f>
        <v/>
      </c>
      <c r="D74" s="62">
        <f>IF(C74="","",INPUT_SYSTEM!E88)</f>
        <v/>
      </c>
      <c r="E74" s="62">
        <f>IF(C74="","",INPUT_SYSTEM!F88)</f>
        <v/>
      </c>
      <c r="F74" s="62">
        <f t="array" ref="F74">IFERROR(INDEX(PRODUCT!$D:$D,MATCH(C74,PRODUCT!$B:$B,0)),"")</f>
        <v/>
      </c>
      <c r="G74" s="62">
        <f t="array" ref="G74">IFERROR(INDEX(PRODUCT!$E:$E,MATCH(C74,PRODUCT!$B:$B,0)),"")</f>
        <v/>
      </c>
      <c r="H74" s="62">
        <f t="array" ref="H74">IFERROR(INDEX(PRODUCT!$F:$F,MATCH(C74,PRODUCT!$B:$B,0)),"")</f>
        <v/>
      </c>
      <c r="I74" s="62">
        <f>IF(C74="","",INPUT_SYSTEM!G88)</f>
        <v/>
      </c>
      <c r="J74" s="62">
        <f>IF(C74="","",INPUT_SYSTEM!H88)</f>
        <v/>
      </c>
      <c r="K74" s="60">
        <f>IF(C74="","",INPUT_SYSTEM!J88)</f>
        <v/>
      </c>
      <c r="L74" s="62">
        <f>IF(C74="","",INPUT_SYSTEM!K88)</f>
        <v/>
      </c>
      <c r="M74" s="62">
        <f>IF(C74="","",INPUT_SYSTEM!L88)</f>
        <v/>
      </c>
      <c r="N74" s="62">
        <f>IF(U74&lt;&gt;"SI","",IF(M74&lt;&gt;"",M74,IFERROR(I74*J74*(1+K74)*L74,"")))</f>
        <v/>
      </c>
      <c r="O74" s="62">
        <f>IF(N74="","",IF(OR(H74="",H74=0),N74,ROUNDUP(N74/H74,0)))</f>
        <v/>
      </c>
      <c r="P74" s="63">
        <f t="array" ref="P74">IFERROR(INDEX(PRODUCT!$I:$I,MATCH(C74,PRODUCT!$B:$B,0)),"")</f>
        <v/>
      </c>
      <c r="Q74" s="63">
        <f>IF(C74="","",INPUT_SYSTEM!M88)</f>
        <v/>
      </c>
      <c r="R74" s="63">
        <f>IF(P74="","",P74*(1+Q74))</f>
        <v/>
      </c>
      <c r="S74" s="63">
        <f>IF(O74="","",IF(OR(H74="",H74=0),O74*P74,O74*H74*P74))</f>
        <v/>
      </c>
      <c r="T74" s="63">
        <f>IF(O74="","",IF(OR(H74="",H74=0),O74*R74,O74*H74*R74))</f>
        <v/>
      </c>
      <c r="U74" s="62">
        <f>IF(C74="","",INPUT_SYSTEM!C88)</f>
        <v/>
      </c>
      <c r="V74" s="62">
        <f>IF(C74="","",INPUT_SYSTEM!N88)</f>
        <v/>
      </c>
    </row>
    <row r="75" ht="15.75" customHeight="1" s="125">
      <c r="A75" s="62">
        <f>IF(INPUT_SYSTEM!D89="","",INPUT_SYSTEM!A89)</f>
        <v/>
      </c>
      <c r="B75" s="62">
        <f>IF(INPUT_SYSTEM!D89="","",INPUT_SYSTEM!B89)</f>
        <v/>
      </c>
      <c r="C75" s="62">
        <f>IF(INPUT_SYSTEM!D89="","",INPUT_SYSTEM!D89)</f>
        <v/>
      </c>
      <c r="D75" s="62">
        <f>IF(C75="","",INPUT_SYSTEM!E89)</f>
        <v/>
      </c>
      <c r="E75" s="62">
        <f>IF(C75="","",INPUT_SYSTEM!F89)</f>
        <v/>
      </c>
      <c r="F75" s="62">
        <f t="array" ref="F75">IFERROR(INDEX(PRODUCT!$D:$D,MATCH(C75,PRODUCT!$B:$B,0)),"")</f>
        <v/>
      </c>
      <c r="G75" s="62">
        <f t="array" ref="G75">IFERROR(INDEX(PRODUCT!$E:$E,MATCH(C75,PRODUCT!$B:$B,0)),"")</f>
        <v/>
      </c>
      <c r="H75" s="62">
        <f t="array" ref="H75">IFERROR(INDEX(PRODUCT!$F:$F,MATCH(C75,PRODUCT!$B:$B,0)),"")</f>
        <v/>
      </c>
      <c r="I75" s="62">
        <f>IF(C75="","",INPUT_SYSTEM!G89)</f>
        <v/>
      </c>
      <c r="J75" s="62">
        <f>IF(C75="","",INPUT_SYSTEM!H89)</f>
        <v/>
      </c>
      <c r="K75" s="60">
        <f>IF(C75="","",INPUT_SYSTEM!J89)</f>
        <v/>
      </c>
      <c r="L75" s="62">
        <f>IF(C75="","",INPUT_SYSTEM!K89)</f>
        <v/>
      </c>
      <c r="M75" s="62">
        <f>IF(C75="","",INPUT_SYSTEM!L89)</f>
        <v/>
      </c>
      <c r="N75" s="62">
        <f>IF(U75&lt;&gt;"SI","",IF(M75&lt;&gt;"",M75,IFERROR(I75*J75*(1+K75)*L75,"")))</f>
        <v/>
      </c>
      <c r="O75" s="62">
        <f>IF(N75="","",IF(OR(H75="",H75=0),N75,ROUNDUP(N75/H75,0)))</f>
        <v/>
      </c>
      <c r="P75" s="63">
        <f t="array" ref="P75">IFERROR(INDEX(PRODUCT!$I:$I,MATCH(C75,PRODUCT!$B:$B,0)),"")</f>
        <v/>
      </c>
      <c r="Q75" s="63">
        <f>IF(C75="","",INPUT_SYSTEM!M89)</f>
        <v/>
      </c>
      <c r="R75" s="63">
        <f>IF(P75="","",P75*(1+Q75))</f>
        <v/>
      </c>
      <c r="S75" s="63">
        <f>IF(O75="","",IF(OR(H75="",H75=0),O75*P75,O75*H75*P75))</f>
        <v/>
      </c>
      <c r="T75" s="63">
        <f>IF(O75="","",IF(OR(H75="",H75=0),O75*R75,O75*H75*R75))</f>
        <v/>
      </c>
      <c r="U75" s="62">
        <f>IF(C75="","",INPUT_SYSTEM!C89)</f>
        <v/>
      </c>
      <c r="V75" s="62">
        <f>IF(C75="","",INPUT_SYSTEM!N89)</f>
        <v/>
      </c>
    </row>
    <row r="76" ht="15.75" customHeight="1" s="125">
      <c r="A76" s="62">
        <f>IF(INPUT_SYSTEM!D90="","",INPUT_SYSTEM!A90)</f>
        <v/>
      </c>
      <c r="B76" s="62">
        <f>IF(INPUT_SYSTEM!D90="","",INPUT_SYSTEM!B90)</f>
        <v/>
      </c>
      <c r="C76" s="62">
        <f>IF(INPUT_SYSTEM!D90="","",INPUT_SYSTEM!D90)</f>
        <v/>
      </c>
      <c r="D76" s="62">
        <f>IF(C76="","",INPUT_SYSTEM!E90)</f>
        <v/>
      </c>
      <c r="E76" s="62">
        <f>IF(C76="","",INPUT_SYSTEM!F90)</f>
        <v/>
      </c>
      <c r="F76" s="62">
        <f t="array" ref="F76">IFERROR(INDEX(PRODUCT!$D:$D,MATCH(C76,PRODUCT!$B:$B,0)),"")</f>
        <v/>
      </c>
      <c r="G76" s="62">
        <f t="array" ref="G76">IFERROR(INDEX(PRODUCT!$E:$E,MATCH(C76,PRODUCT!$B:$B,0)),"")</f>
        <v/>
      </c>
      <c r="H76" s="62">
        <f t="array" ref="H76">IFERROR(INDEX(PRODUCT!$F:$F,MATCH(C76,PRODUCT!$B:$B,0)),"")</f>
        <v/>
      </c>
      <c r="I76" s="62">
        <f>IF(C76="","",INPUT_SYSTEM!G90)</f>
        <v/>
      </c>
      <c r="J76" s="62">
        <f>IF(C76="","",INPUT_SYSTEM!H90)</f>
        <v/>
      </c>
      <c r="K76" s="60">
        <f>IF(C76="","",INPUT_SYSTEM!J90)</f>
        <v/>
      </c>
      <c r="L76" s="62">
        <f>IF(C76="","",INPUT_SYSTEM!K90)</f>
        <v/>
      </c>
      <c r="M76" s="62">
        <f>IF(C76="","",INPUT_SYSTEM!L90)</f>
        <v/>
      </c>
      <c r="N76" s="62">
        <f>IF(U76&lt;&gt;"SI","",IF(M76&lt;&gt;"",M76,IFERROR(I76*J76*(1+K76)*L76,"")))</f>
        <v/>
      </c>
      <c r="O76" s="62">
        <f>IF(N76="","",IF(OR(H76="",H76=0),N76,ROUNDUP(N76/H76,0)))</f>
        <v/>
      </c>
      <c r="P76" s="63">
        <f t="array" ref="P76">IFERROR(INDEX(PRODUCT!$I:$I,MATCH(C76,PRODUCT!$B:$B,0)),"")</f>
        <v/>
      </c>
      <c r="Q76" s="63">
        <f>IF(C76="","",INPUT_SYSTEM!M90)</f>
        <v/>
      </c>
      <c r="R76" s="63">
        <f>IF(P76="","",P76*(1+Q76))</f>
        <v/>
      </c>
      <c r="S76" s="63">
        <f>IF(O76="","",IF(OR(H76="",H76=0),O76*P76,O76*H76*P76))</f>
        <v/>
      </c>
      <c r="T76" s="63">
        <f>IF(O76="","",IF(OR(H76="",H76=0),O76*R76,O76*H76*R76))</f>
        <v/>
      </c>
      <c r="U76" s="62">
        <f>IF(C76="","",INPUT_SYSTEM!C90)</f>
        <v/>
      </c>
      <c r="V76" s="62">
        <f>IF(C76="","",INPUT_SYSTEM!N90)</f>
        <v/>
      </c>
    </row>
    <row r="77" ht="15.75" customHeight="1" s="125">
      <c r="A77" s="62">
        <f>IF(INPUT_SYSTEM!D91="","",INPUT_SYSTEM!A91)</f>
        <v/>
      </c>
      <c r="B77" s="62">
        <f>IF(INPUT_SYSTEM!D91="","",INPUT_SYSTEM!B91)</f>
        <v/>
      </c>
      <c r="C77" s="62">
        <f>IF(INPUT_SYSTEM!D91="","",INPUT_SYSTEM!D91)</f>
        <v/>
      </c>
      <c r="D77" s="62">
        <f>IF(C77="","",INPUT_SYSTEM!E91)</f>
        <v/>
      </c>
      <c r="E77" s="62">
        <f>IF(C77="","",INPUT_SYSTEM!F91)</f>
        <v/>
      </c>
      <c r="F77" s="62">
        <f t="array" ref="F77">IFERROR(INDEX(PRODUCT!$D:$D,MATCH(C77,PRODUCT!$B:$B,0)),"")</f>
        <v/>
      </c>
      <c r="G77" s="62">
        <f t="array" ref="G77">IFERROR(INDEX(PRODUCT!$E:$E,MATCH(C77,PRODUCT!$B:$B,0)),"")</f>
        <v/>
      </c>
      <c r="H77" s="62">
        <f t="array" ref="H77">IFERROR(INDEX(PRODUCT!$F:$F,MATCH(C77,PRODUCT!$B:$B,0)),"")</f>
        <v/>
      </c>
      <c r="I77" s="62">
        <f>IF(C77="","",INPUT_SYSTEM!G91)</f>
        <v/>
      </c>
      <c r="J77" s="62">
        <f>IF(C77="","",INPUT_SYSTEM!H91)</f>
        <v/>
      </c>
      <c r="K77" s="60">
        <f>IF(C77="","",INPUT_SYSTEM!J91)</f>
        <v/>
      </c>
      <c r="L77" s="62">
        <f>IF(C77="","",INPUT_SYSTEM!K91)</f>
        <v/>
      </c>
      <c r="M77" s="62">
        <f>IF(C77="","",INPUT_SYSTEM!L91)</f>
        <v/>
      </c>
      <c r="N77" s="62">
        <f>IF(U77&lt;&gt;"SI","",IF(M77&lt;&gt;"",M77,IFERROR(I77*J77*(1+K77)*L77,"")))</f>
        <v/>
      </c>
      <c r="O77" s="62">
        <f>IF(N77="","",IF(OR(H77="",H77=0),N77,ROUNDUP(N77/H77,0)))</f>
        <v/>
      </c>
      <c r="P77" s="63">
        <f t="array" ref="P77">IFERROR(INDEX(PRODUCT!$I:$I,MATCH(C77,PRODUCT!$B:$B,0)),"")</f>
        <v/>
      </c>
      <c r="Q77" s="63">
        <f>IF(C77="","",INPUT_SYSTEM!M91)</f>
        <v/>
      </c>
      <c r="R77" s="63">
        <f>IF(P77="","",P77*(1+Q77))</f>
        <v/>
      </c>
      <c r="S77" s="63">
        <f>IF(O77="","",IF(OR(H77="",H77=0),O77*P77,O77*H77*P77))</f>
        <v/>
      </c>
      <c r="T77" s="63">
        <f>IF(O77="","",IF(OR(H77="",H77=0),O77*R77,O77*H77*R77))</f>
        <v/>
      </c>
      <c r="U77" s="62">
        <f>IF(C77="","",INPUT_SYSTEM!C91)</f>
        <v/>
      </c>
      <c r="V77" s="62">
        <f>IF(C77="","",INPUT_SYSTEM!N91)</f>
        <v/>
      </c>
    </row>
    <row r="78" ht="15.75" customHeight="1" s="125">
      <c r="A78" s="62">
        <f>IF(INPUT_SYSTEM!D92="","",INPUT_SYSTEM!A92)</f>
        <v/>
      </c>
      <c r="B78" s="62">
        <f>IF(INPUT_SYSTEM!D92="","",INPUT_SYSTEM!B92)</f>
        <v/>
      </c>
      <c r="C78" s="62">
        <f>IF(INPUT_SYSTEM!D92="","",INPUT_SYSTEM!D92)</f>
        <v/>
      </c>
      <c r="D78" s="62">
        <f>IF(C78="","",INPUT_SYSTEM!E92)</f>
        <v/>
      </c>
      <c r="E78" s="62">
        <f>IF(C78="","",INPUT_SYSTEM!F92)</f>
        <v/>
      </c>
      <c r="F78" s="62">
        <f t="array" ref="F78">IFERROR(INDEX(PRODUCT!$D:$D,MATCH(C78,PRODUCT!$B:$B,0)),"")</f>
        <v/>
      </c>
      <c r="G78" s="62">
        <f t="array" ref="G78">IFERROR(INDEX(PRODUCT!$E:$E,MATCH(C78,PRODUCT!$B:$B,0)),"")</f>
        <v/>
      </c>
      <c r="H78" s="62">
        <f t="array" ref="H78">IFERROR(INDEX(PRODUCT!$F:$F,MATCH(C78,PRODUCT!$B:$B,0)),"")</f>
        <v/>
      </c>
      <c r="I78" s="62">
        <f>IF(C78="","",INPUT_SYSTEM!G92)</f>
        <v/>
      </c>
      <c r="J78" s="62">
        <f>IF(C78="","",INPUT_SYSTEM!H92)</f>
        <v/>
      </c>
      <c r="K78" s="60">
        <f>IF(C78="","",INPUT_SYSTEM!J92)</f>
        <v/>
      </c>
      <c r="L78" s="62">
        <f>IF(C78="","",INPUT_SYSTEM!K92)</f>
        <v/>
      </c>
      <c r="M78" s="62">
        <f>IF(C78="","",INPUT_SYSTEM!L92)</f>
        <v/>
      </c>
      <c r="N78" s="62">
        <f>IF(U78&lt;&gt;"SI","",IF(M78&lt;&gt;"",M78,IFERROR(I78*J78*(1+K78)*L78,"")))</f>
        <v/>
      </c>
      <c r="O78" s="62">
        <f>IF(N78="","",IF(OR(H78="",H78=0),N78,ROUNDUP(N78/H78,0)))</f>
        <v/>
      </c>
      <c r="P78" s="63">
        <f t="array" ref="P78">IFERROR(INDEX(PRODUCT!$I:$I,MATCH(C78,PRODUCT!$B:$B,0)),"")</f>
        <v/>
      </c>
      <c r="Q78" s="63">
        <f>IF(C78="","",INPUT_SYSTEM!M92)</f>
        <v/>
      </c>
      <c r="R78" s="63">
        <f>IF(P78="","",P78*(1+Q78))</f>
        <v/>
      </c>
      <c r="S78" s="63">
        <f>IF(O78="","",IF(OR(H78="",H78=0),O78*P78,O78*H78*P78))</f>
        <v/>
      </c>
      <c r="T78" s="63">
        <f>IF(O78="","",IF(OR(H78="",H78=0),O78*R78,O78*H78*R78))</f>
        <v/>
      </c>
      <c r="U78" s="62">
        <f>IF(C78="","",INPUT_SYSTEM!C92)</f>
        <v/>
      </c>
      <c r="V78" s="62">
        <f>IF(C78="","",INPUT_SYSTEM!N92)</f>
        <v/>
      </c>
    </row>
    <row r="79" ht="15.75" customHeight="1" s="125">
      <c r="A79" s="62">
        <f>IF(INPUT_SYSTEM!D93="","",INPUT_SYSTEM!A93)</f>
        <v/>
      </c>
      <c r="B79" s="62">
        <f>IF(INPUT_SYSTEM!D93="","",INPUT_SYSTEM!B93)</f>
        <v/>
      </c>
      <c r="C79" s="62">
        <f>IF(INPUT_SYSTEM!D93="","",INPUT_SYSTEM!D93)</f>
        <v/>
      </c>
      <c r="D79" s="62">
        <f>IF(C79="","",INPUT_SYSTEM!E93)</f>
        <v/>
      </c>
      <c r="E79" s="62">
        <f>IF(C79="","",INPUT_SYSTEM!F93)</f>
        <v/>
      </c>
      <c r="F79" s="62">
        <f t="array" ref="F79">IFERROR(INDEX(PRODUCT!$D:$D,MATCH(C79,PRODUCT!$B:$B,0)),"")</f>
        <v/>
      </c>
      <c r="G79" s="62">
        <f t="array" ref="G79">IFERROR(INDEX(PRODUCT!$E:$E,MATCH(C79,PRODUCT!$B:$B,0)),"")</f>
        <v/>
      </c>
      <c r="H79" s="62">
        <f t="array" ref="H79">IFERROR(INDEX(PRODUCT!$F:$F,MATCH(C79,PRODUCT!$B:$B,0)),"")</f>
        <v/>
      </c>
      <c r="I79" s="62">
        <f>IF(C79="","",INPUT_SYSTEM!G93)</f>
        <v/>
      </c>
      <c r="J79" s="62">
        <f>IF(C79="","",INPUT_SYSTEM!H93)</f>
        <v/>
      </c>
      <c r="K79" s="60">
        <f>IF(C79="","",INPUT_SYSTEM!J93)</f>
        <v/>
      </c>
      <c r="L79" s="62">
        <f>IF(C79="","",INPUT_SYSTEM!K93)</f>
        <v/>
      </c>
      <c r="M79" s="62">
        <f>IF(C79="","",INPUT_SYSTEM!L93)</f>
        <v/>
      </c>
      <c r="N79" s="62">
        <f>IF(U79&lt;&gt;"SI","",IF(M79&lt;&gt;"",M79,IFERROR(I79*J79*(1+K79)*L79,"")))</f>
        <v/>
      </c>
      <c r="O79" s="62">
        <f>IF(N79="","",IF(OR(H79="",H79=0),N79,ROUNDUP(N79/H79,0)))</f>
        <v/>
      </c>
      <c r="P79" s="63">
        <f t="array" ref="P79">IFERROR(INDEX(PRODUCT!$I:$I,MATCH(C79,PRODUCT!$B:$B,0)),"")</f>
        <v/>
      </c>
      <c r="Q79" s="63">
        <f>IF(C79="","",INPUT_SYSTEM!M93)</f>
        <v/>
      </c>
      <c r="R79" s="63">
        <f>IF(P79="","",P79*(1+Q79))</f>
        <v/>
      </c>
      <c r="S79" s="63">
        <f>IF(O79="","",IF(OR(H79="",H79=0),O79*P79,O79*H79*P79))</f>
        <v/>
      </c>
      <c r="T79" s="63">
        <f>IF(O79="","",IF(OR(H79="",H79=0),O79*R79,O79*H79*R79))</f>
        <v/>
      </c>
      <c r="U79" s="62">
        <f>IF(C79="","",INPUT_SYSTEM!C93)</f>
        <v/>
      </c>
      <c r="V79" s="62">
        <f>IF(C79="","",INPUT_SYSTEM!N93)</f>
        <v/>
      </c>
    </row>
    <row r="80" ht="15.75" customHeight="1" s="125">
      <c r="A80" s="62">
        <f>IF(INPUT_SYSTEM!D94="","",INPUT_SYSTEM!A94)</f>
        <v/>
      </c>
      <c r="B80" s="62">
        <f>IF(INPUT_SYSTEM!D94="","",INPUT_SYSTEM!B94)</f>
        <v/>
      </c>
      <c r="C80" s="62">
        <f>IF(INPUT_SYSTEM!D94="","",INPUT_SYSTEM!D94)</f>
        <v/>
      </c>
      <c r="D80" s="62">
        <f>IF(C80="","",INPUT_SYSTEM!E94)</f>
        <v/>
      </c>
      <c r="E80" s="62">
        <f>IF(C80="","",INPUT_SYSTEM!F94)</f>
        <v/>
      </c>
      <c r="F80" s="62">
        <f t="array" ref="F80">IFERROR(INDEX(PRODUCT!$D:$D,MATCH(C80,PRODUCT!$B:$B,0)),"")</f>
        <v/>
      </c>
      <c r="G80" s="62">
        <f t="array" ref="G80">IFERROR(INDEX(PRODUCT!$E:$E,MATCH(C80,PRODUCT!$B:$B,0)),"")</f>
        <v/>
      </c>
      <c r="H80" s="62">
        <f t="array" ref="H80">IFERROR(INDEX(PRODUCT!$F:$F,MATCH(C80,PRODUCT!$B:$B,0)),"")</f>
        <v/>
      </c>
      <c r="I80" s="62">
        <f>IF(C80="","",INPUT_SYSTEM!G94)</f>
        <v/>
      </c>
      <c r="J80" s="62">
        <f>IF(C80="","",INPUT_SYSTEM!H94)</f>
        <v/>
      </c>
      <c r="K80" s="60">
        <f>IF(C80="","",INPUT_SYSTEM!J94)</f>
        <v/>
      </c>
      <c r="L80" s="62">
        <f>IF(C80="","",INPUT_SYSTEM!K94)</f>
        <v/>
      </c>
      <c r="M80" s="62">
        <f>IF(C80="","",INPUT_SYSTEM!L94)</f>
        <v/>
      </c>
      <c r="N80" s="62">
        <f>IF(U80&lt;&gt;"SI","",IF(M80&lt;&gt;"",M80,IFERROR(I80*J80*(1+K80)*L80,"")))</f>
        <v/>
      </c>
      <c r="O80" s="62">
        <f>IF(N80="","",IF(OR(H80="",H80=0),N80,ROUNDUP(N80/H80,0)))</f>
        <v/>
      </c>
      <c r="P80" s="63">
        <f t="array" ref="P80">IFERROR(INDEX(PRODUCT!$I:$I,MATCH(C80,PRODUCT!$B:$B,0)),"")</f>
        <v/>
      </c>
      <c r="Q80" s="63">
        <f>IF(C80="","",INPUT_SYSTEM!M94)</f>
        <v/>
      </c>
      <c r="R80" s="63">
        <f>IF(P80="","",P80*(1+Q80))</f>
        <v/>
      </c>
      <c r="S80" s="63">
        <f>IF(O80="","",IF(OR(H80="",H80=0),O80*P80,O80*H80*P80))</f>
        <v/>
      </c>
      <c r="T80" s="63">
        <f>IF(O80="","",IF(OR(H80="",H80=0),O80*R80,O80*H80*R80))</f>
        <v/>
      </c>
      <c r="U80" s="62">
        <f>IF(C80="","",INPUT_SYSTEM!C94)</f>
        <v/>
      </c>
      <c r="V80" s="62">
        <f>IF(C80="","",INPUT_SYSTEM!N94)</f>
        <v/>
      </c>
    </row>
    <row r="81" ht="15.75" customHeight="1" s="125">
      <c r="A81" s="62">
        <f>IF(INPUT_SYSTEM!D95="","",INPUT_SYSTEM!A95)</f>
        <v/>
      </c>
      <c r="B81" s="62">
        <f>IF(INPUT_SYSTEM!D95="","",INPUT_SYSTEM!B95)</f>
        <v/>
      </c>
      <c r="C81" s="62">
        <f>IF(INPUT_SYSTEM!D95="","",INPUT_SYSTEM!D95)</f>
        <v/>
      </c>
      <c r="D81" s="62">
        <f>IF(C81="","",INPUT_SYSTEM!E95)</f>
        <v/>
      </c>
      <c r="E81" s="62">
        <f>IF(C81="","",INPUT_SYSTEM!F95)</f>
        <v/>
      </c>
      <c r="F81" s="62">
        <f t="array" ref="F81">IFERROR(INDEX(PRODUCT!$D:$D,MATCH(C81,PRODUCT!$B:$B,0)),"")</f>
        <v/>
      </c>
      <c r="G81" s="62">
        <f t="array" ref="G81">IFERROR(INDEX(PRODUCT!$E:$E,MATCH(C81,PRODUCT!$B:$B,0)),"")</f>
        <v/>
      </c>
      <c r="H81" s="62">
        <f t="array" ref="H81">IFERROR(INDEX(PRODUCT!$F:$F,MATCH(C81,PRODUCT!$B:$B,0)),"")</f>
        <v/>
      </c>
      <c r="I81" s="62">
        <f>IF(C81="","",INPUT_SYSTEM!G95)</f>
        <v/>
      </c>
      <c r="J81" s="62">
        <f>IF(C81="","",INPUT_SYSTEM!H95)</f>
        <v/>
      </c>
      <c r="K81" s="60">
        <f>IF(C81="","",INPUT_SYSTEM!J95)</f>
        <v/>
      </c>
      <c r="L81" s="62">
        <f>IF(C81="","",INPUT_SYSTEM!K95)</f>
        <v/>
      </c>
      <c r="M81" s="62">
        <f>IF(C81="","",INPUT_SYSTEM!L95)</f>
        <v/>
      </c>
      <c r="N81" s="62">
        <f>IF(U81&lt;&gt;"SI","",IF(M81&lt;&gt;"",M81,IFERROR(I81*J81*(1+K81)*L81,"")))</f>
        <v/>
      </c>
      <c r="O81" s="62">
        <f>IF(N81="","",IF(OR(H81="",H81=0),N81,ROUNDUP(N81/H81,0)))</f>
        <v/>
      </c>
      <c r="P81" s="63">
        <f t="array" ref="P81">IFERROR(INDEX(PRODUCT!$I:$I,MATCH(C81,PRODUCT!$B:$B,0)),"")</f>
        <v/>
      </c>
      <c r="Q81" s="63">
        <f>IF(C81="","",INPUT_SYSTEM!M95)</f>
        <v/>
      </c>
      <c r="R81" s="63">
        <f>IF(P81="","",P81*(1+Q81))</f>
        <v/>
      </c>
      <c r="S81" s="63">
        <f>IF(O81="","",IF(OR(H81="",H81=0),O81*P81,O81*H81*P81))</f>
        <v/>
      </c>
      <c r="T81" s="63">
        <f>IF(O81="","",IF(OR(H81="",H81=0),O81*R81,O81*H81*R81))</f>
        <v/>
      </c>
      <c r="U81" s="62">
        <f>IF(C81="","",INPUT_SYSTEM!C95)</f>
        <v/>
      </c>
      <c r="V81" s="62">
        <f>IF(C81="","",INPUT_SYSTEM!N95)</f>
        <v/>
      </c>
    </row>
    <row r="82" ht="15.75" customHeight="1" s="125">
      <c r="A82" s="62">
        <f>IF(INPUT_SYSTEM!D96="","",INPUT_SYSTEM!A96)</f>
        <v/>
      </c>
      <c r="B82" s="62">
        <f>IF(INPUT_SYSTEM!D96="","",INPUT_SYSTEM!B96)</f>
        <v/>
      </c>
      <c r="C82" s="62">
        <f>IF(INPUT_SYSTEM!D96="","",INPUT_SYSTEM!D96)</f>
        <v/>
      </c>
      <c r="D82" s="62">
        <f>IF(C82="","",INPUT_SYSTEM!E96)</f>
        <v/>
      </c>
      <c r="E82" s="62">
        <f>IF(C82="","",INPUT_SYSTEM!F96)</f>
        <v/>
      </c>
      <c r="F82" s="62">
        <f t="array" ref="F82">IFERROR(INDEX(PRODUCT!$D:$D,MATCH(C82,PRODUCT!$B:$B,0)),"")</f>
        <v/>
      </c>
      <c r="G82" s="62">
        <f t="array" ref="G82">IFERROR(INDEX(PRODUCT!$E:$E,MATCH(C82,PRODUCT!$B:$B,0)),"")</f>
        <v/>
      </c>
      <c r="H82" s="62">
        <f t="array" ref="H82">IFERROR(INDEX(PRODUCT!$F:$F,MATCH(C82,PRODUCT!$B:$B,0)),"")</f>
        <v/>
      </c>
      <c r="I82" s="62">
        <f>IF(C82="","",INPUT_SYSTEM!G96)</f>
        <v/>
      </c>
      <c r="J82" s="62">
        <f>IF(C82="","",INPUT_SYSTEM!H96)</f>
        <v/>
      </c>
      <c r="K82" s="60">
        <f>IF(C82="","",INPUT_SYSTEM!J96)</f>
        <v/>
      </c>
      <c r="L82" s="62">
        <f>IF(C82="","",INPUT_SYSTEM!K96)</f>
        <v/>
      </c>
      <c r="M82" s="62">
        <f>IF(C82="","",INPUT_SYSTEM!L96)</f>
        <v/>
      </c>
      <c r="N82" s="62">
        <f>IF(U82&lt;&gt;"SI","",IF(M82&lt;&gt;"",M82,IFERROR(I82*J82*(1+K82)*L82,"")))</f>
        <v/>
      </c>
      <c r="O82" s="62">
        <f>IF(N82="","",IF(OR(H82="",H82=0),N82,ROUNDUP(N82/H82,0)))</f>
        <v/>
      </c>
      <c r="P82" s="63">
        <f t="array" ref="P82">IFERROR(INDEX(PRODUCT!$I:$I,MATCH(C82,PRODUCT!$B:$B,0)),"")</f>
        <v/>
      </c>
      <c r="Q82" s="63">
        <f>IF(C82="","",INPUT_SYSTEM!M96)</f>
        <v/>
      </c>
      <c r="R82" s="63">
        <f>IF(P82="","",P82*(1+Q82))</f>
        <v/>
      </c>
      <c r="S82" s="63">
        <f>IF(O82="","",IF(OR(H82="",H82=0),O82*P82,O82*H82*P82))</f>
        <v/>
      </c>
      <c r="T82" s="63">
        <f>IF(O82="","",IF(OR(H82="",H82=0),O82*R82,O82*H82*R82))</f>
        <v/>
      </c>
      <c r="U82" s="62">
        <f>IF(C82="","",INPUT_SYSTEM!C96)</f>
        <v/>
      </c>
      <c r="V82" s="62">
        <f>IF(C82="","",INPUT_SYSTEM!N96)</f>
        <v/>
      </c>
    </row>
    <row r="83" ht="15.75" customHeight="1" s="125">
      <c r="A83" s="62">
        <f>IF(INPUT_SYSTEM!D97="","",INPUT_SYSTEM!A97)</f>
        <v/>
      </c>
      <c r="B83" s="62">
        <f>IF(INPUT_SYSTEM!D97="","",INPUT_SYSTEM!B97)</f>
        <v/>
      </c>
      <c r="C83" s="62">
        <f>IF(INPUT_SYSTEM!D97="","",INPUT_SYSTEM!D97)</f>
        <v/>
      </c>
      <c r="D83" s="62">
        <f>IF(C83="","",INPUT_SYSTEM!E97)</f>
        <v/>
      </c>
      <c r="E83" s="62">
        <f>IF(C83="","",INPUT_SYSTEM!F97)</f>
        <v/>
      </c>
      <c r="F83" s="62">
        <f t="array" ref="F83">IFERROR(INDEX(PRODUCT!$D:$D,MATCH(C83,PRODUCT!$B:$B,0)),"")</f>
        <v/>
      </c>
      <c r="G83" s="62">
        <f t="array" ref="G83">IFERROR(INDEX(PRODUCT!$E:$E,MATCH(C83,PRODUCT!$B:$B,0)),"")</f>
        <v/>
      </c>
      <c r="H83" s="62">
        <f t="array" ref="H83">IFERROR(INDEX(PRODUCT!$F:$F,MATCH(C83,PRODUCT!$B:$B,0)),"")</f>
        <v/>
      </c>
      <c r="I83" s="62">
        <f>IF(C83="","",INPUT_SYSTEM!G97)</f>
        <v/>
      </c>
      <c r="J83" s="62">
        <f>IF(C83="","",INPUT_SYSTEM!H97)</f>
        <v/>
      </c>
      <c r="K83" s="60">
        <f>IF(C83="","",INPUT_SYSTEM!J97)</f>
        <v/>
      </c>
      <c r="L83" s="62">
        <f>IF(C83="","",INPUT_SYSTEM!K97)</f>
        <v/>
      </c>
      <c r="M83" s="62">
        <f>IF(C83="","",INPUT_SYSTEM!L97)</f>
        <v/>
      </c>
      <c r="N83" s="62">
        <f>IF(U83&lt;&gt;"SI","",IF(M83&lt;&gt;"",M83,IFERROR(I83*J83*(1+K83)*L83,"")))</f>
        <v/>
      </c>
      <c r="O83" s="62">
        <f>IF(N83="","",IF(OR(H83="",H83=0),N83,ROUNDUP(N83/H83,0)))</f>
        <v/>
      </c>
      <c r="P83" s="63">
        <f t="array" ref="P83">IFERROR(INDEX(PRODUCT!$I:$I,MATCH(C83,PRODUCT!$B:$B,0)),"")</f>
        <v/>
      </c>
      <c r="Q83" s="63">
        <f>IF(C83="","",INPUT_SYSTEM!M97)</f>
        <v/>
      </c>
      <c r="R83" s="63">
        <f>IF(P83="","",P83*(1+Q83))</f>
        <v/>
      </c>
      <c r="S83" s="63">
        <f>IF(O83="","",IF(OR(H83="",H83=0),O83*P83,O83*H83*P83))</f>
        <v/>
      </c>
      <c r="T83" s="63">
        <f>IF(O83="","",IF(OR(H83="",H83=0),O83*R83,O83*H83*R83))</f>
        <v/>
      </c>
      <c r="U83" s="62">
        <f>IF(C83="","",INPUT_SYSTEM!C97)</f>
        <v/>
      </c>
      <c r="V83" s="62">
        <f>IF(C83="","",INPUT_SYSTEM!N97)</f>
        <v/>
      </c>
    </row>
    <row r="84" ht="15.75" customHeight="1" s="125">
      <c r="A84" s="62">
        <f>IF(INPUT_SYSTEM!D98="","",INPUT_SYSTEM!A98)</f>
        <v/>
      </c>
      <c r="B84" s="62">
        <f>IF(INPUT_SYSTEM!D98="","",INPUT_SYSTEM!B98)</f>
        <v/>
      </c>
      <c r="C84" s="62">
        <f>IF(INPUT_SYSTEM!D98="","",INPUT_SYSTEM!D98)</f>
        <v/>
      </c>
      <c r="D84" s="62">
        <f>IF(C84="","",INPUT_SYSTEM!E98)</f>
        <v/>
      </c>
      <c r="E84" s="62">
        <f>IF(C84="","",INPUT_SYSTEM!F98)</f>
        <v/>
      </c>
      <c r="F84" s="62">
        <f t="array" ref="F84">IFERROR(INDEX(PRODUCT!$D:$D,MATCH(C84,PRODUCT!$B:$B,0)),"")</f>
        <v/>
      </c>
      <c r="G84" s="62">
        <f t="array" ref="G84">IFERROR(INDEX(PRODUCT!$E:$E,MATCH(C84,PRODUCT!$B:$B,0)),"")</f>
        <v/>
      </c>
      <c r="H84" s="62">
        <f t="array" ref="H84">IFERROR(INDEX(PRODUCT!$F:$F,MATCH(C84,PRODUCT!$B:$B,0)),"")</f>
        <v/>
      </c>
      <c r="I84" s="62">
        <f>IF(C84="","",INPUT_SYSTEM!G98)</f>
        <v/>
      </c>
      <c r="J84" s="62">
        <f>IF(C84="","",INPUT_SYSTEM!H98)</f>
        <v/>
      </c>
      <c r="K84" s="60">
        <f>IF(C84="","",INPUT_SYSTEM!J98)</f>
        <v/>
      </c>
      <c r="L84" s="62">
        <f>IF(C84="","",INPUT_SYSTEM!K98)</f>
        <v/>
      </c>
      <c r="M84" s="62">
        <f>IF(C84="","",INPUT_SYSTEM!L98)</f>
        <v/>
      </c>
      <c r="N84" s="62">
        <f>IF(U84&lt;&gt;"SI","",IF(M84&lt;&gt;"",M84,IFERROR(I84*J84*(1+K84)*L84,"")))</f>
        <v/>
      </c>
      <c r="O84" s="62">
        <f>IF(N84="","",IF(OR(H84="",H84=0),N84,ROUNDUP(N84/H84,0)))</f>
        <v/>
      </c>
      <c r="P84" s="63">
        <f t="array" ref="P84">IFERROR(INDEX(PRODUCT!$I:$I,MATCH(C84,PRODUCT!$B:$B,0)),"")</f>
        <v/>
      </c>
      <c r="Q84" s="63">
        <f>IF(C84="","",INPUT_SYSTEM!M98)</f>
        <v/>
      </c>
      <c r="R84" s="63">
        <f>IF(P84="","",P84*(1+Q84))</f>
        <v/>
      </c>
      <c r="S84" s="63">
        <f>IF(O84="","",IF(OR(H84="",H84=0),O84*P84,O84*H84*P84))</f>
        <v/>
      </c>
      <c r="T84" s="63">
        <f>IF(O84="","",IF(OR(H84="",H84=0),O84*R84,O84*H84*R84))</f>
        <v/>
      </c>
      <c r="U84" s="62">
        <f>IF(C84="","",INPUT_SYSTEM!C98)</f>
        <v/>
      </c>
      <c r="V84" s="62">
        <f>IF(C84="","",INPUT_SYSTEM!N98)</f>
        <v/>
      </c>
    </row>
    <row r="85" ht="15.75" customHeight="1" s="125">
      <c r="A85" s="62">
        <f>IF(INPUT_SYSTEM!D99="","",INPUT_SYSTEM!A99)</f>
        <v/>
      </c>
      <c r="B85" s="62">
        <f>IF(INPUT_SYSTEM!D99="","",INPUT_SYSTEM!B99)</f>
        <v/>
      </c>
      <c r="C85" s="62">
        <f>IF(INPUT_SYSTEM!D99="","",INPUT_SYSTEM!D99)</f>
        <v/>
      </c>
      <c r="D85" s="62">
        <f>IF(C85="","",INPUT_SYSTEM!E99)</f>
        <v/>
      </c>
      <c r="E85" s="62">
        <f>IF(C85="","",INPUT_SYSTEM!F99)</f>
        <v/>
      </c>
      <c r="F85" s="62">
        <f t="array" ref="F85">IFERROR(INDEX(PRODUCT!$D:$D,MATCH(C85,PRODUCT!$B:$B,0)),"")</f>
        <v/>
      </c>
      <c r="G85" s="62">
        <f t="array" ref="G85">IFERROR(INDEX(PRODUCT!$E:$E,MATCH(C85,PRODUCT!$B:$B,0)),"")</f>
        <v/>
      </c>
      <c r="H85" s="62">
        <f t="array" ref="H85">IFERROR(INDEX(PRODUCT!$F:$F,MATCH(C85,PRODUCT!$B:$B,0)),"")</f>
        <v/>
      </c>
      <c r="I85" s="62">
        <f>IF(C85="","",INPUT_SYSTEM!G99)</f>
        <v/>
      </c>
      <c r="J85" s="62">
        <f>IF(C85="","",INPUT_SYSTEM!H99)</f>
        <v/>
      </c>
      <c r="K85" s="60">
        <f>IF(C85="","",INPUT_SYSTEM!J99)</f>
        <v/>
      </c>
      <c r="L85" s="62">
        <f>IF(C85="","",INPUT_SYSTEM!K99)</f>
        <v/>
      </c>
      <c r="M85" s="62">
        <f>IF(C85="","",INPUT_SYSTEM!L99)</f>
        <v/>
      </c>
      <c r="N85" s="62">
        <f>IF(U85&lt;&gt;"SI","",IF(M85&lt;&gt;"",M85,IFERROR(I85*J85*(1+K85)*L85,"")))</f>
        <v/>
      </c>
      <c r="O85" s="62">
        <f>IF(N85="","",IF(OR(H85="",H85=0),N85,ROUNDUP(N85/H85,0)))</f>
        <v/>
      </c>
      <c r="P85" s="63">
        <f t="array" ref="P85">IFERROR(INDEX(PRODUCT!$I:$I,MATCH(C85,PRODUCT!$B:$B,0)),"")</f>
        <v/>
      </c>
      <c r="Q85" s="63">
        <f>IF(C85="","",INPUT_SYSTEM!M99)</f>
        <v/>
      </c>
      <c r="R85" s="63">
        <f>IF(P85="","",P85*(1+Q85))</f>
        <v/>
      </c>
      <c r="S85" s="63">
        <f>IF(O85="","",IF(OR(H85="",H85=0),O85*P85,O85*H85*P85))</f>
        <v/>
      </c>
      <c r="T85" s="63">
        <f>IF(O85="","",IF(OR(H85="",H85=0),O85*R85,O85*H85*R85))</f>
        <v/>
      </c>
      <c r="U85" s="62">
        <f>IF(C85="","",INPUT_SYSTEM!C99)</f>
        <v/>
      </c>
      <c r="V85" s="62">
        <f>IF(C85="","",INPUT_SYSTEM!N99)</f>
        <v/>
      </c>
    </row>
    <row r="86" ht="15.75" customHeight="1" s="125">
      <c r="A86" s="62">
        <f>IF(INPUT_SYSTEM!D100="","",INPUT_SYSTEM!A100)</f>
        <v/>
      </c>
      <c r="B86" s="62">
        <f>IF(INPUT_SYSTEM!D100="","",INPUT_SYSTEM!B100)</f>
        <v/>
      </c>
      <c r="C86" s="62">
        <f>IF(INPUT_SYSTEM!D100="","",INPUT_SYSTEM!D100)</f>
        <v/>
      </c>
      <c r="D86" s="62">
        <f>IF(C86="","",INPUT_SYSTEM!E100)</f>
        <v/>
      </c>
      <c r="E86" s="62">
        <f>IF(C86="","",INPUT_SYSTEM!F100)</f>
        <v/>
      </c>
      <c r="F86" s="62">
        <f t="array" ref="F86">IFERROR(INDEX(PRODUCT!$D:$D,MATCH(C86,PRODUCT!$B:$B,0)),"")</f>
        <v/>
      </c>
      <c r="G86" s="62">
        <f t="array" ref="G86">IFERROR(INDEX(PRODUCT!$E:$E,MATCH(C86,PRODUCT!$B:$B,0)),"")</f>
        <v/>
      </c>
      <c r="H86" s="62">
        <f t="array" ref="H86">IFERROR(INDEX(PRODUCT!$F:$F,MATCH(C86,PRODUCT!$B:$B,0)),"")</f>
        <v/>
      </c>
      <c r="I86" s="62">
        <f>IF(C86="","",INPUT_SYSTEM!G100)</f>
        <v/>
      </c>
      <c r="J86" s="62">
        <f>IF(C86="","",INPUT_SYSTEM!H100)</f>
        <v/>
      </c>
      <c r="K86" s="60">
        <f>IF(C86="","",INPUT_SYSTEM!J100)</f>
        <v/>
      </c>
      <c r="L86" s="62">
        <f>IF(C86="","",INPUT_SYSTEM!K100)</f>
        <v/>
      </c>
      <c r="M86" s="62">
        <f>IF(C86="","",INPUT_SYSTEM!L100)</f>
        <v/>
      </c>
      <c r="N86" s="62">
        <f>IF(U86&lt;&gt;"SI","",IF(M86&lt;&gt;"",M86,IFERROR(I86*J86*(1+K86)*L86,"")))</f>
        <v/>
      </c>
      <c r="O86" s="62">
        <f>IF(N86="","",IF(OR(H86="",H86=0),N86,ROUNDUP(N86/H86,0)))</f>
        <v/>
      </c>
      <c r="P86" s="63">
        <f t="array" ref="P86">IFERROR(INDEX(PRODUCT!$I:$I,MATCH(C86,PRODUCT!$B:$B,0)),"")</f>
        <v/>
      </c>
      <c r="Q86" s="63">
        <f>IF(C86="","",INPUT_SYSTEM!M100)</f>
        <v/>
      </c>
      <c r="R86" s="63">
        <f>IF(P86="","",P86*(1+Q86))</f>
        <v/>
      </c>
      <c r="S86" s="63">
        <f>IF(O86="","",IF(OR(H86="",H86=0),O86*P86,O86*H86*P86))</f>
        <v/>
      </c>
      <c r="T86" s="63">
        <f>IF(O86="","",IF(OR(H86="",H86=0),O86*R86,O86*H86*R86))</f>
        <v/>
      </c>
      <c r="U86" s="62">
        <f>IF(C86="","",INPUT_SYSTEM!C100)</f>
        <v/>
      </c>
      <c r="V86" s="62">
        <f>IF(C86="","",INPUT_SYSTEM!N100)</f>
        <v/>
      </c>
    </row>
    <row r="87" ht="15.75" customHeight="1" s="125">
      <c r="A87" s="62">
        <f>IF(INPUT_SYSTEM!D101="","",INPUT_SYSTEM!A101)</f>
        <v/>
      </c>
      <c r="B87" s="62">
        <f>IF(INPUT_SYSTEM!D101="","",INPUT_SYSTEM!B101)</f>
        <v/>
      </c>
      <c r="C87" s="62">
        <f>IF(INPUT_SYSTEM!D101="","",INPUT_SYSTEM!D101)</f>
        <v/>
      </c>
      <c r="D87" s="62">
        <f>IF(C87="","",INPUT_SYSTEM!E101)</f>
        <v/>
      </c>
      <c r="E87" s="62">
        <f>IF(C87="","",INPUT_SYSTEM!F101)</f>
        <v/>
      </c>
      <c r="F87" s="62">
        <f t="array" ref="F87">IFERROR(INDEX(PRODUCT!$D:$D,MATCH(C87,PRODUCT!$B:$B,0)),"")</f>
        <v/>
      </c>
      <c r="G87" s="62">
        <f t="array" ref="G87">IFERROR(INDEX(PRODUCT!$E:$E,MATCH(C87,PRODUCT!$B:$B,0)),"")</f>
        <v/>
      </c>
      <c r="H87" s="62">
        <f t="array" ref="H87">IFERROR(INDEX(PRODUCT!$F:$F,MATCH(C87,PRODUCT!$B:$B,0)),"")</f>
        <v/>
      </c>
      <c r="I87" s="62">
        <f>IF(C87="","",INPUT_SYSTEM!G101)</f>
        <v/>
      </c>
      <c r="J87" s="62">
        <f>IF(C87="","",INPUT_SYSTEM!H101)</f>
        <v/>
      </c>
      <c r="K87" s="60">
        <f>IF(C87="","",INPUT_SYSTEM!J101)</f>
        <v/>
      </c>
      <c r="L87" s="62">
        <f>IF(C87="","",INPUT_SYSTEM!K101)</f>
        <v/>
      </c>
      <c r="M87" s="62">
        <f>IF(C87="","",INPUT_SYSTEM!L101)</f>
        <v/>
      </c>
      <c r="N87" s="62">
        <f>IF(U87&lt;&gt;"SI","",IF(M87&lt;&gt;"",M87,IFERROR(I87*J87*(1+K87)*L87,"")))</f>
        <v/>
      </c>
      <c r="O87" s="62">
        <f>IF(N87="","",IF(OR(H87="",H87=0),N87,ROUNDUP(N87/H87,0)))</f>
        <v/>
      </c>
      <c r="P87" s="63">
        <f t="array" ref="P87">IFERROR(INDEX(PRODUCT!$I:$I,MATCH(C87,PRODUCT!$B:$B,0)),"")</f>
        <v/>
      </c>
      <c r="Q87" s="63">
        <f>IF(C87="","",INPUT_SYSTEM!M101)</f>
        <v/>
      </c>
      <c r="R87" s="63">
        <f>IF(P87="","",P87*(1+Q87))</f>
        <v/>
      </c>
      <c r="S87" s="63">
        <f>IF(O87="","",IF(OR(H87="",H87=0),O87*P87,O87*H87*P87))</f>
        <v/>
      </c>
      <c r="T87" s="63">
        <f>IF(O87="","",IF(OR(H87="",H87=0),O87*R87,O87*H87*R87))</f>
        <v/>
      </c>
      <c r="U87" s="62">
        <f>IF(C87="","",INPUT_SYSTEM!C101)</f>
        <v/>
      </c>
      <c r="V87" s="62">
        <f>IF(C87="","",INPUT_SYSTEM!N101)</f>
        <v/>
      </c>
    </row>
    <row r="88" ht="15.75" customHeight="1" s="125">
      <c r="A88" s="62">
        <f>IF(INPUT_SYSTEM!D102="","",INPUT_SYSTEM!A102)</f>
        <v/>
      </c>
      <c r="B88" s="62">
        <f>IF(INPUT_SYSTEM!D102="","",INPUT_SYSTEM!B102)</f>
        <v/>
      </c>
      <c r="C88" s="62">
        <f>IF(INPUT_SYSTEM!D102="","",INPUT_SYSTEM!D102)</f>
        <v/>
      </c>
      <c r="D88" s="62">
        <f>IF(C88="","",INPUT_SYSTEM!E102)</f>
        <v/>
      </c>
      <c r="E88" s="62">
        <f>IF(C88="","",INPUT_SYSTEM!F102)</f>
        <v/>
      </c>
      <c r="F88" s="62">
        <f t="array" ref="F88">IFERROR(INDEX(PRODUCT!$D:$D,MATCH(C88,PRODUCT!$B:$B,0)),"")</f>
        <v/>
      </c>
      <c r="G88" s="62">
        <f t="array" ref="G88">IFERROR(INDEX(PRODUCT!$E:$E,MATCH(C88,PRODUCT!$B:$B,0)),"")</f>
        <v/>
      </c>
      <c r="H88" s="62">
        <f t="array" ref="H88">IFERROR(INDEX(PRODUCT!$F:$F,MATCH(C88,PRODUCT!$B:$B,0)),"")</f>
        <v/>
      </c>
      <c r="I88" s="62">
        <f>IF(C88="","",INPUT_SYSTEM!G102)</f>
        <v/>
      </c>
      <c r="J88" s="62">
        <f>IF(C88="","",INPUT_SYSTEM!H102)</f>
        <v/>
      </c>
      <c r="K88" s="60">
        <f>IF(C88="","",INPUT_SYSTEM!J102)</f>
        <v/>
      </c>
      <c r="L88" s="62">
        <f>IF(C88="","",INPUT_SYSTEM!K102)</f>
        <v/>
      </c>
      <c r="M88" s="62">
        <f>IF(C88="","",INPUT_SYSTEM!L102)</f>
        <v/>
      </c>
      <c r="N88" s="62">
        <f>IF(U88&lt;&gt;"SI","",IF(M88&lt;&gt;"",M88,IFERROR(I88*J88*(1+K88)*L88,"")))</f>
        <v/>
      </c>
      <c r="O88" s="62">
        <f>IF(N88="","",IF(OR(H88="",H88=0),N88,ROUNDUP(N88/H88,0)))</f>
        <v/>
      </c>
      <c r="P88" s="63">
        <f t="array" ref="P88">IFERROR(INDEX(PRODUCT!$I:$I,MATCH(C88,PRODUCT!$B:$B,0)),"")</f>
        <v/>
      </c>
      <c r="Q88" s="63">
        <f>IF(C88="","",INPUT_SYSTEM!M102)</f>
        <v/>
      </c>
      <c r="R88" s="63">
        <f>IF(P88="","",P88*(1+Q88))</f>
        <v/>
      </c>
      <c r="S88" s="63">
        <f>IF(O88="","",IF(OR(H88="",H88=0),O88*P88,O88*H88*P88))</f>
        <v/>
      </c>
      <c r="T88" s="63">
        <f>IF(O88="","",IF(OR(H88="",H88=0),O88*R88,O88*H88*R88))</f>
        <v/>
      </c>
      <c r="U88" s="62">
        <f>IF(C88="","",INPUT_SYSTEM!C102)</f>
        <v/>
      </c>
      <c r="V88" s="62">
        <f>IF(C88="","",INPUT_SYSTEM!N102)</f>
        <v/>
      </c>
    </row>
    <row r="89" ht="15.75" customHeight="1" s="125">
      <c r="A89" s="62">
        <f>IF(INPUT_SYSTEM!D103="","",INPUT_SYSTEM!A103)</f>
        <v/>
      </c>
      <c r="B89" s="62">
        <f>IF(INPUT_SYSTEM!D103="","",INPUT_SYSTEM!B103)</f>
        <v/>
      </c>
      <c r="C89" s="62">
        <f>IF(INPUT_SYSTEM!D103="","",INPUT_SYSTEM!D103)</f>
        <v/>
      </c>
      <c r="D89" s="62">
        <f>IF(C89="","",INPUT_SYSTEM!E103)</f>
        <v/>
      </c>
      <c r="E89" s="62">
        <f>IF(C89="","",INPUT_SYSTEM!F103)</f>
        <v/>
      </c>
      <c r="F89" s="62">
        <f t="array" ref="F89">IFERROR(INDEX(PRODUCT!$D:$D,MATCH(C89,PRODUCT!$B:$B,0)),"")</f>
        <v/>
      </c>
      <c r="G89" s="62">
        <f t="array" ref="G89">IFERROR(INDEX(PRODUCT!$E:$E,MATCH(C89,PRODUCT!$B:$B,0)),"")</f>
        <v/>
      </c>
      <c r="H89" s="62">
        <f t="array" ref="H89">IFERROR(INDEX(PRODUCT!$F:$F,MATCH(C89,PRODUCT!$B:$B,0)),"")</f>
        <v/>
      </c>
      <c r="I89" s="62">
        <f>IF(C89="","",INPUT_SYSTEM!G103)</f>
        <v/>
      </c>
      <c r="J89" s="62">
        <f>IF(C89="","",INPUT_SYSTEM!H103)</f>
        <v/>
      </c>
      <c r="K89" s="60">
        <f>IF(C89="","",INPUT_SYSTEM!J103)</f>
        <v/>
      </c>
      <c r="L89" s="62">
        <f>IF(C89="","",INPUT_SYSTEM!K103)</f>
        <v/>
      </c>
      <c r="M89" s="62">
        <f>IF(C89="","",INPUT_SYSTEM!L103)</f>
        <v/>
      </c>
      <c r="N89" s="62">
        <f>IF(U89&lt;&gt;"SI","",IF(M89&lt;&gt;"",M89,IFERROR(I89*J89*(1+K89)*L89,"")))</f>
        <v/>
      </c>
      <c r="O89" s="62">
        <f>IF(N89="","",IF(OR(H89="",H89=0),N89,ROUNDUP(N89/H89,0)))</f>
        <v/>
      </c>
      <c r="P89" s="63">
        <f t="array" ref="P89">IFERROR(INDEX(PRODUCT!$I:$I,MATCH(C89,PRODUCT!$B:$B,0)),"")</f>
        <v/>
      </c>
      <c r="Q89" s="63">
        <f>IF(C89="","",INPUT_SYSTEM!M103)</f>
        <v/>
      </c>
      <c r="R89" s="63">
        <f>IF(P89="","",P89*(1+Q89))</f>
        <v/>
      </c>
      <c r="S89" s="63">
        <f>IF(O89="","",IF(OR(H89="",H89=0),O89*P89,O89*H89*P89))</f>
        <v/>
      </c>
      <c r="T89" s="63">
        <f>IF(O89="","",IF(OR(H89="",H89=0),O89*R89,O89*H89*R89))</f>
        <v/>
      </c>
      <c r="U89" s="62">
        <f>IF(C89="","",INPUT_SYSTEM!C103)</f>
        <v/>
      </c>
      <c r="V89" s="62">
        <f>IF(C89="","",INPUT_SYSTEM!N103)</f>
        <v/>
      </c>
    </row>
    <row r="90" ht="15.75" customHeight="1" s="125">
      <c r="A90" s="62">
        <f>IF(INPUT_SYSTEM!D104="","",INPUT_SYSTEM!A104)</f>
        <v/>
      </c>
      <c r="B90" s="62">
        <f>IF(INPUT_SYSTEM!D104="","",INPUT_SYSTEM!B104)</f>
        <v/>
      </c>
      <c r="C90" s="62">
        <f>IF(INPUT_SYSTEM!D104="","",INPUT_SYSTEM!D104)</f>
        <v/>
      </c>
      <c r="D90" s="62">
        <f>IF(C90="","",INPUT_SYSTEM!E104)</f>
        <v/>
      </c>
      <c r="E90" s="62">
        <f>IF(C90="","",INPUT_SYSTEM!F104)</f>
        <v/>
      </c>
      <c r="F90" s="62">
        <f t="array" ref="F90">IFERROR(INDEX(PRODUCT!$D:$D,MATCH(C90,PRODUCT!$B:$B,0)),"")</f>
        <v/>
      </c>
      <c r="G90" s="62">
        <f t="array" ref="G90">IFERROR(INDEX(PRODUCT!$E:$E,MATCH(C90,PRODUCT!$B:$B,0)),"")</f>
        <v/>
      </c>
      <c r="H90" s="62">
        <f t="array" ref="H90">IFERROR(INDEX(PRODUCT!$F:$F,MATCH(C90,PRODUCT!$B:$B,0)),"")</f>
        <v/>
      </c>
      <c r="I90" s="62">
        <f>IF(C90="","",INPUT_SYSTEM!G104)</f>
        <v/>
      </c>
      <c r="J90" s="62">
        <f>IF(C90="","",INPUT_SYSTEM!H104)</f>
        <v/>
      </c>
      <c r="K90" s="60">
        <f>IF(C90="","",INPUT_SYSTEM!J104)</f>
        <v/>
      </c>
      <c r="L90" s="62">
        <f>IF(C90="","",INPUT_SYSTEM!K104)</f>
        <v/>
      </c>
      <c r="M90" s="62">
        <f>IF(C90="","",INPUT_SYSTEM!L104)</f>
        <v/>
      </c>
      <c r="N90" s="62">
        <f>IF(U90&lt;&gt;"SI","",IF(M90&lt;&gt;"",M90,IFERROR(I90*J90*(1+K90)*L90,"")))</f>
        <v/>
      </c>
      <c r="O90" s="62">
        <f>IF(N90="","",IF(OR(H90="",H90=0),N90,ROUNDUP(N90/H90,0)))</f>
        <v/>
      </c>
      <c r="P90" s="63">
        <f t="array" ref="P90">IFERROR(INDEX(PRODUCT!$I:$I,MATCH(C90,PRODUCT!$B:$B,0)),"")</f>
        <v/>
      </c>
      <c r="Q90" s="63">
        <f>IF(C90="","",INPUT_SYSTEM!M104)</f>
        <v/>
      </c>
      <c r="R90" s="63">
        <f>IF(P90="","",P90*(1+Q90))</f>
        <v/>
      </c>
      <c r="S90" s="63">
        <f>IF(O90="","",IF(OR(H90="",H90=0),O90*P90,O90*H90*P90))</f>
        <v/>
      </c>
      <c r="T90" s="63">
        <f>IF(O90="","",IF(OR(H90="",H90=0),O90*R90,O90*H90*R90))</f>
        <v/>
      </c>
      <c r="U90" s="62">
        <f>IF(C90="","",INPUT_SYSTEM!C104)</f>
        <v/>
      </c>
      <c r="V90" s="62">
        <f>IF(C90="","",INPUT_SYSTEM!N104)</f>
        <v/>
      </c>
    </row>
    <row r="91" ht="15.75" customHeight="1" s="125">
      <c r="A91" s="62">
        <f>IF(INPUT_SYSTEM!D105="","",INPUT_SYSTEM!A105)</f>
        <v/>
      </c>
      <c r="B91" s="62">
        <f>IF(INPUT_SYSTEM!D105="","",INPUT_SYSTEM!B105)</f>
        <v/>
      </c>
      <c r="C91" s="62">
        <f>IF(INPUT_SYSTEM!D105="","",INPUT_SYSTEM!D105)</f>
        <v/>
      </c>
      <c r="D91" s="62">
        <f>IF(C91="","",INPUT_SYSTEM!E105)</f>
        <v/>
      </c>
      <c r="E91" s="62">
        <f>IF(C91="","",INPUT_SYSTEM!F105)</f>
        <v/>
      </c>
      <c r="F91" s="62">
        <f t="array" ref="F91">IFERROR(INDEX(PRODUCT!$D:$D,MATCH(C91,PRODUCT!$B:$B,0)),"")</f>
        <v/>
      </c>
      <c r="G91" s="62">
        <f t="array" ref="G91">IFERROR(INDEX(PRODUCT!$E:$E,MATCH(C91,PRODUCT!$B:$B,0)),"")</f>
        <v/>
      </c>
      <c r="H91" s="62">
        <f t="array" ref="H91">IFERROR(INDEX(PRODUCT!$F:$F,MATCH(C91,PRODUCT!$B:$B,0)),"")</f>
        <v/>
      </c>
      <c r="I91" s="62">
        <f>IF(C91="","",INPUT_SYSTEM!G105)</f>
        <v/>
      </c>
      <c r="J91" s="62">
        <f>IF(C91="","",INPUT_SYSTEM!H105)</f>
        <v/>
      </c>
      <c r="K91" s="60">
        <f>IF(C91="","",INPUT_SYSTEM!J105)</f>
        <v/>
      </c>
      <c r="L91" s="62">
        <f>IF(C91="","",INPUT_SYSTEM!K105)</f>
        <v/>
      </c>
      <c r="M91" s="62">
        <f>IF(C91="","",INPUT_SYSTEM!L105)</f>
        <v/>
      </c>
      <c r="N91" s="62">
        <f>IF(U91&lt;&gt;"SI","",IF(M91&lt;&gt;"",M91,IFERROR(I91*J91*(1+K91)*L91,"")))</f>
        <v/>
      </c>
      <c r="O91" s="62">
        <f>IF(N91="","",IF(OR(H91="",H91=0),N91,ROUNDUP(N91/H91,0)))</f>
        <v/>
      </c>
      <c r="P91" s="63">
        <f t="array" ref="P91">IFERROR(INDEX(PRODUCT!$I:$I,MATCH(C91,PRODUCT!$B:$B,0)),"")</f>
        <v/>
      </c>
      <c r="Q91" s="63">
        <f>IF(C91="","",INPUT_SYSTEM!M105)</f>
        <v/>
      </c>
      <c r="R91" s="63">
        <f>IF(P91="","",P91*(1+Q91))</f>
        <v/>
      </c>
      <c r="S91" s="63">
        <f>IF(O91="","",IF(OR(H91="",H91=0),O91*P91,O91*H91*P91))</f>
        <v/>
      </c>
      <c r="T91" s="63">
        <f>IF(O91="","",IF(OR(H91="",H91=0),O91*R91,O91*H91*R91))</f>
        <v/>
      </c>
      <c r="U91" s="62">
        <f>IF(C91="","",INPUT_SYSTEM!C105)</f>
        <v/>
      </c>
      <c r="V91" s="62">
        <f>IF(C91="","",INPUT_SYSTEM!N105)</f>
        <v/>
      </c>
    </row>
    <row r="92" ht="15.75" customHeight="1" s="125">
      <c r="A92" s="62">
        <f>IF(INPUT_SYSTEM!D106="","",INPUT_SYSTEM!A106)</f>
        <v/>
      </c>
      <c r="B92" s="62">
        <f>IF(INPUT_SYSTEM!D106="","",INPUT_SYSTEM!B106)</f>
        <v/>
      </c>
      <c r="C92" s="62">
        <f>IF(INPUT_SYSTEM!D106="","",INPUT_SYSTEM!D106)</f>
        <v/>
      </c>
      <c r="D92" s="62">
        <f>IF(C92="","",INPUT_SYSTEM!E106)</f>
        <v/>
      </c>
      <c r="E92" s="62">
        <f>IF(C92="","",INPUT_SYSTEM!F106)</f>
        <v/>
      </c>
      <c r="F92" s="62">
        <f t="array" ref="F92">IFERROR(INDEX(PRODUCT!$D:$D,MATCH(C92,PRODUCT!$B:$B,0)),"")</f>
        <v/>
      </c>
      <c r="G92" s="62">
        <f t="array" ref="G92">IFERROR(INDEX(PRODUCT!$E:$E,MATCH(C92,PRODUCT!$B:$B,0)),"")</f>
        <v/>
      </c>
      <c r="H92" s="62">
        <f t="array" ref="H92">IFERROR(INDEX(PRODUCT!$F:$F,MATCH(C92,PRODUCT!$B:$B,0)),"")</f>
        <v/>
      </c>
      <c r="I92" s="62">
        <f>IF(C92="","",INPUT_SYSTEM!G106)</f>
        <v/>
      </c>
      <c r="J92" s="62">
        <f>IF(C92="","",INPUT_SYSTEM!H106)</f>
        <v/>
      </c>
      <c r="K92" s="60">
        <f>IF(C92="","",INPUT_SYSTEM!J106)</f>
        <v/>
      </c>
      <c r="L92" s="62">
        <f>IF(C92="","",INPUT_SYSTEM!K106)</f>
        <v/>
      </c>
      <c r="M92" s="62">
        <f>IF(C92="","",INPUT_SYSTEM!L106)</f>
        <v/>
      </c>
      <c r="N92" s="62">
        <f>IF(U92&lt;&gt;"SI","",IF(M92&lt;&gt;"",M92,IFERROR(I92*J92*(1+K92)*L92,"")))</f>
        <v/>
      </c>
      <c r="O92" s="62">
        <f>IF(N92="","",IF(OR(H92="",H92=0),N92,ROUNDUP(N92/H92,0)))</f>
        <v/>
      </c>
      <c r="P92" s="63">
        <f t="array" ref="P92">IFERROR(INDEX(PRODUCT!$I:$I,MATCH(C92,PRODUCT!$B:$B,0)),"")</f>
        <v/>
      </c>
      <c r="Q92" s="63">
        <f>IF(C92="","",INPUT_SYSTEM!M106)</f>
        <v/>
      </c>
      <c r="R92" s="63">
        <f>IF(P92="","",P92*(1+Q92))</f>
        <v/>
      </c>
      <c r="S92" s="63">
        <f>IF(O92="","",IF(OR(H92="",H92=0),O92*P92,O92*H92*P92))</f>
        <v/>
      </c>
      <c r="T92" s="63">
        <f>IF(O92="","",IF(OR(H92="",H92=0),O92*R92,O92*H92*R92))</f>
        <v/>
      </c>
      <c r="U92" s="62">
        <f>IF(C92="","",INPUT_SYSTEM!C106)</f>
        <v/>
      </c>
      <c r="V92" s="62">
        <f>IF(C92="","",INPUT_SYSTEM!N106)</f>
        <v/>
      </c>
    </row>
    <row r="93" ht="15.75" customHeight="1" s="125">
      <c r="A93" s="62">
        <f>IF(INPUT_SYSTEM!D107="","",INPUT_SYSTEM!A107)</f>
        <v/>
      </c>
      <c r="B93" s="62">
        <f>IF(INPUT_SYSTEM!D107="","",INPUT_SYSTEM!B107)</f>
        <v/>
      </c>
      <c r="C93" s="62">
        <f>IF(INPUT_SYSTEM!D107="","",INPUT_SYSTEM!D107)</f>
        <v/>
      </c>
      <c r="D93" s="62">
        <f>IF(C93="","",INPUT_SYSTEM!E107)</f>
        <v/>
      </c>
      <c r="E93" s="62">
        <f>IF(C93="","",INPUT_SYSTEM!F107)</f>
        <v/>
      </c>
      <c r="F93" s="62">
        <f t="array" ref="F93">IFERROR(INDEX(PRODUCT!$D:$D,MATCH(C93,PRODUCT!$B:$B,0)),"")</f>
        <v/>
      </c>
      <c r="G93" s="62">
        <f t="array" ref="G93">IFERROR(INDEX(PRODUCT!$E:$E,MATCH(C93,PRODUCT!$B:$B,0)),"")</f>
        <v/>
      </c>
      <c r="H93" s="62">
        <f t="array" ref="H93">IFERROR(INDEX(PRODUCT!$F:$F,MATCH(C93,PRODUCT!$B:$B,0)),"")</f>
        <v/>
      </c>
      <c r="I93" s="62">
        <f>IF(C93="","",INPUT_SYSTEM!G107)</f>
        <v/>
      </c>
      <c r="J93" s="62">
        <f>IF(C93="","",INPUT_SYSTEM!H107)</f>
        <v/>
      </c>
      <c r="K93" s="60">
        <f>IF(C93="","",INPUT_SYSTEM!J107)</f>
        <v/>
      </c>
      <c r="L93" s="62">
        <f>IF(C93="","",INPUT_SYSTEM!K107)</f>
        <v/>
      </c>
      <c r="M93" s="62">
        <f>IF(C93="","",INPUT_SYSTEM!L107)</f>
        <v/>
      </c>
      <c r="N93" s="62">
        <f>IF(U93&lt;&gt;"SI","",IF(M93&lt;&gt;"",M93,IFERROR(I93*J93*(1+K93)*L93,"")))</f>
        <v/>
      </c>
      <c r="O93" s="62">
        <f>IF(N93="","",IF(OR(H93="",H93=0),N93,ROUNDUP(N93/H93,0)))</f>
        <v/>
      </c>
      <c r="P93" s="63">
        <f t="array" ref="P93">IFERROR(INDEX(PRODUCT!$I:$I,MATCH(C93,PRODUCT!$B:$B,0)),"")</f>
        <v/>
      </c>
      <c r="Q93" s="63">
        <f>IF(C93="","",INPUT_SYSTEM!M107)</f>
        <v/>
      </c>
      <c r="R93" s="63">
        <f>IF(P93="","",P93*(1+Q93))</f>
        <v/>
      </c>
      <c r="S93" s="63">
        <f>IF(O93="","",IF(OR(H93="",H93=0),O93*P93,O93*H93*P93))</f>
        <v/>
      </c>
      <c r="T93" s="63">
        <f>IF(O93="","",IF(OR(H93="",H93=0),O93*R93,O93*H93*R93))</f>
        <v/>
      </c>
      <c r="U93" s="62">
        <f>IF(C93="","",INPUT_SYSTEM!C107)</f>
        <v/>
      </c>
      <c r="V93" s="62">
        <f>IF(C93="","",INPUT_SYSTEM!N107)</f>
        <v/>
      </c>
    </row>
    <row r="94" ht="15.75" customHeight="1" s="125">
      <c r="A94" s="62">
        <f>IF(INPUT_SYSTEM!D108="","",INPUT_SYSTEM!A108)</f>
        <v/>
      </c>
      <c r="B94" s="62">
        <f>IF(INPUT_SYSTEM!D108="","",INPUT_SYSTEM!B108)</f>
        <v/>
      </c>
      <c r="C94" s="62">
        <f>IF(INPUT_SYSTEM!D108="","",INPUT_SYSTEM!D108)</f>
        <v/>
      </c>
      <c r="D94" s="62">
        <f>IF(C94="","",INPUT_SYSTEM!E108)</f>
        <v/>
      </c>
      <c r="E94" s="62">
        <f>IF(C94="","",INPUT_SYSTEM!F108)</f>
        <v/>
      </c>
      <c r="F94" s="62">
        <f t="array" ref="F94">IFERROR(INDEX(PRODUCT!$D:$D,MATCH(C94,PRODUCT!$B:$B,0)),"")</f>
        <v/>
      </c>
      <c r="G94" s="62">
        <f t="array" ref="G94">IFERROR(INDEX(PRODUCT!$E:$E,MATCH(C94,PRODUCT!$B:$B,0)),"")</f>
        <v/>
      </c>
      <c r="H94" s="62">
        <f t="array" ref="H94">IFERROR(INDEX(PRODUCT!$F:$F,MATCH(C94,PRODUCT!$B:$B,0)),"")</f>
        <v/>
      </c>
      <c r="I94" s="62">
        <f>IF(C94="","",INPUT_SYSTEM!G108)</f>
        <v/>
      </c>
      <c r="J94" s="62">
        <f>IF(C94="","",INPUT_SYSTEM!H108)</f>
        <v/>
      </c>
      <c r="K94" s="60">
        <f>IF(C94="","",INPUT_SYSTEM!J108)</f>
        <v/>
      </c>
      <c r="L94" s="62">
        <f>IF(C94="","",INPUT_SYSTEM!K108)</f>
        <v/>
      </c>
      <c r="M94" s="62">
        <f>IF(C94="","",INPUT_SYSTEM!L108)</f>
        <v/>
      </c>
      <c r="N94" s="62">
        <f>IF(U94&lt;&gt;"SI","",IF(M94&lt;&gt;"",M94,IFERROR(I94*J94*(1+K94)*L94,"")))</f>
        <v/>
      </c>
      <c r="O94" s="62">
        <f>IF(N94="","",IF(OR(H94="",H94=0),N94,ROUNDUP(N94/H94,0)))</f>
        <v/>
      </c>
      <c r="P94" s="63">
        <f t="array" ref="P94">IFERROR(INDEX(PRODUCT!$I:$I,MATCH(C94,PRODUCT!$B:$B,0)),"")</f>
        <v/>
      </c>
      <c r="Q94" s="63">
        <f>IF(C94="","",INPUT_SYSTEM!M108)</f>
        <v/>
      </c>
      <c r="R94" s="63">
        <f>IF(P94="","",P94*(1+Q94))</f>
        <v/>
      </c>
      <c r="S94" s="63">
        <f>IF(O94="","",IF(OR(H94="",H94=0),O94*P94,O94*H94*P94))</f>
        <v/>
      </c>
      <c r="T94" s="63">
        <f>IF(O94="","",IF(OR(H94="",H94=0),O94*R94,O94*H94*R94))</f>
        <v/>
      </c>
      <c r="U94" s="62">
        <f>IF(C94="","",INPUT_SYSTEM!C108)</f>
        <v/>
      </c>
      <c r="V94" s="62">
        <f>IF(C94="","",INPUT_SYSTEM!N108)</f>
        <v/>
      </c>
    </row>
    <row r="95" ht="15.75" customHeight="1" s="125">
      <c r="A95" s="62">
        <f>IF(INPUT_SYSTEM!D109="","",INPUT_SYSTEM!A109)</f>
        <v/>
      </c>
      <c r="B95" s="62">
        <f>IF(INPUT_SYSTEM!D109="","",INPUT_SYSTEM!B109)</f>
        <v/>
      </c>
      <c r="C95" s="62">
        <f>IF(INPUT_SYSTEM!D109="","",INPUT_SYSTEM!D109)</f>
        <v/>
      </c>
      <c r="D95" s="62">
        <f>IF(C95="","",INPUT_SYSTEM!E109)</f>
        <v/>
      </c>
      <c r="E95" s="62">
        <f>IF(C95="","",INPUT_SYSTEM!F109)</f>
        <v/>
      </c>
      <c r="F95" s="62">
        <f t="array" ref="F95">IFERROR(INDEX(PRODUCT!$D:$D,MATCH(C95,PRODUCT!$B:$B,0)),"")</f>
        <v/>
      </c>
      <c r="G95" s="62">
        <f t="array" ref="G95">IFERROR(INDEX(PRODUCT!$E:$E,MATCH(C95,PRODUCT!$B:$B,0)),"")</f>
        <v/>
      </c>
      <c r="H95" s="62">
        <f t="array" ref="H95">IFERROR(INDEX(PRODUCT!$F:$F,MATCH(C95,PRODUCT!$B:$B,0)),"")</f>
        <v/>
      </c>
      <c r="I95" s="62">
        <f>IF(C95="","",INPUT_SYSTEM!G109)</f>
        <v/>
      </c>
      <c r="J95" s="62">
        <f>IF(C95="","",INPUT_SYSTEM!H109)</f>
        <v/>
      </c>
      <c r="K95" s="60">
        <f>IF(C95="","",INPUT_SYSTEM!J109)</f>
        <v/>
      </c>
      <c r="L95" s="62">
        <f>IF(C95="","",INPUT_SYSTEM!K109)</f>
        <v/>
      </c>
      <c r="M95" s="62">
        <f>IF(C95="","",INPUT_SYSTEM!L109)</f>
        <v/>
      </c>
      <c r="N95" s="62">
        <f>IF(U95&lt;&gt;"SI","",IF(M95&lt;&gt;"",M95,IFERROR(I95*J95*(1+K95)*L95,"")))</f>
        <v/>
      </c>
      <c r="O95" s="62">
        <f>IF(N95="","",IF(OR(H95="",H95=0),N95,ROUNDUP(N95/H95,0)))</f>
        <v/>
      </c>
      <c r="P95" s="63">
        <f t="array" ref="P95">IFERROR(INDEX(PRODUCT!$I:$I,MATCH(C95,PRODUCT!$B:$B,0)),"")</f>
        <v/>
      </c>
      <c r="Q95" s="63">
        <f>IF(C95="","",INPUT_SYSTEM!M109)</f>
        <v/>
      </c>
      <c r="R95" s="63">
        <f>IF(P95="","",P95*(1+Q95))</f>
        <v/>
      </c>
      <c r="S95" s="63">
        <f>IF(O95="","",IF(OR(H95="",H95=0),O95*P95,O95*H95*P95))</f>
        <v/>
      </c>
      <c r="T95" s="63">
        <f>IF(O95="","",IF(OR(H95="",H95=0),O95*R95,O95*H95*R95))</f>
        <v/>
      </c>
      <c r="U95" s="62">
        <f>IF(C95="","",INPUT_SYSTEM!C109)</f>
        <v/>
      </c>
      <c r="V95" s="62">
        <f>IF(C95="","",INPUT_SYSTEM!N109)</f>
        <v/>
      </c>
    </row>
    <row r="96" ht="15.75" customHeight="1" s="125">
      <c r="A96" s="62">
        <f>IF(INPUT_SYSTEM!D110="","",INPUT_SYSTEM!A110)</f>
        <v/>
      </c>
      <c r="B96" s="62">
        <f>IF(INPUT_SYSTEM!D110="","",INPUT_SYSTEM!B110)</f>
        <v/>
      </c>
      <c r="C96" s="62">
        <f>IF(INPUT_SYSTEM!D110="","",INPUT_SYSTEM!D110)</f>
        <v/>
      </c>
      <c r="D96" s="62">
        <f>IF(C96="","",INPUT_SYSTEM!E110)</f>
        <v/>
      </c>
      <c r="E96" s="62">
        <f>IF(C96="","",INPUT_SYSTEM!F110)</f>
        <v/>
      </c>
      <c r="F96" s="62">
        <f t="array" ref="F96">IFERROR(INDEX(PRODUCT!$D:$D,MATCH(C96,PRODUCT!$B:$B,0)),"")</f>
        <v/>
      </c>
      <c r="G96" s="62">
        <f t="array" ref="G96">IFERROR(INDEX(PRODUCT!$E:$E,MATCH(C96,PRODUCT!$B:$B,0)),"")</f>
        <v/>
      </c>
      <c r="H96" s="62">
        <f t="array" ref="H96">IFERROR(INDEX(PRODUCT!$F:$F,MATCH(C96,PRODUCT!$B:$B,0)),"")</f>
        <v/>
      </c>
      <c r="I96" s="62">
        <f>IF(C96="","",INPUT_SYSTEM!G110)</f>
        <v/>
      </c>
      <c r="J96" s="62">
        <f>IF(C96="","",INPUT_SYSTEM!H110)</f>
        <v/>
      </c>
      <c r="K96" s="60">
        <f>IF(C96="","",INPUT_SYSTEM!J110)</f>
        <v/>
      </c>
      <c r="L96" s="62">
        <f>IF(C96="","",INPUT_SYSTEM!K110)</f>
        <v/>
      </c>
      <c r="M96" s="62">
        <f>IF(C96="","",INPUT_SYSTEM!L110)</f>
        <v/>
      </c>
      <c r="N96" s="62">
        <f>IF(U96&lt;&gt;"SI","",IF(M96&lt;&gt;"",M96,IFERROR(I96*J96*(1+K96)*L96,"")))</f>
        <v/>
      </c>
      <c r="O96" s="62">
        <f>IF(N96="","",IF(OR(H96="",H96=0),N96,ROUNDUP(N96/H96,0)))</f>
        <v/>
      </c>
      <c r="P96" s="63">
        <f t="array" ref="P96">IFERROR(INDEX(PRODUCT!$I:$I,MATCH(C96,PRODUCT!$B:$B,0)),"")</f>
        <v/>
      </c>
      <c r="Q96" s="63">
        <f>IF(C96="","",INPUT_SYSTEM!M110)</f>
        <v/>
      </c>
      <c r="R96" s="63">
        <f>IF(P96="","",P96*(1+Q96))</f>
        <v/>
      </c>
      <c r="S96" s="63">
        <f>IF(O96="","",IF(OR(H96="",H96=0),O96*P96,O96*H96*P96))</f>
        <v/>
      </c>
      <c r="T96" s="63">
        <f>IF(O96="","",IF(OR(H96="",H96=0),O96*R96,O96*H96*R96))</f>
        <v/>
      </c>
      <c r="U96" s="62">
        <f>IF(C96="","",INPUT_SYSTEM!C110)</f>
        <v/>
      </c>
      <c r="V96" s="62">
        <f>IF(C96="","",INPUT_SYSTEM!N110)</f>
        <v/>
      </c>
    </row>
    <row r="97" ht="15.75" customHeight="1" s="125">
      <c r="A97" s="62">
        <f>IF(INPUT_SYSTEM!D111="","",INPUT_SYSTEM!A111)</f>
        <v/>
      </c>
      <c r="B97" s="62">
        <f>IF(INPUT_SYSTEM!D111="","",INPUT_SYSTEM!B111)</f>
        <v/>
      </c>
      <c r="C97" s="62">
        <f>IF(INPUT_SYSTEM!D111="","",INPUT_SYSTEM!D111)</f>
        <v/>
      </c>
      <c r="D97" s="62">
        <f>IF(C97="","",INPUT_SYSTEM!E111)</f>
        <v/>
      </c>
      <c r="E97" s="62">
        <f>IF(C97="","",INPUT_SYSTEM!F111)</f>
        <v/>
      </c>
      <c r="F97" s="62">
        <f t="array" ref="F97">IFERROR(INDEX(PRODUCT!$D:$D,MATCH(C97,PRODUCT!$B:$B,0)),"")</f>
        <v/>
      </c>
      <c r="G97" s="62">
        <f t="array" ref="G97">IFERROR(INDEX(PRODUCT!$E:$E,MATCH(C97,PRODUCT!$B:$B,0)),"")</f>
        <v/>
      </c>
      <c r="H97" s="62">
        <f t="array" ref="H97">IFERROR(INDEX(PRODUCT!$F:$F,MATCH(C97,PRODUCT!$B:$B,0)),"")</f>
        <v/>
      </c>
      <c r="I97" s="62">
        <f>IF(C97="","",INPUT_SYSTEM!G111)</f>
        <v/>
      </c>
      <c r="J97" s="62">
        <f>IF(C97="","",INPUT_SYSTEM!H111)</f>
        <v/>
      </c>
      <c r="K97" s="60">
        <f>IF(C97="","",INPUT_SYSTEM!J111)</f>
        <v/>
      </c>
      <c r="L97" s="62">
        <f>IF(C97="","",INPUT_SYSTEM!K111)</f>
        <v/>
      </c>
      <c r="M97" s="62">
        <f>IF(C97="","",INPUT_SYSTEM!L111)</f>
        <v/>
      </c>
      <c r="N97" s="62">
        <f>IF(U97&lt;&gt;"SI","",IF(M97&lt;&gt;"",M97,IFERROR(I97*J97*(1+K97)*L97,"")))</f>
        <v/>
      </c>
      <c r="O97" s="62">
        <f>IF(N97="","",IF(OR(H97="",H97=0),N97,ROUNDUP(N97/H97,0)))</f>
        <v/>
      </c>
      <c r="P97" s="63">
        <f t="array" ref="P97">IFERROR(INDEX(PRODUCT!$I:$I,MATCH(C97,PRODUCT!$B:$B,0)),"")</f>
        <v/>
      </c>
      <c r="Q97" s="63">
        <f>IF(C97="","",INPUT_SYSTEM!M111)</f>
        <v/>
      </c>
      <c r="R97" s="63">
        <f>IF(P97="","",P97*(1+Q97))</f>
        <v/>
      </c>
      <c r="S97" s="63">
        <f>IF(O97="","",IF(OR(H97="",H97=0),O97*P97,O97*H97*P97))</f>
        <v/>
      </c>
      <c r="T97" s="63">
        <f>IF(O97="","",IF(OR(H97="",H97=0),O97*R97,O97*H97*R97))</f>
        <v/>
      </c>
      <c r="U97" s="62">
        <f>IF(C97="","",INPUT_SYSTEM!C111)</f>
        <v/>
      </c>
      <c r="V97" s="62">
        <f>IF(C97="","",INPUT_SYSTEM!N111)</f>
        <v/>
      </c>
    </row>
    <row r="98" ht="15.75" customHeight="1" s="125">
      <c r="A98" s="62">
        <f>IF(INPUT_SYSTEM!D112="","",INPUT_SYSTEM!A112)</f>
        <v/>
      </c>
      <c r="B98" s="62">
        <f>IF(INPUT_SYSTEM!D112="","",INPUT_SYSTEM!B112)</f>
        <v/>
      </c>
      <c r="C98" s="62">
        <f>IF(INPUT_SYSTEM!D112="","",INPUT_SYSTEM!D112)</f>
        <v/>
      </c>
      <c r="D98" s="62">
        <f>IF(C98="","",INPUT_SYSTEM!E112)</f>
        <v/>
      </c>
      <c r="E98" s="62">
        <f>IF(C98="","",INPUT_SYSTEM!F112)</f>
        <v/>
      </c>
      <c r="F98" s="62">
        <f t="array" ref="F98">IFERROR(INDEX(PRODUCT!$D:$D,MATCH(C98,PRODUCT!$B:$B,0)),"")</f>
        <v/>
      </c>
      <c r="G98" s="62">
        <f t="array" ref="G98">IFERROR(INDEX(PRODUCT!$E:$E,MATCH(C98,PRODUCT!$B:$B,0)),"")</f>
        <v/>
      </c>
      <c r="H98" s="62">
        <f t="array" ref="H98">IFERROR(INDEX(PRODUCT!$F:$F,MATCH(C98,PRODUCT!$B:$B,0)),"")</f>
        <v/>
      </c>
      <c r="I98" s="62">
        <f>IF(C98="","",INPUT_SYSTEM!G112)</f>
        <v/>
      </c>
      <c r="J98" s="62">
        <f>IF(C98="","",INPUT_SYSTEM!H112)</f>
        <v/>
      </c>
      <c r="K98" s="60">
        <f>IF(C98="","",INPUT_SYSTEM!J112)</f>
        <v/>
      </c>
      <c r="L98" s="62">
        <f>IF(C98="","",INPUT_SYSTEM!K112)</f>
        <v/>
      </c>
      <c r="M98" s="62">
        <f>IF(C98="","",INPUT_SYSTEM!L112)</f>
        <v/>
      </c>
      <c r="N98" s="62">
        <f>IF(U98&lt;&gt;"SI","",IF(M98&lt;&gt;"",M98,IFERROR(I98*J98*(1+K98)*L98,"")))</f>
        <v/>
      </c>
      <c r="O98" s="62">
        <f>IF(N98="","",IF(OR(H98="",H98=0),N98,ROUNDUP(N98/H98,0)))</f>
        <v/>
      </c>
      <c r="P98" s="63">
        <f t="array" ref="P98">IFERROR(INDEX(PRODUCT!$I:$I,MATCH(C98,PRODUCT!$B:$B,0)),"")</f>
        <v/>
      </c>
      <c r="Q98" s="63">
        <f>IF(C98="","",INPUT_SYSTEM!M112)</f>
        <v/>
      </c>
      <c r="R98" s="63">
        <f>IF(P98="","",P98*(1+Q98))</f>
        <v/>
      </c>
      <c r="S98" s="63">
        <f>IF(O98="","",IF(OR(H98="",H98=0),O98*P98,O98*H98*P98))</f>
        <v/>
      </c>
      <c r="T98" s="63">
        <f>IF(O98="","",IF(OR(H98="",H98=0),O98*R98,O98*H98*R98))</f>
        <v/>
      </c>
      <c r="U98" s="62">
        <f>IF(C98="","",INPUT_SYSTEM!C112)</f>
        <v/>
      </c>
      <c r="V98" s="62">
        <f>IF(C98="","",INPUT_SYSTEM!N112)</f>
        <v/>
      </c>
    </row>
    <row r="99" ht="15.75" customHeight="1" s="125">
      <c r="A99" s="62">
        <f>IF(INPUT_SYSTEM!D113="","",INPUT_SYSTEM!A113)</f>
        <v/>
      </c>
      <c r="B99" s="62">
        <f>IF(INPUT_SYSTEM!D113="","",INPUT_SYSTEM!B113)</f>
        <v/>
      </c>
      <c r="C99" s="62">
        <f>IF(INPUT_SYSTEM!D113="","",INPUT_SYSTEM!D113)</f>
        <v/>
      </c>
      <c r="D99" s="62">
        <f>IF(C99="","",INPUT_SYSTEM!E113)</f>
        <v/>
      </c>
      <c r="E99" s="62">
        <f>IF(C99="","",INPUT_SYSTEM!F113)</f>
        <v/>
      </c>
      <c r="F99" s="62">
        <f t="array" ref="F99">IFERROR(INDEX(PRODUCT!$D:$D,MATCH(C99,PRODUCT!$B:$B,0)),"")</f>
        <v/>
      </c>
      <c r="G99" s="62">
        <f t="array" ref="G99">IFERROR(INDEX(PRODUCT!$E:$E,MATCH(C99,PRODUCT!$B:$B,0)),"")</f>
        <v/>
      </c>
      <c r="H99" s="62">
        <f t="array" ref="H99">IFERROR(INDEX(PRODUCT!$F:$F,MATCH(C99,PRODUCT!$B:$B,0)),"")</f>
        <v/>
      </c>
      <c r="I99" s="62">
        <f>IF(C99="","",INPUT_SYSTEM!G113)</f>
        <v/>
      </c>
      <c r="J99" s="62">
        <f>IF(C99="","",INPUT_SYSTEM!H113)</f>
        <v/>
      </c>
      <c r="K99" s="60">
        <f>IF(C99="","",INPUT_SYSTEM!J113)</f>
        <v/>
      </c>
      <c r="L99" s="62">
        <f>IF(C99="","",INPUT_SYSTEM!K113)</f>
        <v/>
      </c>
      <c r="M99" s="62">
        <f>IF(C99="","",INPUT_SYSTEM!L113)</f>
        <v/>
      </c>
      <c r="N99" s="62">
        <f>IF(U99&lt;&gt;"SI","",IF(M99&lt;&gt;"",M99,IFERROR(I99*J99*(1+K99)*L99,"")))</f>
        <v/>
      </c>
      <c r="O99" s="62">
        <f>IF(N99="","",IF(OR(H99="",H99=0),N99,ROUNDUP(N99/H99,0)))</f>
        <v/>
      </c>
      <c r="P99" s="63">
        <f t="array" ref="P99">IFERROR(INDEX(PRODUCT!$I:$I,MATCH(C99,PRODUCT!$B:$B,0)),"")</f>
        <v/>
      </c>
      <c r="Q99" s="63">
        <f>IF(C99="","",INPUT_SYSTEM!M113)</f>
        <v/>
      </c>
      <c r="R99" s="63">
        <f>IF(P99="","",P99*(1+Q99))</f>
        <v/>
      </c>
      <c r="S99" s="63">
        <f>IF(O99="","",IF(OR(H99="",H99=0),O99*P99,O99*H99*P99))</f>
        <v/>
      </c>
      <c r="T99" s="63">
        <f>IF(O99="","",IF(OR(H99="",H99=0),O99*R99,O99*H99*R99))</f>
        <v/>
      </c>
      <c r="U99" s="62">
        <f>IF(C99="","",INPUT_SYSTEM!C113)</f>
        <v/>
      </c>
      <c r="V99" s="62">
        <f>IF(C99="","",INPUT_SYSTEM!N113)</f>
        <v/>
      </c>
    </row>
    <row r="100" ht="15.75" customHeight="1" s="125">
      <c r="A100" s="62">
        <f>IF(INPUT_SYSTEM!D114="","",INPUT_SYSTEM!A114)</f>
        <v/>
      </c>
      <c r="B100" s="62">
        <f>IF(INPUT_SYSTEM!D114="","",INPUT_SYSTEM!B114)</f>
        <v/>
      </c>
      <c r="C100" s="62">
        <f>IF(INPUT_SYSTEM!D114="","",INPUT_SYSTEM!D114)</f>
        <v/>
      </c>
      <c r="D100" s="62">
        <f>IF(C100="","",INPUT_SYSTEM!E114)</f>
        <v/>
      </c>
      <c r="E100" s="62">
        <f>IF(C100="","",INPUT_SYSTEM!F114)</f>
        <v/>
      </c>
      <c r="F100" s="62">
        <f t="array" ref="F100">IFERROR(INDEX(PRODUCT!$D:$D,MATCH(C100,PRODUCT!$B:$B,0)),"")</f>
        <v/>
      </c>
      <c r="G100" s="62">
        <f t="array" ref="G100">IFERROR(INDEX(PRODUCT!$E:$E,MATCH(C100,PRODUCT!$B:$B,0)),"")</f>
        <v/>
      </c>
      <c r="H100" s="62">
        <f t="array" ref="H100">IFERROR(INDEX(PRODUCT!$F:$F,MATCH(C100,PRODUCT!$B:$B,0)),"")</f>
        <v/>
      </c>
      <c r="I100" s="62">
        <f>IF(C100="","",INPUT_SYSTEM!G114)</f>
        <v/>
      </c>
      <c r="J100" s="62">
        <f>IF(C100="","",INPUT_SYSTEM!H114)</f>
        <v/>
      </c>
      <c r="K100" s="60">
        <f>IF(C100="","",INPUT_SYSTEM!J114)</f>
        <v/>
      </c>
      <c r="L100" s="62">
        <f>IF(C100="","",INPUT_SYSTEM!K114)</f>
        <v/>
      </c>
      <c r="M100" s="62">
        <f>IF(C100="","",INPUT_SYSTEM!L114)</f>
        <v/>
      </c>
      <c r="N100" s="62">
        <f>IF(U100&lt;&gt;"SI","",IF(M100&lt;&gt;"",M100,IFERROR(I100*J100*(1+K100)*L100,"")))</f>
        <v/>
      </c>
      <c r="O100" s="62">
        <f>IF(N100="","",IF(OR(H100="",H100=0),N100,ROUNDUP(N100/H100,0)))</f>
        <v/>
      </c>
      <c r="P100" s="63">
        <f t="array" ref="P100">IFERROR(INDEX(PRODUCT!$I:$I,MATCH(C100,PRODUCT!$B:$B,0)),"")</f>
        <v/>
      </c>
      <c r="Q100" s="63">
        <f>IF(C100="","",INPUT_SYSTEM!M114)</f>
        <v/>
      </c>
      <c r="R100" s="63">
        <f>IF(P100="","",P100*(1+Q100))</f>
        <v/>
      </c>
      <c r="S100" s="63">
        <f>IF(O100="","",IF(OR(H100="",H100=0),O100*P100,O100*H100*P100))</f>
        <v/>
      </c>
      <c r="T100" s="63">
        <f>IF(O100="","",IF(OR(H100="",H100=0),O100*R100,O100*H100*R100))</f>
        <v/>
      </c>
      <c r="U100" s="62">
        <f>IF(C100="","",INPUT_SYSTEM!C114)</f>
        <v/>
      </c>
      <c r="V100" s="62">
        <f>IF(C100="","",INPUT_SYSTEM!N114)</f>
        <v/>
      </c>
    </row>
    <row r="101" ht="15.75" customHeight="1" s="125">
      <c r="A101" s="62">
        <f>IF(INPUT_SYSTEM!D115="","",INPUT_SYSTEM!A115)</f>
        <v/>
      </c>
      <c r="B101" s="62">
        <f>IF(INPUT_SYSTEM!D115="","",INPUT_SYSTEM!B115)</f>
        <v/>
      </c>
      <c r="C101" s="62">
        <f>IF(INPUT_SYSTEM!D115="","",INPUT_SYSTEM!D115)</f>
        <v/>
      </c>
      <c r="D101" s="62">
        <f>IF(C101="","",INPUT_SYSTEM!E115)</f>
        <v/>
      </c>
      <c r="E101" s="62">
        <f>IF(C101="","",INPUT_SYSTEM!F115)</f>
        <v/>
      </c>
      <c r="F101" s="62">
        <f t="array" ref="F101">IFERROR(INDEX(PRODUCT!$D:$D,MATCH(C101,PRODUCT!$B:$B,0)),"")</f>
        <v/>
      </c>
      <c r="G101" s="62">
        <f t="array" ref="G101">IFERROR(INDEX(PRODUCT!$E:$E,MATCH(C101,PRODUCT!$B:$B,0)),"")</f>
        <v/>
      </c>
      <c r="H101" s="62">
        <f t="array" ref="H101">IFERROR(INDEX(PRODUCT!$F:$F,MATCH(C101,PRODUCT!$B:$B,0)),"")</f>
        <v/>
      </c>
      <c r="I101" s="62">
        <f>IF(C101="","",INPUT_SYSTEM!G115)</f>
        <v/>
      </c>
      <c r="J101" s="62">
        <f>IF(C101="","",INPUT_SYSTEM!H115)</f>
        <v/>
      </c>
      <c r="K101" s="60">
        <f>IF(C101="","",INPUT_SYSTEM!J115)</f>
        <v/>
      </c>
      <c r="L101" s="62">
        <f>IF(C101="","",INPUT_SYSTEM!K115)</f>
        <v/>
      </c>
      <c r="M101" s="62">
        <f>IF(C101="","",INPUT_SYSTEM!L115)</f>
        <v/>
      </c>
      <c r="N101" s="62">
        <f>IF(U101&lt;&gt;"SI","",IF(M101&lt;&gt;"",M101,IFERROR(I101*J101*(1+K101)*L101,"")))</f>
        <v/>
      </c>
      <c r="O101" s="62">
        <f>IF(N101="","",IF(OR(H101="",H101=0),N101,ROUNDUP(N101/H101,0)))</f>
        <v/>
      </c>
      <c r="P101" s="63">
        <f t="array" ref="P101">IFERROR(INDEX(PRODUCT!$I:$I,MATCH(C101,PRODUCT!$B:$B,0)),"")</f>
        <v/>
      </c>
      <c r="Q101" s="63">
        <f>IF(C101="","",INPUT_SYSTEM!M115)</f>
        <v/>
      </c>
      <c r="R101" s="63">
        <f>IF(P101="","",P101*(1+Q101))</f>
        <v/>
      </c>
      <c r="S101" s="63">
        <f>IF(O101="","",IF(OR(H101="",H101=0),O101*P101,O101*H101*P101))</f>
        <v/>
      </c>
      <c r="T101" s="63">
        <f>IF(O101="","",IF(OR(H101="",H101=0),O101*R101,O101*H101*R101))</f>
        <v/>
      </c>
      <c r="U101" s="62">
        <f>IF(C101="","",INPUT_SYSTEM!C115)</f>
        <v/>
      </c>
      <c r="V101" s="62">
        <f>IF(C101="","",INPUT_SYSTEM!N115)</f>
        <v/>
      </c>
    </row>
    <row r="102" ht="15.75" customHeight="1" s="125">
      <c r="A102" s="62">
        <f>IF(INPUT_SYSTEM!D116="","",INPUT_SYSTEM!A116)</f>
        <v/>
      </c>
      <c r="B102" s="62">
        <f>IF(INPUT_SYSTEM!D116="","",INPUT_SYSTEM!B116)</f>
        <v/>
      </c>
      <c r="C102" s="62">
        <f>IF(INPUT_SYSTEM!D116="","",INPUT_SYSTEM!D116)</f>
        <v/>
      </c>
      <c r="D102" s="62">
        <f>IF(C102="","",INPUT_SYSTEM!E116)</f>
        <v/>
      </c>
      <c r="E102" s="62">
        <f>IF(C102="","",INPUT_SYSTEM!F116)</f>
        <v/>
      </c>
      <c r="F102" s="62">
        <f t="array" ref="F102">IFERROR(INDEX(PRODUCT!$D:$D,MATCH(C102,PRODUCT!$B:$B,0)),"")</f>
        <v/>
      </c>
      <c r="G102" s="62">
        <f t="array" ref="G102">IFERROR(INDEX(PRODUCT!$E:$E,MATCH(C102,PRODUCT!$B:$B,0)),"")</f>
        <v/>
      </c>
      <c r="H102" s="62">
        <f t="array" ref="H102">IFERROR(INDEX(PRODUCT!$F:$F,MATCH(C102,PRODUCT!$B:$B,0)),"")</f>
        <v/>
      </c>
      <c r="I102" s="62">
        <f>IF(C102="","",INPUT_SYSTEM!G116)</f>
        <v/>
      </c>
      <c r="J102" s="62">
        <f>IF(C102="","",INPUT_SYSTEM!H116)</f>
        <v/>
      </c>
      <c r="K102" s="60">
        <f>IF(C102="","",INPUT_SYSTEM!J116)</f>
        <v/>
      </c>
      <c r="L102" s="62">
        <f>IF(C102="","",INPUT_SYSTEM!K116)</f>
        <v/>
      </c>
      <c r="M102" s="62">
        <f>IF(C102="","",INPUT_SYSTEM!L116)</f>
        <v/>
      </c>
      <c r="N102" s="62">
        <f>IF(U102&lt;&gt;"SI","",IF(M102&lt;&gt;"",M102,IFERROR(I102*J102*(1+K102)*L102,"")))</f>
        <v/>
      </c>
      <c r="O102" s="62">
        <f>IF(N102="","",IF(OR(H102="",H102=0),N102,ROUNDUP(N102/H102,0)))</f>
        <v/>
      </c>
      <c r="P102" s="63">
        <f t="array" ref="P102">IFERROR(INDEX(PRODUCT!$I:$I,MATCH(C102,PRODUCT!$B:$B,0)),"")</f>
        <v/>
      </c>
      <c r="Q102" s="63">
        <f>IF(C102="","",INPUT_SYSTEM!M116)</f>
        <v/>
      </c>
      <c r="R102" s="63">
        <f>IF(P102="","",P102*(1+Q102))</f>
        <v/>
      </c>
      <c r="S102" s="63">
        <f>IF(O102="","",IF(OR(H102="",H102=0),O102*P102,O102*H102*P102))</f>
        <v/>
      </c>
      <c r="T102" s="63">
        <f>IF(O102="","",IF(OR(H102="",H102=0),O102*R102,O102*H102*R102))</f>
        <v/>
      </c>
      <c r="U102" s="62">
        <f>IF(C102="","",INPUT_SYSTEM!C116)</f>
        <v/>
      </c>
      <c r="V102" s="62">
        <f>IF(C102="","",INPUT_SYSTEM!N116)</f>
        <v/>
      </c>
    </row>
    <row r="103" ht="15.75" customHeight="1" s="125">
      <c r="A103" s="62">
        <f>IF(INPUT_SYSTEM!D117="","",INPUT_SYSTEM!A117)</f>
        <v/>
      </c>
      <c r="B103" s="62">
        <f>IF(INPUT_SYSTEM!D117="","",INPUT_SYSTEM!B117)</f>
        <v/>
      </c>
      <c r="C103" s="62">
        <f>IF(INPUT_SYSTEM!D117="","",INPUT_SYSTEM!D117)</f>
        <v/>
      </c>
      <c r="D103" s="62">
        <f>IF(C103="","",INPUT_SYSTEM!E117)</f>
        <v/>
      </c>
      <c r="E103" s="62">
        <f>IF(C103="","",INPUT_SYSTEM!F117)</f>
        <v/>
      </c>
      <c r="F103" s="62">
        <f t="array" ref="F103">IFERROR(INDEX(PRODUCT!$D:$D,MATCH(C103,PRODUCT!$B:$B,0)),"")</f>
        <v/>
      </c>
      <c r="G103" s="62">
        <f t="array" ref="G103">IFERROR(INDEX(PRODUCT!$E:$E,MATCH(C103,PRODUCT!$B:$B,0)),"")</f>
        <v/>
      </c>
      <c r="H103" s="62">
        <f t="array" ref="H103">IFERROR(INDEX(PRODUCT!$F:$F,MATCH(C103,PRODUCT!$B:$B,0)),"")</f>
        <v/>
      </c>
      <c r="I103" s="62">
        <f>IF(C103="","",INPUT_SYSTEM!G117)</f>
        <v/>
      </c>
      <c r="J103" s="62">
        <f>IF(C103="","",INPUT_SYSTEM!H117)</f>
        <v/>
      </c>
      <c r="K103" s="60">
        <f>IF(C103="","",INPUT_SYSTEM!J117)</f>
        <v/>
      </c>
      <c r="L103" s="62">
        <f>IF(C103="","",INPUT_SYSTEM!K117)</f>
        <v/>
      </c>
      <c r="M103" s="62">
        <f>IF(C103="","",INPUT_SYSTEM!L117)</f>
        <v/>
      </c>
      <c r="N103" s="62">
        <f>IF(U103&lt;&gt;"SI","",IF(M103&lt;&gt;"",M103,IFERROR(I103*J103*(1+K103)*L103,"")))</f>
        <v/>
      </c>
      <c r="O103" s="62">
        <f>IF(N103="","",IF(OR(H103="",H103=0),N103,ROUNDUP(N103/H103,0)))</f>
        <v/>
      </c>
      <c r="P103" s="63">
        <f t="array" ref="P103">IFERROR(INDEX(PRODUCT!$I:$I,MATCH(C103,PRODUCT!$B:$B,0)),"")</f>
        <v/>
      </c>
      <c r="Q103" s="63">
        <f>IF(C103="","",INPUT_SYSTEM!M117)</f>
        <v/>
      </c>
      <c r="R103" s="63">
        <f>IF(P103="","",P103*(1+Q103))</f>
        <v/>
      </c>
      <c r="S103" s="63">
        <f>IF(O103="","",IF(OR(H103="",H103=0),O103*P103,O103*H103*P103))</f>
        <v/>
      </c>
      <c r="T103" s="63">
        <f>IF(O103="","",IF(OR(H103="",H103=0),O103*R103,O103*H103*R103))</f>
        <v/>
      </c>
      <c r="U103" s="62">
        <f>IF(C103="","",INPUT_SYSTEM!C117)</f>
        <v/>
      </c>
      <c r="V103" s="62">
        <f>IF(C103="","",INPUT_SYSTEM!N117)</f>
        <v/>
      </c>
    </row>
    <row r="104" ht="15.75" customHeight="1" s="125">
      <c r="A104" s="62">
        <f>IF(INPUT_SYSTEM!D118="","",INPUT_SYSTEM!A118)</f>
        <v/>
      </c>
      <c r="B104" s="62">
        <f>IF(INPUT_SYSTEM!D118="","",INPUT_SYSTEM!B118)</f>
        <v/>
      </c>
      <c r="C104" s="62">
        <f>IF(INPUT_SYSTEM!D118="","",INPUT_SYSTEM!D118)</f>
        <v/>
      </c>
      <c r="D104" s="62">
        <f>IF(C104="","",INPUT_SYSTEM!E118)</f>
        <v/>
      </c>
      <c r="E104" s="62">
        <f>IF(C104="","",INPUT_SYSTEM!F118)</f>
        <v/>
      </c>
      <c r="F104" s="62">
        <f t="array" ref="F104">IFERROR(INDEX(PRODUCT!$D:$D,MATCH(C104,PRODUCT!$B:$B,0)),"")</f>
        <v/>
      </c>
      <c r="G104" s="62">
        <f t="array" ref="G104">IFERROR(INDEX(PRODUCT!$E:$E,MATCH(C104,PRODUCT!$B:$B,0)),"")</f>
        <v/>
      </c>
      <c r="H104" s="62">
        <f t="array" ref="H104">IFERROR(INDEX(PRODUCT!$F:$F,MATCH(C104,PRODUCT!$B:$B,0)),"")</f>
        <v/>
      </c>
      <c r="I104" s="62">
        <f>IF(C104="","",INPUT_SYSTEM!G118)</f>
        <v/>
      </c>
      <c r="J104" s="62">
        <f>IF(C104="","",INPUT_SYSTEM!H118)</f>
        <v/>
      </c>
      <c r="K104" s="60">
        <f>IF(C104="","",INPUT_SYSTEM!J118)</f>
        <v/>
      </c>
      <c r="L104" s="62">
        <f>IF(C104="","",INPUT_SYSTEM!K118)</f>
        <v/>
      </c>
      <c r="M104" s="62">
        <f>IF(C104="","",INPUT_SYSTEM!L118)</f>
        <v/>
      </c>
      <c r="N104" s="62">
        <f>IF(U104&lt;&gt;"SI","",IF(M104&lt;&gt;"",M104,IFERROR(I104*J104*(1+K104)*L104,"")))</f>
        <v/>
      </c>
      <c r="O104" s="62">
        <f>IF(N104="","",IF(OR(H104="",H104=0),N104,ROUNDUP(N104/H104,0)))</f>
        <v/>
      </c>
      <c r="P104" s="63">
        <f t="array" ref="P104">IFERROR(INDEX(PRODUCT!$I:$I,MATCH(C104,PRODUCT!$B:$B,0)),"")</f>
        <v/>
      </c>
      <c r="Q104" s="63">
        <f>IF(C104="","",INPUT_SYSTEM!M118)</f>
        <v/>
      </c>
      <c r="R104" s="63">
        <f>IF(P104="","",P104*(1+Q104))</f>
        <v/>
      </c>
      <c r="S104" s="63">
        <f>IF(O104="","",IF(OR(H104="",H104=0),O104*P104,O104*H104*P104))</f>
        <v/>
      </c>
      <c r="T104" s="63">
        <f>IF(O104="","",IF(OR(H104="",H104=0),O104*R104,O104*H104*R104))</f>
        <v/>
      </c>
      <c r="U104" s="62">
        <f>IF(C104="","",INPUT_SYSTEM!C118)</f>
        <v/>
      </c>
      <c r="V104" s="62">
        <f>IF(C104="","",INPUT_SYSTEM!N118)</f>
        <v/>
      </c>
    </row>
    <row r="105" ht="15.75" customHeight="1" s="125">
      <c r="A105" s="62">
        <f>IF(INPUT_SYSTEM!D119="","",INPUT_SYSTEM!A119)</f>
        <v/>
      </c>
      <c r="B105" s="62">
        <f>IF(INPUT_SYSTEM!D119="","",INPUT_SYSTEM!B119)</f>
        <v/>
      </c>
      <c r="C105" s="62">
        <f>IF(INPUT_SYSTEM!D119="","",INPUT_SYSTEM!D119)</f>
        <v/>
      </c>
      <c r="D105" s="62">
        <f>IF(C105="","",INPUT_SYSTEM!E119)</f>
        <v/>
      </c>
      <c r="E105" s="62">
        <f>IF(C105="","",INPUT_SYSTEM!F119)</f>
        <v/>
      </c>
      <c r="F105" s="62">
        <f t="array" ref="F105">IFERROR(INDEX(PRODUCT!$D:$D,MATCH(C105,PRODUCT!$B:$B,0)),"")</f>
        <v/>
      </c>
      <c r="G105" s="62">
        <f t="array" ref="G105">IFERROR(INDEX(PRODUCT!$E:$E,MATCH(C105,PRODUCT!$B:$B,0)),"")</f>
        <v/>
      </c>
      <c r="H105" s="62">
        <f t="array" ref="H105">IFERROR(INDEX(PRODUCT!$F:$F,MATCH(C105,PRODUCT!$B:$B,0)),"")</f>
        <v/>
      </c>
      <c r="I105" s="62">
        <f>IF(C105="","",INPUT_SYSTEM!G119)</f>
        <v/>
      </c>
      <c r="J105" s="62">
        <f>IF(C105="","",INPUT_SYSTEM!H119)</f>
        <v/>
      </c>
      <c r="K105" s="60">
        <f>IF(C105="","",INPUT_SYSTEM!J119)</f>
        <v/>
      </c>
      <c r="L105" s="62">
        <f>IF(C105="","",INPUT_SYSTEM!K119)</f>
        <v/>
      </c>
      <c r="M105" s="62">
        <f>IF(C105="","",INPUT_SYSTEM!L119)</f>
        <v/>
      </c>
      <c r="N105" s="62">
        <f>IF(U105&lt;&gt;"SI","",IF(M105&lt;&gt;"",M105,IFERROR(I105*J105*(1+K105)*L105,"")))</f>
        <v/>
      </c>
      <c r="O105" s="62">
        <f>IF(N105="","",IF(OR(H105="",H105=0),N105,ROUNDUP(N105/H105,0)))</f>
        <v/>
      </c>
      <c r="P105" s="63">
        <f t="array" ref="P105">IFERROR(INDEX(PRODUCT!$I:$I,MATCH(C105,PRODUCT!$B:$B,0)),"")</f>
        <v/>
      </c>
      <c r="Q105" s="63">
        <f>IF(C105="","",INPUT_SYSTEM!M119)</f>
        <v/>
      </c>
      <c r="R105" s="63">
        <f>IF(P105="","",P105*(1+Q105))</f>
        <v/>
      </c>
      <c r="S105" s="63">
        <f>IF(O105="","",IF(OR(H105="",H105=0),O105*P105,O105*H105*P105))</f>
        <v/>
      </c>
      <c r="T105" s="63">
        <f>IF(O105="","",IF(OR(H105="",H105=0),O105*R105,O105*H105*R105))</f>
        <v/>
      </c>
      <c r="U105" s="62">
        <f>IF(C105="","",INPUT_SYSTEM!C119)</f>
        <v/>
      </c>
      <c r="V105" s="62">
        <f>IF(C105="","",INPUT_SYSTEM!N119)</f>
        <v/>
      </c>
    </row>
    <row r="106" ht="15.75" customHeight="1" s="125">
      <c r="A106" s="62">
        <f>IF(INPUT_SYSTEM!D120="","",INPUT_SYSTEM!A120)</f>
        <v/>
      </c>
      <c r="B106" s="62">
        <f>IF(INPUT_SYSTEM!D120="","",INPUT_SYSTEM!B120)</f>
        <v/>
      </c>
      <c r="C106" s="62">
        <f>IF(INPUT_SYSTEM!D120="","",INPUT_SYSTEM!D120)</f>
        <v/>
      </c>
      <c r="D106" s="62">
        <f>IF(C106="","",INPUT_SYSTEM!E120)</f>
        <v/>
      </c>
      <c r="E106" s="62">
        <f>IF(C106="","",INPUT_SYSTEM!F120)</f>
        <v/>
      </c>
      <c r="F106" s="62">
        <f t="array" ref="F106">IFERROR(INDEX(PRODUCT!$D:$D,MATCH(C106,PRODUCT!$B:$B,0)),"")</f>
        <v/>
      </c>
      <c r="G106" s="62">
        <f t="array" ref="G106">IFERROR(INDEX(PRODUCT!$E:$E,MATCH(C106,PRODUCT!$B:$B,0)),"")</f>
        <v/>
      </c>
      <c r="H106" s="62">
        <f t="array" ref="H106">IFERROR(INDEX(PRODUCT!$F:$F,MATCH(C106,PRODUCT!$B:$B,0)),"")</f>
        <v/>
      </c>
      <c r="I106" s="62">
        <f>IF(C106="","",INPUT_SYSTEM!G120)</f>
        <v/>
      </c>
      <c r="J106" s="62">
        <f>IF(C106="","",INPUT_SYSTEM!H120)</f>
        <v/>
      </c>
      <c r="K106" s="60">
        <f>IF(C106="","",INPUT_SYSTEM!J120)</f>
        <v/>
      </c>
      <c r="L106" s="62">
        <f>IF(C106="","",INPUT_SYSTEM!K120)</f>
        <v/>
      </c>
      <c r="M106" s="62">
        <f>IF(C106="","",INPUT_SYSTEM!L120)</f>
        <v/>
      </c>
      <c r="N106" s="62">
        <f>IF(U106&lt;&gt;"SI","",IF(M106&lt;&gt;"",M106,IFERROR(I106*J106*(1+K106)*L106,"")))</f>
        <v/>
      </c>
      <c r="O106" s="62">
        <f>IF(N106="","",IF(OR(H106="",H106=0),N106,ROUNDUP(N106/H106,0)))</f>
        <v/>
      </c>
      <c r="P106" s="63">
        <f t="array" ref="P106">IFERROR(INDEX(PRODUCT!$I:$I,MATCH(C106,PRODUCT!$B:$B,0)),"")</f>
        <v/>
      </c>
      <c r="Q106" s="63">
        <f>IF(C106="","",INPUT_SYSTEM!M120)</f>
        <v/>
      </c>
      <c r="R106" s="63">
        <f>IF(P106="","",P106*(1+Q106))</f>
        <v/>
      </c>
      <c r="S106" s="63">
        <f>IF(O106="","",IF(OR(H106="",H106=0),O106*P106,O106*H106*P106))</f>
        <v/>
      </c>
      <c r="T106" s="63">
        <f>IF(O106="","",IF(OR(H106="",H106=0),O106*R106,O106*H106*R106))</f>
        <v/>
      </c>
      <c r="U106" s="62">
        <f>IF(C106="","",INPUT_SYSTEM!C120)</f>
        <v/>
      </c>
      <c r="V106" s="62">
        <f>IF(C106="","",INPUT_SYSTEM!N120)</f>
        <v/>
      </c>
    </row>
    <row r="107" ht="15.75" customHeight="1" s="125">
      <c r="A107" s="62">
        <f>IF(INPUT_SYSTEM!D121="","",INPUT_SYSTEM!A121)</f>
        <v/>
      </c>
      <c r="B107" s="62">
        <f>IF(INPUT_SYSTEM!D121="","",INPUT_SYSTEM!B121)</f>
        <v/>
      </c>
      <c r="C107" s="62">
        <f>IF(INPUT_SYSTEM!D121="","",INPUT_SYSTEM!D121)</f>
        <v/>
      </c>
      <c r="D107" s="62">
        <f>IF(C107="","",INPUT_SYSTEM!E121)</f>
        <v/>
      </c>
      <c r="E107" s="62">
        <f>IF(C107="","",INPUT_SYSTEM!F121)</f>
        <v/>
      </c>
      <c r="F107" s="62">
        <f t="array" ref="F107">IFERROR(INDEX(PRODUCT!$D:$D,MATCH(C107,PRODUCT!$B:$B,0)),"")</f>
        <v/>
      </c>
      <c r="G107" s="62">
        <f t="array" ref="G107">IFERROR(INDEX(PRODUCT!$E:$E,MATCH(C107,PRODUCT!$B:$B,0)),"")</f>
        <v/>
      </c>
      <c r="H107" s="62">
        <f t="array" ref="H107">IFERROR(INDEX(PRODUCT!$F:$F,MATCH(C107,PRODUCT!$B:$B,0)),"")</f>
        <v/>
      </c>
      <c r="I107" s="62">
        <f>IF(C107="","",INPUT_SYSTEM!G121)</f>
        <v/>
      </c>
      <c r="J107" s="62">
        <f>IF(C107="","",INPUT_SYSTEM!H121)</f>
        <v/>
      </c>
      <c r="K107" s="60">
        <f>IF(C107="","",INPUT_SYSTEM!J121)</f>
        <v/>
      </c>
      <c r="L107" s="62">
        <f>IF(C107="","",INPUT_SYSTEM!K121)</f>
        <v/>
      </c>
      <c r="M107" s="62">
        <f>IF(C107="","",INPUT_SYSTEM!L121)</f>
        <v/>
      </c>
      <c r="N107" s="62">
        <f>IF(U107&lt;&gt;"SI","",IF(M107&lt;&gt;"",M107,IFERROR(I107*J107*(1+K107)*L107,"")))</f>
        <v/>
      </c>
      <c r="O107" s="62">
        <f>IF(N107="","",IF(OR(H107="",H107=0),N107,ROUNDUP(N107/H107,0)))</f>
        <v/>
      </c>
      <c r="P107" s="63">
        <f t="array" ref="P107">IFERROR(INDEX(PRODUCT!$I:$I,MATCH(C107,PRODUCT!$B:$B,0)),"")</f>
        <v/>
      </c>
      <c r="Q107" s="63">
        <f>IF(C107="","",INPUT_SYSTEM!M121)</f>
        <v/>
      </c>
      <c r="R107" s="63">
        <f>IF(P107="","",P107*(1+Q107))</f>
        <v/>
      </c>
      <c r="S107" s="63">
        <f>IF(O107="","",IF(OR(H107="",H107=0),O107*P107,O107*H107*P107))</f>
        <v/>
      </c>
      <c r="T107" s="63">
        <f>IF(O107="","",IF(OR(H107="",H107=0),O107*R107,O107*H107*R107))</f>
        <v/>
      </c>
      <c r="U107" s="62">
        <f>IF(C107="","",INPUT_SYSTEM!C121)</f>
        <v/>
      </c>
      <c r="V107" s="62">
        <f>IF(C107="","",INPUT_SYSTEM!N121)</f>
        <v/>
      </c>
    </row>
    <row r="108" ht="15.75" customHeight="1" s="125">
      <c r="A108" s="62">
        <f>IF(INPUT_SYSTEM!D122="","",INPUT_SYSTEM!A122)</f>
        <v/>
      </c>
      <c r="B108" s="62">
        <f>IF(INPUT_SYSTEM!D122="","",INPUT_SYSTEM!B122)</f>
        <v/>
      </c>
      <c r="C108" s="62">
        <f>IF(INPUT_SYSTEM!D122="","",INPUT_SYSTEM!D122)</f>
        <v/>
      </c>
      <c r="D108" s="62">
        <f>IF(C108="","",INPUT_SYSTEM!E122)</f>
        <v/>
      </c>
      <c r="E108" s="62">
        <f>IF(C108="","",INPUT_SYSTEM!F122)</f>
        <v/>
      </c>
      <c r="F108" s="62">
        <f t="array" ref="F108">IFERROR(INDEX(PRODUCT!$D:$D,MATCH(C108,PRODUCT!$B:$B,0)),"")</f>
        <v/>
      </c>
      <c r="G108" s="62">
        <f t="array" ref="G108">IFERROR(INDEX(PRODUCT!$E:$E,MATCH(C108,PRODUCT!$B:$B,0)),"")</f>
        <v/>
      </c>
      <c r="H108" s="62">
        <f t="array" ref="H108">IFERROR(INDEX(PRODUCT!$F:$F,MATCH(C108,PRODUCT!$B:$B,0)),"")</f>
        <v/>
      </c>
      <c r="I108" s="62">
        <f>IF(C108="","",INPUT_SYSTEM!G122)</f>
        <v/>
      </c>
      <c r="J108" s="62">
        <f>IF(C108="","",INPUT_SYSTEM!H122)</f>
        <v/>
      </c>
      <c r="K108" s="60">
        <f>IF(C108="","",INPUT_SYSTEM!J122)</f>
        <v/>
      </c>
      <c r="L108" s="62">
        <f>IF(C108="","",INPUT_SYSTEM!K122)</f>
        <v/>
      </c>
      <c r="M108" s="62">
        <f>IF(C108="","",INPUT_SYSTEM!L122)</f>
        <v/>
      </c>
      <c r="N108" s="62">
        <f>IF(U108&lt;&gt;"SI","",IF(M108&lt;&gt;"",M108,IFERROR(I108*J108*(1+K108)*L108,"")))</f>
        <v/>
      </c>
      <c r="O108" s="62">
        <f>IF(N108="","",IF(OR(H108="",H108=0),N108,ROUNDUP(N108/H108,0)))</f>
        <v/>
      </c>
      <c r="P108" s="63">
        <f t="array" ref="P108">IFERROR(INDEX(PRODUCT!$I:$I,MATCH(C108,PRODUCT!$B:$B,0)),"")</f>
        <v/>
      </c>
      <c r="Q108" s="63">
        <f>IF(C108="","",INPUT_SYSTEM!M122)</f>
        <v/>
      </c>
      <c r="R108" s="63">
        <f>IF(P108="","",P108*(1+Q108))</f>
        <v/>
      </c>
      <c r="S108" s="63">
        <f>IF(O108="","",IF(OR(H108="",H108=0),O108*P108,O108*H108*P108))</f>
        <v/>
      </c>
      <c r="T108" s="63">
        <f>IF(O108="","",IF(OR(H108="",H108=0),O108*R108,O108*H108*R108))</f>
        <v/>
      </c>
      <c r="U108" s="62">
        <f>IF(C108="","",INPUT_SYSTEM!C122)</f>
        <v/>
      </c>
      <c r="V108" s="62">
        <f>IF(C108="","",INPUT_SYSTEM!N122)</f>
        <v/>
      </c>
    </row>
    <row r="109" ht="15.75" customHeight="1" s="125">
      <c r="A109" s="62">
        <f>IF(INPUT_SYSTEM!D123="","",INPUT_SYSTEM!A123)</f>
        <v/>
      </c>
      <c r="B109" s="62">
        <f>IF(INPUT_SYSTEM!D123="","",INPUT_SYSTEM!B123)</f>
        <v/>
      </c>
      <c r="C109" s="62">
        <f>IF(INPUT_SYSTEM!D123="","",INPUT_SYSTEM!D123)</f>
        <v/>
      </c>
      <c r="D109" s="62">
        <f>IF(C109="","",INPUT_SYSTEM!E123)</f>
        <v/>
      </c>
      <c r="E109" s="62">
        <f>IF(C109="","",INPUT_SYSTEM!F123)</f>
        <v/>
      </c>
      <c r="F109" s="62">
        <f t="array" ref="F109">IFERROR(INDEX(PRODUCT!$D:$D,MATCH(C109,PRODUCT!$B:$B,0)),"")</f>
        <v/>
      </c>
      <c r="G109" s="62">
        <f t="array" ref="G109">IFERROR(INDEX(PRODUCT!$E:$E,MATCH(C109,PRODUCT!$B:$B,0)),"")</f>
        <v/>
      </c>
      <c r="H109" s="62">
        <f t="array" ref="H109">IFERROR(INDEX(PRODUCT!$F:$F,MATCH(C109,PRODUCT!$B:$B,0)),"")</f>
        <v/>
      </c>
      <c r="I109" s="62">
        <f>IF(C109="","",INPUT_SYSTEM!G123)</f>
        <v/>
      </c>
      <c r="J109" s="62">
        <f>IF(C109="","",INPUT_SYSTEM!H123)</f>
        <v/>
      </c>
      <c r="K109" s="60">
        <f>IF(C109="","",INPUT_SYSTEM!J123)</f>
        <v/>
      </c>
      <c r="L109" s="62">
        <f>IF(C109="","",INPUT_SYSTEM!K123)</f>
        <v/>
      </c>
      <c r="M109" s="62">
        <f>IF(C109="","",INPUT_SYSTEM!L123)</f>
        <v/>
      </c>
      <c r="N109" s="62">
        <f>IF(U109&lt;&gt;"SI","",IF(M109&lt;&gt;"",M109,IFERROR(I109*J109*(1+K109)*L109,"")))</f>
        <v/>
      </c>
      <c r="O109" s="62">
        <f>IF(N109="","",IF(OR(H109="",H109=0),N109,ROUNDUP(N109/H109,0)))</f>
        <v/>
      </c>
      <c r="P109" s="63">
        <f t="array" ref="P109">IFERROR(INDEX(PRODUCT!$I:$I,MATCH(C109,PRODUCT!$B:$B,0)),"")</f>
        <v/>
      </c>
      <c r="Q109" s="63">
        <f>IF(C109="","",INPUT_SYSTEM!M123)</f>
        <v/>
      </c>
      <c r="R109" s="63">
        <f>IF(P109="","",P109*(1+Q109))</f>
        <v/>
      </c>
      <c r="S109" s="63">
        <f>IF(O109="","",IF(OR(H109="",H109=0),O109*P109,O109*H109*P109))</f>
        <v/>
      </c>
      <c r="T109" s="63">
        <f>IF(O109="","",IF(OR(H109="",H109=0),O109*R109,O109*H109*R109))</f>
        <v/>
      </c>
      <c r="U109" s="62">
        <f>IF(C109="","",INPUT_SYSTEM!C123)</f>
        <v/>
      </c>
      <c r="V109" s="62">
        <f>IF(C109="","",INPUT_SYSTEM!N123)</f>
        <v/>
      </c>
    </row>
    <row r="110" ht="15.75" customHeight="1" s="125">
      <c r="A110" s="62">
        <f>IF(INPUT_SYSTEM!D124="","",INPUT_SYSTEM!A124)</f>
        <v/>
      </c>
      <c r="B110" s="62">
        <f>IF(INPUT_SYSTEM!D124="","",INPUT_SYSTEM!B124)</f>
        <v/>
      </c>
      <c r="C110" s="62">
        <f>IF(INPUT_SYSTEM!D124="","",INPUT_SYSTEM!D124)</f>
        <v/>
      </c>
      <c r="D110" s="62">
        <f>IF(C110="","",INPUT_SYSTEM!E124)</f>
        <v/>
      </c>
      <c r="E110" s="62">
        <f>IF(C110="","",INPUT_SYSTEM!F124)</f>
        <v/>
      </c>
      <c r="F110" s="62">
        <f t="array" ref="F110">IFERROR(INDEX(PRODUCT!$D:$D,MATCH(C110,PRODUCT!$B:$B,0)),"")</f>
        <v/>
      </c>
      <c r="G110" s="62">
        <f t="array" ref="G110">IFERROR(INDEX(PRODUCT!$E:$E,MATCH(C110,PRODUCT!$B:$B,0)),"")</f>
        <v/>
      </c>
      <c r="H110" s="62">
        <f t="array" ref="H110">IFERROR(INDEX(PRODUCT!$F:$F,MATCH(C110,PRODUCT!$B:$B,0)),"")</f>
        <v/>
      </c>
      <c r="I110" s="62">
        <f>IF(C110="","",INPUT_SYSTEM!G124)</f>
        <v/>
      </c>
      <c r="J110" s="62">
        <f>IF(C110="","",INPUT_SYSTEM!H124)</f>
        <v/>
      </c>
      <c r="K110" s="60">
        <f>IF(C110="","",INPUT_SYSTEM!J124)</f>
        <v/>
      </c>
      <c r="L110" s="62">
        <f>IF(C110="","",INPUT_SYSTEM!K124)</f>
        <v/>
      </c>
      <c r="M110" s="62">
        <f>IF(C110="","",INPUT_SYSTEM!L124)</f>
        <v/>
      </c>
      <c r="N110" s="62">
        <f>IF(U110&lt;&gt;"SI","",IF(M110&lt;&gt;"",M110,IFERROR(I110*J110*(1+K110)*L110,"")))</f>
        <v/>
      </c>
      <c r="O110" s="62">
        <f>IF(N110="","",IF(OR(H110="",H110=0),N110,ROUNDUP(N110/H110,0)))</f>
        <v/>
      </c>
      <c r="P110" s="63">
        <f t="array" ref="P110">IFERROR(INDEX(PRODUCT!$I:$I,MATCH(C110,PRODUCT!$B:$B,0)),"")</f>
        <v/>
      </c>
      <c r="Q110" s="63">
        <f>IF(C110="","",INPUT_SYSTEM!M124)</f>
        <v/>
      </c>
      <c r="R110" s="63">
        <f>IF(P110="","",P110*(1+Q110))</f>
        <v/>
      </c>
      <c r="S110" s="63">
        <f>IF(O110="","",IF(OR(H110="",H110=0),O110*P110,O110*H110*P110))</f>
        <v/>
      </c>
      <c r="T110" s="63">
        <f>IF(O110="","",IF(OR(H110="",H110=0),O110*R110,O110*H110*R110))</f>
        <v/>
      </c>
      <c r="U110" s="62">
        <f>IF(C110="","",INPUT_SYSTEM!C124)</f>
        <v/>
      </c>
      <c r="V110" s="62">
        <f>IF(C110="","",INPUT_SYSTEM!N124)</f>
        <v/>
      </c>
    </row>
    <row r="111" ht="15.75" customHeight="1" s="125">
      <c r="A111" s="62">
        <f>IF(INPUT_SYSTEM!D125="","",INPUT_SYSTEM!A125)</f>
        <v/>
      </c>
      <c r="B111" s="62">
        <f>IF(INPUT_SYSTEM!D125="","",INPUT_SYSTEM!B125)</f>
        <v/>
      </c>
      <c r="C111" s="62">
        <f>IF(INPUT_SYSTEM!D125="","",INPUT_SYSTEM!D125)</f>
        <v/>
      </c>
      <c r="D111" s="62">
        <f>IF(C111="","",INPUT_SYSTEM!E125)</f>
        <v/>
      </c>
      <c r="E111" s="62">
        <f>IF(C111="","",INPUT_SYSTEM!F125)</f>
        <v/>
      </c>
      <c r="F111" s="62">
        <f t="array" ref="F111">IFERROR(INDEX(PRODUCT!$D:$D,MATCH(C111,PRODUCT!$B:$B,0)),"")</f>
        <v/>
      </c>
      <c r="G111" s="62">
        <f t="array" ref="G111">IFERROR(INDEX(PRODUCT!$E:$E,MATCH(C111,PRODUCT!$B:$B,0)),"")</f>
        <v/>
      </c>
      <c r="H111" s="62">
        <f t="array" ref="H111">IFERROR(INDEX(PRODUCT!$F:$F,MATCH(C111,PRODUCT!$B:$B,0)),"")</f>
        <v/>
      </c>
      <c r="I111" s="62">
        <f>IF(C111="","",INPUT_SYSTEM!G125)</f>
        <v/>
      </c>
      <c r="J111" s="62">
        <f>IF(C111="","",INPUT_SYSTEM!H125)</f>
        <v/>
      </c>
      <c r="K111" s="60">
        <f>IF(C111="","",INPUT_SYSTEM!J125)</f>
        <v/>
      </c>
      <c r="L111" s="62">
        <f>IF(C111="","",INPUT_SYSTEM!K125)</f>
        <v/>
      </c>
      <c r="M111" s="62">
        <f>IF(C111="","",INPUT_SYSTEM!L125)</f>
        <v/>
      </c>
      <c r="N111" s="62">
        <f>IF(U111&lt;&gt;"SI","",IF(M111&lt;&gt;"",M111,IFERROR(I111*J111*(1+K111)*L111,"")))</f>
        <v/>
      </c>
      <c r="O111" s="62">
        <f>IF(N111="","",IF(OR(H111="",H111=0),N111,ROUNDUP(N111/H111,0)))</f>
        <v/>
      </c>
      <c r="P111" s="63">
        <f t="array" ref="P111">IFERROR(INDEX(PRODUCT!$I:$I,MATCH(C111,PRODUCT!$B:$B,0)),"")</f>
        <v/>
      </c>
      <c r="Q111" s="63">
        <f>IF(C111="","",INPUT_SYSTEM!M125)</f>
        <v/>
      </c>
      <c r="R111" s="63">
        <f>IF(P111="","",P111*(1+Q111))</f>
        <v/>
      </c>
      <c r="S111" s="63">
        <f>IF(O111="","",IF(OR(H111="",H111=0),O111*P111,O111*H111*P111))</f>
        <v/>
      </c>
      <c r="T111" s="63">
        <f>IF(O111="","",IF(OR(H111="",H111=0),O111*R111,O111*H111*R111))</f>
        <v/>
      </c>
      <c r="U111" s="62">
        <f>IF(C111="","",INPUT_SYSTEM!C125)</f>
        <v/>
      </c>
      <c r="V111" s="62">
        <f>IF(C111="","",INPUT_SYSTEM!N125)</f>
        <v/>
      </c>
    </row>
    <row r="112" ht="15.75" customHeight="1" s="125">
      <c r="A112" s="62">
        <f>IF(INPUT_SYSTEM!D126="","",INPUT_SYSTEM!A126)</f>
        <v/>
      </c>
      <c r="B112" s="62">
        <f>IF(INPUT_SYSTEM!D126="","",INPUT_SYSTEM!B126)</f>
        <v/>
      </c>
      <c r="C112" s="62">
        <f>IF(INPUT_SYSTEM!D126="","",INPUT_SYSTEM!D126)</f>
        <v/>
      </c>
      <c r="D112" s="62">
        <f>IF(C112="","",INPUT_SYSTEM!E126)</f>
        <v/>
      </c>
      <c r="E112" s="62">
        <f>IF(C112="","",INPUT_SYSTEM!F126)</f>
        <v/>
      </c>
      <c r="F112" s="62">
        <f t="array" ref="F112">IFERROR(INDEX(PRODUCT!$D:$D,MATCH(C112,PRODUCT!$B:$B,0)),"")</f>
        <v/>
      </c>
      <c r="G112" s="62">
        <f t="array" ref="G112">IFERROR(INDEX(PRODUCT!$E:$E,MATCH(C112,PRODUCT!$B:$B,0)),"")</f>
        <v/>
      </c>
      <c r="H112" s="62">
        <f t="array" ref="H112">IFERROR(INDEX(PRODUCT!$F:$F,MATCH(C112,PRODUCT!$B:$B,0)),"")</f>
        <v/>
      </c>
      <c r="I112" s="62">
        <f>IF(C112="","",INPUT_SYSTEM!G126)</f>
        <v/>
      </c>
      <c r="J112" s="62">
        <f>IF(C112="","",INPUT_SYSTEM!H126)</f>
        <v/>
      </c>
      <c r="K112" s="60">
        <f>IF(C112="","",INPUT_SYSTEM!J126)</f>
        <v/>
      </c>
      <c r="L112" s="62">
        <f>IF(C112="","",INPUT_SYSTEM!K126)</f>
        <v/>
      </c>
      <c r="M112" s="62">
        <f>IF(C112="","",INPUT_SYSTEM!L126)</f>
        <v/>
      </c>
      <c r="N112" s="62">
        <f>IF(U112&lt;&gt;"SI","",IF(M112&lt;&gt;"",M112,IFERROR(I112*J112*(1+K112)*L112,"")))</f>
        <v/>
      </c>
      <c r="O112" s="62">
        <f>IF(N112="","",IF(OR(H112="",H112=0),N112,ROUNDUP(N112/H112,0)))</f>
        <v/>
      </c>
      <c r="P112" s="63">
        <f t="array" ref="P112">IFERROR(INDEX(PRODUCT!$I:$I,MATCH(C112,PRODUCT!$B:$B,0)),"")</f>
        <v/>
      </c>
      <c r="Q112" s="63">
        <f>IF(C112="","",INPUT_SYSTEM!M126)</f>
        <v/>
      </c>
      <c r="R112" s="63">
        <f>IF(P112="","",P112*(1+Q112))</f>
        <v/>
      </c>
      <c r="S112" s="63">
        <f>IF(O112="","",IF(OR(H112="",H112=0),O112*P112,O112*H112*P112))</f>
        <v/>
      </c>
      <c r="T112" s="63">
        <f>IF(O112="","",IF(OR(H112="",H112=0),O112*R112,O112*H112*R112))</f>
        <v/>
      </c>
      <c r="U112" s="62">
        <f>IF(C112="","",INPUT_SYSTEM!C126)</f>
        <v/>
      </c>
      <c r="V112" s="62">
        <f>IF(C112="","",INPUT_SYSTEM!N126)</f>
        <v/>
      </c>
    </row>
    <row r="113" ht="15.75" customHeight="1" s="125">
      <c r="A113" s="62">
        <f>IF(INPUT_SYSTEM!D127="","",INPUT_SYSTEM!A127)</f>
        <v/>
      </c>
      <c r="B113" s="62">
        <f>IF(INPUT_SYSTEM!D127="","",INPUT_SYSTEM!B127)</f>
        <v/>
      </c>
      <c r="C113" s="62">
        <f>IF(INPUT_SYSTEM!D127="","",INPUT_SYSTEM!D127)</f>
        <v/>
      </c>
      <c r="D113" s="62">
        <f>IF(C113="","",INPUT_SYSTEM!E127)</f>
        <v/>
      </c>
      <c r="E113" s="62">
        <f>IF(C113="","",INPUT_SYSTEM!F127)</f>
        <v/>
      </c>
      <c r="F113" s="62">
        <f t="array" ref="F113">IFERROR(INDEX(PRODUCT!$D:$D,MATCH(C113,PRODUCT!$B:$B,0)),"")</f>
        <v/>
      </c>
      <c r="G113" s="62">
        <f t="array" ref="G113">IFERROR(INDEX(PRODUCT!$E:$E,MATCH(C113,PRODUCT!$B:$B,0)),"")</f>
        <v/>
      </c>
      <c r="H113" s="62">
        <f t="array" ref="H113">IFERROR(INDEX(PRODUCT!$F:$F,MATCH(C113,PRODUCT!$B:$B,0)),"")</f>
        <v/>
      </c>
      <c r="I113" s="62">
        <f>IF(C113="","",INPUT_SYSTEM!G127)</f>
        <v/>
      </c>
      <c r="J113" s="62">
        <f>IF(C113="","",INPUT_SYSTEM!H127)</f>
        <v/>
      </c>
      <c r="K113" s="60">
        <f>IF(C113="","",INPUT_SYSTEM!J127)</f>
        <v/>
      </c>
      <c r="L113" s="62">
        <f>IF(C113="","",INPUT_SYSTEM!K127)</f>
        <v/>
      </c>
      <c r="M113" s="62">
        <f>IF(C113="","",INPUT_SYSTEM!L127)</f>
        <v/>
      </c>
      <c r="N113" s="62">
        <f>IF(U113&lt;&gt;"SI","",IF(M113&lt;&gt;"",M113,IFERROR(I113*J113*(1+K113)*L113,"")))</f>
        <v/>
      </c>
      <c r="O113" s="62">
        <f>IF(N113="","",IF(OR(H113="",H113=0),N113,ROUNDUP(N113/H113,0)))</f>
        <v/>
      </c>
      <c r="P113" s="63">
        <f t="array" ref="P113">IFERROR(INDEX(PRODUCT!$I:$I,MATCH(C113,PRODUCT!$B:$B,0)),"")</f>
        <v/>
      </c>
      <c r="Q113" s="63">
        <f>IF(C113="","",INPUT_SYSTEM!M127)</f>
        <v/>
      </c>
      <c r="R113" s="63">
        <f>IF(P113="","",P113*(1+Q113))</f>
        <v/>
      </c>
      <c r="S113" s="63">
        <f>IF(O113="","",IF(OR(H113="",H113=0),O113*P113,O113*H113*P113))</f>
        <v/>
      </c>
      <c r="T113" s="63">
        <f>IF(O113="","",IF(OR(H113="",H113=0),O113*R113,O113*H113*R113))</f>
        <v/>
      </c>
      <c r="U113" s="62">
        <f>IF(C113="","",INPUT_SYSTEM!C127)</f>
        <v/>
      </c>
      <c r="V113" s="62">
        <f>IF(C113="","",INPUT_SYSTEM!N127)</f>
        <v/>
      </c>
    </row>
    <row r="114" ht="15.75" customHeight="1" s="125">
      <c r="A114" s="62">
        <f>IF(INPUT_SYSTEM!D128="","",INPUT_SYSTEM!A128)</f>
        <v/>
      </c>
      <c r="B114" s="62">
        <f>IF(INPUT_SYSTEM!D128="","",INPUT_SYSTEM!B128)</f>
        <v/>
      </c>
      <c r="C114" s="62">
        <f>IF(INPUT_SYSTEM!D128="","",INPUT_SYSTEM!D128)</f>
        <v/>
      </c>
      <c r="D114" s="62">
        <f>IF(C114="","",INPUT_SYSTEM!E128)</f>
        <v/>
      </c>
      <c r="E114" s="62">
        <f>IF(C114="","",INPUT_SYSTEM!F128)</f>
        <v/>
      </c>
      <c r="F114" s="62">
        <f t="array" ref="F114">IFERROR(INDEX(PRODUCT!$D:$D,MATCH(C114,PRODUCT!$B:$B,0)),"")</f>
        <v/>
      </c>
      <c r="G114" s="62">
        <f t="array" ref="G114">IFERROR(INDEX(PRODUCT!$E:$E,MATCH(C114,PRODUCT!$B:$B,0)),"")</f>
        <v/>
      </c>
      <c r="H114" s="62">
        <f t="array" ref="H114">IFERROR(INDEX(PRODUCT!$F:$F,MATCH(C114,PRODUCT!$B:$B,0)),"")</f>
        <v/>
      </c>
      <c r="I114" s="62">
        <f>IF(C114="","",INPUT_SYSTEM!G128)</f>
        <v/>
      </c>
      <c r="J114" s="62">
        <f>IF(C114="","",INPUT_SYSTEM!H128)</f>
        <v/>
      </c>
      <c r="K114" s="60">
        <f>IF(C114="","",INPUT_SYSTEM!J128)</f>
        <v/>
      </c>
      <c r="L114" s="62">
        <f>IF(C114="","",INPUT_SYSTEM!K128)</f>
        <v/>
      </c>
      <c r="M114" s="62">
        <f>IF(C114="","",INPUT_SYSTEM!L128)</f>
        <v/>
      </c>
      <c r="N114" s="62">
        <f>IF(U114&lt;&gt;"SI","",IF(M114&lt;&gt;"",M114,IFERROR(I114*J114*(1+K114)*L114,"")))</f>
        <v/>
      </c>
      <c r="O114" s="62">
        <f>IF(N114="","",IF(OR(H114="",H114=0),N114,ROUNDUP(N114/H114,0)))</f>
        <v/>
      </c>
      <c r="P114" s="63">
        <f t="array" ref="P114">IFERROR(INDEX(PRODUCT!$I:$I,MATCH(C114,PRODUCT!$B:$B,0)),"")</f>
        <v/>
      </c>
      <c r="Q114" s="63">
        <f>IF(C114="","",INPUT_SYSTEM!M128)</f>
        <v/>
      </c>
      <c r="R114" s="63">
        <f>IF(P114="","",P114*(1+Q114))</f>
        <v/>
      </c>
      <c r="S114" s="63">
        <f>IF(O114="","",IF(OR(H114="",H114=0),O114*P114,O114*H114*P114))</f>
        <v/>
      </c>
      <c r="T114" s="63">
        <f>IF(O114="","",IF(OR(H114="",H114=0),O114*R114,O114*H114*R114))</f>
        <v/>
      </c>
      <c r="U114" s="62">
        <f>IF(C114="","",INPUT_SYSTEM!C128)</f>
        <v/>
      </c>
      <c r="V114" s="62">
        <f>IF(C114="","",INPUT_SYSTEM!N128)</f>
        <v/>
      </c>
    </row>
    <row r="115" ht="15.75" customHeight="1" s="125">
      <c r="A115" s="62">
        <f>IF(INPUT_SYSTEM!D129="","",INPUT_SYSTEM!A129)</f>
        <v/>
      </c>
      <c r="B115" s="62">
        <f>IF(INPUT_SYSTEM!D129="","",INPUT_SYSTEM!B129)</f>
        <v/>
      </c>
      <c r="C115" s="62">
        <f>IF(INPUT_SYSTEM!D129="","",INPUT_SYSTEM!D129)</f>
        <v/>
      </c>
      <c r="D115" s="62">
        <f>IF(C115="","",INPUT_SYSTEM!E129)</f>
        <v/>
      </c>
      <c r="E115" s="62">
        <f>IF(C115="","",INPUT_SYSTEM!F129)</f>
        <v/>
      </c>
      <c r="F115" s="62">
        <f t="array" ref="F115">IFERROR(INDEX(PRODUCT!$D:$D,MATCH(C115,PRODUCT!$B:$B,0)),"")</f>
        <v/>
      </c>
      <c r="G115" s="62">
        <f t="array" ref="G115">IFERROR(INDEX(PRODUCT!$E:$E,MATCH(C115,PRODUCT!$B:$B,0)),"")</f>
        <v/>
      </c>
      <c r="H115" s="62">
        <f t="array" ref="H115">IFERROR(INDEX(PRODUCT!$F:$F,MATCH(C115,PRODUCT!$B:$B,0)),"")</f>
        <v/>
      </c>
      <c r="I115" s="62">
        <f>IF(C115="","",INPUT_SYSTEM!G129)</f>
        <v/>
      </c>
      <c r="J115" s="62">
        <f>IF(C115="","",INPUT_SYSTEM!H129)</f>
        <v/>
      </c>
      <c r="K115" s="60">
        <f>IF(C115="","",INPUT_SYSTEM!J129)</f>
        <v/>
      </c>
      <c r="L115" s="62">
        <f>IF(C115="","",INPUT_SYSTEM!K129)</f>
        <v/>
      </c>
      <c r="M115" s="62">
        <f>IF(C115="","",INPUT_SYSTEM!L129)</f>
        <v/>
      </c>
      <c r="N115" s="62">
        <f>IF(U115&lt;&gt;"SI","",IF(M115&lt;&gt;"",M115,IFERROR(I115*J115*(1+K115)*L115,"")))</f>
        <v/>
      </c>
      <c r="O115" s="62">
        <f>IF(N115="","",IF(OR(H115="",H115=0),N115,ROUNDUP(N115/H115,0)))</f>
        <v/>
      </c>
      <c r="P115" s="63">
        <f t="array" ref="P115">IFERROR(INDEX(PRODUCT!$I:$I,MATCH(C115,PRODUCT!$B:$B,0)),"")</f>
        <v/>
      </c>
      <c r="Q115" s="63">
        <f>IF(C115="","",INPUT_SYSTEM!M129)</f>
        <v/>
      </c>
      <c r="R115" s="63">
        <f>IF(P115="","",P115*(1+Q115))</f>
        <v/>
      </c>
      <c r="S115" s="63">
        <f>IF(O115="","",IF(OR(H115="",H115=0),O115*P115,O115*H115*P115))</f>
        <v/>
      </c>
      <c r="T115" s="63">
        <f>IF(O115="","",IF(OR(H115="",H115=0),O115*R115,O115*H115*R115))</f>
        <v/>
      </c>
      <c r="U115" s="62">
        <f>IF(C115="","",INPUT_SYSTEM!C129)</f>
        <v/>
      </c>
      <c r="V115" s="62">
        <f>IF(C115="","",INPUT_SYSTEM!N129)</f>
        <v/>
      </c>
    </row>
    <row r="116" ht="15.75" customHeight="1" s="125">
      <c r="A116" s="62">
        <f>IF(INPUT_SYSTEM!D130="","",INPUT_SYSTEM!A130)</f>
        <v/>
      </c>
      <c r="B116" s="62">
        <f>IF(INPUT_SYSTEM!D130="","",INPUT_SYSTEM!B130)</f>
        <v/>
      </c>
      <c r="C116" s="62">
        <f>IF(INPUT_SYSTEM!D130="","",INPUT_SYSTEM!D130)</f>
        <v/>
      </c>
      <c r="D116" s="62">
        <f>IF(C116="","",INPUT_SYSTEM!E130)</f>
        <v/>
      </c>
      <c r="E116" s="62">
        <f>IF(C116="","",INPUT_SYSTEM!F130)</f>
        <v/>
      </c>
      <c r="F116" s="62">
        <f t="array" ref="F116">IFERROR(INDEX(PRODUCT!$D:$D,MATCH(C116,PRODUCT!$B:$B,0)),"")</f>
        <v/>
      </c>
      <c r="G116" s="62">
        <f t="array" ref="G116">IFERROR(INDEX(PRODUCT!$E:$E,MATCH(C116,PRODUCT!$B:$B,0)),"")</f>
        <v/>
      </c>
      <c r="H116" s="62">
        <f t="array" ref="H116">IFERROR(INDEX(PRODUCT!$F:$F,MATCH(C116,PRODUCT!$B:$B,0)),"")</f>
        <v/>
      </c>
      <c r="I116" s="62">
        <f>IF(C116="","",INPUT_SYSTEM!G130)</f>
        <v/>
      </c>
      <c r="J116" s="62">
        <f>IF(C116="","",INPUT_SYSTEM!H130)</f>
        <v/>
      </c>
      <c r="K116" s="60">
        <f>IF(C116="","",INPUT_SYSTEM!J130)</f>
        <v/>
      </c>
      <c r="L116" s="62">
        <f>IF(C116="","",INPUT_SYSTEM!K130)</f>
        <v/>
      </c>
      <c r="M116" s="62">
        <f>IF(C116="","",INPUT_SYSTEM!L130)</f>
        <v/>
      </c>
      <c r="N116" s="62">
        <f>IF(U116&lt;&gt;"SI","",IF(M116&lt;&gt;"",M116,IFERROR(I116*J116*(1+K116)*L116,"")))</f>
        <v/>
      </c>
      <c r="O116" s="62">
        <f>IF(N116="","",IF(OR(H116="",H116=0),N116,ROUNDUP(N116/H116,0)))</f>
        <v/>
      </c>
      <c r="P116" s="63">
        <f t="array" ref="P116">IFERROR(INDEX(PRODUCT!$I:$I,MATCH(C116,PRODUCT!$B:$B,0)),"")</f>
        <v/>
      </c>
      <c r="Q116" s="63">
        <f>IF(C116="","",INPUT_SYSTEM!M130)</f>
        <v/>
      </c>
      <c r="R116" s="63">
        <f>IF(P116="","",P116*(1+Q116))</f>
        <v/>
      </c>
      <c r="S116" s="63">
        <f>IF(O116="","",IF(OR(H116="",H116=0),O116*P116,O116*H116*P116))</f>
        <v/>
      </c>
      <c r="T116" s="63">
        <f>IF(O116="","",IF(OR(H116="",H116=0),O116*R116,O116*H116*R116))</f>
        <v/>
      </c>
      <c r="U116" s="62">
        <f>IF(C116="","",INPUT_SYSTEM!C130)</f>
        <v/>
      </c>
      <c r="V116" s="62">
        <f>IF(C116="","",INPUT_SYSTEM!N130)</f>
        <v/>
      </c>
    </row>
    <row r="117" ht="15.75" customHeight="1" s="125">
      <c r="A117" s="62">
        <f>IF(INPUT_SYSTEM!D131="","",INPUT_SYSTEM!A131)</f>
        <v/>
      </c>
      <c r="B117" s="62">
        <f>IF(INPUT_SYSTEM!D131="","",INPUT_SYSTEM!B131)</f>
        <v/>
      </c>
      <c r="C117" s="62">
        <f>IF(INPUT_SYSTEM!D131="","",INPUT_SYSTEM!D131)</f>
        <v/>
      </c>
      <c r="D117" s="62">
        <f>IF(C117="","",INPUT_SYSTEM!E131)</f>
        <v/>
      </c>
      <c r="E117" s="62">
        <f>IF(C117="","",INPUT_SYSTEM!F131)</f>
        <v/>
      </c>
      <c r="F117" s="62">
        <f t="array" ref="F117">IFERROR(INDEX(PRODUCT!$D:$D,MATCH(C117,PRODUCT!$B:$B,0)),"")</f>
        <v/>
      </c>
      <c r="G117" s="62">
        <f t="array" ref="G117">IFERROR(INDEX(PRODUCT!$E:$E,MATCH(C117,PRODUCT!$B:$B,0)),"")</f>
        <v/>
      </c>
      <c r="H117" s="62">
        <f t="array" ref="H117">IFERROR(INDEX(PRODUCT!$F:$F,MATCH(C117,PRODUCT!$B:$B,0)),"")</f>
        <v/>
      </c>
      <c r="I117" s="62">
        <f>IF(C117="","",INPUT_SYSTEM!G131)</f>
        <v/>
      </c>
      <c r="J117" s="62">
        <f>IF(C117="","",INPUT_SYSTEM!H131)</f>
        <v/>
      </c>
      <c r="K117" s="60">
        <f>IF(C117="","",INPUT_SYSTEM!J131)</f>
        <v/>
      </c>
      <c r="L117" s="62">
        <f>IF(C117="","",INPUT_SYSTEM!K131)</f>
        <v/>
      </c>
      <c r="M117" s="62">
        <f>IF(C117="","",INPUT_SYSTEM!L131)</f>
        <v/>
      </c>
      <c r="N117" s="62">
        <f>IF(U117&lt;&gt;"SI","",IF(M117&lt;&gt;"",M117,IFERROR(I117*J117*(1+K117)*L117,"")))</f>
        <v/>
      </c>
      <c r="O117" s="62">
        <f>IF(N117="","",IF(OR(H117="",H117=0),N117,ROUNDUP(N117/H117,0)))</f>
        <v/>
      </c>
      <c r="P117" s="63">
        <f t="array" ref="P117">IFERROR(INDEX(PRODUCT!$I:$I,MATCH(C117,PRODUCT!$B:$B,0)),"")</f>
        <v/>
      </c>
      <c r="Q117" s="63">
        <f>IF(C117="","",INPUT_SYSTEM!M131)</f>
        <v/>
      </c>
      <c r="R117" s="63">
        <f>IF(P117="","",P117*(1+Q117))</f>
        <v/>
      </c>
      <c r="S117" s="63">
        <f>IF(O117="","",IF(OR(H117="",H117=0),O117*P117,O117*H117*P117))</f>
        <v/>
      </c>
      <c r="T117" s="63">
        <f>IF(O117="","",IF(OR(H117="",H117=0),O117*R117,O117*H117*R117))</f>
        <v/>
      </c>
      <c r="U117" s="62">
        <f>IF(C117="","",INPUT_SYSTEM!C131)</f>
        <v/>
      </c>
      <c r="V117" s="62">
        <f>IF(C117="","",INPUT_SYSTEM!N131)</f>
        <v/>
      </c>
    </row>
    <row r="118" ht="15.75" customHeight="1" s="125">
      <c r="A118" s="62">
        <f>IF(INPUT_SYSTEM!D132="","",INPUT_SYSTEM!A132)</f>
        <v/>
      </c>
      <c r="B118" s="62">
        <f>IF(INPUT_SYSTEM!D132="","",INPUT_SYSTEM!B132)</f>
        <v/>
      </c>
      <c r="C118" s="62">
        <f>IF(INPUT_SYSTEM!D132="","",INPUT_SYSTEM!D132)</f>
        <v/>
      </c>
      <c r="D118" s="62">
        <f>IF(C118="","",INPUT_SYSTEM!E132)</f>
        <v/>
      </c>
      <c r="E118" s="62">
        <f>IF(C118="","",INPUT_SYSTEM!F132)</f>
        <v/>
      </c>
      <c r="F118" s="62">
        <f t="array" ref="F118">IFERROR(INDEX(PRODUCT!$D:$D,MATCH(C118,PRODUCT!$B:$B,0)),"")</f>
        <v/>
      </c>
      <c r="G118" s="62">
        <f t="array" ref="G118">IFERROR(INDEX(PRODUCT!$E:$E,MATCH(C118,PRODUCT!$B:$B,0)),"")</f>
        <v/>
      </c>
      <c r="H118" s="62">
        <f t="array" ref="H118">IFERROR(INDEX(PRODUCT!$F:$F,MATCH(C118,PRODUCT!$B:$B,0)),"")</f>
        <v/>
      </c>
      <c r="I118" s="62">
        <f>IF(C118="","",INPUT_SYSTEM!G132)</f>
        <v/>
      </c>
      <c r="J118" s="62">
        <f>IF(C118="","",INPUT_SYSTEM!H132)</f>
        <v/>
      </c>
      <c r="K118" s="60">
        <f>IF(C118="","",INPUT_SYSTEM!J132)</f>
        <v/>
      </c>
      <c r="L118" s="62">
        <f>IF(C118="","",INPUT_SYSTEM!K132)</f>
        <v/>
      </c>
      <c r="M118" s="62">
        <f>IF(C118="","",INPUT_SYSTEM!L132)</f>
        <v/>
      </c>
      <c r="N118" s="62">
        <f>IF(U118&lt;&gt;"SI","",IF(M118&lt;&gt;"",M118,IFERROR(I118*J118*(1+K118)*L118,"")))</f>
        <v/>
      </c>
      <c r="O118" s="62">
        <f>IF(N118="","",IF(OR(H118="",H118=0),N118,ROUNDUP(N118/H118,0)))</f>
        <v/>
      </c>
      <c r="P118" s="63">
        <f t="array" ref="P118">IFERROR(INDEX(PRODUCT!$I:$I,MATCH(C118,PRODUCT!$B:$B,0)),"")</f>
        <v/>
      </c>
      <c r="Q118" s="63">
        <f>IF(C118="","",INPUT_SYSTEM!M132)</f>
        <v/>
      </c>
      <c r="R118" s="63">
        <f>IF(P118="","",P118*(1+Q118))</f>
        <v/>
      </c>
      <c r="S118" s="63">
        <f>IF(O118="","",IF(OR(H118="",H118=0),O118*P118,O118*H118*P118))</f>
        <v/>
      </c>
      <c r="T118" s="63">
        <f>IF(O118="","",IF(OR(H118="",H118=0),O118*R118,O118*H118*R118))</f>
        <v/>
      </c>
      <c r="U118" s="62">
        <f>IF(C118="","",INPUT_SYSTEM!C132)</f>
        <v/>
      </c>
      <c r="V118" s="62">
        <f>IF(C118="","",INPUT_SYSTEM!N132)</f>
        <v/>
      </c>
    </row>
    <row r="119" ht="15.75" customHeight="1" s="125">
      <c r="A119" s="62">
        <f>IF(INPUT_SYSTEM!D133="","",INPUT_SYSTEM!A133)</f>
        <v/>
      </c>
      <c r="B119" s="62">
        <f>IF(INPUT_SYSTEM!D133="","",INPUT_SYSTEM!B133)</f>
        <v/>
      </c>
      <c r="C119" s="62">
        <f>IF(INPUT_SYSTEM!D133="","",INPUT_SYSTEM!D133)</f>
        <v/>
      </c>
      <c r="D119" s="62">
        <f>IF(C119="","",INPUT_SYSTEM!E133)</f>
        <v/>
      </c>
      <c r="E119" s="62">
        <f>IF(C119="","",INPUT_SYSTEM!F133)</f>
        <v/>
      </c>
      <c r="F119" s="62">
        <f t="array" ref="F119">IFERROR(INDEX(PRODUCT!$D:$D,MATCH(C119,PRODUCT!$B:$B,0)),"")</f>
        <v/>
      </c>
      <c r="G119" s="62">
        <f t="array" ref="G119">IFERROR(INDEX(PRODUCT!$E:$E,MATCH(C119,PRODUCT!$B:$B,0)),"")</f>
        <v/>
      </c>
      <c r="H119" s="62">
        <f t="array" ref="H119">IFERROR(INDEX(PRODUCT!$F:$F,MATCH(C119,PRODUCT!$B:$B,0)),"")</f>
        <v/>
      </c>
      <c r="I119" s="62">
        <f>IF(C119="","",INPUT_SYSTEM!G133)</f>
        <v/>
      </c>
      <c r="J119" s="62">
        <f>IF(C119="","",INPUT_SYSTEM!H133)</f>
        <v/>
      </c>
      <c r="K119" s="60">
        <f>IF(C119="","",INPUT_SYSTEM!J133)</f>
        <v/>
      </c>
      <c r="L119" s="62">
        <f>IF(C119="","",INPUT_SYSTEM!K133)</f>
        <v/>
      </c>
      <c r="M119" s="62">
        <f>IF(C119="","",INPUT_SYSTEM!L133)</f>
        <v/>
      </c>
      <c r="N119" s="62">
        <f>IF(U119&lt;&gt;"SI","",IF(M119&lt;&gt;"",M119,IFERROR(I119*J119*(1+K119)*L119,"")))</f>
        <v/>
      </c>
      <c r="O119" s="62">
        <f>IF(N119="","",IF(OR(H119="",H119=0),N119,ROUNDUP(N119/H119,0)))</f>
        <v/>
      </c>
      <c r="P119" s="63">
        <f t="array" ref="P119">IFERROR(INDEX(PRODUCT!$I:$I,MATCH(C119,PRODUCT!$B:$B,0)),"")</f>
        <v/>
      </c>
      <c r="Q119" s="63">
        <f>IF(C119="","",INPUT_SYSTEM!M133)</f>
        <v/>
      </c>
      <c r="R119" s="63">
        <f>IF(P119="","",P119*(1+Q119))</f>
        <v/>
      </c>
      <c r="S119" s="63">
        <f>IF(O119="","",IF(OR(H119="",H119=0),O119*P119,O119*H119*P119))</f>
        <v/>
      </c>
      <c r="T119" s="63">
        <f>IF(O119="","",IF(OR(H119="",H119=0),O119*R119,O119*H119*R119))</f>
        <v/>
      </c>
      <c r="U119" s="62">
        <f>IF(C119="","",INPUT_SYSTEM!C133)</f>
        <v/>
      </c>
      <c r="V119" s="62">
        <f>IF(C119="","",INPUT_SYSTEM!N133)</f>
        <v/>
      </c>
    </row>
    <row r="120" ht="15.75" customHeight="1" s="125">
      <c r="A120" s="62">
        <f>IF(INPUT_SYSTEM!D134="","",INPUT_SYSTEM!A134)</f>
        <v/>
      </c>
      <c r="B120" s="62">
        <f>IF(INPUT_SYSTEM!D134="","",INPUT_SYSTEM!B134)</f>
        <v/>
      </c>
      <c r="C120" s="62">
        <f>IF(INPUT_SYSTEM!D134="","",INPUT_SYSTEM!D134)</f>
        <v/>
      </c>
      <c r="D120" s="62">
        <f>IF(C120="","",INPUT_SYSTEM!E134)</f>
        <v/>
      </c>
      <c r="E120" s="62">
        <f>IF(C120="","",INPUT_SYSTEM!F134)</f>
        <v/>
      </c>
      <c r="F120" s="62">
        <f t="array" ref="F120">IFERROR(INDEX(PRODUCT!$D:$D,MATCH(C120,PRODUCT!$B:$B,0)),"")</f>
        <v/>
      </c>
      <c r="G120" s="62">
        <f t="array" ref="G120">IFERROR(INDEX(PRODUCT!$E:$E,MATCH(C120,PRODUCT!$B:$B,0)),"")</f>
        <v/>
      </c>
      <c r="H120" s="62">
        <f t="array" ref="H120">IFERROR(INDEX(PRODUCT!$F:$F,MATCH(C120,PRODUCT!$B:$B,0)),"")</f>
        <v/>
      </c>
      <c r="I120" s="62">
        <f>IF(C120="","",INPUT_SYSTEM!G134)</f>
        <v/>
      </c>
      <c r="J120" s="62">
        <f>IF(C120="","",INPUT_SYSTEM!H134)</f>
        <v/>
      </c>
      <c r="K120" s="60">
        <f>IF(C120="","",INPUT_SYSTEM!J134)</f>
        <v/>
      </c>
      <c r="L120" s="62">
        <f>IF(C120="","",INPUT_SYSTEM!K134)</f>
        <v/>
      </c>
      <c r="M120" s="62">
        <f>IF(C120="","",INPUT_SYSTEM!L134)</f>
        <v/>
      </c>
      <c r="N120" s="62">
        <f>IF(U120&lt;&gt;"SI","",IF(M120&lt;&gt;"",M120,IFERROR(I120*J120*(1+K120)*L120,"")))</f>
        <v/>
      </c>
      <c r="O120" s="62">
        <f>IF(N120="","",IF(OR(H120="",H120=0),N120,ROUNDUP(N120/H120,0)))</f>
        <v/>
      </c>
      <c r="P120" s="63">
        <f t="array" ref="P120">IFERROR(INDEX(PRODUCT!$I:$I,MATCH(C120,PRODUCT!$B:$B,0)),"")</f>
        <v/>
      </c>
      <c r="Q120" s="63">
        <f>IF(C120="","",INPUT_SYSTEM!M134)</f>
        <v/>
      </c>
      <c r="R120" s="63">
        <f>IF(P120="","",P120*(1+Q120))</f>
        <v/>
      </c>
      <c r="S120" s="63">
        <f>IF(O120="","",IF(OR(H120="",H120=0),O120*P120,O120*H120*P120))</f>
        <v/>
      </c>
      <c r="T120" s="63">
        <f>IF(O120="","",IF(OR(H120="",H120=0),O120*R120,O120*H120*R120))</f>
        <v/>
      </c>
      <c r="U120" s="62">
        <f>IF(C120="","",INPUT_SYSTEM!C134)</f>
        <v/>
      </c>
      <c r="V120" s="62">
        <f>IF(C120="","",INPUT_SYSTEM!N134)</f>
        <v/>
      </c>
    </row>
    <row r="121" ht="15.75" customHeight="1" s="125">
      <c r="A121" s="62">
        <f>IF(INPUT_SYSTEM!D135="","",INPUT_SYSTEM!A135)</f>
        <v/>
      </c>
      <c r="B121" s="62">
        <f>IF(INPUT_SYSTEM!D135="","",INPUT_SYSTEM!B135)</f>
        <v/>
      </c>
      <c r="C121" s="62">
        <f>IF(INPUT_SYSTEM!D135="","",INPUT_SYSTEM!D135)</f>
        <v/>
      </c>
      <c r="D121" s="62">
        <f>IF(C121="","",INPUT_SYSTEM!E135)</f>
        <v/>
      </c>
      <c r="E121" s="62">
        <f>IF(C121="","",INPUT_SYSTEM!F135)</f>
        <v/>
      </c>
      <c r="F121" s="62">
        <f t="array" ref="F121">IFERROR(INDEX(PRODUCT!$D:$D,MATCH(C121,PRODUCT!$B:$B,0)),"")</f>
        <v/>
      </c>
      <c r="G121" s="62">
        <f t="array" ref="G121">IFERROR(INDEX(PRODUCT!$E:$E,MATCH(C121,PRODUCT!$B:$B,0)),"")</f>
        <v/>
      </c>
      <c r="H121" s="62">
        <f t="array" ref="H121">IFERROR(INDEX(PRODUCT!$F:$F,MATCH(C121,PRODUCT!$B:$B,0)),"")</f>
        <v/>
      </c>
      <c r="I121" s="62">
        <f>IF(C121="","",INPUT_SYSTEM!G135)</f>
        <v/>
      </c>
      <c r="J121" s="62">
        <f>IF(C121="","",INPUT_SYSTEM!H135)</f>
        <v/>
      </c>
      <c r="K121" s="60">
        <f>IF(C121="","",INPUT_SYSTEM!J135)</f>
        <v/>
      </c>
      <c r="L121" s="62">
        <f>IF(C121="","",INPUT_SYSTEM!K135)</f>
        <v/>
      </c>
      <c r="M121" s="62">
        <f>IF(C121="","",INPUT_SYSTEM!L135)</f>
        <v/>
      </c>
      <c r="N121" s="62">
        <f>IF(U121&lt;&gt;"SI","",IF(M121&lt;&gt;"",M121,IFERROR(I121*J121*(1+K121)*L121,"")))</f>
        <v/>
      </c>
      <c r="O121" s="62">
        <f>IF(N121="","",IF(OR(H121="",H121=0),N121,ROUNDUP(N121/H121,0)))</f>
        <v/>
      </c>
      <c r="P121" s="63">
        <f t="array" ref="P121">IFERROR(INDEX(PRODUCT!$I:$I,MATCH(C121,PRODUCT!$B:$B,0)),"")</f>
        <v/>
      </c>
      <c r="Q121" s="63">
        <f>IF(C121="","",INPUT_SYSTEM!M135)</f>
        <v/>
      </c>
      <c r="R121" s="63">
        <f>IF(P121="","",P121*(1+Q121))</f>
        <v/>
      </c>
      <c r="S121" s="63">
        <f>IF(O121="","",IF(OR(H121="",H121=0),O121*P121,O121*H121*P121))</f>
        <v/>
      </c>
      <c r="T121" s="63">
        <f>IF(O121="","",IF(OR(H121="",H121=0),O121*R121,O121*H121*R121))</f>
        <v/>
      </c>
      <c r="U121" s="62">
        <f>IF(C121="","",INPUT_SYSTEM!C135)</f>
        <v/>
      </c>
      <c r="V121" s="62">
        <f>IF(C121="","",INPUT_SYSTEM!N135)</f>
        <v/>
      </c>
    </row>
    <row r="122" ht="15.75" customHeight="1" s="125">
      <c r="A122" s="62">
        <f>IF(INPUT_SYSTEM!D136="","",INPUT_SYSTEM!A136)</f>
        <v/>
      </c>
      <c r="B122" s="62">
        <f>IF(INPUT_SYSTEM!D136="","",INPUT_SYSTEM!B136)</f>
        <v/>
      </c>
      <c r="C122" s="62">
        <f>IF(INPUT_SYSTEM!D136="","",INPUT_SYSTEM!D136)</f>
        <v/>
      </c>
      <c r="D122" s="62">
        <f>IF(C122="","",INPUT_SYSTEM!E136)</f>
        <v/>
      </c>
      <c r="E122" s="62">
        <f>IF(C122="","",INPUT_SYSTEM!F136)</f>
        <v/>
      </c>
      <c r="F122" s="62">
        <f t="array" ref="F122">IFERROR(INDEX(PRODUCT!$D:$D,MATCH(C122,PRODUCT!$B:$B,0)),"")</f>
        <v/>
      </c>
      <c r="G122" s="62">
        <f t="array" ref="G122">IFERROR(INDEX(PRODUCT!$E:$E,MATCH(C122,PRODUCT!$B:$B,0)),"")</f>
        <v/>
      </c>
      <c r="H122" s="62">
        <f t="array" ref="H122">IFERROR(INDEX(PRODUCT!$F:$F,MATCH(C122,PRODUCT!$B:$B,0)),"")</f>
        <v/>
      </c>
      <c r="I122" s="62">
        <f>IF(C122="","",INPUT_SYSTEM!G136)</f>
        <v/>
      </c>
      <c r="J122" s="62">
        <f>IF(C122="","",INPUT_SYSTEM!H136)</f>
        <v/>
      </c>
      <c r="K122" s="60">
        <f>IF(C122="","",INPUT_SYSTEM!J136)</f>
        <v/>
      </c>
      <c r="L122" s="62">
        <f>IF(C122="","",INPUT_SYSTEM!K136)</f>
        <v/>
      </c>
      <c r="M122" s="62">
        <f>IF(C122="","",INPUT_SYSTEM!L136)</f>
        <v/>
      </c>
      <c r="N122" s="62">
        <f>IF(U122&lt;&gt;"SI","",IF(M122&lt;&gt;"",M122,IFERROR(I122*J122*(1+K122)*L122,"")))</f>
        <v/>
      </c>
      <c r="O122" s="62">
        <f>IF(N122="","",IF(OR(H122="",H122=0),N122,ROUNDUP(N122/H122,0)))</f>
        <v/>
      </c>
      <c r="P122" s="63">
        <f t="array" ref="P122">IFERROR(INDEX(PRODUCT!$I:$I,MATCH(C122,PRODUCT!$B:$B,0)),"")</f>
        <v/>
      </c>
      <c r="Q122" s="63">
        <f>IF(C122="","",INPUT_SYSTEM!M136)</f>
        <v/>
      </c>
      <c r="R122" s="63">
        <f>IF(P122="","",P122*(1+Q122))</f>
        <v/>
      </c>
      <c r="S122" s="63">
        <f>IF(O122="","",IF(OR(H122="",H122=0),O122*P122,O122*H122*P122))</f>
        <v/>
      </c>
      <c r="T122" s="63">
        <f>IF(O122="","",IF(OR(H122="",H122=0),O122*R122,O122*H122*R122))</f>
        <v/>
      </c>
      <c r="U122" s="62">
        <f>IF(C122="","",INPUT_SYSTEM!C136)</f>
        <v/>
      </c>
      <c r="V122" s="62">
        <f>IF(C122="","",INPUT_SYSTEM!N136)</f>
        <v/>
      </c>
    </row>
    <row r="123" ht="15.75" customHeight="1" s="125">
      <c r="A123" s="62">
        <f>IF(INPUT_SYSTEM!D137="","",INPUT_SYSTEM!A137)</f>
        <v/>
      </c>
      <c r="B123" s="62">
        <f>IF(INPUT_SYSTEM!D137="","",INPUT_SYSTEM!B137)</f>
        <v/>
      </c>
      <c r="C123" s="62">
        <f>IF(INPUT_SYSTEM!D137="","",INPUT_SYSTEM!D137)</f>
        <v/>
      </c>
      <c r="D123" s="62">
        <f>IF(C123="","",INPUT_SYSTEM!E137)</f>
        <v/>
      </c>
      <c r="E123" s="62">
        <f>IF(C123="","",INPUT_SYSTEM!F137)</f>
        <v/>
      </c>
      <c r="F123" s="62">
        <f t="array" ref="F123">IFERROR(INDEX(PRODUCT!$D:$D,MATCH(C123,PRODUCT!$B:$B,0)),"")</f>
        <v/>
      </c>
      <c r="G123" s="62">
        <f t="array" ref="G123">IFERROR(INDEX(PRODUCT!$E:$E,MATCH(C123,PRODUCT!$B:$B,0)),"")</f>
        <v/>
      </c>
      <c r="H123" s="62">
        <f t="array" ref="H123">IFERROR(INDEX(PRODUCT!$F:$F,MATCH(C123,PRODUCT!$B:$B,0)),"")</f>
        <v/>
      </c>
      <c r="I123" s="62">
        <f>IF(C123="","",INPUT_SYSTEM!G137)</f>
        <v/>
      </c>
      <c r="J123" s="62">
        <f>IF(C123="","",INPUT_SYSTEM!H137)</f>
        <v/>
      </c>
      <c r="K123" s="60">
        <f>IF(C123="","",INPUT_SYSTEM!J137)</f>
        <v/>
      </c>
      <c r="L123" s="62">
        <f>IF(C123="","",INPUT_SYSTEM!K137)</f>
        <v/>
      </c>
      <c r="M123" s="62">
        <f>IF(C123="","",INPUT_SYSTEM!L137)</f>
        <v/>
      </c>
      <c r="N123" s="62">
        <f>IF(U123&lt;&gt;"SI","",IF(M123&lt;&gt;"",M123,IFERROR(I123*J123*(1+K123)*L123,"")))</f>
        <v/>
      </c>
      <c r="O123" s="62">
        <f>IF(N123="","",IF(OR(H123="",H123=0),N123,ROUNDUP(N123/H123,0)))</f>
        <v/>
      </c>
      <c r="P123" s="63">
        <f t="array" ref="P123">IFERROR(INDEX(PRODUCT!$I:$I,MATCH(C123,PRODUCT!$B:$B,0)),"")</f>
        <v/>
      </c>
      <c r="Q123" s="63">
        <f>IF(C123="","",INPUT_SYSTEM!M137)</f>
        <v/>
      </c>
      <c r="R123" s="63">
        <f>IF(P123="","",P123*(1+Q123))</f>
        <v/>
      </c>
      <c r="S123" s="63">
        <f>IF(O123="","",IF(OR(H123="",H123=0),O123*P123,O123*H123*P123))</f>
        <v/>
      </c>
      <c r="T123" s="63">
        <f>IF(O123="","",IF(OR(H123="",H123=0),O123*R123,O123*H123*R123))</f>
        <v/>
      </c>
      <c r="U123" s="62">
        <f>IF(C123="","",INPUT_SYSTEM!C137)</f>
        <v/>
      </c>
      <c r="V123" s="62">
        <f>IF(C123="","",INPUT_SYSTEM!N137)</f>
        <v/>
      </c>
    </row>
    <row r="124" ht="15.75" customHeight="1" s="125">
      <c r="A124" s="62">
        <f>IF(INPUT_SYSTEM!D138="","",INPUT_SYSTEM!A138)</f>
        <v/>
      </c>
      <c r="B124" s="62">
        <f>IF(INPUT_SYSTEM!D138="","",INPUT_SYSTEM!B138)</f>
        <v/>
      </c>
      <c r="C124" s="62">
        <f>IF(INPUT_SYSTEM!D138="","",INPUT_SYSTEM!D138)</f>
        <v/>
      </c>
      <c r="D124" s="62">
        <f>IF(C124="","",INPUT_SYSTEM!E138)</f>
        <v/>
      </c>
      <c r="E124" s="62">
        <f>IF(C124="","",INPUT_SYSTEM!F138)</f>
        <v/>
      </c>
      <c r="F124" s="62">
        <f t="array" ref="F124">IFERROR(INDEX(PRODUCT!$D:$D,MATCH(C124,PRODUCT!$B:$B,0)),"")</f>
        <v/>
      </c>
      <c r="G124" s="62">
        <f t="array" ref="G124">IFERROR(INDEX(PRODUCT!$E:$E,MATCH(C124,PRODUCT!$B:$B,0)),"")</f>
        <v/>
      </c>
      <c r="H124" s="62">
        <f t="array" ref="H124">IFERROR(INDEX(PRODUCT!$F:$F,MATCH(C124,PRODUCT!$B:$B,0)),"")</f>
        <v/>
      </c>
      <c r="I124" s="62">
        <f>IF(C124="","",INPUT_SYSTEM!G138)</f>
        <v/>
      </c>
      <c r="J124" s="62">
        <f>IF(C124="","",INPUT_SYSTEM!H138)</f>
        <v/>
      </c>
      <c r="K124" s="60">
        <f>IF(C124="","",INPUT_SYSTEM!J138)</f>
        <v/>
      </c>
      <c r="L124" s="62">
        <f>IF(C124="","",INPUT_SYSTEM!K138)</f>
        <v/>
      </c>
      <c r="M124" s="62">
        <f>IF(C124="","",INPUT_SYSTEM!L138)</f>
        <v/>
      </c>
      <c r="N124" s="62">
        <f>IF(U124&lt;&gt;"SI","",IF(M124&lt;&gt;"",M124,IFERROR(I124*J124*(1+K124)*L124,"")))</f>
        <v/>
      </c>
      <c r="O124" s="62">
        <f>IF(N124="","",IF(OR(H124="",H124=0),N124,ROUNDUP(N124/H124,0)))</f>
        <v/>
      </c>
      <c r="P124" s="63">
        <f t="array" ref="P124">IFERROR(INDEX(PRODUCT!$I:$I,MATCH(C124,PRODUCT!$B:$B,0)),"")</f>
        <v/>
      </c>
      <c r="Q124" s="63">
        <f>IF(C124="","",INPUT_SYSTEM!M138)</f>
        <v/>
      </c>
      <c r="R124" s="63">
        <f>IF(P124="","",P124*(1+Q124))</f>
        <v/>
      </c>
      <c r="S124" s="63">
        <f>IF(O124="","",IF(OR(H124="",H124=0),O124*P124,O124*H124*P124))</f>
        <v/>
      </c>
      <c r="T124" s="63">
        <f>IF(O124="","",IF(OR(H124="",H124=0),O124*R124,O124*H124*R124))</f>
        <v/>
      </c>
      <c r="U124" s="62">
        <f>IF(C124="","",INPUT_SYSTEM!C138)</f>
        <v/>
      </c>
      <c r="V124" s="62">
        <f>IF(C124="","",INPUT_SYSTEM!N138)</f>
        <v/>
      </c>
    </row>
    <row r="125" ht="15.75" customHeight="1" s="125">
      <c r="A125" s="62">
        <f>IF(INPUT_SYSTEM!D139="","",INPUT_SYSTEM!A139)</f>
        <v/>
      </c>
      <c r="B125" s="62">
        <f>IF(INPUT_SYSTEM!D139="","",INPUT_SYSTEM!B139)</f>
        <v/>
      </c>
      <c r="C125" s="62">
        <f>IF(INPUT_SYSTEM!D139="","",INPUT_SYSTEM!D139)</f>
        <v/>
      </c>
      <c r="D125" s="62">
        <f>IF(C125="","",INPUT_SYSTEM!E139)</f>
        <v/>
      </c>
      <c r="E125" s="62">
        <f>IF(C125="","",INPUT_SYSTEM!F139)</f>
        <v/>
      </c>
      <c r="F125" s="62">
        <f t="array" ref="F125">IFERROR(INDEX(PRODUCT!$D:$D,MATCH(C125,PRODUCT!$B:$B,0)),"")</f>
        <v/>
      </c>
      <c r="G125" s="62">
        <f t="array" ref="G125">IFERROR(INDEX(PRODUCT!$E:$E,MATCH(C125,PRODUCT!$B:$B,0)),"")</f>
        <v/>
      </c>
      <c r="H125" s="62">
        <f t="array" ref="H125">IFERROR(INDEX(PRODUCT!$F:$F,MATCH(C125,PRODUCT!$B:$B,0)),"")</f>
        <v/>
      </c>
      <c r="I125" s="62">
        <f>IF(C125="","",INPUT_SYSTEM!G139)</f>
        <v/>
      </c>
      <c r="J125" s="62">
        <f>IF(C125="","",INPUT_SYSTEM!H139)</f>
        <v/>
      </c>
      <c r="K125" s="60">
        <f>IF(C125="","",INPUT_SYSTEM!J139)</f>
        <v/>
      </c>
      <c r="L125" s="62">
        <f>IF(C125="","",INPUT_SYSTEM!K139)</f>
        <v/>
      </c>
      <c r="M125" s="62">
        <f>IF(C125="","",INPUT_SYSTEM!L139)</f>
        <v/>
      </c>
      <c r="N125" s="62">
        <f>IF(U125&lt;&gt;"SI","",IF(M125&lt;&gt;"",M125,IFERROR(I125*J125*(1+K125)*L125,"")))</f>
        <v/>
      </c>
      <c r="O125" s="62">
        <f>IF(N125="","",IF(OR(H125="",H125=0),N125,ROUNDUP(N125/H125,0)))</f>
        <v/>
      </c>
      <c r="P125" s="63">
        <f t="array" ref="P125">IFERROR(INDEX(PRODUCT!$I:$I,MATCH(C125,PRODUCT!$B:$B,0)),"")</f>
        <v/>
      </c>
      <c r="Q125" s="63">
        <f>IF(C125="","",INPUT_SYSTEM!M139)</f>
        <v/>
      </c>
      <c r="R125" s="63">
        <f>IF(P125="","",P125*(1+Q125))</f>
        <v/>
      </c>
      <c r="S125" s="63">
        <f>IF(O125="","",IF(OR(H125="",H125=0),O125*P125,O125*H125*P125))</f>
        <v/>
      </c>
      <c r="T125" s="63">
        <f>IF(O125="","",IF(OR(H125="",H125=0),O125*R125,O125*H125*R125))</f>
        <v/>
      </c>
      <c r="U125" s="62">
        <f>IF(C125="","",INPUT_SYSTEM!C139)</f>
        <v/>
      </c>
      <c r="V125" s="62">
        <f>IF(C125="","",INPUT_SYSTEM!N139)</f>
        <v/>
      </c>
    </row>
    <row r="126" ht="15.75" customHeight="1" s="125">
      <c r="A126" s="62">
        <f>IF(INPUT_SYSTEM!D140="","",INPUT_SYSTEM!A140)</f>
        <v/>
      </c>
      <c r="B126" s="62">
        <f>IF(INPUT_SYSTEM!D140="","",INPUT_SYSTEM!B140)</f>
        <v/>
      </c>
      <c r="C126" s="62">
        <f>IF(INPUT_SYSTEM!D140="","",INPUT_SYSTEM!D140)</f>
        <v/>
      </c>
      <c r="D126" s="62">
        <f>IF(C126="","",INPUT_SYSTEM!E140)</f>
        <v/>
      </c>
      <c r="E126" s="62">
        <f>IF(C126="","",INPUT_SYSTEM!F140)</f>
        <v/>
      </c>
      <c r="F126" s="62">
        <f t="array" ref="F126">IFERROR(INDEX(PRODUCT!$D:$D,MATCH(C126,PRODUCT!$B:$B,0)),"")</f>
        <v/>
      </c>
      <c r="G126" s="62">
        <f t="array" ref="G126">IFERROR(INDEX(PRODUCT!$E:$E,MATCH(C126,PRODUCT!$B:$B,0)),"")</f>
        <v/>
      </c>
      <c r="H126" s="62">
        <f t="array" ref="H126">IFERROR(INDEX(PRODUCT!$F:$F,MATCH(C126,PRODUCT!$B:$B,0)),"")</f>
        <v/>
      </c>
      <c r="I126" s="62">
        <f>IF(C126="","",INPUT_SYSTEM!G140)</f>
        <v/>
      </c>
      <c r="J126" s="62">
        <f>IF(C126="","",INPUT_SYSTEM!H140)</f>
        <v/>
      </c>
      <c r="K126" s="60">
        <f>IF(C126="","",INPUT_SYSTEM!J140)</f>
        <v/>
      </c>
      <c r="L126" s="62">
        <f>IF(C126="","",INPUT_SYSTEM!K140)</f>
        <v/>
      </c>
      <c r="M126" s="62">
        <f>IF(C126="","",INPUT_SYSTEM!L140)</f>
        <v/>
      </c>
      <c r="N126" s="62">
        <f>IF(U126&lt;&gt;"SI","",IF(M126&lt;&gt;"",M126,IFERROR(I126*J126*(1+K126)*L126,"")))</f>
        <v/>
      </c>
      <c r="O126" s="62">
        <f>IF(N126="","",IF(OR(H126="",H126=0),N126,ROUNDUP(N126/H126,0)))</f>
        <v/>
      </c>
      <c r="P126" s="63">
        <f t="array" ref="P126">IFERROR(INDEX(PRODUCT!$I:$I,MATCH(C126,PRODUCT!$B:$B,0)),"")</f>
        <v/>
      </c>
      <c r="Q126" s="63">
        <f>IF(C126="","",INPUT_SYSTEM!M140)</f>
        <v/>
      </c>
      <c r="R126" s="63">
        <f>IF(P126="","",P126*(1+Q126))</f>
        <v/>
      </c>
      <c r="S126" s="63">
        <f>IF(O126="","",IF(OR(H126="",H126=0),O126*P126,O126*H126*P126))</f>
        <v/>
      </c>
      <c r="T126" s="63">
        <f>IF(O126="","",IF(OR(H126="",H126=0),O126*R126,O126*H126*R126))</f>
        <v/>
      </c>
      <c r="U126" s="62">
        <f>IF(C126="","",INPUT_SYSTEM!C140)</f>
        <v/>
      </c>
      <c r="V126" s="62">
        <f>IF(C126="","",INPUT_SYSTEM!N140)</f>
        <v/>
      </c>
    </row>
    <row r="127" ht="15.75" customHeight="1" s="125">
      <c r="A127" s="62">
        <f>IF(INPUT_SYSTEM!D141="","",INPUT_SYSTEM!A141)</f>
        <v/>
      </c>
      <c r="B127" s="62">
        <f>IF(INPUT_SYSTEM!D141="","",INPUT_SYSTEM!B141)</f>
        <v/>
      </c>
      <c r="C127" s="62">
        <f>IF(INPUT_SYSTEM!D141="","",INPUT_SYSTEM!D141)</f>
        <v/>
      </c>
      <c r="D127" s="62">
        <f>IF(C127="","",INPUT_SYSTEM!E141)</f>
        <v/>
      </c>
      <c r="E127" s="62">
        <f>IF(C127="","",INPUT_SYSTEM!F141)</f>
        <v/>
      </c>
      <c r="F127" s="62">
        <f t="array" ref="F127">IFERROR(INDEX(PRODUCT!$D:$D,MATCH(C127,PRODUCT!$B:$B,0)),"")</f>
        <v/>
      </c>
      <c r="G127" s="62">
        <f t="array" ref="G127">IFERROR(INDEX(PRODUCT!$E:$E,MATCH(C127,PRODUCT!$B:$B,0)),"")</f>
        <v/>
      </c>
      <c r="H127" s="62">
        <f t="array" ref="H127">IFERROR(INDEX(PRODUCT!$F:$F,MATCH(C127,PRODUCT!$B:$B,0)),"")</f>
        <v/>
      </c>
      <c r="I127" s="62">
        <f>IF(C127="","",INPUT_SYSTEM!G141)</f>
        <v/>
      </c>
      <c r="J127" s="62">
        <f>IF(C127="","",INPUT_SYSTEM!H141)</f>
        <v/>
      </c>
      <c r="K127" s="60">
        <f>IF(C127="","",INPUT_SYSTEM!J141)</f>
        <v/>
      </c>
      <c r="L127" s="62">
        <f>IF(C127="","",INPUT_SYSTEM!K141)</f>
        <v/>
      </c>
      <c r="M127" s="62">
        <f>IF(C127="","",INPUT_SYSTEM!L141)</f>
        <v/>
      </c>
      <c r="N127" s="62">
        <f>IF(U127&lt;&gt;"SI","",IF(M127&lt;&gt;"",M127,IFERROR(I127*J127*(1+K127)*L127,"")))</f>
        <v/>
      </c>
      <c r="O127" s="62">
        <f>IF(N127="","",IF(OR(H127="",H127=0),N127,ROUNDUP(N127/H127,0)))</f>
        <v/>
      </c>
      <c r="P127" s="63">
        <f t="array" ref="P127">IFERROR(INDEX(PRODUCT!$I:$I,MATCH(C127,PRODUCT!$B:$B,0)),"")</f>
        <v/>
      </c>
      <c r="Q127" s="63">
        <f>IF(C127="","",INPUT_SYSTEM!M141)</f>
        <v/>
      </c>
      <c r="R127" s="63">
        <f>IF(P127="","",P127*(1+Q127))</f>
        <v/>
      </c>
      <c r="S127" s="63">
        <f>IF(O127="","",IF(OR(H127="",H127=0),O127*P127,O127*H127*P127))</f>
        <v/>
      </c>
      <c r="T127" s="63">
        <f>IF(O127="","",IF(OR(H127="",H127=0),O127*R127,O127*H127*R127))</f>
        <v/>
      </c>
      <c r="U127" s="62">
        <f>IF(C127="","",INPUT_SYSTEM!C141)</f>
        <v/>
      </c>
      <c r="V127" s="62">
        <f>IF(C127="","",INPUT_SYSTEM!N141)</f>
        <v/>
      </c>
    </row>
    <row r="128" ht="15.75" customHeight="1" s="125">
      <c r="A128" s="62">
        <f>IF(INPUT_SYSTEM!D142="","",INPUT_SYSTEM!A142)</f>
        <v/>
      </c>
      <c r="B128" s="62">
        <f>IF(INPUT_SYSTEM!D142="","",INPUT_SYSTEM!B142)</f>
        <v/>
      </c>
      <c r="C128" s="62">
        <f>IF(INPUT_SYSTEM!D142="","",INPUT_SYSTEM!D142)</f>
        <v/>
      </c>
      <c r="D128" s="62">
        <f>IF(C128="","",INPUT_SYSTEM!E142)</f>
        <v/>
      </c>
      <c r="E128" s="62">
        <f>IF(C128="","",INPUT_SYSTEM!F142)</f>
        <v/>
      </c>
      <c r="F128" s="62">
        <f t="array" ref="F128">IFERROR(INDEX(PRODUCT!$D:$D,MATCH(C128,PRODUCT!$B:$B,0)),"")</f>
        <v/>
      </c>
      <c r="G128" s="62">
        <f t="array" ref="G128">IFERROR(INDEX(PRODUCT!$E:$E,MATCH(C128,PRODUCT!$B:$B,0)),"")</f>
        <v/>
      </c>
      <c r="H128" s="62">
        <f t="array" ref="H128">IFERROR(INDEX(PRODUCT!$F:$F,MATCH(C128,PRODUCT!$B:$B,0)),"")</f>
        <v/>
      </c>
      <c r="I128" s="62">
        <f>IF(C128="","",INPUT_SYSTEM!G142)</f>
        <v/>
      </c>
      <c r="J128" s="62">
        <f>IF(C128="","",INPUT_SYSTEM!H142)</f>
        <v/>
      </c>
      <c r="K128" s="60">
        <f>IF(C128="","",INPUT_SYSTEM!J142)</f>
        <v/>
      </c>
      <c r="L128" s="62">
        <f>IF(C128="","",INPUT_SYSTEM!K142)</f>
        <v/>
      </c>
      <c r="M128" s="62">
        <f>IF(C128="","",INPUT_SYSTEM!L142)</f>
        <v/>
      </c>
      <c r="N128" s="62">
        <f>IF(U128&lt;&gt;"SI","",IF(M128&lt;&gt;"",M128,IFERROR(I128*J128*(1+K128)*L128,"")))</f>
        <v/>
      </c>
      <c r="O128" s="62">
        <f>IF(N128="","",IF(OR(H128="",H128=0),N128,ROUNDUP(N128/H128,0)))</f>
        <v/>
      </c>
      <c r="P128" s="63">
        <f t="array" ref="P128">IFERROR(INDEX(PRODUCT!$I:$I,MATCH(C128,PRODUCT!$B:$B,0)),"")</f>
        <v/>
      </c>
      <c r="Q128" s="63">
        <f>IF(C128="","",INPUT_SYSTEM!M142)</f>
        <v/>
      </c>
      <c r="R128" s="63">
        <f>IF(P128="","",P128*(1+Q128))</f>
        <v/>
      </c>
      <c r="S128" s="63">
        <f>IF(O128="","",IF(OR(H128="",H128=0),O128*P128,O128*H128*P128))</f>
        <v/>
      </c>
      <c r="T128" s="63">
        <f>IF(O128="","",IF(OR(H128="",H128=0),O128*R128,O128*H128*R128))</f>
        <v/>
      </c>
      <c r="U128" s="62">
        <f>IF(C128="","",INPUT_SYSTEM!C142)</f>
        <v/>
      </c>
      <c r="V128" s="62">
        <f>IF(C128="","",INPUT_SYSTEM!N142)</f>
        <v/>
      </c>
    </row>
    <row r="129" ht="15.75" customHeight="1" s="125">
      <c r="A129" s="62">
        <f>IF(INPUT_SYSTEM!D143="","",INPUT_SYSTEM!A143)</f>
        <v/>
      </c>
      <c r="B129" s="62">
        <f>IF(INPUT_SYSTEM!D143="","",INPUT_SYSTEM!B143)</f>
        <v/>
      </c>
      <c r="C129" s="62">
        <f>IF(INPUT_SYSTEM!D143="","",INPUT_SYSTEM!D143)</f>
        <v/>
      </c>
      <c r="D129" s="62">
        <f>IF(C129="","",INPUT_SYSTEM!E143)</f>
        <v/>
      </c>
      <c r="E129" s="62">
        <f>IF(C129="","",INPUT_SYSTEM!F143)</f>
        <v/>
      </c>
      <c r="F129" s="62">
        <f t="array" ref="F129">IFERROR(INDEX(PRODUCT!$D:$D,MATCH(C129,PRODUCT!$B:$B,0)),"")</f>
        <v/>
      </c>
      <c r="G129" s="62">
        <f t="array" ref="G129">IFERROR(INDEX(PRODUCT!$E:$E,MATCH(C129,PRODUCT!$B:$B,0)),"")</f>
        <v/>
      </c>
      <c r="H129" s="62">
        <f t="array" ref="H129">IFERROR(INDEX(PRODUCT!$F:$F,MATCH(C129,PRODUCT!$B:$B,0)),"")</f>
        <v/>
      </c>
      <c r="I129" s="62">
        <f>IF(C129="","",INPUT_SYSTEM!G143)</f>
        <v/>
      </c>
      <c r="J129" s="62">
        <f>IF(C129="","",INPUT_SYSTEM!H143)</f>
        <v/>
      </c>
      <c r="K129" s="60">
        <f>IF(C129="","",INPUT_SYSTEM!J143)</f>
        <v/>
      </c>
      <c r="L129" s="62">
        <f>IF(C129="","",INPUT_SYSTEM!K143)</f>
        <v/>
      </c>
      <c r="M129" s="62">
        <f>IF(C129="","",INPUT_SYSTEM!L143)</f>
        <v/>
      </c>
      <c r="N129" s="62">
        <f>IF(U129&lt;&gt;"SI","",IF(M129&lt;&gt;"",M129,IFERROR(I129*J129*(1+K129)*L129,"")))</f>
        <v/>
      </c>
      <c r="O129" s="62">
        <f>IF(N129="","",IF(OR(H129="",H129=0),N129,ROUNDUP(N129/H129,0)))</f>
        <v/>
      </c>
      <c r="P129" s="63">
        <f t="array" ref="P129">IFERROR(INDEX(PRODUCT!$I:$I,MATCH(C129,PRODUCT!$B:$B,0)),"")</f>
        <v/>
      </c>
      <c r="Q129" s="63">
        <f>IF(C129="","",INPUT_SYSTEM!M143)</f>
        <v/>
      </c>
      <c r="R129" s="63">
        <f>IF(P129="","",P129*(1+Q129))</f>
        <v/>
      </c>
      <c r="S129" s="63">
        <f>IF(O129="","",IF(OR(H129="",H129=0),O129*P129,O129*H129*P129))</f>
        <v/>
      </c>
      <c r="T129" s="63">
        <f>IF(O129="","",IF(OR(H129="",H129=0),O129*R129,O129*H129*R129))</f>
        <v/>
      </c>
      <c r="U129" s="62">
        <f>IF(C129="","",INPUT_SYSTEM!C143)</f>
        <v/>
      </c>
      <c r="V129" s="62">
        <f>IF(C129="","",INPUT_SYSTEM!N143)</f>
        <v/>
      </c>
    </row>
    <row r="130" ht="15.75" customHeight="1" s="125">
      <c r="A130" s="62">
        <f>IF(INPUT_SYSTEM!D144="","",INPUT_SYSTEM!A144)</f>
        <v/>
      </c>
      <c r="B130" s="62">
        <f>IF(INPUT_SYSTEM!D144="","",INPUT_SYSTEM!B144)</f>
        <v/>
      </c>
      <c r="C130" s="62">
        <f>IF(INPUT_SYSTEM!D144="","",INPUT_SYSTEM!D144)</f>
        <v/>
      </c>
      <c r="D130" s="62">
        <f>IF(C130="","",INPUT_SYSTEM!E144)</f>
        <v/>
      </c>
      <c r="E130" s="62">
        <f>IF(C130="","",INPUT_SYSTEM!F144)</f>
        <v/>
      </c>
      <c r="F130" s="62">
        <f t="array" ref="F130">IFERROR(INDEX(PRODUCT!$D:$D,MATCH(C130,PRODUCT!$B:$B,0)),"")</f>
        <v/>
      </c>
      <c r="G130" s="62">
        <f t="array" ref="G130">IFERROR(INDEX(PRODUCT!$E:$E,MATCH(C130,PRODUCT!$B:$B,0)),"")</f>
        <v/>
      </c>
      <c r="H130" s="62">
        <f t="array" ref="H130">IFERROR(INDEX(PRODUCT!$F:$F,MATCH(C130,PRODUCT!$B:$B,0)),"")</f>
        <v/>
      </c>
      <c r="I130" s="62">
        <f>IF(C130="","",INPUT_SYSTEM!G144)</f>
        <v/>
      </c>
      <c r="J130" s="62">
        <f>IF(C130="","",INPUT_SYSTEM!H144)</f>
        <v/>
      </c>
      <c r="K130" s="60">
        <f>IF(C130="","",INPUT_SYSTEM!J144)</f>
        <v/>
      </c>
      <c r="L130" s="62">
        <f>IF(C130="","",INPUT_SYSTEM!K144)</f>
        <v/>
      </c>
      <c r="M130" s="62">
        <f>IF(C130="","",INPUT_SYSTEM!L144)</f>
        <v/>
      </c>
      <c r="N130" s="62">
        <f>IF(U130&lt;&gt;"SI","",IF(M130&lt;&gt;"",M130,IFERROR(I130*J130*(1+K130)*L130,"")))</f>
        <v/>
      </c>
      <c r="O130" s="62">
        <f>IF(N130="","",IF(OR(H130="",H130=0),N130,ROUNDUP(N130/H130,0)))</f>
        <v/>
      </c>
      <c r="P130" s="63">
        <f t="array" ref="P130">IFERROR(INDEX(PRODUCT!$I:$I,MATCH(C130,PRODUCT!$B:$B,0)),"")</f>
        <v/>
      </c>
      <c r="Q130" s="63">
        <f>IF(C130="","",INPUT_SYSTEM!M144)</f>
        <v/>
      </c>
      <c r="R130" s="63">
        <f>IF(P130="","",P130*(1+Q130))</f>
        <v/>
      </c>
      <c r="S130" s="63">
        <f>IF(O130="","",IF(OR(H130="",H130=0),O130*P130,O130*H130*P130))</f>
        <v/>
      </c>
      <c r="T130" s="63">
        <f>IF(O130="","",IF(OR(H130="",H130=0),O130*R130,O130*H130*R130))</f>
        <v/>
      </c>
      <c r="U130" s="62">
        <f>IF(C130="","",INPUT_SYSTEM!C144)</f>
        <v/>
      </c>
      <c r="V130" s="62">
        <f>IF(C130="","",INPUT_SYSTEM!N144)</f>
        <v/>
      </c>
    </row>
    <row r="131" ht="15.75" customHeight="1" s="125">
      <c r="A131" s="62">
        <f>IF(INPUT_SYSTEM!D145="","",INPUT_SYSTEM!A145)</f>
        <v/>
      </c>
      <c r="B131" s="62">
        <f>IF(INPUT_SYSTEM!D145="","",INPUT_SYSTEM!B145)</f>
        <v/>
      </c>
      <c r="C131" s="62">
        <f>IF(INPUT_SYSTEM!D145="","",INPUT_SYSTEM!D145)</f>
        <v/>
      </c>
      <c r="D131" s="62">
        <f>IF(C131="","",INPUT_SYSTEM!E145)</f>
        <v/>
      </c>
      <c r="E131" s="62">
        <f>IF(C131="","",INPUT_SYSTEM!F145)</f>
        <v/>
      </c>
      <c r="F131" s="62">
        <f t="array" ref="F131">IFERROR(INDEX(PRODUCT!$D:$D,MATCH(C131,PRODUCT!$B:$B,0)),"")</f>
        <v/>
      </c>
      <c r="G131" s="62">
        <f t="array" ref="G131">IFERROR(INDEX(PRODUCT!$E:$E,MATCH(C131,PRODUCT!$B:$B,0)),"")</f>
        <v/>
      </c>
      <c r="H131" s="62">
        <f t="array" ref="H131">IFERROR(INDEX(PRODUCT!$F:$F,MATCH(C131,PRODUCT!$B:$B,0)),"")</f>
        <v/>
      </c>
      <c r="I131" s="62">
        <f>IF(C131="","",INPUT_SYSTEM!G145)</f>
        <v/>
      </c>
      <c r="J131" s="62">
        <f>IF(C131="","",INPUT_SYSTEM!H145)</f>
        <v/>
      </c>
      <c r="K131" s="60">
        <f>IF(C131="","",INPUT_SYSTEM!J145)</f>
        <v/>
      </c>
      <c r="L131" s="62">
        <f>IF(C131="","",INPUT_SYSTEM!K145)</f>
        <v/>
      </c>
      <c r="M131" s="62">
        <f>IF(C131="","",INPUT_SYSTEM!L145)</f>
        <v/>
      </c>
      <c r="N131" s="62">
        <f>IF(U131&lt;&gt;"SI","",IF(M131&lt;&gt;"",M131,IFERROR(I131*J131*(1+K131)*L131,"")))</f>
        <v/>
      </c>
      <c r="O131" s="62">
        <f>IF(N131="","",IF(OR(H131="",H131=0),N131,ROUNDUP(N131/H131,0)))</f>
        <v/>
      </c>
      <c r="P131" s="63">
        <f t="array" ref="P131">IFERROR(INDEX(PRODUCT!$I:$I,MATCH(C131,PRODUCT!$B:$B,0)),"")</f>
        <v/>
      </c>
      <c r="Q131" s="63">
        <f>IF(C131="","",INPUT_SYSTEM!M145)</f>
        <v/>
      </c>
      <c r="R131" s="63">
        <f>IF(P131="","",P131*(1+Q131))</f>
        <v/>
      </c>
      <c r="S131" s="63">
        <f>IF(O131="","",IF(OR(H131="",H131=0),O131*P131,O131*H131*P131))</f>
        <v/>
      </c>
      <c r="T131" s="63">
        <f>IF(O131="","",IF(OR(H131="",H131=0),O131*R131,O131*H131*R131))</f>
        <v/>
      </c>
      <c r="U131" s="62">
        <f>IF(C131="","",INPUT_SYSTEM!C145)</f>
        <v/>
      </c>
      <c r="V131" s="62">
        <f>IF(C131="","",INPUT_SYSTEM!N145)</f>
        <v/>
      </c>
    </row>
    <row r="132" ht="15.75" customHeight="1" s="125">
      <c r="A132" s="62">
        <f>IF(INPUT_SYSTEM!D146="","",INPUT_SYSTEM!A146)</f>
        <v/>
      </c>
      <c r="B132" s="62">
        <f>IF(INPUT_SYSTEM!D146="","",INPUT_SYSTEM!B146)</f>
        <v/>
      </c>
      <c r="C132" s="62">
        <f>IF(INPUT_SYSTEM!D146="","",INPUT_SYSTEM!D146)</f>
        <v/>
      </c>
      <c r="D132" s="62">
        <f>IF(C132="","",INPUT_SYSTEM!E146)</f>
        <v/>
      </c>
      <c r="E132" s="62">
        <f>IF(C132="","",INPUT_SYSTEM!F146)</f>
        <v/>
      </c>
      <c r="F132" s="62">
        <f t="array" ref="F132">IFERROR(INDEX(PRODUCT!$D:$D,MATCH(C132,PRODUCT!$B:$B,0)),"")</f>
        <v/>
      </c>
      <c r="G132" s="62">
        <f t="array" ref="G132">IFERROR(INDEX(PRODUCT!$E:$E,MATCH(C132,PRODUCT!$B:$B,0)),"")</f>
        <v/>
      </c>
      <c r="H132" s="62">
        <f t="array" ref="H132">IFERROR(INDEX(PRODUCT!$F:$F,MATCH(C132,PRODUCT!$B:$B,0)),"")</f>
        <v/>
      </c>
      <c r="I132" s="62">
        <f>IF(C132="","",INPUT_SYSTEM!G146)</f>
        <v/>
      </c>
      <c r="J132" s="62">
        <f>IF(C132="","",INPUT_SYSTEM!H146)</f>
        <v/>
      </c>
      <c r="K132" s="60">
        <f>IF(C132="","",INPUT_SYSTEM!J146)</f>
        <v/>
      </c>
      <c r="L132" s="62">
        <f>IF(C132="","",INPUT_SYSTEM!K146)</f>
        <v/>
      </c>
      <c r="M132" s="62">
        <f>IF(C132="","",INPUT_SYSTEM!L146)</f>
        <v/>
      </c>
      <c r="N132" s="62">
        <f>IF(U132&lt;&gt;"SI","",IF(M132&lt;&gt;"",M132,IFERROR(I132*J132*(1+K132)*L132,"")))</f>
        <v/>
      </c>
      <c r="O132" s="62">
        <f>IF(N132="","",IF(OR(H132="",H132=0),N132,ROUNDUP(N132/H132,0)))</f>
        <v/>
      </c>
      <c r="P132" s="63">
        <f t="array" ref="P132">IFERROR(INDEX(PRODUCT!$I:$I,MATCH(C132,PRODUCT!$B:$B,0)),"")</f>
        <v/>
      </c>
      <c r="Q132" s="63">
        <f>IF(C132="","",INPUT_SYSTEM!M146)</f>
        <v/>
      </c>
      <c r="R132" s="63">
        <f>IF(P132="","",P132*(1+Q132))</f>
        <v/>
      </c>
      <c r="S132" s="63">
        <f>IF(O132="","",IF(OR(H132="",H132=0),O132*P132,O132*H132*P132))</f>
        <v/>
      </c>
      <c r="T132" s="63">
        <f>IF(O132="","",IF(OR(H132="",H132=0),O132*R132,O132*H132*R132))</f>
        <v/>
      </c>
      <c r="U132" s="62">
        <f>IF(C132="","",INPUT_SYSTEM!C146)</f>
        <v/>
      </c>
      <c r="V132" s="62">
        <f>IF(C132="","",INPUT_SYSTEM!N146)</f>
        <v/>
      </c>
    </row>
    <row r="133" ht="15.75" customHeight="1" s="125">
      <c r="A133" s="62">
        <f>IF(INPUT_SYSTEM!D147="","",INPUT_SYSTEM!A147)</f>
        <v/>
      </c>
      <c r="B133" s="62">
        <f>IF(INPUT_SYSTEM!D147="","",INPUT_SYSTEM!B147)</f>
        <v/>
      </c>
      <c r="C133" s="62">
        <f>IF(INPUT_SYSTEM!D147="","",INPUT_SYSTEM!D147)</f>
        <v/>
      </c>
      <c r="D133" s="62">
        <f>IF(C133="","",INPUT_SYSTEM!E147)</f>
        <v/>
      </c>
      <c r="E133" s="62">
        <f>IF(C133="","",INPUT_SYSTEM!F147)</f>
        <v/>
      </c>
      <c r="F133" s="62">
        <f t="array" ref="F133">IFERROR(INDEX(PRODUCT!$D:$D,MATCH(C133,PRODUCT!$B:$B,0)),"")</f>
        <v/>
      </c>
      <c r="G133" s="62">
        <f t="array" ref="G133">IFERROR(INDEX(PRODUCT!$E:$E,MATCH(C133,PRODUCT!$B:$B,0)),"")</f>
        <v/>
      </c>
      <c r="H133" s="62">
        <f t="array" ref="H133">IFERROR(INDEX(PRODUCT!$F:$F,MATCH(C133,PRODUCT!$B:$B,0)),"")</f>
        <v/>
      </c>
      <c r="I133" s="62">
        <f>IF(C133="","",INPUT_SYSTEM!G147)</f>
        <v/>
      </c>
      <c r="J133" s="62">
        <f>IF(C133="","",INPUT_SYSTEM!H147)</f>
        <v/>
      </c>
      <c r="K133" s="60">
        <f>IF(C133="","",INPUT_SYSTEM!J147)</f>
        <v/>
      </c>
      <c r="L133" s="62">
        <f>IF(C133="","",INPUT_SYSTEM!K147)</f>
        <v/>
      </c>
      <c r="M133" s="62">
        <f>IF(C133="","",INPUT_SYSTEM!L147)</f>
        <v/>
      </c>
      <c r="N133" s="62">
        <f>IF(U133&lt;&gt;"SI","",IF(M133&lt;&gt;"",M133,IFERROR(I133*J133*(1+K133)*L133,"")))</f>
        <v/>
      </c>
      <c r="O133" s="62">
        <f>IF(N133="","",IF(OR(H133="",H133=0),N133,ROUNDUP(N133/H133,0)))</f>
        <v/>
      </c>
      <c r="P133" s="63">
        <f t="array" ref="P133">IFERROR(INDEX(PRODUCT!$I:$I,MATCH(C133,PRODUCT!$B:$B,0)),"")</f>
        <v/>
      </c>
      <c r="Q133" s="63">
        <f>IF(C133="","",INPUT_SYSTEM!M147)</f>
        <v/>
      </c>
      <c r="R133" s="63">
        <f>IF(P133="","",P133*(1+Q133))</f>
        <v/>
      </c>
      <c r="S133" s="63">
        <f>IF(O133="","",IF(OR(H133="",H133=0),O133*P133,O133*H133*P133))</f>
        <v/>
      </c>
      <c r="T133" s="63">
        <f>IF(O133="","",IF(OR(H133="",H133=0),O133*R133,O133*H133*R133))</f>
        <v/>
      </c>
      <c r="U133" s="62">
        <f>IF(C133="","",INPUT_SYSTEM!C147)</f>
        <v/>
      </c>
      <c r="V133" s="62">
        <f>IF(C133="","",INPUT_SYSTEM!N147)</f>
        <v/>
      </c>
    </row>
    <row r="134" ht="15.75" customHeight="1" s="125">
      <c r="A134" s="62">
        <f>IF(INPUT_SYSTEM!D148="","",INPUT_SYSTEM!A148)</f>
        <v/>
      </c>
      <c r="B134" s="62">
        <f>IF(INPUT_SYSTEM!D148="","",INPUT_SYSTEM!B148)</f>
        <v/>
      </c>
      <c r="C134" s="62">
        <f>IF(INPUT_SYSTEM!D148="","",INPUT_SYSTEM!D148)</f>
        <v/>
      </c>
      <c r="D134" s="62">
        <f>IF(C134="","",INPUT_SYSTEM!E148)</f>
        <v/>
      </c>
      <c r="E134" s="62">
        <f>IF(C134="","",INPUT_SYSTEM!F148)</f>
        <v/>
      </c>
      <c r="F134" s="62">
        <f t="array" ref="F134">IFERROR(INDEX(PRODUCT!$D:$D,MATCH(C134,PRODUCT!$B:$B,0)),"")</f>
        <v/>
      </c>
      <c r="G134" s="62">
        <f t="array" ref="G134">IFERROR(INDEX(PRODUCT!$E:$E,MATCH(C134,PRODUCT!$B:$B,0)),"")</f>
        <v/>
      </c>
      <c r="H134" s="62">
        <f t="array" ref="H134">IFERROR(INDEX(PRODUCT!$F:$F,MATCH(C134,PRODUCT!$B:$B,0)),"")</f>
        <v/>
      </c>
      <c r="I134" s="62">
        <f>IF(C134="","",INPUT_SYSTEM!G148)</f>
        <v/>
      </c>
      <c r="J134" s="62">
        <f>IF(C134="","",INPUT_SYSTEM!H148)</f>
        <v/>
      </c>
      <c r="K134" s="60">
        <f>IF(C134="","",INPUT_SYSTEM!J148)</f>
        <v/>
      </c>
      <c r="L134" s="62">
        <f>IF(C134="","",INPUT_SYSTEM!K148)</f>
        <v/>
      </c>
      <c r="M134" s="62">
        <f>IF(C134="","",INPUT_SYSTEM!L148)</f>
        <v/>
      </c>
      <c r="N134" s="62">
        <f>IF(U134&lt;&gt;"SI","",IF(M134&lt;&gt;"",M134,IFERROR(I134*J134*(1+K134)*L134,"")))</f>
        <v/>
      </c>
      <c r="O134" s="62">
        <f>IF(N134="","",IF(OR(H134="",H134=0),N134,ROUNDUP(N134/H134,0)))</f>
        <v/>
      </c>
      <c r="P134" s="63">
        <f t="array" ref="P134">IFERROR(INDEX(PRODUCT!$I:$I,MATCH(C134,PRODUCT!$B:$B,0)),"")</f>
        <v/>
      </c>
      <c r="Q134" s="63">
        <f>IF(C134="","",INPUT_SYSTEM!M148)</f>
        <v/>
      </c>
      <c r="R134" s="63">
        <f>IF(P134="","",P134*(1+Q134))</f>
        <v/>
      </c>
      <c r="S134" s="63">
        <f>IF(O134="","",IF(OR(H134="",H134=0),O134*P134,O134*H134*P134))</f>
        <v/>
      </c>
      <c r="T134" s="63">
        <f>IF(O134="","",IF(OR(H134="",H134=0),O134*R134,O134*H134*R134))</f>
        <v/>
      </c>
      <c r="U134" s="62">
        <f>IF(C134="","",INPUT_SYSTEM!C148)</f>
        <v/>
      </c>
      <c r="V134" s="62">
        <f>IF(C134="","",INPUT_SYSTEM!N148)</f>
        <v/>
      </c>
    </row>
    <row r="135" ht="15.75" customHeight="1" s="125">
      <c r="A135" s="62">
        <f>IF(INPUT_SYSTEM!D149="","",INPUT_SYSTEM!A149)</f>
        <v/>
      </c>
      <c r="B135" s="62">
        <f>IF(INPUT_SYSTEM!D149="","",INPUT_SYSTEM!B149)</f>
        <v/>
      </c>
      <c r="C135" s="62">
        <f>IF(INPUT_SYSTEM!D149="","",INPUT_SYSTEM!D149)</f>
        <v/>
      </c>
      <c r="D135" s="62">
        <f>IF(C135="","",INPUT_SYSTEM!E149)</f>
        <v/>
      </c>
      <c r="E135" s="62">
        <f>IF(C135="","",INPUT_SYSTEM!F149)</f>
        <v/>
      </c>
      <c r="F135" s="62">
        <f t="array" ref="F135">IFERROR(INDEX(PRODUCT!$D:$D,MATCH(C135,PRODUCT!$B:$B,0)),"")</f>
        <v/>
      </c>
      <c r="G135" s="62">
        <f t="array" ref="G135">IFERROR(INDEX(PRODUCT!$E:$E,MATCH(C135,PRODUCT!$B:$B,0)),"")</f>
        <v/>
      </c>
      <c r="H135" s="62">
        <f t="array" ref="H135">IFERROR(INDEX(PRODUCT!$F:$F,MATCH(C135,PRODUCT!$B:$B,0)),"")</f>
        <v/>
      </c>
      <c r="I135" s="62">
        <f>IF(C135="","",INPUT_SYSTEM!G149)</f>
        <v/>
      </c>
      <c r="J135" s="62">
        <f>IF(C135="","",INPUT_SYSTEM!H149)</f>
        <v/>
      </c>
      <c r="K135" s="60">
        <f>IF(C135="","",INPUT_SYSTEM!J149)</f>
        <v/>
      </c>
      <c r="L135" s="62">
        <f>IF(C135="","",INPUT_SYSTEM!K149)</f>
        <v/>
      </c>
      <c r="M135" s="62">
        <f>IF(C135="","",INPUT_SYSTEM!L149)</f>
        <v/>
      </c>
      <c r="N135" s="62">
        <f>IF(U135&lt;&gt;"SI","",IF(M135&lt;&gt;"",M135,IFERROR(I135*J135*(1+K135)*L135,"")))</f>
        <v/>
      </c>
      <c r="O135" s="62">
        <f>IF(N135="","",IF(OR(H135="",H135=0),N135,ROUNDUP(N135/H135,0)))</f>
        <v/>
      </c>
      <c r="P135" s="63">
        <f t="array" ref="P135">IFERROR(INDEX(PRODUCT!$I:$I,MATCH(C135,PRODUCT!$B:$B,0)),"")</f>
        <v/>
      </c>
      <c r="Q135" s="63">
        <f>IF(C135="","",INPUT_SYSTEM!M149)</f>
        <v/>
      </c>
      <c r="R135" s="63">
        <f>IF(P135="","",P135*(1+Q135))</f>
        <v/>
      </c>
      <c r="S135" s="63">
        <f>IF(O135="","",IF(OR(H135="",H135=0),O135*P135,O135*H135*P135))</f>
        <v/>
      </c>
      <c r="T135" s="63">
        <f>IF(O135="","",IF(OR(H135="",H135=0),O135*R135,O135*H135*R135))</f>
        <v/>
      </c>
      <c r="U135" s="62">
        <f>IF(C135="","",INPUT_SYSTEM!C149)</f>
        <v/>
      </c>
      <c r="V135" s="62">
        <f>IF(C135="","",INPUT_SYSTEM!N149)</f>
        <v/>
      </c>
    </row>
    <row r="136" ht="15.75" customHeight="1" s="125">
      <c r="A136" s="62">
        <f>IF(INPUT_SYSTEM!D150="","",INPUT_SYSTEM!A150)</f>
        <v/>
      </c>
      <c r="B136" s="62">
        <f>IF(INPUT_SYSTEM!D150="","",INPUT_SYSTEM!B150)</f>
        <v/>
      </c>
      <c r="C136" s="62">
        <f>IF(INPUT_SYSTEM!D150="","",INPUT_SYSTEM!D150)</f>
        <v/>
      </c>
      <c r="D136" s="62">
        <f>IF(C136="","",INPUT_SYSTEM!E150)</f>
        <v/>
      </c>
      <c r="E136" s="62">
        <f>IF(C136="","",INPUT_SYSTEM!F150)</f>
        <v/>
      </c>
      <c r="F136" s="62">
        <f t="array" ref="F136">IFERROR(INDEX(PRODUCT!$D:$D,MATCH(C136,PRODUCT!$B:$B,0)),"")</f>
        <v/>
      </c>
      <c r="G136" s="62">
        <f t="array" ref="G136">IFERROR(INDEX(PRODUCT!$E:$E,MATCH(C136,PRODUCT!$B:$B,0)),"")</f>
        <v/>
      </c>
      <c r="H136" s="62">
        <f t="array" ref="H136">IFERROR(INDEX(PRODUCT!$F:$F,MATCH(C136,PRODUCT!$B:$B,0)),"")</f>
        <v/>
      </c>
      <c r="I136" s="62">
        <f>IF(C136="","",INPUT_SYSTEM!G150)</f>
        <v/>
      </c>
      <c r="J136" s="62">
        <f>IF(C136="","",INPUT_SYSTEM!H150)</f>
        <v/>
      </c>
      <c r="K136" s="60">
        <f>IF(C136="","",INPUT_SYSTEM!J150)</f>
        <v/>
      </c>
      <c r="L136" s="62">
        <f>IF(C136="","",INPUT_SYSTEM!K150)</f>
        <v/>
      </c>
      <c r="M136" s="62">
        <f>IF(C136="","",INPUT_SYSTEM!L150)</f>
        <v/>
      </c>
      <c r="N136" s="62">
        <f>IF(U136&lt;&gt;"SI","",IF(M136&lt;&gt;"",M136,IFERROR(I136*J136*(1+K136)*L136,"")))</f>
        <v/>
      </c>
      <c r="O136" s="62">
        <f>IF(N136="","",IF(OR(H136="",H136=0),N136,ROUNDUP(N136/H136,0)))</f>
        <v/>
      </c>
      <c r="P136" s="63">
        <f t="array" ref="P136">IFERROR(INDEX(PRODUCT!$I:$I,MATCH(C136,PRODUCT!$B:$B,0)),"")</f>
        <v/>
      </c>
      <c r="Q136" s="63">
        <f>IF(C136="","",INPUT_SYSTEM!M150)</f>
        <v/>
      </c>
      <c r="R136" s="63">
        <f>IF(P136="","",P136*(1+Q136))</f>
        <v/>
      </c>
      <c r="S136" s="63">
        <f>IF(O136="","",IF(OR(H136="",H136=0),O136*P136,O136*H136*P136))</f>
        <v/>
      </c>
      <c r="T136" s="63">
        <f>IF(O136="","",IF(OR(H136="",H136=0),O136*R136,O136*H136*R136))</f>
        <v/>
      </c>
      <c r="U136" s="62">
        <f>IF(C136="","",INPUT_SYSTEM!C150)</f>
        <v/>
      </c>
      <c r="V136" s="62">
        <f>IF(C136="","",INPUT_SYSTEM!N150)</f>
        <v/>
      </c>
    </row>
    <row r="137" ht="15.75" customHeight="1" s="125">
      <c r="A137" s="62">
        <f>IF(INPUT_SYSTEM!D151="","",INPUT_SYSTEM!A151)</f>
        <v/>
      </c>
      <c r="B137" s="62">
        <f>IF(INPUT_SYSTEM!D151="","",INPUT_SYSTEM!B151)</f>
        <v/>
      </c>
      <c r="C137" s="62">
        <f>IF(INPUT_SYSTEM!D151="","",INPUT_SYSTEM!D151)</f>
        <v/>
      </c>
      <c r="D137" s="62">
        <f>IF(C137="","",INPUT_SYSTEM!E151)</f>
        <v/>
      </c>
      <c r="E137" s="62">
        <f>IF(C137="","",INPUT_SYSTEM!F151)</f>
        <v/>
      </c>
      <c r="F137" s="62">
        <f t="array" ref="F137">IFERROR(INDEX(PRODUCT!$D:$D,MATCH(C137,PRODUCT!$B:$B,0)),"")</f>
        <v/>
      </c>
      <c r="G137" s="62">
        <f t="array" ref="G137">IFERROR(INDEX(PRODUCT!$E:$E,MATCH(C137,PRODUCT!$B:$B,0)),"")</f>
        <v/>
      </c>
      <c r="H137" s="62">
        <f t="array" ref="H137">IFERROR(INDEX(PRODUCT!$F:$F,MATCH(C137,PRODUCT!$B:$B,0)),"")</f>
        <v/>
      </c>
      <c r="I137" s="62">
        <f>IF(C137="","",INPUT_SYSTEM!G151)</f>
        <v/>
      </c>
      <c r="J137" s="62">
        <f>IF(C137="","",INPUT_SYSTEM!H151)</f>
        <v/>
      </c>
      <c r="K137" s="60">
        <f>IF(C137="","",INPUT_SYSTEM!J151)</f>
        <v/>
      </c>
      <c r="L137" s="62">
        <f>IF(C137="","",INPUT_SYSTEM!K151)</f>
        <v/>
      </c>
      <c r="M137" s="62">
        <f>IF(C137="","",INPUT_SYSTEM!L151)</f>
        <v/>
      </c>
      <c r="N137" s="62">
        <f>IF(U137&lt;&gt;"SI","",IF(M137&lt;&gt;"",M137,IFERROR(I137*J137*(1+K137)*L137,"")))</f>
        <v/>
      </c>
      <c r="O137" s="62">
        <f>IF(N137="","",IF(OR(H137="",H137=0),N137,ROUNDUP(N137/H137,0)))</f>
        <v/>
      </c>
      <c r="P137" s="63">
        <f t="array" ref="P137">IFERROR(INDEX(PRODUCT!$I:$I,MATCH(C137,PRODUCT!$B:$B,0)),"")</f>
        <v/>
      </c>
      <c r="Q137" s="63">
        <f>IF(C137="","",INPUT_SYSTEM!M151)</f>
        <v/>
      </c>
      <c r="R137" s="63">
        <f>IF(P137="","",P137*(1+Q137))</f>
        <v/>
      </c>
      <c r="S137" s="63">
        <f>IF(O137="","",IF(OR(H137="",H137=0),O137*P137,O137*H137*P137))</f>
        <v/>
      </c>
      <c r="T137" s="63">
        <f>IF(O137="","",IF(OR(H137="",H137=0),O137*R137,O137*H137*R137))</f>
        <v/>
      </c>
      <c r="U137" s="62">
        <f>IF(C137="","",INPUT_SYSTEM!C151)</f>
        <v/>
      </c>
      <c r="V137" s="62">
        <f>IF(C137="","",INPUT_SYSTEM!N151)</f>
        <v/>
      </c>
    </row>
    <row r="138" ht="15.75" customHeight="1" s="125">
      <c r="A138" s="62">
        <f>IF(INPUT_SYSTEM!D152="","",INPUT_SYSTEM!A152)</f>
        <v/>
      </c>
      <c r="B138" s="62">
        <f>IF(INPUT_SYSTEM!D152="","",INPUT_SYSTEM!B152)</f>
        <v/>
      </c>
      <c r="C138" s="62">
        <f>IF(INPUT_SYSTEM!D152="","",INPUT_SYSTEM!D152)</f>
        <v/>
      </c>
      <c r="D138" s="62">
        <f>IF(C138="","",INPUT_SYSTEM!E152)</f>
        <v/>
      </c>
      <c r="E138" s="62">
        <f>IF(C138="","",INPUT_SYSTEM!F152)</f>
        <v/>
      </c>
      <c r="F138" s="62">
        <f t="array" ref="F138">IFERROR(INDEX(PRODUCT!$D:$D,MATCH(C138,PRODUCT!$B:$B,0)),"")</f>
        <v/>
      </c>
      <c r="G138" s="62">
        <f t="array" ref="G138">IFERROR(INDEX(PRODUCT!$E:$E,MATCH(C138,PRODUCT!$B:$B,0)),"")</f>
        <v/>
      </c>
      <c r="H138" s="62">
        <f t="array" ref="H138">IFERROR(INDEX(PRODUCT!$F:$F,MATCH(C138,PRODUCT!$B:$B,0)),"")</f>
        <v/>
      </c>
      <c r="I138" s="62">
        <f>IF(C138="","",INPUT_SYSTEM!G152)</f>
        <v/>
      </c>
      <c r="J138" s="62">
        <f>IF(C138="","",INPUT_SYSTEM!H152)</f>
        <v/>
      </c>
      <c r="K138" s="60">
        <f>IF(C138="","",INPUT_SYSTEM!J152)</f>
        <v/>
      </c>
      <c r="L138" s="62">
        <f>IF(C138="","",INPUT_SYSTEM!K152)</f>
        <v/>
      </c>
      <c r="M138" s="62">
        <f>IF(C138="","",INPUT_SYSTEM!L152)</f>
        <v/>
      </c>
      <c r="N138" s="62">
        <f>IF(U138&lt;&gt;"SI","",IF(M138&lt;&gt;"",M138,IFERROR(I138*J138*(1+K138)*L138,"")))</f>
        <v/>
      </c>
      <c r="O138" s="62">
        <f>IF(N138="","",IF(OR(H138="",H138=0),N138,ROUNDUP(N138/H138,0)))</f>
        <v/>
      </c>
      <c r="P138" s="63">
        <f t="array" ref="P138">IFERROR(INDEX(PRODUCT!$I:$I,MATCH(C138,PRODUCT!$B:$B,0)),"")</f>
        <v/>
      </c>
      <c r="Q138" s="63">
        <f>IF(C138="","",INPUT_SYSTEM!M152)</f>
        <v/>
      </c>
      <c r="R138" s="63">
        <f>IF(P138="","",P138*(1+Q138))</f>
        <v/>
      </c>
      <c r="S138" s="63">
        <f>IF(O138="","",IF(OR(H138="",H138=0),O138*P138,O138*H138*P138))</f>
        <v/>
      </c>
      <c r="T138" s="63">
        <f>IF(O138="","",IF(OR(H138="",H138=0),O138*R138,O138*H138*R138))</f>
        <v/>
      </c>
      <c r="U138" s="62">
        <f>IF(C138="","",INPUT_SYSTEM!C152)</f>
        <v/>
      </c>
      <c r="V138" s="62">
        <f>IF(C138="","",INPUT_SYSTEM!N152)</f>
        <v/>
      </c>
    </row>
    <row r="139" ht="15.75" customHeight="1" s="125">
      <c r="A139" s="62">
        <f>IF(INPUT_SYSTEM!D153="","",INPUT_SYSTEM!A153)</f>
        <v/>
      </c>
      <c r="B139" s="62">
        <f>IF(INPUT_SYSTEM!D153="","",INPUT_SYSTEM!B153)</f>
        <v/>
      </c>
      <c r="C139" s="62">
        <f>IF(INPUT_SYSTEM!D153="","",INPUT_SYSTEM!D153)</f>
        <v/>
      </c>
      <c r="D139" s="62">
        <f>IF(C139="","",INPUT_SYSTEM!E153)</f>
        <v/>
      </c>
      <c r="E139" s="62">
        <f>IF(C139="","",INPUT_SYSTEM!F153)</f>
        <v/>
      </c>
      <c r="F139" s="62">
        <f t="array" ref="F139">IFERROR(INDEX(PRODUCT!$D:$D,MATCH(C139,PRODUCT!$B:$B,0)),"")</f>
        <v/>
      </c>
      <c r="G139" s="62">
        <f t="array" ref="G139">IFERROR(INDEX(PRODUCT!$E:$E,MATCH(C139,PRODUCT!$B:$B,0)),"")</f>
        <v/>
      </c>
      <c r="H139" s="62">
        <f t="array" ref="H139">IFERROR(INDEX(PRODUCT!$F:$F,MATCH(C139,PRODUCT!$B:$B,0)),"")</f>
        <v/>
      </c>
      <c r="I139" s="62">
        <f>IF(C139="","",INPUT_SYSTEM!G153)</f>
        <v/>
      </c>
      <c r="J139" s="62">
        <f>IF(C139="","",INPUT_SYSTEM!H153)</f>
        <v/>
      </c>
      <c r="K139" s="60">
        <f>IF(C139="","",INPUT_SYSTEM!J153)</f>
        <v/>
      </c>
      <c r="L139" s="62">
        <f>IF(C139="","",INPUT_SYSTEM!K153)</f>
        <v/>
      </c>
      <c r="M139" s="62">
        <f>IF(C139="","",INPUT_SYSTEM!L153)</f>
        <v/>
      </c>
      <c r="N139" s="62">
        <f>IF(U139&lt;&gt;"SI","",IF(M139&lt;&gt;"",M139,IFERROR(I139*J139*(1+K139)*L139,"")))</f>
        <v/>
      </c>
      <c r="O139" s="62">
        <f>IF(N139="","",IF(OR(H139="",H139=0),N139,ROUNDUP(N139/H139,0)))</f>
        <v/>
      </c>
      <c r="P139" s="63">
        <f t="array" ref="P139">IFERROR(INDEX(PRODUCT!$I:$I,MATCH(C139,PRODUCT!$B:$B,0)),"")</f>
        <v/>
      </c>
      <c r="Q139" s="63">
        <f>IF(C139="","",INPUT_SYSTEM!M153)</f>
        <v/>
      </c>
      <c r="R139" s="63">
        <f>IF(P139="","",P139*(1+Q139))</f>
        <v/>
      </c>
      <c r="S139" s="63">
        <f>IF(O139="","",IF(OR(H139="",H139=0),O139*P139,O139*H139*P139))</f>
        <v/>
      </c>
      <c r="T139" s="63">
        <f>IF(O139="","",IF(OR(H139="",H139=0),O139*R139,O139*H139*R139))</f>
        <v/>
      </c>
      <c r="U139" s="62">
        <f>IF(C139="","",INPUT_SYSTEM!C153)</f>
        <v/>
      </c>
      <c r="V139" s="62">
        <f>IF(C139="","",INPUT_SYSTEM!N153)</f>
        <v/>
      </c>
    </row>
    <row r="140" ht="15.75" customHeight="1" s="125">
      <c r="A140" s="62">
        <f>IF(INPUT_SYSTEM!D154="","",INPUT_SYSTEM!A154)</f>
        <v/>
      </c>
      <c r="B140" s="62">
        <f>IF(INPUT_SYSTEM!D154="","",INPUT_SYSTEM!B154)</f>
        <v/>
      </c>
      <c r="C140" s="62">
        <f>IF(INPUT_SYSTEM!D154="","",INPUT_SYSTEM!D154)</f>
        <v/>
      </c>
      <c r="D140" s="62">
        <f>IF(C140="","",INPUT_SYSTEM!E154)</f>
        <v/>
      </c>
      <c r="E140" s="62">
        <f>IF(C140="","",INPUT_SYSTEM!F154)</f>
        <v/>
      </c>
      <c r="F140" s="62">
        <f t="array" ref="F140">IFERROR(INDEX(PRODUCT!$D:$D,MATCH(C140,PRODUCT!$B:$B,0)),"")</f>
        <v/>
      </c>
      <c r="G140" s="62">
        <f t="array" ref="G140">IFERROR(INDEX(PRODUCT!$E:$E,MATCH(C140,PRODUCT!$B:$B,0)),"")</f>
        <v/>
      </c>
      <c r="H140" s="62">
        <f t="array" ref="H140">IFERROR(INDEX(PRODUCT!$F:$F,MATCH(C140,PRODUCT!$B:$B,0)),"")</f>
        <v/>
      </c>
      <c r="I140" s="62">
        <f>IF(C140="","",INPUT_SYSTEM!G154)</f>
        <v/>
      </c>
      <c r="J140" s="62">
        <f>IF(C140="","",INPUT_SYSTEM!H154)</f>
        <v/>
      </c>
      <c r="K140" s="60">
        <f>IF(C140="","",INPUT_SYSTEM!J154)</f>
        <v/>
      </c>
      <c r="L140" s="62">
        <f>IF(C140="","",INPUT_SYSTEM!K154)</f>
        <v/>
      </c>
      <c r="M140" s="62">
        <f>IF(C140="","",INPUT_SYSTEM!L154)</f>
        <v/>
      </c>
      <c r="N140" s="62">
        <f>IF(U140&lt;&gt;"SI","",IF(M140&lt;&gt;"",M140,IFERROR(I140*J140*(1+K140)*L140,"")))</f>
        <v/>
      </c>
      <c r="O140" s="62">
        <f>IF(N140="","",IF(OR(H140="",H140=0),N140,ROUNDUP(N140/H140,0)))</f>
        <v/>
      </c>
      <c r="P140" s="63">
        <f t="array" ref="P140">IFERROR(INDEX(PRODUCT!$I:$I,MATCH(C140,PRODUCT!$B:$B,0)),"")</f>
        <v/>
      </c>
      <c r="Q140" s="63">
        <f>IF(C140="","",INPUT_SYSTEM!M154)</f>
        <v/>
      </c>
      <c r="R140" s="63">
        <f>IF(P140="","",P140*(1+Q140))</f>
        <v/>
      </c>
      <c r="S140" s="63">
        <f>IF(O140="","",IF(OR(H140="",H140=0),O140*P140,O140*H140*P140))</f>
        <v/>
      </c>
      <c r="T140" s="63">
        <f>IF(O140="","",IF(OR(H140="",H140=0),O140*R140,O140*H140*R140))</f>
        <v/>
      </c>
      <c r="U140" s="62">
        <f>IF(C140="","",INPUT_SYSTEM!C154)</f>
        <v/>
      </c>
      <c r="V140" s="62">
        <f>IF(C140="","",INPUT_SYSTEM!N154)</f>
        <v/>
      </c>
    </row>
    <row r="141" ht="15.75" customHeight="1" s="125">
      <c r="A141" s="62">
        <f>IF(INPUT_SYSTEM!D155="","",INPUT_SYSTEM!A155)</f>
        <v/>
      </c>
      <c r="B141" s="62">
        <f>IF(INPUT_SYSTEM!D155="","",INPUT_SYSTEM!B155)</f>
        <v/>
      </c>
      <c r="C141" s="62">
        <f>IF(INPUT_SYSTEM!D155="","",INPUT_SYSTEM!D155)</f>
        <v/>
      </c>
      <c r="D141" s="62">
        <f>IF(C141="","",INPUT_SYSTEM!E155)</f>
        <v/>
      </c>
      <c r="E141" s="62">
        <f>IF(C141="","",INPUT_SYSTEM!F155)</f>
        <v/>
      </c>
      <c r="F141" s="62">
        <f t="array" ref="F141">IFERROR(INDEX(PRODUCT!$D:$D,MATCH(C141,PRODUCT!$B:$B,0)),"")</f>
        <v/>
      </c>
      <c r="G141" s="62">
        <f t="array" ref="G141">IFERROR(INDEX(PRODUCT!$E:$E,MATCH(C141,PRODUCT!$B:$B,0)),"")</f>
        <v/>
      </c>
      <c r="H141" s="62">
        <f t="array" ref="H141">IFERROR(INDEX(PRODUCT!$F:$F,MATCH(C141,PRODUCT!$B:$B,0)),"")</f>
        <v/>
      </c>
      <c r="I141" s="62">
        <f>IF(C141="","",INPUT_SYSTEM!G155)</f>
        <v/>
      </c>
      <c r="J141" s="62">
        <f>IF(C141="","",INPUT_SYSTEM!H155)</f>
        <v/>
      </c>
      <c r="K141" s="60">
        <f>IF(C141="","",INPUT_SYSTEM!J155)</f>
        <v/>
      </c>
      <c r="L141" s="62">
        <f>IF(C141="","",INPUT_SYSTEM!K155)</f>
        <v/>
      </c>
      <c r="M141" s="62">
        <f>IF(C141="","",INPUT_SYSTEM!L155)</f>
        <v/>
      </c>
      <c r="N141" s="62">
        <f>IF(U141&lt;&gt;"SI","",IF(M141&lt;&gt;"",M141,IFERROR(I141*J141*(1+K141)*L141,"")))</f>
        <v/>
      </c>
      <c r="O141" s="62">
        <f>IF(N141="","",IF(OR(H141="",H141=0),N141,ROUNDUP(N141/H141,0)))</f>
        <v/>
      </c>
      <c r="P141" s="63">
        <f t="array" ref="P141">IFERROR(INDEX(PRODUCT!$I:$I,MATCH(C141,PRODUCT!$B:$B,0)),"")</f>
        <v/>
      </c>
      <c r="Q141" s="63">
        <f>IF(C141="","",INPUT_SYSTEM!M155)</f>
        <v/>
      </c>
      <c r="R141" s="63">
        <f>IF(P141="","",P141*(1+Q141))</f>
        <v/>
      </c>
      <c r="S141" s="63">
        <f>IF(O141="","",IF(OR(H141="",H141=0),O141*P141,O141*H141*P141))</f>
        <v/>
      </c>
      <c r="T141" s="63">
        <f>IF(O141="","",IF(OR(H141="",H141=0),O141*R141,O141*H141*R141))</f>
        <v/>
      </c>
      <c r="U141" s="62">
        <f>IF(C141="","",INPUT_SYSTEM!C155)</f>
        <v/>
      </c>
      <c r="V141" s="62">
        <f>IF(C141="","",INPUT_SYSTEM!N155)</f>
        <v/>
      </c>
    </row>
    <row r="142" ht="15.75" customHeight="1" s="125">
      <c r="A142" s="62">
        <f>IF(INPUT_SYSTEM!D156="","",INPUT_SYSTEM!A156)</f>
        <v/>
      </c>
      <c r="B142" s="62">
        <f>IF(INPUT_SYSTEM!D156="","",INPUT_SYSTEM!B156)</f>
        <v/>
      </c>
      <c r="C142" s="62">
        <f>IF(INPUT_SYSTEM!D156="","",INPUT_SYSTEM!D156)</f>
        <v/>
      </c>
      <c r="D142" s="62">
        <f>IF(C142="","",INPUT_SYSTEM!E156)</f>
        <v/>
      </c>
      <c r="E142" s="62">
        <f>IF(C142="","",INPUT_SYSTEM!F156)</f>
        <v/>
      </c>
      <c r="F142" s="62">
        <f t="array" ref="F142">IFERROR(INDEX(PRODUCT!$D:$D,MATCH(C142,PRODUCT!$B:$B,0)),"")</f>
        <v/>
      </c>
      <c r="G142" s="62">
        <f t="array" ref="G142">IFERROR(INDEX(PRODUCT!$E:$E,MATCH(C142,PRODUCT!$B:$B,0)),"")</f>
        <v/>
      </c>
      <c r="H142" s="62">
        <f t="array" ref="H142">IFERROR(INDEX(PRODUCT!$F:$F,MATCH(C142,PRODUCT!$B:$B,0)),"")</f>
        <v/>
      </c>
      <c r="I142" s="62">
        <f>IF(C142="","",INPUT_SYSTEM!G156)</f>
        <v/>
      </c>
      <c r="J142" s="62">
        <f>IF(C142="","",INPUT_SYSTEM!H156)</f>
        <v/>
      </c>
      <c r="K142" s="60">
        <f>IF(C142="","",INPUT_SYSTEM!J156)</f>
        <v/>
      </c>
      <c r="L142" s="62">
        <f>IF(C142="","",INPUT_SYSTEM!K156)</f>
        <v/>
      </c>
      <c r="M142" s="62">
        <f>IF(C142="","",INPUT_SYSTEM!L156)</f>
        <v/>
      </c>
      <c r="N142" s="62">
        <f>IF(U142&lt;&gt;"SI","",IF(M142&lt;&gt;"",M142,IFERROR(I142*J142*(1+K142)*L142,"")))</f>
        <v/>
      </c>
      <c r="O142" s="62">
        <f>IF(N142="","",IF(OR(H142="",H142=0),N142,ROUNDUP(N142/H142,0)))</f>
        <v/>
      </c>
      <c r="P142" s="63">
        <f t="array" ref="P142">IFERROR(INDEX(PRODUCT!$I:$I,MATCH(C142,PRODUCT!$B:$B,0)),"")</f>
        <v/>
      </c>
      <c r="Q142" s="63">
        <f>IF(C142="","",INPUT_SYSTEM!M156)</f>
        <v/>
      </c>
      <c r="R142" s="63">
        <f>IF(P142="","",P142*(1+Q142))</f>
        <v/>
      </c>
      <c r="S142" s="63">
        <f>IF(O142="","",IF(OR(H142="",H142=0),O142*P142,O142*H142*P142))</f>
        <v/>
      </c>
      <c r="T142" s="63">
        <f>IF(O142="","",IF(OR(H142="",H142=0),O142*R142,O142*H142*R142))</f>
        <v/>
      </c>
      <c r="U142" s="62">
        <f>IF(C142="","",INPUT_SYSTEM!C156)</f>
        <v/>
      </c>
      <c r="V142" s="62">
        <f>IF(C142="","",INPUT_SYSTEM!N156)</f>
        <v/>
      </c>
    </row>
    <row r="143" ht="15.75" customHeight="1" s="125">
      <c r="A143" s="62">
        <f>IF(INPUT_SYSTEM!D157="","",INPUT_SYSTEM!A157)</f>
        <v/>
      </c>
      <c r="B143" s="62">
        <f>IF(INPUT_SYSTEM!D157="","",INPUT_SYSTEM!B157)</f>
        <v/>
      </c>
      <c r="C143" s="62">
        <f>IF(INPUT_SYSTEM!D157="","",INPUT_SYSTEM!D157)</f>
        <v/>
      </c>
      <c r="D143" s="62">
        <f>IF(C143="","",INPUT_SYSTEM!E157)</f>
        <v/>
      </c>
      <c r="E143" s="62">
        <f>IF(C143="","",INPUT_SYSTEM!F157)</f>
        <v/>
      </c>
      <c r="F143" s="62">
        <f t="array" ref="F143">IFERROR(INDEX(PRODUCT!$D:$D,MATCH(C143,PRODUCT!$B:$B,0)),"")</f>
        <v/>
      </c>
      <c r="G143" s="62">
        <f t="array" ref="G143">IFERROR(INDEX(PRODUCT!$E:$E,MATCH(C143,PRODUCT!$B:$B,0)),"")</f>
        <v/>
      </c>
      <c r="H143" s="62">
        <f t="array" ref="H143">IFERROR(INDEX(PRODUCT!$F:$F,MATCH(C143,PRODUCT!$B:$B,0)),"")</f>
        <v/>
      </c>
      <c r="I143" s="62">
        <f>IF(C143="","",INPUT_SYSTEM!G157)</f>
        <v/>
      </c>
      <c r="J143" s="62">
        <f>IF(C143="","",INPUT_SYSTEM!H157)</f>
        <v/>
      </c>
      <c r="K143" s="60">
        <f>IF(C143="","",INPUT_SYSTEM!J157)</f>
        <v/>
      </c>
      <c r="L143" s="62">
        <f>IF(C143="","",INPUT_SYSTEM!K157)</f>
        <v/>
      </c>
      <c r="M143" s="62">
        <f>IF(C143="","",INPUT_SYSTEM!L157)</f>
        <v/>
      </c>
      <c r="N143" s="62">
        <f>IF(U143&lt;&gt;"SI","",IF(M143&lt;&gt;"",M143,IFERROR(I143*J143*(1+K143)*L143,"")))</f>
        <v/>
      </c>
      <c r="O143" s="62">
        <f>IF(N143="","",IF(OR(H143="",H143=0),N143,ROUNDUP(N143/H143,0)))</f>
        <v/>
      </c>
      <c r="P143" s="63">
        <f t="array" ref="P143">IFERROR(INDEX(PRODUCT!$I:$I,MATCH(C143,PRODUCT!$B:$B,0)),"")</f>
        <v/>
      </c>
      <c r="Q143" s="63">
        <f>IF(C143="","",INPUT_SYSTEM!M157)</f>
        <v/>
      </c>
      <c r="R143" s="63">
        <f>IF(P143="","",P143*(1+Q143))</f>
        <v/>
      </c>
      <c r="S143" s="63">
        <f>IF(O143="","",IF(OR(H143="",H143=0),O143*P143,O143*H143*P143))</f>
        <v/>
      </c>
      <c r="T143" s="63">
        <f>IF(O143="","",IF(OR(H143="",H143=0),O143*R143,O143*H143*R143))</f>
        <v/>
      </c>
      <c r="U143" s="62">
        <f>IF(C143="","",INPUT_SYSTEM!C157)</f>
        <v/>
      </c>
      <c r="V143" s="62">
        <f>IF(C143="","",INPUT_SYSTEM!N157)</f>
        <v/>
      </c>
    </row>
    <row r="144" ht="15.75" customHeight="1" s="125">
      <c r="A144" s="62">
        <f>IF(INPUT_SYSTEM!D158="","",INPUT_SYSTEM!A158)</f>
        <v/>
      </c>
      <c r="B144" s="62">
        <f>IF(INPUT_SYSTEM!D158="","",INPUT_SYSTEM!B158)</f>
        <v/>
      </c>
      <c r="C144" s="62">
        <f>IF(INPUT_SYSTEM!D158="","",INPUT_SYSTEM!D158)</f>
        <v/>
      </c>
      <c r="D144" s="62">
        <f>IF(C144="","",INPUT_SYSTEM!E158)</f>
        <v/>
      </c>
      <c r="E144" s="62">
        <f>IF(C144="","",INPUT_SYSTEM!F158)</f>
        <v/>
      </c>
      <c r="F144" s="62">
        <f t="array" ref="F144">IFERROR(INDEX(PRODUCT!$D:$D,MATCH(C144,PRODUCT!$B:$B,0)),"")</f>
        <v/>
      </c>
      <c r="G144" s="62">
        <f t="array" ref="G144">IFERROR(INDEX(PRODUCT!$E:$E,MATCH(C144,PRODUCT!$B:$B,0)),"")</f>
        <v/>
      </c>
      <c r="H144" s="62">
        <f t="array" ref="H144">IFERROR(INDEX(PRODUCT!$F:$F,MATCH(C144,PRODUCT!$B:$B,0)),"")</f>
        <v/>
      </c>
      <c r="I144" s="62">
        <f>IF(C144="","",INPUT_SYSTEM!G158)</f>
        <v/>
      </c>
      <c r="J144" s="62">
        <f>IF(C144="","",INPUT_SYSTEM!H158)</f>
        <v/>
      </c>
      <c r="K144" s="60">
        <f>IF(C144="","",INPUT_SYSTEM!J158)</f>
        <v/>
      </c>
      <c r="L144" s="62">
        <f>IF(C144="","",INPUT_SYSTEM!K158)</f>
        <v/>
      </c>
      <c r="M144" s="62">
        <f>IF(C144="","",INPUT_SYSTEM!L158)</f>
        <v/>
      </c>
      <c r="N144" s="62">
        <f>IF(U144&lt;&gt;"SI","",IF(M144&lt;&gt;"",M144,IFERROR(I144*J144*(1+K144)*L144,"")))</f>
        <v/>
      </c>
      <c r="O144" s="62">
        <f>IF(N144="","",IF(OR(H144="",H144=0),N144,ROUNDUP(N144/H144,0)))</f>
        <v/>
      </c>
      <c r="P144" s="63">
        <f t="array" ref="P144">IFERROR(INDEX(PRODUCT!$I:$I,MATCH(C144,PRODUCT!$B:$B,0)),"")</f>
        <v/>
      </c>
      <c r="Q144" s="63">
        <f>IF(C144="","",INPUT_SYSTEM!M158)</f>
        <v/>
      </c>
      <c r="R144" s="63">
        <f>IF(P144="","",P144*(1+Q144))</f>
        <v/>
      </c>
      <c r="S144" s="63">
        <f>IF(O144="","",IF(OR(H144="",H144=0),O144*P144,O144*H144*P144))</f>
        <v/>
      </c>
      <c r="T144" s="63">
        <f>IF(O144="","",IF(OR(H144="",H144=0),O144*R144,O144*H144*R144))</f>
        <v/>
      </c>
      <c r="U144" s="62">
        <f>IF(C144="","",INPUT_SYSTEM!C158)</f>
        <v/>
      </c>
      <c r="V144" s="62">
        <f>IF(C144="","",INPUT_SYSTEM!N158)</f>
        <v/>
      </c>
    </row>
    <row r="145" ht="15.75" customHeight="1" s="125">
      <c r="A145" s="62">
        <f>IF(INPUT_SYSTEM!D159="","",INPUT_SYSTEM!A159)</f>
        <v/>
      </c>
      <c r="B145" s="62">
        <f>IF(INPUT_SYSTEM!D159="","",INPUT_SYSTEM!B159)</f>
        <v/>
      </c>
      <c r="C145" s="62">
        <f>IF(INPUT_SYSTEM!D159="","",INPUT_SYSTEM!D159)</f>
        <v/>
      </c>
      <c r="D145" s="62">
        <f>IF(C145="","",INPUT_SYSTEM!E159)</f>
        <v/>
      </c>
      <c r="E145" s="62">
        <f>IF(C145="","",INPUT_SYSTEM!F159)</f>
        <v/>
      </c>
      <c r="F145" s="62">
        <f t="array" ref="F145">IFERROR(INDEX(PRODUCT!$D:$D,MATCH(C145,PRODUCT!$B:$B,0)),"")</f>
        <v/>
      </c>
      <c r="G145" s="62">
        <f t="array" ref="G145">IFERROR(INDEX(PRODUCT!$E:$E,MATCH(C145,PRODUCT!$B:$B,0)),"")</f>
        <v/>
      </c>
      <c r="H145" s="62">
        <f t="array" ref="H145">IFERROR(INDEX(PRODUCT!$F:$F,MATCH(C145,PRODUCT!$B:$B,0)),"")</f>
        <v/>
      </c>
      <c r="I145" s="62">
        <f>IF(C145="","",INPUT_SYSTEM!G159)</f>
        <v/>
      </c>
      <c r="J145" s="62">
        <f>IF(C145="","",INPUT_SYSTEM!H159)</f>
        <v/>
      </c>
      <c r="K145" s="60">
        <f>IF(C145="","",INPUT_SYSTEM!J159)</f>
        <v/>
      </c>
      <c r="L145" s="62">
        <f>IF(C145="","",INPUT_SYSTEM!K159)</f>
        <v/>
      </c>
      <c r="M145" s="62">
        <f>IF(C145="","",INPUT_SYSTEM!L159)</f>
        <v/>
      </c>
      <c r="N145" s="62">
        <f>IF(U145&lt;&gt;"SI","",IF(M145&lt;&gt;"",M145,IFERROR(I145*J145*(1+K145)*L145,"")))</f>
        <v/>
      </c>
      <c r="O145" s="62">
        <f>IF(N145="","",IF(OR(H145="",H145=0),N145,ROUNDUP(N145/H145,0)))</f>
        <v/>
      </c>
      <c r="P145" s="63">
        <f t="array" ref="P145">IFERROR(INDEX(PRODUCT!$I:$I,MATCH(C145,PRODUCT!$B:$B,0)),"")</f>
        <v/>
      </c>
      <c r="Q145" s="63">
        <f>IF(C145="","",INPUT_SYSTEM!M159)</f>
        <v/>
      </c>
      <c r="R145" s="63">
        <f>IF(P145="","",P145*(1+Q145))</f>
        <v/>
      </c>
      <c r="S145" s="63">
        <f>IF(O145="","",IF(OR(H145="",H145=0),O145*P145,O145*H145*P145))</f>
        <v/>
      </c>
      <c r="T145" s="63">
        <f>IF(O145="","",IF(OR(H145="",H145=0),O145*R145,O145*H145*R145))</f>
        <v/>
      </c>
      <c r="U145" s="62">
        <f>IF(C145="","",INPUT_SYSTEM!C159)</f>
        <v/>
      </c>
      <c r="V145" s="62">
        <f>IF(C145="","",INPUT_SYSTEM!N159)</f>
        <v/>
      </c>
    </row>
    <row r="146" ht="15.75" customHeight="1" s="125">
      <c r="A146" s="62">
        <f>IF(INPUT_SYSTEM!D160="","",INPUT_SYSTEM!A160)</f>
        <v/>
      </c>
      <c r="B146" s="62">
        <f>IF(INPUT_SYSTEM!D160="","",INPUT_SYSTEM!B160)</f>
        <v/>
      </c>
      <c r="C146" s="62">
        <f>IF(INPUT_SYSTEM!D160="","",INPUT_SYSTEM!D160)</f>
        <v/>
      </c>
      <c r="D146" s="62">
        <f>IF(C146="","",INPUT_SYSTEM!E160)</f>
        <v/>
      </c>
      <c r="E146" s="62">
        <f>IF(C146="","",INPUT_SYSTEM!F160)</f>
        <v/>
      </c>
      <c r="F146" s="62">
        <f t="array" ref="F146">IFERROR(INDEX(PRODUCT!$D:$D,MATCH(C146,PRODUCT!$B:$B,0)),"")</f>
        <v/>
      </c>
      <c r="G146" s="62">
        <f t="array" ref="G146">IFERROR(INDEX(PRODUCT!$E:$E,MATCH(C146,PRODUCT!$B:$B,0)),"")</f>
        <v/>
      </c>
      <c r="H146" s="62">
        <f t="array" ref="H146">IFERROR(INDEX(PRODUCT!$F:$F,MATCH(C146,PRODUCT!$B:$B,0)),"")</f>
        <v/>
      </c>
      <c r="I146" s="62">
        <f>IF(C146="","",INPUT_SYSTEM!G160)</f>
        <v/>
      </c>
      <c r="J146" s="62">
        <f>IF(C146="","",INPUT_SYSTEM!H160)</f>
        <v/>
      </c>
      <c r="K146" s="60">
        <f>IF(C146="","",INPUT_SYSTEM!J160)</f>
        <v/>
      </c>
      <c r="L146" s="62">
        <f>IF(C146="","",INPUT_SYSTEM!K160)</f>
        <v/>
      </c>
      <c r="M146" s="62">
        <f>IF(C146="","",INPUT_SYSTEM!L160)</f>
        <v/>
      </c>
      <c r="N146" s="62">
        <f>IF(U146&lt;&gt;"SI","",IF(M146&lt;&gt;"",M146,IFERROR(I146*J146*(1+K146)*L146,"")))</f>
        <v/>
      </c>
      <c r="O146" s="62">
        <f>IF(N146="","",IF(OR(H146="",H146=0),N146,ROUNDUP(N146/H146,0)))</f>
        <v/>
      </c>
      <c r="P146" s="63">
        <f t="array" ref="P146">IFERROR(INDEX(PRODUCT!$I:$I,MATCH(C146,PRODUCT!$B:$B,0)),"")</f>
        <v/>
      </c>
      <c r="Q146" s="63">
        <f>IF(C146="","",INPUT_SYSTEM!M160)</f>
        <v/>
      </c>
      <c r="R146" s="63">
        <f>IF(P146="","",P146*(1+Q146))</f>
        <v/>
      </c>
      <c r="S146" s="63">
        <f>IF(O146="","",IF(OR(H146="",H146=0),O146*P146,O146*H146*P146))</f>
        <v/>
      </c>
      <c r="T146" s="63">
        <f>IF(O146="","",IF(OR(H146="",H146=0),O146*R146,O146*H146*R146))</f>
        <v/>
      </c>
      <c r="U146" s="62">
        <f>IF(C146="","",INPUT_SYSTEM!C160)</f>
        <v/>
      </c>
      <c r="V146" s="62">
        <f>IF(C146="","",INPUT_SYSTEM!N160)</f>
        <v/>
      </c>
    </row>
    <row r="147" ht="15.75" customHeight="1" s="125">
      <c r="A147" s="62">
        <f>IF(INPUT_SYSTEM!D161="","",INPUT_SYSTEM!A161)</f>
        <v/>
      </c>
      <c r="B147" s="62">
        <f>IF(INPUT_SYSTEM!D161="","",INPUT_SYSTEM!B161)</f>
        <v/>
      </c>
      <c r="C147" s="62">
        <f>IF(INPUT_SYSTEM!D161="","",INPUT_SYSTEM!D161)</f>
        <v/>
      </c>
      <c r="D147" s="62">
        <f>IF(C147="","",INPUT_SYSTEM!E161)</f>
        <v/>
      </c>
      <c r="E147" s="62">
        <f>IF(C147="","",INPUT_SYSTEM!F161)</f>
        <v/>
      </c>
      <c r="F147" s="62">
        <f t="array" ref="F147">IFERROR(INDEX(PRODUCT!$D:$D,MATCH(C147,PRODUCT!$B:$B,0)),"")</f>
        <v/>
      </c>
      <c r="G147" s="62">
        <f t="array" ref="G147">IFERROR(INDEX(PRODUCT!$E:$E,MATCH(C147,PRODUCT!$B:$B,0)),"")</f>
        <v/>
      </c>
      <c r="H147" s="62">
        <f t="array" ref="H147">IFERROR(INDEX(PRODUCT!$F:$F,MATCH(C147,PRODUCT!$B:$B,0)),"")</f>
        <v/>
      </c>
      <c r="I147" s="62">
        <f>IF(C147="","",INPUT_SYSTEM!G161)</f>
        <v/>
      </c>
      <c r="J147" s="62">
        <f>IF(C147="","",INPUT_SYSTEM!H161)</f>
        <v/>
      </c>
      <c r="K147" s="60">
        <f>IF(C147="","",INPUT_SYSTEM!J161)</f>
        <v/>
      </c>
      <c r="L147" s="62">
        <f>IF(C147="","",INPUT_SYSTEM!K161)</f>
        <v/>
      </c>
      <c r="M147" s="62">
        <f>IF(C147="","",INPUT_SYSTEM!L161)</f>
        <v/>
      </c>
      <c r="N147" s="62">
        <f>IF(U147&lt;&gt;"SI","",IF(M147&lt;&gt;"",M147,IFERROR(I147*J147*(1+K147)*L147,"")))</f>
        <v/>
      </c>
      <c r="O147" s="62">
        <f>IF(N147="","",IF(OR(H147="",H147=0),N147,ROUNDUP(N147/H147,0)))</f>
        <v/>
      </c>
      <c r="P147" s="63">
        <f t="array" ref="P147">IFERROR(INDEX(PRODUCT!$I:$I,MATCH(C147,PRODUCT!$B:$B,0)),"")</f>
        <v/>
      </c>
      <c r="Q147" s="63">
        <f>IF(C147="","",INPUT_SYSTEM!M161)</f>
        <v/>
      </c>
      <c r="R147" s="63">
        <f>IF(P147="","",P147*(1+Q147))</f>
        <v/>
      </c>
      <c r="S147" s="63">
        <f>IF(O147="","",IF(OR(H147="",H147=0),O147*P147,O147*H147*P147))</f>
        <v/>
      </c>
      <c r="T147" s="63">
        <f>IF(O147="","",IF(OR(H147="",H147=0),O147*R147,O147*H147*R147))</f>
        <v/>
      </c>
      <c r="U147" s="62">
        <f>IF(C147="","",INPUT_SYSTEM!C161)</f>
        <v/>
      </c>
      <c r="V147" s="62">
        <f>IF(C147="","",INPUT_SYSTEM!N161)</f>
        <v/>
      </c>
    </row>
    <row r="148" ht="15.75" customHeight="1" s="125">
      <c r="A148" s="62">
        <f>IF(INPUT_SYSTEM!D162="","",INPUT_SYSTEM!A162)</f>
        <v/>
      </c>
      <c r="B148" s="62">
        <f>IF(INPUT_SYSTEM!D162="","",INPUT_SYSTEM!B162)</f>
        <v/>
      </c>
      <c r="C148" s="62">
        <f>IF(INPUT_SYSTEM!D162="","",INPUT_SYSTEM!D162)</f>
        <v/>
      </c>
      <c r="D148" s="62">
        <f>IF(C148="","",INPUT_SYSTEM!E162)</f>
        <v/>
      </c>
      <c r="E148" s="62">
        <f>IF(C148="","",INPUT_SYSTEM!F162)</f>
        <v/>
      </c>
      <c r="F148" s="62">
        <f t="array" ref="F148">IFERROR(INDEX(PRODUCT!$D:$D,MATCH(C148,PRODUCT!$B:$B,0)),"")</f>
        <v/>
      </c>
      <c r="G148" s="62">
        <f t="array" ref="G148">IFERROR(INDEX(PRODUCT!$E:$E,MATCH(C148,PRODUCT!$B:$B,0)),"")</f>
        <v/>
      </c>
      <c r="H148" s="62">
        <f t="array" ref="H148">IFERROR(INDEX(PRODUCT!$F:$F,MATCH(C148,PRODUCT!$B:$B,0)),"")</f>
        <v/>
      </c>
      <c r="I148" s="62">
        <f>IF(C148="","",INPUT_SYSTEM!G162)</f>
        <v/>
      </c>
      <c r="J148" s="62">
        <f>IF(C148="","",INPUT_SYSTEM!H162)</f>
        <v/>
      </c>
      <c r="K148" s="60">
        <f>IF(C148="","",INPUT_SYSTEM!J162)</f>
        <v/>
      </c>
      <c r="L148" s="62">
        <f>IF(C148="","",INPUT_SYSTEM!K162)</f>
        <v/>
      </c>
      <c r="M148" s="62">
        <f>IF(C148="","",INPUT_SYSTEM!L162)</f>
        <v/>
      </c>
      <c r="N148" s="62">
        <f>IF(U148&lt;&gt;"SI","",IF(M148&lt;&gt;"",M148,IFERROR(I148*J148*(1+K148)*L148,"")))</f>
        <v/>
      </c>
      <c r="O148" s="62">
        <f>IF(N148="","",IF(OR(H148="",H148=0),N148,ROUNDUP(N148/H148,0)))</f>
        <v/>
      </c>
      <c r="P148" s="63">
        <f t="array" ref="P148">IFERROR(INDEX(PRODUCT!$I:$I,MATCH(C148,PRODUCT!$B:$B,0)),"")</f>
        <v/>
      </c>
      <c r="Q148" s="63">
        <f>IF(C148="","",INPUT_SYSTEM!M162)</f>
        <v/>
      </c>
      <c r="R148" s="63">
        <f>IF(P148="","",P148*(1+Q148))</f>
        <v/>
      </c>
      <c r="S148" s="63">
        <f>IF(O148="","",IF(OR(H148="",H148=0),O148*P148,O148*H148*P148))</f>
        <v/>
      </c>
      <c r="T148" s="63">
        <f>IF(O148="","",IF(OR(H148="",H148=0),O148*R148,O148*H148*R148))</f>
        <v/>
      </c>
      <c r="U148" s="62">
        <f>IF(C148="","",INPUT_SYSTEM!C162)</f>
        <v/>
      </c>
      <c r="V148" s="62">
        <f>IF(C148="","",INPUT_SYSTEM!N162)</f>
        <v/>
      </c>
    </row>
    <row r="149" ht="15.75" customHeight="1" s="125">
      <c r="A149" s="62">
        <f>IF(INPUT_SYSTEM!D163="","",INPUT_SYSTEM!A163)</f>
        <v/>
      </c>
      <c r="B149" s="62">
        <f>IF(INPUT_SYSTEM!D163="","",INPUT_SYSTEM!B163)</f>
        <v/>
      </c>
      <c r="C149" s="62">
        <f>IF(INPUT_SYSTEM!D163="","",INPUT_SYSTEM!D163)</f>
        <v/>
      </c>
      <c r="D149" s="62">
        <f>IF(C149="","",INPUT_SYSTEM!E163)</f>
        <v/>
      </c>
      <c r="E149" s="62">
        <f>IF(C149="","",INPUT_SYSTEM!F163)</f>
        <v/>
      </c>
      <c r="F149" s="62">
        <f t="array" ref="F149">IFERROR(INDEX(PRODUCT!$D:$D,MATCH(C149,PRODUCT!$B:$B,0)),"")</f>
        <v/>
      </c>
      <c r="G149" s="62">
        <f t="array" ref="G149">IFERROR(INDEX(PRODUCT!$E:$E,MATCH(C149,PRODUCT!$B:$B,0)),"")</f>
        <v/>
      </c>
      <c r="H149" s="62">
        <f t="array" ref="H149">IFERROR(INDEX(PRODUCT!$F:$F,MATCH(C149,PRODUCT!$B:$B,0)),"")</f>
        <v/>
      </c>
      <c r="I149" s="62">
        <f>IF(C149="","",INPUT_SYSTEM!G163)</f>
        <v/>
      </c>
      <c r="J149" s="62">
        <f>IF(C149="","",INPUT_SYSTEM!H163)</f>
        <v/>
      </c>
      <c r="K149" s="60">
        <f>IF(C149="","",INPUT_SYSTEM!J163)</f>
        <v/>
      </c>
      <c r="L149" s="62">
        <f>IF(C149="","",INPUT_SYSTEM!K163)</f>
        <v/>
      </c>
      <c r="M149" s="62">
        <f>IF(C149="","",INPUT_SYSTEM!L163)</f>
        <v/>
      </c>
      <c r="N149" s="62">
        <f>IF(U149&lt;&gt;"SI","",IF(M149&lt;&gt;"",M149,IFERROR(I149*J149*(1+K149)*L149,"")))</f>
        <v/>
      </c>
      <c r="O149" s="62">
        <f>IF(N149="","",IF(OR(H149="",H149=0),N149,ROUNDUP(N149/H149,0)))</f>
        <v/>
      </c>
      <c r="P149" s="63">
        <f t="array" ref="P149">IFERROR(INDEX(PRODUCT!$I:$I,MATCH(C149,PRODUCT!$B:$B,0)),"")</f>
        <v/>
      </c>
      <c r="Q149" s="63">
        <f>IF(C149="","",INPUT_SYSTEM!M163)</f>
        <v/>
      </c>
      <c r="R149" s="63">
        <f>IF(P149="","",P149*(1+Q149))</f>
        <v/>
      </c>
      <c r="S149" s="63">
        <f>IF(O149="","",IF(OR(H149="",H149=0),O149*P149,O149*H149*P149))</f>
        <v/>
      </c>
      <c r="T149" s="63">
        <f>IF(O149="","",IF(OR(H149="",H149=0),O149*R149,O149*H149*R149))</f>
        <v/>
      </c>
      <c r="U149" s="62">
        <f>IF(C149="","",INPUT_SYSTEM!C163)</f>
        <v/>
      </c>
      <c r="V149" s="62">
        <f>IF(C149="","",INPUT_SYSTEM!N163)</f>
        <v/>
      </c>
    </row>
    <row r="150" ht="15.75" customHeight="1" s="125">
      <c r="A150" s="62">
        <f>IF(INPUT_SYSTEM!D164="","",INPUT_SYSTEM!A164)</f>
        <v/>
      </c>
      <c r="B150" s="62">
        <f>IF(INPUT_SYSTEM!D164="","",INPUT_SYSTEM!B164)</f>
        <v/>
      </c>
      <c r="C150" s="62">
        <f>IF(INPUT_SYSTEM!D164="","",INPUT_SYSTEM!D164)</f>
        <v/>
      </c>
      <c r="D150" s="62">
        <f>IF(C150="","",INPUT_SYSTEM!E164)</f>
        <v/>
      </c>
      <c r="E150" s="62">
        <f>IF(C150="","",INPUT_SYSTEM!F164)</f>
        <v/>
      </c>
      <c r="F150" s="62">
        <f t="array" ref="F150">IFERROR(INDEX(PRODUCT!$D:$D,MATCH(C150,PRODUCT!$B:$B,0)),"")</f>
        <v/>
      </c>
      <c r="G150" s="62">
        <f t="array" ref="G150">IFERROR(INDEX(PRODUCT!$E:$E,MATCH(C150,PRODUCT!$B:$B,0)),"")</f>
        <v/>
      </c>
      <c r="H150" s="62">
        <f t="array" ref="H150">IFERROR(INDEX(PRODUCT!$F:$F,MATCH(C150,PRODUCT!$B:$B,0)),"")</f>
        <v/>
      </c>
      <c r="I150" s="62">
        <f>IF(C150="","",INPUT_SYSTEM!G164)</f>
        <v/>
      </c>
      <c r="J150" s="62">
        <f>IF(C150="","",INPUT_SYSTEM!H164)</f>
        <v/>
      </c>
      <c r="K150" s="60">
        <f>IF(C150="","",INPUT_SYSTEM!J164)</f>
        <v/>
      </c>
      <c r="L150" s="62">
        <f>IF(C150="","",INPUT_SYSTEM!K164)</f>
        <v/>
      </c>
      <c r="M150" s="62">
        <f>IF(C150="","",INPUT_SYSTEM!L164)</f>
        <v/>
      </c>
      <c r="N150" s="62">
        <f>IF(U150&lt;&gt;"SI","",IF(M150&lt;&gt;"",M150,IFERROR(I150*J150*(1+K150)*L150,"")))</f>
        <v/>
      </c>
      <c r="O150" s="62">
        <f>IF(N150="","",IF(OR(H150="",H150=0),N150,ROUNDUP(N150/H150,0)))</f>
        <v/>
      </c>
      <c r="P150" s="63">
        <f t="array" ref="P150">IFERROR(INDEX(PRODUCT!$I:$I,MATCH(C150,PRODUCT!$B:$B,0)),"")</f>
        <v/>
      </c>
      <c r="Q150" s="63">
        <f>IF(C150="","",INPUT_SYSTEM!M164)</f>
        <v/>
      </c>
      <c r="R150" s="63">
        <f>IF(P150="","",P150*(1+Q150))</f>
        <v/>
      </c>
      <c r="S150" s="63">
        <f>IF(O150="","",IF(OR(H150="",H150=0),O150*P150,O150*H150*P150))</f>
        <v/>
      </c>
      <c r="T150" s="63">
        <f>IF(O150="","",IF(OR(H150="",H150=0),O150*R150,O150*H150*R150))</f>
        <v/>
      </c>
      <c r="U150" s="62">
        <f>IF(C150="","",INPUT_SYSTEM!C164)</f>
        <v/>
      </c>
      <c r="V150" s="62">
        <f>IF(C150="","",INPUT_SYSTEM!N164)</f>
        <v/>
      </c>
    </row>
    <row r="151" ht="15.75" customHeight="1" s="125">
      <c r="A151" s="62">
        <f>IF(INPUT_SYSTEM!D165="","",INPUT_SYSTEM!A165)</f>
        <v/>
      </c>
      <c r="B151" s="62">
        <f>IF(INPUT_SYSTEM!D165="","",INPUT_SYSTEM!B165)</f>
        <v/>
      </c>
      <c r="C151" s="62">
        <f>IF(INPUT_SYSTEM!D165="","",INPUT_SYSTEM!D165)</f>
        <v/>
      </c>
      <c r="D151" s="62">
        <f>IF(C151="","",INPUT_SYSTEM!E165)</f>
        <v/>
      </c>
      <c r="E151" s="62">
        <f>IF(C151="","",INPUT_SYSTEM!F165)</f>
        <v/>
      </c>
      <c r="F151" s="62">
        <f t="array" ref="F151">IFERROR(INDEX(PRODUCT!$D:$D,MATCH(C151,PRODUCT!$B:$B,0)),"")</f>
        <v/>
      </c>
      <c r="G151" s="62">
        <f t="array" ref="G151">IFERROR(INDEX(PRODUCT!$E:$E,MATCH(C151,PRODUCT!$B:$B,0)),"")</f>
        <v/>
      </c>
      <c r="H151" s="62">
        <f t="array" ref="H151">IFERROR(INDEX(PRODUCT!$F:$F,MATCH(C151,PRODUCT!$B:$B,0)),"")</f>
        <v/>
      </c>
      <c r="I151" s="62">
        <f>IF(C151="","",INPUT_SYSTEM!G165)</f>
        <v/>
      </c>
      <c r="J151" s="62">
        <f>IF(C151="","",INPUT_SYSTEM!H165)</f>
        <v/>
      </c>
      <c r="K151" s="60">
        <f>IF(C151="","",INPUT_SYSTEM!J165)</f>
        <v/>
      </c>
      <c r="L151" s="62">
        <f>IF(C151="","",INPUT_SYSTEM!K165)</f>
        <v/>
      </c>
      <c r="M151" s="62">
        <f>IF(C151="","",INPUT_SYSTEM!L165)</f>
        <v/>
      </c>
      <c r="N151" s="62">
        <f>IF(U151&lt;&gt;"SI","",IF(M151&lt;&gt;"",M151,IFERROR(I151*J151*(1+K151)*L151,"")))</f>
        <v/>
      </c>
      <c r="O151" s="62">
        <f>IF(N151="","",IF(OR(H151="",H151=0),N151,ROUNDUP(N151/H151,0)))</f>
        <v/>
      </c>
      <c r="P151" s="63">
        <f t="array" ref="P151">IFERROR(INDEX(PRODUCT!$I:$I,MATCH(C151,PRODUCT!$B:$B,0)),"")</f>
        <v/>
      </c>
      <c r="Q151" s="63">
        <f>IF(C151="","",INPUT_SYSTEM!M165)</f>
        <v/>
      </c>
      <c r="R151" s="63">
        <f>IF(P151="","",P151*(1+Q151))</f>
        <v/>
      </c>
      <c r="S151" s="63">
        <f>IF(O151="","",IF(OR(H151="",H151=0),O151*P151,O151*H151*P151))</f>
        <v/>
      </c>
      <c r="T151" s="63">
        <f>IF(O151="","",IF(OR(H151="",H151=0),O151*R151,O151*H151*R151))</f>
        <v/>
      </c>
      <c r="U151" s="62">
        <f>IF(C151="","",INPUT_SYSTEM!C165)</f>
        <v/>
      </c>
      <c r="V151" s="62">
        <f>IF(C151="","",INPUT_SYSTEM!N165)</f>
        <v/>
      </c>
    </row>
    <row r="152" ht="15.75" customHeight="1" s="125">
      <c r="A152" s="62">
        <f>IF(INPUT_SYSTEM!D166="","",INPUT_SYSTEM!A166)</f>
        <v/>
      </c>
      <c r="B152" s="62">
        <f>IF(INPUT_SYSTEM!D166="","",INPUT_SYSTEM!B166)</f>
        <v/>
      </c>
      <c r="C152" s="62">
        <f>IF(INPUT_SYSTEM!D166="","",INPUT_SYSTEM!D166)</f>
        <v/>
      </c>
      <c r="D152" s="62">
        <f>IF(C152="","",INPUT_SYSTEM!E166)</f>
        <v/>
      </c>
      <c r="E152" s="62">
        <f>IF(C152="","",INPUT_SYSTEM!F166)</f>
        <v/>
      </c>
      <c r="F152" s="62">
        <f t="array" ref="F152">IFERROR(INDEX(PRODUCT!$D:$D,MATCH(C152,PRODUCT!$B:$B,0)),"")</f>
        <v/>
      </c>
      <c r="G152" s="62">
        <f t="array" ref="G152">IFERROR(INDEX(PRODUCT!$E:$E,MATCH(C152,PRODUCT!$B:$B,0)),"")</f>
        <v/>
      </c>
      <c r="H152" s="62">
        <f t="array" ref="H152">IFERROR(INDEX(PRODUCT!$F:$F,MATCH(C152,PRODUCT!$B:$B,0)),"")</f>
        <v/>
      </c>
      <c r="I152" s="62">
        <f>IF(C152="","",INPUT_SYSTEM!G166)</f>
        <v/>
      </c>
      <c r="J152" s="62">
        <f>IF(C152="","",INPUT_SYSTEM!H166)</f>
        <v/>
      </c>
      <c r="K152" s="60">
        <f>IF(C152="","",INPUT_SYSTEM!J166)</f>
        <v/>
      </c>
      <c r="L152" s="62">
        <f>IF(C152="","",INPUT_SYSTEM!K166)</f>
        <v/>
      </c>
      <c r="M152" s="62">
        <f>IF(C152="","",INPUT_SYSTEM!L166)</f>
        <v/>
      </c>
      <c r="N152" s="62">
        <f>IF(U152&lt;&gt;"SI","",IF(M152&lt;&gt;"",M152,IFERROR(I152*J152*(1+K152)*L152,"")))</f>
        <v/>
      </c>
      <c r="O152" s="62">
        <f>IF(N152="","",IF(OR(H152="",H152=0),N152,ROUNDUP(N152/H152,0)))</f>
        <v/>
      </c>
      <c r="P152" s="63">
        <f t="array" ref="P152">IFERROR(INDEX(PRODUCT!$I:$I,MATCH(C152,PRODUCT!$B:$B,0)),"")</f>
        <v/>
      </c>
      <c r="Q152" s="63">
        <f>IF(C152="","",INPUT_SYSTEM!M166)</f>
        <v/>
      </c>
      <c r="R152" s="63">
        <f>IF(P152="","",P152*(1+Q152))</f>
        <v/>
      </c>
      <c r="S152" s="63">
        <f>IF(O152="","",IF(OR(H152="",H152=0),O152*P152,O152*H152*P152))</f>
        <v/>
      </c>
      <c r="T152" s="63">
        <f>IF(O152="","",IF(OR(H152="",H152=0),O152*R152,O152*H152*R152))</f>
        <v/>
      </c>
      <c r="U152" s="62">
        <f>IF(C152="","",INPUT_SYSTEM!C166)</f>
        <v/>
      </c>
      <c r="V152" s="62">
        <f>IF(C152="","",INPUT_SYSTEM!N166)</f>
        <v/>
      </c>
    </row>
    <row r="153" ht="15.75" customHeight="1" s="125">
      <c r="A153" s="62">
        <f>IF(INPUT_SYSTEM!D167="","",INPUT_SYSTEM!A167)</f>
        <v/>
      </c>
      <c r="B153" s="62">
        <f>IF(INPUT_SYSTEM!D167="","",INPUT_SYSTEM!B167)</f>
        <v/>
      </c>
      <c r="C153" s="62">
        <f>IF(INPUT_SYSTEM!D167="","",INPUT_SYSTEM!D167)</f>
        <v/>
      </c>
      <c r="D153" s="62">
        <f>IF(C153="","",INPUT_SYSTEM!E167)</f>
        <v/>
      </c>
      <c r="E153" s="62">
        <f>IF(C153="","",INPUT_SYSTEM!F167)</f>
        <v/>
      </c>
      <c r="F153" s="62">
        <f t="array" ref="F153">IFERROR(INDEX(PRODUCT!$D:$D,MATCH(C153,PRODUCT!$B:$B,0)),"")</f>
        <v/>
      </c>
      <c r="G153" s="62">
        <f t="array" ref="G153">IFERROR(INDEX(PRODUCT!$E:$E,MATCH(C153,PRODUCT!$B:$B,0)),"")</f>
        <v/>
      </c>
      <c r="H153" s="62">
        <f t="array" ref="H153">IFERROR(INDEX(PRODUCT!$F:$F,MATCH(C153,PRODUCT!$B:$B,0)),"")</f>
        <v/>
      </c>
      <c r="I153" s="62">
        <f>IF(C153="","",INPUT_SYSTEM!G167)</f>
        <v/>
      </c>
      <c r="J153" s="62">
        <f>IF(C153="","",INPUT_SYSTEM!H167)</f>
        <v/>
      </c>
      <c r="K153" s="60">
        <f>IF(C153="","",INPUT_SYSTEM!J167)</f>
        <v/>
      </c>
      <c r="L153" s="62">
        <f>IF(C153="","",INPUT_SYSTEM!K167)</f>
        <v/>
      </c>
      <c r="M153" s="62">
        <f>IF(C153="","",INPUT_SYSTEM!L167)</f>
        <v/>
      </c>
      <c r="N153" s="62">
        <f>IF(U153&lt;&gt;"SI","",IF(M153&lt;&gt;"",M153,IFERROR(I153*J153*(1+K153)*L153,"")))</f>
        <v/>
      </c>
      <c r="O153" s="62">
        <f>IF(N153="","",IF(OR(H153="",H153=0),N153,ROUNDUP(N153/H153,0)))</f>
        <v/>
      </c>
      <c r="P153" s="63">
        <f t="array" ref="P153">IFERROR(INDEX(PRODUCT!$I:$I,MATCH(C153,PRODUCT!$B:$B,0)),"")</f>
        <v/>
      </c>
      <c r="Q153" s="63">
        <f>IF(C153="","",INPUT_SYSTEM!M167)</f>
        <v/>
      </c>
      <c r="R153" s="63">
        <f>IF(P153="","",P153*(1+Q153))</f>
        <v/>
      </c>
      <c r="S153" s="63">
        <f>IF(O153="","",IF(OR(H153="",H153=0),O153*P153,O153*H153*P153))</f>
        <v/>
      </c>
      <c r="T153" s="63">
        <f>IF(O153="","",IF(OR(H153="",H153=0),O153*R153,O153*H153*R153))</f>
        <v/>
      </c>
      <c r="U153" s="62">
        <f>IF(C153="","",INPUT_SYSTEM!C167)</f>
        <v/>
      </c>
      <c r="V153" s="62">
        <f>IF(C153="","",INPUT_SYSTEM!N167)</f>
        <v/>
      </c>
    </row>
    <row r="154" ht="15.75" customHeight="1" s="125">
      <c r="A154" s="62">
        <f>IF(INPUT_SYSTEM!D168="","",INPUT_SYSTEM!A168)</f>
        <v/>
      </c>
      <c r="B154" s="62">
        <f>IF(INPUT_SYSTEM!D168="","",INPUT_SYSTEM!B168)</f>
        <v/>
      </c>
      <c r="C154" s="62">
        <f>IF(INPUT_SYSTEM!D168="","",INPUT_SYSTEM!D168)</f>
        <v/>
      </c>
      <c r="D154" s="62">
        <f>IF(C154="","",INPUT_SYSTEM!E168)</f>
        <v/>
      </c>
      <c r="E154" s="62">
        <f>IF(C154="","",INPUT_SYSTEM!F168)</f>
        <v/>
      </c>
      <c r="F154" s="62">
        <f t="array" ref="F154">IFERROR(INDEX(PRODUCT!$D:$D,MATCH(C154,PRODUCT!$B:$B,0)),"")</f>
        <v/>
      </c>
      <c r="G154" s="62">
        <f t="array" ref="G154">IFERROR(INDEX(PRODUCT!$E:$E,MATCH(C154,PRODUCT!$B:$B,0)),"")</f>
        <v/>
      </c>
      <c r="H154" s="62">
        <f t="array" ref="H154">IFERROR(INDEX(PRODUCT!$F:$F,MATCH(C154,PRODUCT!$B:$B,0)),"")</f>
        <v/>
      </c>
      <c r="I154" s="62">
        <f>IF(C154="","",INPUT_SYSTEM!G168)</f>
        <v/>
      </c>
      <c r="J154" s="62">
        <f>IF(C154="","",INPUT_SYSTEM!H168)</f>
        <v/>
      </c>
      <c r="K154" s="60">
        <f>IF(C154="","",INPUT_SYSTEM!J168)</f>
        <v/>
      </c>
      <c r="L154" s="62">
        <f>IF(C154="","",INPUT_SYSTEM!K168)</f>
        <v/>
      </c>
      <c r="M154" s="62">
        <f>IF(C154="","",INPUT_SYSTEM!L168)</f>
        <v/>
      </c>
      <c r="N154" s="62">
        <f>IF(U154&lt;&gt;"SI","",IF(M154&lt;&gt;"",M154,IFERROR(I154*J154*(1+K154)*L154,"")))</f>
        <v/>
      </c>
      <c r="O154" s="62">
        <f>IF(N154="","",IF(OR(H154="",H154=0),N154,ROUNDUP(N154/H154,0)))</f>
        <v/>
      </c>
      <c r="P154" s="63">
        <f t="array" ref="P154">IFERROR(INDEX(PRODUCT!$I:$I,MATCH(C154,PRODUCT!$B:$B,0)),"")</f>
        <v/>
      </c>
      <c r="Q154" s="63">
        <f>IF(C154="","",INPUT_SYSTEM!M168)</f>
        <v/>
      </c>
      <c r="R154" s="63">
        <f>IF(P154="","",P154*(1+Q154))</f>
        <v/>
      </c>
      <c r="S154" s="63">
        <f>IF(O154="","",IF(OR(H154="",H154=0),O154*P154,O154*H154*P154))</f>
        <v/>
      </c>
      <c r="T154" s="63">
        <f>IF(O154="","",IF(OR(H154="",H154=0),O154*R154,O154*H154*R154))</f>
        <v/>
      </c>
      <c r="U154" s="62">
        <f>IF(C154="","",INPUT_SYSTEM!C168)</f>
        <v/>
      </c>
      <c r="V154" s="62">
        <f>IF(C154="","",INPUT_SYSTEM!N168)</f>
        <v/>
      </c>
    </row>
    <row r="155" ht="15.75" customHeight="1" s="125">
      <c r="A155" s="62">
        <f>IF(INPUT_SYSTEM!D169="","",INPUT_SYSTEM!A169)</f>
        <v/>
      </c>
      <c r="B155" s="62">
        <f>IF(INPUT_SYSTEM!D169="","",INPUT_SYSTEM!B169)</f>
        <v/>
      </c>
      <c r="C155" s="62">
        <f>IF(INPUT_SYSTEM!D169="","",INPUT_SYSTEM!D169)</f>
        <v/>
      </c>
      <c r="D155" s="62">
        <f>IF(C155="","",INPUT_SYSTEM!E169)</f>
        <v/>
      </c>
      <c r="E155" s="62">
        <f>IF(C155="","",INPUT_SYSTEM!F169)</f>
        <v/>
      </c>
      <c r="F155" s="62">
        <f t="array" ref="F155">IFERROR(INDEX(PRODUCT!$D:$D,MATCH(C155,PRODUCT!$B:$B,0)),"")</f>
        <v/>
      </c>
      <c r="G155" s="62">
        <f t="array" ref="G155">IFERROR(INDEX(PRODUCT!$E:$E,MATCH(C155,PRODUCT!$B:$B,0)),"")</f>
        <v/>
      </c>
      <c r="H155" s="62">
        <f t="array" ref="H155">IFERROR(INDEX(PRODUCT!$F:$F,MATCH(C155,PRODUCT!$B:$B,0)),"")</f>
        <v/>
      </c>
      <c r="I155" s="62">
        <f>IF(C155="","",INPUT_SYSTEM!G169)</f>
        <v/>
      </c>
      <c r="J155" s="62">
        <f>IF(C155="","",INPUT_SYSTEM!H169)</f>
        <v/>
      </c>
      <c r="K155" s="60">
        <f>IF(C155="","",INPUT_SYSTEM!J169)</f>
        <v/>
      </c>
      <c r="L155" s="62">
        <f>IF(C155="","",INPUT_SYSTEM!K169)</f>
        <v/>
      </c>
      <c r="M155" s="62">
        <f>IF(C155="","",INPUT_SYSTEM!L169)</f>
        <v/>
      </c>
      <c r="N155" s="62">
        <f>IF(U155&lt;&gt;"SI","",IF(M155&lt;&gt;"",M155,IFERROR(I155*J155*(1+K155)*L155,"")))</f>
        <v/>
      </c>
      <c r="O155" s="62">
        <f>IF(N155="","",IF(OR(H155="",H155=0),N155,ROUNDUP(N155/H155,0)))</f>
        <v/>
      </c>
      <c r="P155" s="63">
        <f t="array" ref="P155">IFERROR(INDEX(PRODUCT!$I:$I,MATCH(C155,PRODUCT!$B:$B,0)),"")</f>
        <v/>
      </c>
      <c r="Q155" s="63">
        <f>IF(C155="","",INPUT_SYSTEM!M169)</f>
        <v/>
      </c>
      <c r="R155" s="63">
        <f>IF(P155="","",P155*(1+Q155))</f>
        <v/>
      </c>
      <c r="S155" s="63">
        <f>IF(O155="","",IF(OR(H155="",H155=0),O155*P155,O155*H155*P155))</f>
        <v/>
      </c>
      <c r="T155" s="63">
        <f>IF(O155="","",IF(OR(H155="",H155=0),O155*R155,O155*H155*R155))</f>
        <v/>
      </c>
      <c r="U155" s="62">
        <f>IF(C155="","",INPUT_SYSTEM!C169)</f>
        <v/>
      </c>
      <c r="V155" s="62">
        <f>IF(C155="","",INPUT_SYSTEM!N169)</f>
        <v/>
      </c>
    </row>
    <row r="156" ht="15.75" customHeight="1" s="125">
      <c r="A156" s="62">
        <f>IF(INPUT_SYSTEM!D170="","",INPUT_SYSTEM!A170)</f>
        <v/>
      </c>
      <c r="B156" s="62">
        <f>IF(INPUT_SYSTEM!D170="","",INPUT_SYSTEM!B170)</f>
        <v/>
      </c>
      <c r="C156" s="62">
        <f>IF(INPUT_SYSTEM!D170="","",INPUT_SYSTEM!D170)</f>
        <v/>
      </c>
      <c r="D156" s="62">
        <f>IF(C156="","",INPUT_SYSTEM!E170)</f>
        <v/>
      </c>
      <c r="E156" s="62">
        <f>IF(C156="","",INPUT_SYSTEM!F170)</f>
        <v/>
      </c>
      <c r="F156" s="62">
        <f t="array" ref="F156">IFERROR(INDEX(PRODUCT!$D:$D,MATCH(C156,PRODUCT!$B:$B,0)),"")</f>
        <v/>
      </c>
      <c r="G156" s="62">
        <f t="array" ref="G156">IFERROR(INDEX(PRODUCT!$E:$E,MATCH(C156,PRODUCT!$B:$B,0)),"")</f>
        <v/>
      </c>
      <c r="H156" s="62">
        <f t="array" ref="H156">IFERROR(INDEX(PRODUCT!$F:$F,MATCH(C156,PRODUCT!$B:$B,0)),"")</f>
        <v/>
      </c>
      <c r="I156" s="62">
        <f>IF(C156="","",INPUT_SYSTEM!G170)</f>
        <v/>
      </c>
      <c r="J156" s="62">
        <f>IF(C156="","",INPUT_SYSTEM!H170)</f>
        <v/>
      </c>
      <c r="K156" s="60">
        <f>IF(C156="","",INPUT_SYSTEM!J170)</f>
        <v/>
      </c>
      <c r="L156" s="62">
        <f>IF(C156="","",INPUT_SYSTEM!K170)</f>
        <v/>
      </c>
      <c r="M156" s="62">
        <f>IF(C156="","",INPUT_SYSTEM!L170)</f>
        <v/>
      </c>
      <c r="N156" s="62">
        <f>IF(U156&lt;&gt;"SI","",IF(M156&lt;&gt;"",M156,IFERROR(I156*J156*(1+K156)*L156,"")))</f>
        <v/>
      </c>
      <c r="O156" s="62">
        <f>IF(N156="","",IF(OR(H156="",H156=0),N156,ROUNDUP(N156/H156,0)))</f>
        <v/>
      </c>
      <c r="P156" s="63">
        <f t="array" ref="P156">IFERROR(INDEX(PRODUCT!$I:$I,MATCH(C156,PRODUCT!$B:$B,0)),"")</f>
        <v/>
      </c>
      <c r="Q156" s="63">
        <f>IF(C156="","",INPUT_SYSTEM!M170)</f>
        <v/>
      </c>
      <c r="R156" s="63">
        <f>IF(P156="","",P156*(1+Q156))</f>
        <v/>
      </c>
      <c r="S156" s="63">
        <f>IF(O156="","",IF(OR(H156="",H156=0),O156*P156,O156*H156*P156))</f>
        <v/>
      </c>
      <c r="T156" s="63">
        <f>IF(O156="","",IF(OR(H156="",H156=0),O156*R156,O156*H156*R156))</f>
        <v/>
      </c>
      <c r="U156" s="62">
        <f>IF(C156="","",INPUT_SYSTEM!C170)</f>
        <v/>
      </c>
      <c r="V156" s="62">
        <f>IF(C156="","",INPUT_SYSTEM!N170)</f>
        <v/>
      </c>
    </row>
    <row r="157" ht="15.75" customHeight="1" s="125">
      <c r="A157" s="62">
        <f>IF(INPUT_SYSTEM!D171="","",INPUT_SYSTEM!A171)</f>
        <v/>
      </c>
      <c r="B157" s="62">
        <f>IF(INPUT_SYSTEM!D171="","",INPUT_SYSTEM!B171)</f>
        <v/>
      </c>
      <c r="C157" s="62">
        <f>IF(INPUT_SYSTEM!D171="","",INPUT_SYSTEM!D171)</f>
        <v/>
      </c>
      <c r="D157" s="62">
        <f>IF(C157="","",INPUT_SYSTEM!E171)</f>
        <v/>
      </c>
      <c r="E157" s="62">
        <f>IF(C157="","",INPUT_SYSTEM!F171)</f>
        <v/>
      </c>
      <c r="F157" s="62">
        <f t="array" ref="F157">IFERROR(INDEX(PRODUCT!$D:$D,MATCH(C157,PRODUCT!$B:$B,0)),"")</f>
        <v/>
      </c>
      <c r="G157" s="62">
        <f t="array" ref="G157">IFERROR(INDEX(PRODUCT!$E:$E,MATCH(C157,PRODUCT!$B:$B,0)),"")</f>
        <v/>
      </c>
      <c r="H157" s="62">
        <f t="array" ref="H157">IFERROR(INDEX(PRODUCT!$F:$F,MATCH(C157,PRODUCT!$B:$B,0)),"")</f>
        <v/>
      </c>
      <c r="I157" s="62">
        <f>IF(C157="","",INPUT_SYSTEM!G171)</f>
        <v/>
      </c>
      <c r="J157" s="62">
        <f>IF(C157="","",INPUT_SYSTEM!H171)</f>
        <v/>
      </c>
      <c r="K157" s="60">
        <f>IF(C157="","",INPUT_SYSTEM!J171)</f>
        <v/>
      </c>
      <c r="L157" s="62">
        <f>IF(C157="","",INPUT_SYSTEM!K171)</f>
        <v/>
      </c>
      <c r="M157" s="62">
        <f>IF(C157="","",INPUT_SYSTEM!L171)</f>
        <v/>
      </c>
      <c r="N157" s="62">
        <f>IF(U157&lt;&gt;"SI","",IF(M157&lt;&gt;"",M157,IFERROR(I157*J157*(1+K157)*L157,"")))</f>
        <v/>
      </c>
      <c r="O157" s="62">
        <f>IF(N157="","",IF(OR(H157="",H157=0),N157,ROUNDUP(N157/H157,0)))</f>
        <v/>
      </c>
      <c r="P157" s="63">
        <f t="array" ref="P157">IFERROR(INDEX(PRODUCT!$I:$I,MATCH(C157,PRODUCT!$B:$B,0)),"")</f>
        <v/>
      </c>
      <c r="Q157" s="63">
        <f>IF(C157="","",INPUT_SYSTEM!M171)</f>
        <v/>
      </c>
      <c r="R157" s="63">
        <f>IF(P157="","",P157*(1+Q157))</f>
        <v/>
      </c>
      <c r="S157" s="63">
        <f>IF(O157="","",IF(OR(H157="",H157=0),O157*P157,O157*H157*P157))</f>
        <v/>
      </c>
      <c r="T157" s="63">
        <f>IF(O157="","",IF(OR(H157="",H157=0),O157*R157,O157*H157*R157))</f>
        <v/>
      </c>
      <c r="U157" s="62">
        <f>IF(C157="","",INPUT_SYSTEM!C171)</f>
        <v/>
      </c>
      <c r="V157" s="62">
        <f>IF(C157="","",INPUT_SYSTEM!N171)</f>
        <v/>
      </c>
    </row>
    <row r="158" ht="15.75" customHeight="1" s="125">
      <c r="A158" s="62">
        <f>IF(INPUT_SYSTEM!D172="","",INPUT_SYSTEM!A172)</f>
        <v/>
      </c>
      <c r="B158" s="62">
        <f>IF(INPUT_SYSTEM!D172="","",INPUT_SYSTEM!B172)</f>
        <v/>
      </c>
      <c r="C158" s="62">
        <f>IF(INPUT_SYSTEM!D172="","",INPUT_SYSTEM!D172)</f>
        <v/>
      </c>
      <c r="D158" s="62">
        <f>IF(C158="","",INPUT_SYSTEM!E172)</f>
        <v/>
      </c>
      <c r="E158" s="62">
        <f>IF(C158="","",INPUT_SYSTEM!F172)</f>
        <v/>
      </c>
      <c r="F158" s="62">
        <f t="array" ref="F158">IFERROR(INDEX(PRODUCT!$D:$D,MATCH(C158,PRODUCT!$B:$B,0)),"")</f>
        <v/>
      </c>
      <c r="G158" s="62">
        <f t="array" ref="G158">IFERROR(INDEX(PRODUCT!$E:$E,MATCH(C158,PRODUCT!$B:$B,0)),"")</f>
        <v/>
      </c>
      <c r="H158" s="62">
        <f t="array" ref="H158">IFERROR(INDEX(PRODUCT!$F:$F,MATCH(C158,PRODUCT!$B:$B,0)),"")</f>
        <v/>
      </c>
      <c r="I158" s="62">
        <f>IF(C158="","",INPUT_SYSTEM!G172)</f>
        <v/>
      </c>
      <c r="J158" s="62">
        <f>IF(C158="","",INPUT_SYSTEM!H172)</f>
        <v/>
      </c>
      <c r="K158" s="60">
        <f>IF(C158="","",INPUT_SYSTEM!J172)</f>
        <v/>
      </c>
      <c r="L158" s="62">
        <f>IF(C158="","",INPUT_SYSTEM!K172)</f>
        <v/>
      </c>
      <c r="M158" s="62">
        <f>IF(C158="","",INPUT_SYSTEM!L172)</f>
        <v/>
      </c>
      <c r="N158" s="62">
        <f>IF(U158&lt;&gt;"SI","",IF(M158&lt;&gt;"",M158,IFERROR(I158*J158*(1+K158)*L158,"")))</f>
        <v/>
      </c>
      <c r="O158" s="62">
        <f>IF(N158="","",IF(OR(H158="",H158=0),N158,ROUNDUP(N158/H158,0)))</f>
        <v/>
      </c>
      <c r="P158" s="63">
        <f t="array" ref="P158">IFERROR(INDEX(PRODUCT!$I:$I,MATCH(C158,PRODUCT!$B:$B,0)),"")</f>
        <v/>
      </c>
      <c r="Q158" s="63">
        <f>IF(C158="","",INPUT_SYSTEM!M172)</f>
        <v/>
      </c>
      <c r="R158" s="63">
        <f>IF(P158="","",P158*(1+Q158))</f>
        <v/>
      </c>
      <c r="S158" s="63">
        <f>IF(O158="","",IF(OR(H158="",H158=0),O158*P158,O158*H158*P158))</f>
        <v/>
      </c>
      <c r="T158" s="63">
        <f>IF(O158="","",IF(OR(H158="",H158=0),O158*R158,O158*H158*R158))</f>
        <v/>
      </c>
      <c r="U158" s="62">
        <f>IF(C158="","",INPUT_SYSTEM!C172)</f>
        <v/>
      </c>
      <c r="V158" s="62">
        <f>IF(C158="","",INPUT_SYSTEM!N172)</f>
        <v/>
      </c>
    </row>
    <row r="159" ht="15.75" customHeight="1" s="125">
      <c r="A159" s="62">
        <f>IF(INPUT_SYSTEM!D173="","",INPUT_SYSTEM!A173)</f>
        <v/>
      </c>
      <c r="B159" s="62">
        <f>IF(INPUT_SYSTEM!D173="","",INPUT_SYSTEM!B173)</f>
        <v/>
      </c>
      <c r="C159" s="62">
        <f>IF(INPUT_SYSTEM!D173="","",INPUT_SYSTEM!D173)</f>
        <v/>
      </c>
      <c r="D159" s="62">
        <f>IF(C159="","",INPUT_SYSTEM!E173)</f>
        <v/>
      </c>
      <c r="E159" s="62">
        <f>IF(C159="","",INPUT_SYSTEM!F173)</f>
        <v/>
      </c>
      <c r="F159" s="62">
        <f t="array" ref="F159">IFERROR(INDEX(PRODUCT!$D:$D,MATCH(C159,PRODUCT!$B:$B,0)),"")</f>
        <v/>
      </c>
      <c r="G159" s="62">
        <f t="array" ref="G159">IFERROR(INDEX(PRODUCT!$E:$E,MATCH(C159,PRODUCT!$B:$B,0)),"")</f>
        <v/>
      </c>
      <c r="H159" s="62">
        <f t="array" ref="H159">IFERROR(INDEX(PRODUCT!$F:$F,MATCH(C159,PRODUCT!$B:$B,0)),"")</f>
        <v/>
      </c>
      <c r="I159" s="62">
        <f>IF(C159="","",INPUT_SYSTEM!G173)</f>
        <v/>
      </c>
      <c r="J159" s="62">
        <f>IF(C159="","",INPUT_SYSTEM!H173)</f>
        <v/>
      </c>
      <c r="K159" s="60">
        <f>IF(C159="","",INPUT_SYSTEM!J173)</f>
        <v/>
      </c>
      <c r="L159" s="62">
        <f>IF(C159="","",INPUT_SYSTEM!K173)</f>
        <v/>
      </c>
      <c r="M159" s="62">
        <f>IF(C159="","",INPUT_SYSTEM!L173)</f>
        <v/>
      </c>
      <c r="N159" s="62">
        <f>IF(U159&lt;&gt;"SI","",IF(M159&lt;&gt;"",M159,IFERROR(I159*J159*(1+K159)*L159,"")))</f>
        <v/>
      </c>
      <c r="O159" s="62">
        <f>IF(N159="","",IF(OR(H159="",H159=0),N159,ROUNDUP(N159/H159,0)))</f>
        <v/>
      </c>
      <c r="P159" s="63">
        <f t="array" ref="P159">IFERROR(INDEX(PRODUCT!$I:$I,MATCH(C159,PRODUCT!$B:$B,0)),"")</f>
        <v/>
      </c>
      <c r="Q159" s="63">
        <f>IF(C159="","",INPUT_SYSTEM!M173)</f>
        <v/>
      </c>
      <c r="R159" s="63">
        <f>IF(P159="","",P159*(1+Q159))</f>
        <v/>
      </c>
      <c r="S159" s="63">
        <f>IF(O159="","",IF(OR(H159="",H159=0),O159*P159,O159*H159*P159))</f>
        <v/>
      </c>
      <c r="T159" s="63">
        <f>IF(O159="","",IF(OR(H159="",H159=0),O159*R159,O159*H159*R159))</f>
        <v/>
      </c>
      <c r="U159" s="62">
        <f>IF(C159="","",INPUT_SYSTEM!C173)</f>
        <v/>
      </c>
      <c r="V159" s="62">
        <f>IF(C159="","",INPUT_SYSTEM!N173)</f>
        <v/>
      </c>
    </row>
    <row r="160" ht="15.75" customHeight="1" s="125">
      <c r="A160" s="62">
        <f>IF(INPUT_SYSTEM!D174="","",INPUT_SYSTEM!A174)</f>
        <v/>
      </c>
      <c r="B160" s="62">
        <f>IF(INPUT_SYSTEM!D174="","",INPUT_SYSTEM!B174)</f>
        <v/>
      </c>
      <c r="C160" s="62">
        <f>IF(INPUT_SYSTEM!D174="","",INPUT_SYSTEM!D174)</f>
        <v/>
      </c>
      <c r="D160" s="62">
        <f>IF(C160="","",INPUT_SYSTEM!E174)</f>
        <v/>
      </c>
      <c r="E160" s="62">
        <f>IF(C160="","",INPUT_SYSTEM!F174)</f>
        <v/>
      </c>
      <c r="F160" s="62">
        <f t="array" ref="F160">IFERROR(INDEX(PRODUCT!$D:$D,MATCH(C160,PRODUCT!$B:$B,0)),"")</f>
        <v/>
      </c>
      <c r="G160" s="62">
        <f t="array" ref="G160">IFERROR(INDEX(PRODUCT!$E:$E,MATCH(C160,PRODUCT!$B:$B,0)),"")</f>
        <v/>
      </c>
      <c r="H160" s="62">
        <f t="array" ref="H160">IFERROR(INDEX(PRODUCT!$F:$F,MATCH(C160,PRODUCT!$B:$B,0)),"")</f>
        <v/>
      </c>
      <c r="I160" s="62">
        <f>IF(C160="","",INPUT_SYSTEM!G174)</f>
        <v/>
      </c>
      <c r="J160" s="62">
        <f>IF(C160="","",INPUT_SYSTEM!H174)</f>
        <v/>
      </c>
      <c r="K160" s="60">
        <f>IF(C160="","",INPUT_SYSTEM!J174)</f>
        <v/>
      </c>
      <c r="L160" s="62">
        <f>IF(C160="","",INPUT_SYSTEM!K174)</f>
        <v/>
      </c>
      <c r="M160" s="62">
        <f>IF(C160="","",INPUT_SYSTEM!L174)</f>
        <v/>
      </c>
      <c r="N160" s="62">
        <f>IF(U160&lt;&gt;"SI","",IF(M160&lt;&gt;"",M160,IFERROR(I160*J160*(1+K160)*L160,"")))</f>
        <v/>
      </c>
      <c r="O160" s="62">
        <f>IF(N160="","",IF(OR(H160="",H160=0),N160,ROUNDUP(N160/H160,0)))</f>
        <v/>
      </c>
      <c r="P160" s="63">
        <f t="array" ref="P160">IFERROR(INDEX(PRODUCT!$I:$I,MATCH(C160,PRODUCT!$B:$B,0)),"")</f>
        <v/>
      </c>
      <c r="Q160" s="63">
        <f>IF(C160="","",INPUT_SYSTEM!M174)</f>
        <v/>
      </c>
      <c r="R160" s="63">
        <f>IF(P160="","",P160*(1+Q160))</f>
        <v/>
      </c>
      <c r="S160" s="63">
        <f>IF(O160="","",IF(OR(H160="",H160=0),O160*P160,O160*H160*P160))</f>
        <v/>
      </c>
      <c r="T160" s="63">
        <f>IF(O160="","",IF(OR(H160="",H160=0),O160*R160,O160*H160*R160))</f>
        <v/>
      </c>
      <c r="U160" s="62">
        <f>IF(C160="","",INPUT_SYSTEM!C174)</f>
        <v/>
      </c>
      <c r="V160" s="62">
        <f>IF(C160="","",INPUT_SYSTEM!N174)</f>
        <v/>
      </c>
    </row>
    <row r="161" ht="15.75" customHeight="1" s="125">
      <c r="A161" s="62">
        <f>IF(INPUT_SYSTEM!D175="","",INPUT_SYSTEM!A175)</f>
        <v/>
      </c>
      <c r="B161" s="62">
        <f>IF(INPUT_SYSTEM!D175="","",INPUT_SYSTEM!B175)</f>
        <v/>
      </c>
      <c r="C161" s="62">
        <f>IF(INPUT_SYSTEM!D175="","",INPUT_SYSTEM!D175)</f>
        <v/>
      </c>
      <c r="D161" s="62">
        <f>IF(C161="","",INPUT_SYSTEM!E175)</f>
        <v/>
      </c>
      <c r="E161" s="62">
        <f>IF(C161="","",INPUT_SYSTEM!F175)</f>
        <v/>
      </c>
      <c r="F161" s="62">
        <f t="array" ref="F161">IFERROR(INDEX(PRODUCT!$D:$D,MATCH(C161,PRODUCT!$B:$B,0)),"")</f>
        <v/>
      </c>
      <c r="G161" s="62">
        <f t="array" ref="G161">IFERROR(INDEX(PRODUCT!$E:$E,MATCH(C161,PRODUCT!$B:$B,0)),"")</f>
        <v/>
      </c>
      <c r="H161" s="62">
        <f t="array" ref="H161">IFERROR(INDEX(PRODUCT!$F:$F,MATCH(C161,PRODUCT!$B:$B,0)),"")</f>
        <v/>
      </c>
      <c r="I161" s="62">
        <f>IF(C161="","",INPUT_SYSTEM!G175)</f>
        <v/>
      </c>
      <c r="J161" s="62">
        <f>IF(C161="","",INPUT_SYSTEM!H175)</f>
        <v/>
      </c>
      <c r="K161" s="60">
        <f>IF(C161="","",INPUT_SYSTEM!J175)</f>
        <v/>
      </c>
      <c r="L161" s="62">
        <f>IF(C161="","",INPUT_SYSTEM!K175)</f>
        <v/>
      </c>
      <c r="M161" s="62">
        <f>IF(C161="","",INPUT_SYSTEM!L175)</f>
        <v/>
      </c>
      <c r="N161" s="62">
        <f>IF(U161&lt;&gt;"SI","",IF(M161&lt;&gt;"",M161,IFERROR(I161*J161*(1+K161)*L161,"")))</f>
        <v/>
      </c>
      <c r="O161" s="62">
        <f>IF(N161="","",IF(OR(H161="",H161=0),N161,ROUNDUP(N161/H161,0)))</f>
        <v/>
      </c>
      <c r="P161" s="63">
        <f t="array" ref="P161">IFERROR(INDEX(PRODUCT!$I:$I,MATCH(C161,PRODUCT!$B:$B,0)),"")</f>
        <v/>
      </c>
      <c r="Q161" s="63">
        <f>IF(C161="","",INPUT_SYSTEM!M175)</f>
        <v/>
      </c>
      <c r="R161" s="63">
        <f>IF(P161="","",P161*(1+Q161))</f>
        <v/>
      </c>
      <c r="S161" s="63">
        <f>IF(O161="","",IF(OR(H161="",H161=0),O161*P161,O161*H161*P161))</f>
        <v/>
      </c>
      <c r="T161" s="63">
        <f>IF(O161="","",IF(OR(H161="",H161=0),O161*R161,O161*H161*R161))</f>
        <v/>
      </c>
      <c r="U161" s="62">
        <f>IF(C161="","",INPUT_SYSTEM!C175)</f>
        <v/>
      </c>
      <c r="V161" s="62">
        <f>IF(C161="","",INPUT_SYSTEM!N175)</f>
        <v/>
      </c>
    </row>
    <row r="162" ht="15.75" customHeight="1" s="125">
      <c r="A162" s="62">
        <f>IF(INPUT_SYSTEM!D176="","",INPUT_SYSTEM!A176)</f>
        <v/>
      </c>
      <c r="B162" s="62">
        <f>IF(INPUT_SYSTEM!D176="","",INPUT_SYSTEM!B176)</f>
        <v/>
      </c>
      <c r="C162" s="62">
        <f>IF(INPUT_SYSTEM!D176="","",INPUT_SYSTEM!D176)</f>
        <v/>
      </c>
      <c r="D162" s="62">
        <f>IF(C162="","",INPUT_SYSTEM!E176)</f>
        <v/>
      </c>
      <c r="E162" s="62">
        <f>IF(C162="","",INPUT_SYSTEM!F176)</f>
        <v/>
      </c>
      <c r="F162" s="62">
        <f t="array" ref="F162">IFERROR(INDEX(PRODUCT!$D:$D,MATCH(C162,PRODUCT!$B:$B,0)),"")</f>
        <v/>
      </c>
      <c r="G162" s="62">
        <f t="array" ref="G162">IFERROR(INDEX(PRODUCT!$E:$E,MATCH(C162,PRODUCT!$B:$B,0)),"")</f>
        <v/>
      </c>
      <c r="H162" s="62">
        <f t="array" ref="H162">IFERROR(INDEX(PRODUCT!$F:$F,MATCH(C162,PRODUCT!$B:$B,0)),"")</f>
        <v/>
      </c>
      <c r="I162" s="62">
        <f>IF(C162="","",INPUT_SYSTEM!G176)</f>
        <v/>
      </c>
      <c r="J162" s="62">
        <f>IF(C162="","",INPUT_SYSTEM!H176)</f>
        <v/>
      </c>
      <c r="K162" s="60">
        <f>IF(C162="","",INPUT_SYSTEM!J176)</f>
        <v/>
      </c>
      <c r="L162" s="62">
        <f>IF(C162="","",INPUT_SYSTEM!K176)</f>
        <v/>
      </c>
      <c r="M162" s="62">
        <f>IF(C162="","",INPUT_SYSTEM!L176)</f>
        <v/>
      </c>
      <c r="N162" s="62">
        <f>IF(U162&lt;&gt;"SI","",IF(M162&lt;&gt;"",M162,IFERROR(I162*J162*(1+K162)*L162,"")))</f>
        <v/>
      </c>
      <c r="O162" s="62">
        <f>IF(N162="","",IF(OR(H162="",H162=0),N162,ROUNDUP(N162/H162,0)))</f>
        <v/>
      </c>
      <c r="P162" s="63">
        <f t="array" ref="P162">IFERROR(INDEX(PRODUCT!$I:$I,MATCH(C162,PRODUCT!$B:$B,0)),"")</f>
        <v/>
      </c>
      <c r="Q162" s="63">
        <f>IF(C162="","",INPUT_SYSTEM!M176)</f>
        <v/>
      </c>
      <c r="R162" s="63">
        <f>IF(P162="","",P162*(1+Q162))</f>
        <v/>
      </c>
      <c r="S162" s="63">
        <f>IF(O162="","",IF(OR(H162="",H162=0),O162*P162,O162*H162*P162))</f>
        <v/>
      </c>
      <c r="T162" s="63">
        <f>IF(O162="","",IF(OR(H162="",H162=0),O162*R162,O162*H162*R162))</f>
        <v/>
      </c>
      <c r="U162" s="62">
        <f>IF(C162="","",INPUT_SYSTEM!C176)</f>
        <v/>
      </c>
      <c r="V162" s="62">
        <f>IF(C162="","",INPUT_SYSTEM!N176)</f>
        <v/>
      </c>
    </row>
    <row r="163" ht="15.75" customHeight="1" s="125">
      <c r="A163" s="62">
        <f>IF(INPUT_SYSTEM!D177="","",INPUT_SYSTEM!A177)</f>
        <v/>
      </c>
      <c r="B163" s="62">
        <f>IF(INPUT_SYSTEM!D177="","",INPUT_SYSTEM!B177)</f>
        <v/>
      </c>
      <c r="C163" s="62">
        <f>IF(INPUT_SYSTEM!D177="","",INPUT_SYSTEM!D177)</f>
        <v/>
      </c>
      <c r="D163" s="62">
        <f>IF(C163="","",INPUT_SYSTEM!E177)</f>
        <v/>
      </c>
      <c r="E163" s="62">
        <f>IF(C163="","",INPUT_SYSTEM!F177)</f>
        <v/>
      </c>
      <c r="F163" s="62">
        <f t="array" ref="F163">IFERROR(INDEX(PRODUCT!$D:$D,MATCH(C163,PRODUCT!$B:$B,0)),"")</f>
        <v/>
      </c>
      <c r="G163" s="62">
        <f t="array" ref="G163">IFERROR(INDEX(PRODUCT!$E:$E,MATCH(C163,PRODUCT!$B:$B,0)),"")</f>
        <v/>
      </c>
      <c r="H163" s="62">
        <f t="array" ref="H163">IFERROR(INDEX(PRODUCT!$F:$F,MATCH(C163,PRODUCT!$B:$B,0)),"")</f>
        <v/>
      </c>
      <c r="I163" s="62">
        <f>IF(C163="","",INPUT_SYSTEM!G177)</f>
        <v/>
      </c>
      <c r="J163" s="62">
        <f>IF(C163="","",INPUT_SYSTEM!H177)</f>
        <v/>
      </c>
      <c r="K163" s="60">
        <f>IF(C163="","",INPUT_SYSTEM!J177)</f>
        <v/>
      </c>
      <c r="L163" s="62">
        <f>IF(C163="","",INPUT_SYSTEM!K177)</f>
        <v/>
      </c>
      <c r="M163" s="62">
        <f>IF(C163="","",INPUT_SYSTEM!L177)</f>
        <v/>
      </c>
      <c r="N163" s="62">
        <f>IF(U163&lt;&gt;"SI","",IF(M163&lt;&gt;"",M163,IFERROR(I163*J163*(1+K163)*L163,"")))</f>
        <v/>
      </c>
      <c r="O163" s="62">
        <f>IF(N163="","",IF(OR(H163="",H163=0),N163,ROUNDUP(N163/H163,0)))</f>
        <v/>
      </c>
      <c r="P163" s="63">
        <f t="array" ref="P163">IFERROR(INDEX(PRODUCT!$I:$I,MATCH(C163,PRODUCT!$B:$B,0)),"")</f>
        <v/>
      </c>
      <c r="Q163" s="63">
        <f>IF(C163="","",INPUT_SYSTEM!M177)</f>
        <v/>
      </c>
      <c r="R163" s="63">
        <f>IF(P163="","",P163*(1+Q163))</f>
        <v/>
      </c>
      <c r="S163" s="63">
        <f>IF(O163="","",IF(OR(H163="",H163=0),O163*P163,O163*H163*P163))</f>
        <v/>
      </c>
      <c r="T163" s="63">
        <f>IF(O163="","",IF(OR(H163="",H163=0),O163*R163,O163*H163*R163))</f>
        <v/>
      </c>
      <c r="U163" s="62">
        <f>IF(C163="","",INPUT_SYSTEM!C177)</f>
        <v/>
      </c>
      <c r="V163" s="62">
        <f>IF(C163="","",INPUT_SYSTEM!N177)</f>
        <v/>
      </c>
    </row>
    <row r="164" ht="15.75" customHeight="1" s="125">
      <c r="A164" s="62">
        <f>IF(INPUT_SYSTEM!D178="","",INPUT_SYSTEM!A178)</f>
        <v/>
      </c>
      <c r="B164" s="62">
        <f>IF(INPUT_SYSTEM!D178="","",INPUT_SYSTEM!B178)</f>
        <v/>
      </c>
      <c r="C164" s="62">
        <f>IF(INPUT_SYSTEM!D178="","",INPUT_SYSTEM!D178)</f>
        <v/>
      </c>
      <c r="D164" s="62">
        <f>IF(C164="","",INPUT_SYSTEM!E178)</f>
        <v/>
      </c>
      <c r="E164" s="62">
        <f>IF(C164="","",INPUT_SYSTEM!F178)</f>
        <v/>
      </c>
      <c r="F164" s="62">
        <f t="array" ref="F164">IFERROR(INDEX(PRODUCT!$D:$D,MATCH(C164,PRODUCT!$B:$B,0)),"")</f>
        <v/>
      </c>
      <c r="G164" s="62">
        <f t="array" ref="G164">IFERROR(INDEX(PRODUCT!$E:$E,MATCH(C164,PRODUCT!$B:$B,0)),"")</f>
        <v/>
      </c>
      <c r="H164" s="62">
        <f t="array" ref="H164">IFERROR(INDEX(PRODUCT!$F:$F,MATCH(C164,PRODUCT!$B:$B,0)),"")</f>
        <v/>
      </c>
      <c r="I164" s="62">
        <f>IF(C164="","",INPUT_SYSTEM!G178)</f>
        <v/>
      </c>
      <c r="J164" s="62">
        <f>IF(C164="","",INPUT_SYSTEM!H178)</f>
        <v/>
      </c>
      <c r="K164" s="60">
        <f>IF(C164="","",INPUT_SYSTEM!J178)</f>
        <v/>
      </c>
      <c r="L164" s="62">
        <f>IF(C164="","",INPUT_SYSTEM!K178)</f>
        <v/>
      </c>
      <c r="M164" s="62">
        <f>IF(C164="","",INPUT_SYSTEM!L178)</f>
        <v/>
      </c>
      <c r="N164" s="62">
        <f>IF(U164&lt;&gt;"SI","",IF(M164&lt;&gt;"",M164,IFERROR(I164*J164*(1+K164)*L164,"")))</f>
        <v/>
      </c>
      <c r="O164" s="62">
        <f>IF(N164="","",IF(OR(H164="",H164=0),N164,ROUNDUP(N164/H164,0)))</f>
        <v/>
      </c>
      <c r="P164" s="63">
        <f t="array" ref="P164">IFERROR(INDEX(PRODUCT!$I:$I,MATCH(C164,PRODUCT!$B:$B,0)),"")</f>
        <v/>
      </c>
      <c r="Q164" s="63">
        <f>IF(C164="","",INPUT_SYSTEM!M178)</f>
        <v/>
      </c>
      <c r="R164" s="63">
        <f>IF(P164="","",P164*(1+Q164))</f>
        <v/>
      </c>
      <c r="S164" s="63">
        <f>IF(O164="","",IF(OR(H164="",H164=0),O164*P164,O164*H164*P164))</f>
        <v/>
      </c>
      <c r="T164" s="63">
        <f>IF(O164="","",IF(OR(H164="",H164=0),O164*R164,O164*H164*R164))</f>
        <v/>
      </c>
      <c r="U164" s="62">
        <f>IF(C164="","",INPUT_SYSTEM!C178)</f>
        <v/>
      </c>
      <c r="V164" s="62">
        <f>IF(C164="","",INPUT_SYSTEM!N178)</f>
        <v/>
      </c>
    </row>
    <row r="165" ht="15.75" customHeight="1" s="125">
      <c r="A165" s="62">
        <f>IF(INPUT_SYSTEM!D179="","",INPUT_SYSTEM!A179)</f>
        <v/>
      </c>
      <c r="B165" s="62">
        <f>IF(INPUT_SYSTEM!D179="","",INPUT_SYSTEM!B179)</f>
        <v/>
      </c>
      <c r="C165" s="62">
        <f>IF(INPUT_SYSTEM!D179="","",INPUT_SYSTEM!D179)</f>
        <v/>
      </c>
      <c r="D165" s="62">
        <f>IF(C165="","",INPUT_SYSTEM!E179)</f>
        <v/>
      </c>
      <c r="E165" s="62">
        <f>IF(C165="","",INPUT_SYSTEM!F179)</f>
        <v/>
      </c>
      <c r="F165" s="62">
        <f t="array" ref="F165">IFERROR(INDEX(PRODUCT!$D:$D,MATCH(C165,PRODUCT!$B:$B,0)),"")</f>
        <v/>
      </c>
      <c r="G165" s="62">
        <f t="array" ref="G165">IFERROR(INDEX(PRODUCT!$E:$E,MATCH(C165,PRODUCT!$B:$B,0)),"")</f>
        <v/>
      </c>
      <c r="H165" s="62">
        <f t="array" ref="H165">IFERROR(INDEX(PRODUCT!$F:$F,MATCH(C165,PRODUCT!$B:$B,0)),"")</f>
        <v/>
      </c>
      <c r="I165" s="62">
        <f>IF(C165="","",INPUT_SYSTEM!G179)</f>
        <v/>
      </c>
      <c r="J165" s="62">
        <f>IF(C165="","",INPUT_SYSTEM!H179)</f>
        <v/>
      </c>
      <c r="K165" s="60">
        <f>IF(C165="","",INPUT_SYSTEM!J179)</f>
        <v/>
      </c>
      <c r="L165" s="62">
        <f>IF(C165="","",INPUT_SYSTEM!K179)</f>
        <v/>
      </c>
      <c r="M165" s="62">
        <f>IF(C165="","",INPUT_SYSTEM!L179)</f>
        <v/>
      </c>
      <c r="N165" s="62">
        <f>IF(U165&lt;&gt;"SI","",IF(M165&lt;&gt;"",M165,IFERROR(I165*J165*(1+K165)*L165,"")))</f>
        <v/>
      </c>
      <c r="O165" s="62">
        <f>IF(N165="","",IF(OR(H165="",H165=0),N165,ROUNDUP(N165/H165,0)))</f>
        <v/>
      </c>
      <c r="P165" s="63">
        <f t="array" ref="P165">IFERROR(INDEX(PRODUCT!$I:$I,MATCH(C165,PRODUCT!$B:$B,0)),"")</f>
        <v/>
      </c>
      <c r="Q165" s="63">
        <f>IF(C165="","",INPUT_SYSTEM!M179)</f>
        <v/>
      </c>
      <c r="R165" s="63">
        <f>IF(P165="","",P165*(1+Q165))</f>
        <v/>
      </c>
      <c r="S165" s="63">
        <f>IF(O165="","",IF(OR(H165="",H165=0),O165*P165,O165*H165*P165))</f>
        <v/>
      </c>
      <c r="T165" s="63">
        <f>IF(O165="","",IF(OR(H165="",H165=0),O165*R165,O165*H165*R165))</f>
        <v/>
      </c>
      <c r="U165" s="62">
        <f>IF(C165="","",INPUT_SYSTEM!C179)</f>
        <v/>
      </c>
      <c r="V165" s="62">
        <f>IF(C165="","",INPUT_SYSTEM!N179)</f>
        <v/>
      </c>
    </row>
    <row r="166" ht="15.75" customHeight="1" s="125">
      <c r="A166" s="62">
        <f>IF(INPUT_SYSTEM!D180="","",INPUT_SYSTEM!A180)</f>
        <v/>
      </c>
      <c r="B166" s="62">
        <f>IF(INPUT_SYSTEM!D180="","",INPUT_SYSTEM!B180)</f>
        <v/>
      </c>
      <c r="C166" s="62">
        <f>IF(INPUT_SYSTEM!D180="","",INPUT_SYSTEM!D180)</f>
        <v/>
      </c>
      <c r="D166" s="62">
        <f>IF(C166="","",INPUT_SYSTEM!E180)</f>
        <v/>
      </c>
      <c r="E166" s="62">
        <f>IF(C166="","",INPUT_SYSTEM!F180)</f>
        <v/>
      </c>
      <c r="F166" s="62">
        <f t="array" ref="F166">IFERROR(INDEX(PRODUCT!$D:$D,MATCH(C166,PRODUCT!$B:$B,0)),"")</f>
        <v/>
      </c>
      <c r="G166" s="62">
        <f t="array" ref="G166">IFERROR(INDEX(PRODUCT!$E:$E,MATCH(C166,PRODUCT!$B:$B,0)),"")</f>
        <v/>
      </c>
      <c r="H166" s="62">
        <f t="array" ref="H166">IFERROR(INDEX(PRODUCT!$F:$F,MATCH(C166,PRODUCT!$B:$B,0)),"")</f>
        <v/>
      </c>
      <c r="I166" s="62">
        <f>IF(C166="","",INPUT_SYSTEM!G180)</f>
        <v/>
      </c>
      <c r="J166" s="62">
        <f>IF(C166="","",INPUT_SYSTEM!H180)</f>
        <v/>
      </c>
      <c r="K166" s="60">
        <f>IF(C166="","",INPUT_SYSTEM!J180)</f>
        <v/>
      </c>
      <c r="L166" s="62">
        <f>IF(C166="","",INPUT_SYSTEM!K180)</f>
        <v/>
      </c>
      <c r="M166" s="62">
        <f>IF(C166="","",INPUT_SYSTEM!L180)</f>
        <v/>
      </c>
      <c r="N166" s="62">
        <f>IF(U166&lt;&gt;"SI","",IF(M166&lt;&gt;"",M166,IFERROR(I166*J166*(1+K166)*L166,"")))</f>
        <v/>
      </c>
      <c r="O166" s="62">
        <f>IF(N166="","",IF(OR(H166="",H166=0),N166,ROUNDUP(N166/H166,0)))</f>
        <v/>
      </c>
      <c r="P166" s="63">
        <f t="array" ref="P166">IFERROR(INDEX(PRODUCT!$I:$I,MATCH(C166,PRODUCT!$B:$B,0)),"")</f>
        <v/>
      </c>
      <c r="Q166" s="63">
        <f>IF(C166="","",INPUT_SYSTEM!M180)</f>
        <v/>
      </c>
      <c r="R166" s="63">
        <f>IF(P166="","",P166*(1+Q166))</f>
        <v/>
      </c>
      <c r="S166" s="63">
        <f>IF(O166="","",IF(OR(H166="",H166=0),O166*P166,O166*H166*P166))</f>
        <v/>
      </c>
      <c r="T166" s="63">
        <f>IF(O166="","",IF(OR(H166="",H166=0),O166*R166,O166*H166*R166))</f>
        <v/>
      </c>
      <c r="U166" s="62">
        <f>IF(C166="","",INPUT_SYSTEM!C180)</f>
        <v/>
      </c>
      <c r="V166" s="62">
        <f>IF(C166="","",INPUT_SYSTEM!N180)</f>
        <v/>
      </c>
    </row>
    <row r="167" ht="15.75" customHeight="1" s="125">
      <c r="A167" s="62">
        <f>IF(INPUT_SYSTEM!D181="","",INPUT_SYSTEM!A181)</f>
        <v/>
      </c>
      <c r="B167" s="62">
        <f>IF(INPUT_SYSTEM!D181="","",INPUT_SYSTEM!B181)</f>
        <v/>
      </c>
      <c r="C167" s="62">
        <f>IF(INPUT_SYSTEM!D181="","",INPUT_SYSTEM!D181)</f>
        <v/>
      </c>
      <c r="D167" s="62">
        <f>IF(C167="","",INPUT_SYSTEM!E181)</f>
        <v/>
      </c>
      <c r="E167" s="62">
        <f>IF(C167="","",INPUT_SYSTEM!F181)</f>
        <v/>
      </c>
      <c r="F167" s="62">
        <f t="array" ref="F167">IFERROR(INDEX(PRODUCT!$D:$D,MATCH(C167,PRODUCT!$B:$B,0)),"")</f>
        <v/>
      </c>
      <c r="G167" s="62">
        <f t="array" ref="G167">IFERROR(INDEX(PRODUCT!$E:$E,MATCH(C167,PRODUCT!$B:$B,0)),"")</f>
        <v/>
      </c>
      <c r="H167" s="62">
        <f t="array" ref="H167">IFERROR(INDEX(PRODUCT!$F:$F,MATCH(C167,PRODUCT!$B:$B,0)),"")</f>
        <v/>
      </c>
      <c r="I167" s="62">
        <f>IF(C167="","",INPUT_SYSTEM!G181)</f>
        <v/>
      </c>
      <c r="J167" s="62">
        <f>IF(C167="","",INPUT_SYSTEM!H181)</f>
        <v/>
      </c>
      <c r="K167" s="60">
        <f>IF(C167="","",INPUT_SYSTEM!J181)</f>
        <v/>
      </c>
      <c r="L167" s="62">
        <f>IF(C167="","",INPUT_SYSTEM!K181)</f>
        <v/>
      </c>
      <c r="M167" s="62">
        <f>IF(C167="","",INPUT_SYSTEM!L181)</f>
        <v/>
      </c>
      <c r="N167" s="62">
        <f>IF(U167&lt;&gt;"SI","",IF(M167&lt;&gt;"",M167,IFERROR(I167*J167*(1+K167)*L167,"")))</f>
        <v/>
      </c>
      <c r="O167" s="62">
        <f>IF(N167="","",IF(OR(H167="",H167=0),N167,ROUNDUP(N167/H167,0)))</f>
        <v/>
      </c>
      <c r="P167" s="63">
        <f t="array" ref="P167">IFERROR(INDEX(PRODUCT!$I:$I,MATCH(C167,PRODUCT!$B:$B,0)),"")</f>
        <v/>
      </c>
      <c r="Q167" s="63">
        <f>IF(C167="","",INPUT_SYSTEM!M181)</f>
        <v/>
      </c>
      <c r="R167" s="63">
        <f>IF(P167="","",P167*(1+Q167))</f>
        <v/>
      </c>
      <c r="S167" s="63">
        <f>IF(O167="","",IF(OR(H167="",H167=0),O167*P167,O167*H167*P167))</f>
        <v/>
      </c>
      <c r="T167" s="63">
        <f>IF(O167="","",IF(OR(H167="",H167=0),O167*R167,O167*H167*R167))</f>
        <v/>
      </c>
      <c r="U167" s="62">
        <f>IF(C167="","",INPUT_SYSTEM!C181)</f>
        <v/>
      </c>
      <c r="V167" s="62">
        <f>IF(C167="","",INPUT_SYSTEM!N181)</f>
        <v/>
      </c>
    </row>
    <row r="168" ht="15.75" customHeight="1" s="125">
      <c r="A168" s="62">
        <f>IF(INPUT_SYSTEM!D182="","",INPUT_SYSTEM!A182)</f>
        <v/>
      </c>
      <c r="B168" s="62">
        <f>IF(INPUT_SYSTEM!D182="","",INPUT_SYSTEM!B182)</f>
        <v/>
      </c>
      <c r="C168" s="62">
        <f>IF(INPUT_SYSTEM!D182="","",INPUT_SYSTEM!D182)</f>
        <v/>
      </c>
      <c r="D168" s="62">
        <f>IF(C168="","",INPUT_SYSTEM!E182)</f>
        <v/>
      </c>
      <c r="E168" s="62">
        <f>IF(C168="","",INPUT_SYSTEM!F182)</f>
        <v/>
      </c>
      <c r="F168" s="62">
        <f t="array" ref="F168">IFERROR(INDEX(PRODUCT!$D:$D,MATCH(C168,PRODUCT!$B:$B,0)),"")</f>
        <v/>
      </c>
      <c r="G168" s="62">
        <f t="array" ref="G168">IFERROR(INDEX(PRODUCT!$E:$E,MATCH(C168,PRODUCT!$B:$B,0)),"")</f>
        <v/>
      </c>
      <c r="H168" s="62">
        <f t="array" ref="H168">IFERROR(INDEX(PRODUCT!$F:$F,MATCH(C168,PRODUCT!$B:$B,0)),"")</f>
        <v/>
      </c>
      <c r="I168" s="62">
        <f>IF(C168="","",INPUT_SYSTEM!G182)</f>
        <v/>
      </c>
      <c r="J168" s="62">
        <f>IF(C168="","",INPUT_SYSTEM!H182)</f>
        <v/>
      </c>
      <c r="K168" s="60">
        <f>IF(C168="","",INPUT_SYSTEM!J182)</f>
        <v/>
      </c>
      <c r="L168" s="62">
        <f>IF(C168="","",INPUT_SYSTEM!K182)</f>
        <v/>
      </c>
      <c r="M168" s="62">
        <f>IF(C168="","",INPUT_SYSTEM!L182)</f>
        <v/>
      </c>
      <c r="N168" s="62">
        <f>IF(U168&lt;&gt;"SI","",IF(M168&lt;&gt;"",M168,IFERROR(I168*J168*(1+K168)*L168,"")))</f>
        <v/>
      </c>
      <c r="O168" s="62">
        <f>IF(N168="","",IF(OR(H168="",H168=0),N168,ROUNDUP(N168/H168,0)))</f>
        <v/>
      </c>
      <c r="P168" s="63">
        <f t="array" ref="P168">IFERROR(INDEX(PRODUCT!$I:$I,MATCH(C168,PRODUCT!$B:$B,0)),"")</f>
        <v/>
      </c>
      <c r="Q168" s="63">
        <f>IF(C168="","",INPUT_SYSTEM!M182)</f>
        <v/>
      </c>
      <c r="R168" s="63">
        <f>IF(P168="","",P168*(1+Q168))</f>
        <v/>
      </c>
      <c r="S168" s="63">
        <f>IF(O168="","",IF(OR(H168="",H168=0),O168*P168,O168*H168*P168))</f>
        <v/>
      </c>
      <c r="T168" s="63">
        <f>IF(O168="","",IF(OR(H168="",H168=0),O168*R168,O168*H168*R168))</f>
        <v/>
      </c>
      <c r="U168" s="62">
        <f>IF(C168="","",INPUT_SYSTEM!C182)</f>
        <v/>
      </c>
      <c r="V168" s="62">
        <f>IF(C168="","",INPUT_SYSTEM!N182)</f>
        <v/>
      </c>
    </row>
    <row r="169" ht="15.75" customHeight="1" s="125">
      <c r="A169" s="62">
        <f>IF(INPUT_SYSTEM!D183="","",INPUT_SYSTEM!A183)</f>
        <v/>
      </c>
      <c r="B169" s="62">
        <f>IF(INPUT_SYSTEM!D183="","",INPUT_SYSTEM!B183)</f>
        <v/>
      </c>
      <c r="C169" s="62">
        <f>IF(INPUT_SYSTEM!D183="","",INPUT_SYSTEM!D183)</f>
        <v/>
      </c>
      <c r="D169" s="62">
        <f>IF(C169="","",INPUT_SYSTEM!E183)</f>
        <v/>
      </c>
      <c r="E169" s="62">
        <f>IF(C169="","",INPUT_SYSTEM!F183)</f>
        <v/>
      </c>
      <c r="F169" s="62">
        <f t="array" ref="F169">IFERROR(INDEX(PRODUCT!$D:$D,MATCH(C169,PRODUCT!$B:$B,0)),"")</f>
        <v/>
      </c>
      <c r="G169" s="62">
        <f t="array" ref="G169">IFERROR(INDEX(PRODUCT!$E:$E,MATCH(C169,PRODUCT!$B:$B,0)),"")</f>
        <v/>
      </c>
      <c r="H169" s="62">
        <f t="array" ref="H169">IFERROR(INDEX(PRODUCT!$F:$F,MATCH(C169,PRODUCT!$B:$B,0)),"")</f>
        <v/>
      </c>
      <c r="I169" s="62">
        <f>IF(C169="","",INPUT_SYSTEM!G183)</f>
        <v/>
      </c>
      <c r="J169" s="62">
        <f>IF(C169="","",INPUT_SYSTEM!H183)</f>
        <v/>
      </c>
      <c r="K169" s="60">
        <f>IF(C169="","",INPUT_SYSTEM!J183)</f>
        <v/>
      </c>
      <c r="L169" s="62">
        <f>IF(C169="","",INPUT_SYSTEM!K183)</f>
        <v/>
      </c>
      <c r="M169" s="62">
        <f>IF(C169="","",INPUT_SYSTEM!L183)</f>
        <v/>
      </c>
      <c r="N169" s="62">
        <f>IF(U169&lt;&gt;"SI","",IF(M169&lt;&gt;"",M169,IFERROR(I169*J169*(1+K169)*L169,"")))</f>
        <v/>
      </c>
      <c r="O169" s="62">
        <f>IF(N169="","",IF(OR(H169="",H169=0),N169,ROUNDUP(N169/H169,0)))</f>
        <v/>
      </c>
      <c r="P169" s="63">
        <f t="array" ref="P169">IFERROR(INDEX(PRODUCT!$I:$I,MATCH(C169,PRODUCT!$B:$B,0)),"")</f>
        <v/>
      </c>
      <c r="Q169" s="63">
        <f>IF(C169="","",INPUT_SYSTEM!M183)</f>
        <v/>
      </c>
      <c r="R169" s="63">
        <f>IF(P169="","",P169*(1+Q169))</f>
        <v/>
      </c>
      <c r="S169" s="63">
        <f>IF(O169="","",IF(OR(H169="",H169=0),O169*P169,O169*H169*P169))</f>
        <v/>
      </c>
      <c r="T169" s="63">
        <f>IF(O169="","",IF(OR(H169="",H169=0),O169*R169,O169*H169*R169))</f>
        <v/>
      </c>
      <c r="U169" s="62">
        <f>IF(C169="","",INPUT_SYSTEM!C183)</f>
        <v/>
      </c>
      <c r="V169" s="62">
        <f>IF(C169="","",INPUT_SYSTEM!N183)</f>
        <v/>
      </c>
    </row>
    <row r="170" ht="15.75" customHeight="1" s="125">
      <c r="A170" s="62">
        <f>IF(INPUT_SYSTEM!D184="","",INPUT_SYSTEM!A184)</f>
        <v/>
      </c>
      <c r="B170" s="62">
        <f>IF(INPUT_SYSTEM!D184="","",INPUT_SYSTEM!B184)</f>
        <v/>
      </c>
      <c r="C170" s="62">
        <f>IF(INPUT_SYSTEM!D184="","",INPUT_SYSTEM!D184)</f>
        <v/>
      </c>
      <c r="D170" s="62">
        <f>IF(C170="","",INPUT_SYSTEM!E184)</f>
        <v/>
      </c>
      <c r="E170" s="62">
        <f>IF(C170="","",INPUT_SYSTEM!F184)</f>
        <v/>
      </c>
      <c r="F170" s="62">
        <f t="array" ref="F170">IFERROR(INDEX(PRODUCT!$D:$D,MATCH(C170,PRODUCT!$B:$B,0)),"")</f>
        <v/>
      </c>
      <c r="G170" s="62">
        <f t="array" ref="G170">IFERROR(INDEX(PRODUCT!$E:$E,MATCH(C170,PRODUCT!$B:$B,0)),"")</f>
        <v/>
      </c>
      <c r="H170" s="62">
        <f t="array" ref="H170">IFERROR(INDEX(PRODUCT!$F:$F,MATCH(C170,PRODUCT!$B:$B,0)),"")</f>
        <v/>
      </c>
      <c r="I170" s="62">
        <f>IF(C170="","",INPUT_SYSTEM!G184)</f>
        <v/>
      </c>
      <c r="J170" s="62">
        <f>IF(C170="","",INPUT_SYSTEM!H184)</f>
        <v/>
      </c>
      <c r="K170" s="60">
        <f>IF(C170="","",INPUT_SYSTEM!J184)</f>
        <v/>
      </c>
      <c r="L170" s="62">
        <f>IF(C170="","",INPUT_SYSTEM!K184)</f>
        <v/>
      </c>
      <c r="M170" s="62">
        <f>IF(C170="","",INPUT_SYSTEM!L184)</f>
        <v/>
      </c>
      <c r="N170" s="62">
        <f>IF(U170&lt;&gt;"SI","",IF(M170&lt;&gt;"",M170,IFERROR(I170*J170*(1+K170)*L170,"")))</f>
        <v/>
      </c>
      <c r="O170" s="62">
        <f>IF(N170="","",IF(OR(H170="",H170=0),N170,ROUNDUP(N170/H170,0)))</f>
        <v/>
      </c>
      <c r="P170" s="63">
        <f t="array" ref="P170">IFERROR(INDEX(PRODUCT!$I:$I,MATCH(C170,PRODUCT!$B:$B,0)),"")</f>
        <v/>
      </c>
      <c r="Q170" s="63">
        <f>IF(C170="","",INPUT_SYSTEM!M184)</f>
        <v/>
      </c>
      <c r="R170" s="63">
        <f>IF(P170="","",P170*(1+Q170))</f>
        <v/>
      </c>
      <c r="S170" s="63">
        <f>IF(O170="","",IF(OR(H170="",H170=0),O170*P170,O170*H170*P170))</f>
        <v/>
      </c>
      <c r="T170" s="63">
        <f>IF(O170="","",IF(OR(H170="",H170=0),O170*R170,O170*H170*R170))</f>
        <v/>
      </c>
      <c r="U170" s="62">
        <f>IF(C170="","",INPUT_SYSTEM!C184)</f>
        <v/>
      </c>
      <c r="V170" s="62">
        <f>IF(C170="","",INPUT_SYSTEM!N184)</f>
        <v/>
      </c>
    </row>
    <row r="171" ht="15.75" customHeight="1" s="125">
      <c r="A171" s="62">
        <f>IF(INPUT_SYSTEM!D185="","",INPUT_SYSTEM!A185)</f>
        <v/>
      </c>
      <c r="B171" s="62">
        <f>IF(INPUT_SYSTEM!D185="","",INPUT_SYSTEM!B185)</f>
        <v/>
      </c>
      <c r="C171" s="62">
        <f>IF(INPUT_SYSTEM!D185="","",INPUT_SYSTEM!D185)</f>
        <v/>
      </c>
      <c r="D171" s="62">
        <f>IF(C171="","",INPUT_SYSTEM!E185)</f>
        <v/>
      </c>
      <c r="E171" s="62">
        <f>IF(C171="","",INPUT_SYSTEM!F185)</f>
        <v/>
      </c>
      <c r="F171" s="62">
        <f t="array" ref="F171">IFERROR(INDEX(PRODUCT!$D:$D,MATCH(C171,PRODUCT!$B:$B,0)),"")</f>
        <v/>
      </c>
      <c r="G171" s="62">
        <f t="array" ref="G171">IFERROR(INDEX(PRODUCT!$E:$E,MATCH(C171,PRODUCT!$B:$B,0)),"")</f>
        <v/>
      </c>
      <c r="H171" s="62">
        <f t="array" ref="H171">IFERROR(INDEX(PRODUCT!$F:$F,MATCH(C171,PRODUCT!$B:$B,0)),"")</f>
        <v/>
      </c>
      <c r="I171" s="62">
        <f>IF(C171="","",INPUT_SYSTEM!G185)</f>
        <v/>
      </c>
      <c r="J171" s="62">
        <f>IF(C171="","",INPUT_SYSTEM!H185)</f>
        <v/>
      </c>
      <c r="K171" s="60">
        <f>IF(C171="","",INPUT_SYSTEM!J185)</f>
        <v/>
      </c>
      <c r="L171" s="62">
        <f>IF(C171="","",INPUT_SYSTEM!K185)</f>
        <v/>
      </c>
      <c r="M171" s="62">
        <f>IF(C171="","",INPUT_SYSTEM!L185)</f>
        <v/>
      </c>
      <c r="N171" s="62">
        <f>IF(U171&lt;&gt;"SI","",IF(M171&lt;&gt;"",M171,IFERROR(I171*J171*(1+K171)*L171,"")))</f>
        <v/>
      </c>
      <c r="O171" s="62">
        <f>IF(N171="","",IF(OR(H171="",H171=0),N171,ROUNDUP(N171/H171,0)))</f>
        <v/>
      </c>
      <c r="P171" s="63">
        <f t="array" ref="P171">IFERROR(INDEX(PRODUCT!$I:$I,MATCH(C171,PRODUCT!$B:$B,0)),"")</f>
        <v/>
      </c>
      <c r="Q171" s="63">
        <f>IF(C171="","",INPUT_SYSTEM!M185)</f>
        <v/>
      </c>
      <c r="R171" s="63">
        <f>IF(P171="","",P171*(1+Q171))</f>
        <v/>
      </c>
      <c r="S171" s="63">
        <f>IF(O171="","",IF(OR(H171="",H171=0),O171*P171,O171*H171*P171))</f>
        <v/>
      </c>
      <c r="T171" s="63">
        <f>IF(O171="","",IF(OR(H171="",H171=0),O171*R171,O171*H171*R171))</f>
        <v/>
      </c>
      <c r="U171" s="62">
        <f>IF(C171="","",INPUT_SYSTEM!C185)</f>
        <v/>
      </c>
      <c r="V171" s="62">
        <f>IF(C171="","",INPUT_SYSTEM!N185)</f>
        <v/>
      </c>
    </row>
    <row r="172" ht="15.75" customHeight="1" s="125">
      <c r="A172" s="62">
        <f>IF(INPUT_SYSTEM!D186="","",INPUT_SYSTEM!A186)</f>
        <v/>
      </c>
      <c r="B172" s="62">
        <f>IF(INPUT_SYSTEM!D186="","",INPUT_SYSTEM!B186)</f>
        <v/>
      </c>
      <c r="C172" s="62">
        <f>IF(INPUT_SYSTEM!D186="","",INPUT_SYSTEM!D186)</f>
        <v/>
      </c>
      <c r="D172" s="62">
        <f>IF(C172="","",INPUT_SYSTEM!E186)</f>
        <v/>
      </c>
      <c r="E172" s="62">
        <f>IF(C172="","",INPUT_SYSTEM!F186)</f>
        <v/>
      </c>
      <c r="F172" s="62">
        <f t="array" ref="F172">IFERROR(INDEX(PRODUCT!$D:$D,MATCH(C172,PRODUCT!$B:$B,0)),"")</f>
        <v/>
      </c>
      <c r="G172" s="62">
        <f t="array" ref="G172">IFERROR(INDEX(PRODUCT!$E:$E,MATCH(C172,PRODUCT!$B:$B,0)),"")</f>
        <v/>
      </c>
      <c r="H172" s="62">
        <f t="array" ref="H172">IFERROR(INDEX(PRODUCT!$F:$F,MATCH(C172,PRODUCT!$B:$B,0)),"")</f>
        <v/>
      </c>
      <c r="I172" s="62">
        <f>IF(C172="","",INPUT_SYSTEM!G186)</f>
        <v/>
      </c>
      <c r="J172" s="62">
        <f>IF(C172="","",INPUT_SYSTEM!H186)</f>
        <v/>
      </c>
      <c r="K172" s="60">
        <f>IF(C172="","",INPUT_SYSTEM!J186)</f>
        <v/>
      </c>
      <c r="L172" s="62">
        <f>IF(C172="","",INPUT_SYSTEM!K186)</f>
        <v/>
      </c>
      <c r="M172" s="62">
        <f>IF(C172="","",INPUT_SYSTEM!L186)</f>
        <v/>
      </c>
      <c r="N172" s="62">
        <f>IF(U172&lt;&gt;"SI","",IF(M172&lt;&gt;"",M172,IFERROR(I172*J172*(1+K172)*L172,"")))</f>
        <v/>
      </c>
      <c r="O172" s="62">
        <f>IF(N172="","",IF(OR(H172="",H172=0),N172,ROUNDUP(N172/H172,0)))</f>
        <v/>
      </c>
      <c r="P172" s="63">
        <f t="array" ref="P172">IFERROR(INDEX(PRODUCT!$I:$I,MATCH(C172,PRODUCT!$B:$B,0)),"")</f>
        <v/>
      </c>
      <c r="Q172" s="63">
        <f>IF(C172="","",INPUT_SYSTEM!M186)</f>
        <v/>
      </c>
      <c r="R172" s="63">
        <f>IF(P172="","",P172*(1+Q172))</f>
        <v/>
      </c>
      <c r="S172" s="63">
        <f>IF(O172="","",IF(OR(H172="",H172=0),O172*P172,O172*H172*P172))</f>
        <v/>
      </c>
      <c r="T172" s="63">
        <f>IF(O172="","",IF(OR(H172="",H172=0),O172*R172,O172*H172*R172))</f>
        <v/>
      </c>
      <c r="U172" s="62">
        <f>IF(C172="","",INPUT_SYSTEM!C186)</f>
        <v/>
      </c>
      <c r="V172" s="62">
        <f>IF(C172="","",INPUT_SYSTEM!N186)</f>
        <v/>
      </c>
    </row>
    <row r="173" ht="15.75" customHeight="1" s="125">
      <c r="A173" s="62">
        <f>IF(INPUT_SYSTEM!D187="","",INPUT_SYSTEM!A187)</f>
        <v/>
      </c>
      <c r="B173" s="62">
        <f>IF(INPUT_SYSTEM!D187="","",INPUT_SYSTEM!B187)</f>
        <v/>
      </c>
      <c r="C173" s="62">
        <f>IF(INPUT_SYSTEM!D187="","",INPUT_SYSTEM!D187)</f>
        <v/>
      </c>
      <c r="D173" s="62">
        <f>IF(C173="","",INPUT_SYSTEM!E187)</f>
        <v/>
      </c>
      <c r="E173" s="62">
        <f>IF(C173="","",INPUT_SYSTEM!F187)</f>
        <v/>
      </c>
      <c r="F173" s="62">
        <f t="array" ref="F173">IFERROR(INDEX(PRODUCT!$D:$D,MATCH(C173,PRODUCT!$B:$B,0)),"")</f>
        <v/>
      </c>
      <c r="G173" s="62">
        <f t="array" ref="G173">IFERROR(INDEX(PRODUCT!$E:$E,MATCH(C173,PRODUCT!$B:$B,0)),"")</f>
        <v/>
      </c>
      <c r="H173" s="62">
        <f t="array" ref="H173">IFERROR(INDEX(PRODUCT!$F:$F,MATCH(C173,PRODUCT!$B:$B,0)),"")</f>
        <v/>
      </c>
      <c r="I173" s="62">
        <f>IF(C173="","",INPUT_SYSTEM!G187)</f>
        <v/>
      </c>
      <c r="J173" s="62">
        <f>IF(C173="","",INPUT_SYSTEM!H187)</f>
        <v/>
      </c>
      <c r="K173" s="60">
        <f>IF(C173="","",INPUT_SYSTEM!J187)</f>
        <v/>
      </c>
      <c r="L173" s="62">
        <f>IF(C173="","",INPUT_SYSTEM!K187)</f>
        <v/>
      </c>
      <c r="M173" s="62">
        <f>IF(C173="","",INPUT_SYSTEM!L187)</f>
        <v/>
      </c>
      <c r="N173" s="62">
        <f>IF(U173&lt;&gt;"SI","",IF(M173&lt;&gt;"",M173,IFERROR(I173*J173*(1+K173)*L173,"")))</f>
        <v/>
      </c>
      <c r="O173" s="62">
        <f>IF(N173="","",IF(OR(H173="",H173=0),N173,ROUNDUP(N173/H173,0)))</f>
        <v/>
      </c>
      <c r="P173" s="63">
        <f t="array" ref="P173">IFERROR(INDEX(PRODUCT!$I:$I,MATCH(C173,PRODUCT!$B:$B,0)),"")</f>
        <v/>
      </c>
      <c r="Q173" s="63">
        <f>IF(C173="","",INPUT_SYSTEM!M187)</f>
        <v/>
      </c>
      <c r="R173" s="63">
        <f>IF(P173="","",P173*(1+Q173))</f>
        <v/>
      </c>
      <c r="S173" s="63">
        <f>IF(O173="","",IF(OR(H173="",H173=0),O173*P173,O173*H173*P173))</f>
        <v/>
      </c>
      <c r="T173" s="63">
        <f>IF(O173="","",IF(OR(H173="",H173=0),O173*R173,O173*H173*R173))</f>
        <v/>
      </c>
      <c r="U173" s="62">
        <f>IF(C173="","",INPUT_SYSTEM!C187)</f>
        <v/>
      </c>
      <c r="V173" s="62">
        <f>IF(C173="","",INPUT_SYSTEM!N187)</f>
        <v/>
      </c>
    </row>
    <row r="174" ht="15.75" customHeight="1" s="125">
      <c r="A174" s="62">
        <f>IF(INPUT_SYSTEM!D188="","",INPUT_SYSTEM!A188)</f>
        <v/>
      </c>
      <c r="B174" s="62">
        <f>IF(INPUT_SYSTEM!D188="","",INPUT_SYSTEM!B188)</f>
        <v/>
      </c>
      <c r="C174" s="62">
        <f>IF(INPUT_SYSTEM!D188="","",INPUT_SYSTEM!D188)</f>
        <v/>
      </c>
      <c r="D174" s="62">
        <f>IF(C174="","",INPUT_SYSTEM!E188)</f>
        <v/>
      </c>
      <c r="E174" s="62">
        <f>IF(C174="","",INPUT_SYSTEM!F188)</f>
        <v/>
      </c>
      <c r="F174" s="62">
        <f t="array" ref="F174">IFERROR(INDEX(PRODUCT!$D:$D,MATCH(C174,PRODUCT!$B:$B,0)),"")</f>
        <v/>
      </c>
      <c r="G174" s="62">
        <f t="array" ref="G174">IFERROR(INDEX(PRODUCT!$E:$E,MATCH(C174,PRODUCT!$B:$B,0)),"")</f>
        <v/>
      </c>
      <c r="H174" s="62">
        <f t="array" ref="H174">IFERROR(INDEX(PRODUCT!$F:$F,MATCH(C174,PRODUCT!$B:$B,0)),"")</f>
        <v/>
      </c>
      <c r="I174" s="62">
        <f>IF(C174="","",INPUT_SYSTEM!G188)</f>
        <v/>
      </c>
      <c r="J174" s="62">
        <f>IF(C174="","",INPUT_SYSTEM!H188)</f>
        <v/>
      </c>
      <c r="K174" s="60">
        <f>IF(C174="","",INPUT_SYSTEM!J188)</f>
        <v/>
      </c>
      <c r="L174" s="62">
        <f>IF(C174="","",INPUT_SYSTEM!K188)</f>
        <v/>
      </c>
      <c r="M174" s="62">
        <f>IF(C174="","",INPUT_SYSTEM!L188)</f>
        <v/>
      </c>
      <c r="N174" s="62">
        <f>IF(U174&lt;&gt;"SI","",IF(M174&lt;&gt;"",M174,IFERROR(I174*J174*(1+K174)*L174,"")))</f>
        <v/>
      </c>
      <c r="O174" s="62">
        <f>IF(N174="","",IF(OR(H174="",H174=0),N174,ROUNDUP(N174/H174,0)))</f>
        <v/>
      </c>
      <c r="P174" s="63">
        <f t="array" ref="P174">IFERROR(INDEX(PRODUCT!$I:$I,MATCH(C174,PRODUCT!$B:$B,0)),"")</f>
        <v/>
      </c>
      <c r="Q174" s="63">
        <f>IF(C174="","",INPUT_SYSTEM!M188)</f>
        <v/>
      </c>
      <c r="R174" s="63">
        <f>IF(P174="","",P174*(1+Q174))</f>
        <v/>
      </c>
      <c r="S174" s="63">
        <f>IF(O174="","",IF(OR(H174="",H174=0),O174*P174,O174*H174*P174))</f>
        <v/>
      </c>
      <c r="T174" s="63">
        <f>IF(O174="","",IF(OR(H174="",H174=0),O174*R174,O174*H174*R174))</f>
        <v/>
      </c>
      <c r="U174" s="62">
        <f>IF(C174="","",INPUT_SYSTEM!C188)</f>
        <v/>
      </c>
      <c r="V174" s="62">
        <f>IF(C174="","",INPUT_SYSTEM!N188)</f>
        <v/>
      </c>
    </row>
    <row r="175" ht="15.75" customHeight="1" s="125">
      <c r="A175" s="62">
        <f>IF(INPUT_SYSTEM!D189="","",INPUT_SYSTEM!A189)</f>
        <v/>
      </c>
      <c r="B175" s="62">
        <f>IF(INPUT_SYSTEM!D189="","",INPUT_SYSTEM!B189)</f>
        <v/>
      </c>
      <c r="C175" s="62">
        <f>IF(INPUT_SYSTEM!D189="","",INPUT_SYSTEM!D189)</f>
        <v/>
      </c>
      <c r="D175" s="62">
        <f>IF(C175="","",INPUT_SYSTEM!E189)</f>
        <v/>
      </c>
      <c r="E175" s="62">
        <f>IF(C175="","",INPUT_SYSTEM!F189)</f>
        <v/>
      </c>
      <c r="F175" s="62">
        <f t="array" ref="F175">IFERROR(INDEX(PRODUCT!$D:$D,MATCH(C175,PRODUCT!$B:$B,0)),"")</f>
        <v/>
      </c>
      <c r="G175" s="62">
        <f t="array" ref="G175">IFERROR(INDEX(PRODUCT!$E:$E,MATCH(C175,PRODUCT!$B:$B,0)),"")</f>
        <v/>
      </c>
      <c r="H175" s="62">
        <f t="array" ref="H175">IFERROR(INDEX(PRODUCT!$F:$F,MATCH(C175,PRODUCT!$B:$B,0)),"")</f>
        <v/>
      </c>
      <c r="I175" s="62">
        <f>IF(C175="","",INPUT_SYSTEM!G189)</f>
        <v/>
      </c>
      <c r="J175" s="62">
        <f>IF(C175="","",INPUT_SYSTEM!H189)</f>
        <v/>
      </c>
      <c r="K175" s="60">
        <f>IF(C175="","",INPUT_SYSTEM!J189)</f>
        <v/>
      </c>
      <c r="L175" s="62">
        <f>IF(C175="","",INPUT_SYSTEM!K189)</f>
        <v/>
      </c>
      <c r="M175" s="62">
        <f>IF(C175="","",INPUT_SYSTEM!L189)</f>
        <v/>
      </c>
      <c r="N175" s="62">
        <f>IF(U175&lt;&gt;"SI","",IF(M175&lt;&gt;"",M175,IFERROR(I175*J175*(1+K175)*L175,"")))</f>
        <v/>
      </c>
      <c r="O175" s="62">
        <f>IF(N175="","",IF(OR(H175="",H175=0),N175,ROUNDUP(N175/H175,0)))</f>
        <v/>
      </c>
      <c r="P175" s="63">
        <f t="array" ref="P175">IFERROR(INDEX(PRODUCT!$I:$I,MATCH(C175,PRODUCT!$B:$B,0)),"")</f>
        <v/>
      </c>
      <c r="Q175" s="63">
        <f>IF(C175="","",INPUT_SYSTEM!M189)</f>
        <v/>
      </c>
      <c r="R175" s="63">
        <f>IF(P175="","",P175*(1+Q175))</f>
        <v/>
      </c>
      <c r="S175" s="63">
        <f>IF(O175="","",IF(OR(H175="",H175=0),O175*P175,O175*H175*P175))</f>
        <v/>
      </c>
      <c r="T175" s="63">
        <f>IF(O175="","",IF(OR(H175="",H175=0),O175*R175,O175*H175*R175))</f>
        <v/>
      </c>
      <c r="U175" s="62">
        <f>IF(C175="","",INPUT_SYSTEM!C189)</f>
        <v/>
      </c>
      <c r="V175" s="62">
        <f>IF(C175="","",INPUT_SYSTEM!N189)</f>
        <v/>
      </c>
    </row>
    <row r="176" ht="15.75" customHeight="1" s="125">
      <c r="A176" s="62">
        <f>IF(INPUT_SYSTEM!D190="","",INPUT_SYSTEM!A190)</f>
        <v/>
      </c>
      <c r="B176" s="62">
        <f>IF(INPUT_SYSTEM!D190="","",INPUT_SYSTEM!B190)</f>
        <v/>
      </c>
      <c r="C176" s="62">
        <f>IF(INPUT_SYSTEM!D190="","",INPUT_SYSTEM!D190)</f>
        <v/>
      </c>
      <c r="D176" s="62">
        <f>IF(C176="","",INPUT_SYSTEM!E190)</f>
        <v/>
      </c>
      <c r="E176" s="62">
        <f>IF(C176="","",INPUT_SYSTEM!F190)</f>
        <v/>
      </c>
      <c r="F176" s="62">
        <f t="array" ref="F176">IFERROR(INDEX(PRODUCT!$D:$D,MATCH(C176,PRODUCT!$B:$B,0)),"")</f>
        <v/>
      </c>
      <c r="G176" s="62">
        <f t="array" ref="G176">IFERROR(INDEX(PRODUCT!$E:$E,MATCH(C176,PRODUCT!$B:$B,0)),"")</f>
        <v/>
      </c>
      <c r="H176" s="62">
        <f t="array" ref="H176">IFERROR(INDEX(PRODUCT!$F:$F,MATCH(C176,PRODUCT!$B:$B,0)),"")</f>
        <v/>
      </c>
      <c r="I176" s="62">
        <f>IF(C176="","",INPUT_SYSTEM!G190)</f>
        <v/>
      </c>
      <c r="J176" s="62">
        <f>IF(C176="","",INPUT_SYSTEM!H190)</f>
        <v/>
      </c>
      <c r="K176" s="60">
        <f>IF(C176="","",INPUT_SYSTEM!J190)</f>
        <v/>
      </c>
      <c r="L176" s="62">
        <f>IF(C176="","",INPUT_SYSTEM!K190)</f>
        <v/>
      </c>
      <c r="M176" s="62">
        <f>IF(C176="","",INPUT_SYSTEM!L190)</f>
        <v/>
      </c>
      <c r="N176" s="62">
        <f>IF(U176&lt;&gt;"SI","",IF(M176&lt;&gt;"",M176,IFERROR(I176*J176*(1+K176)*L176,"")))</f>
        <v/>
      </c>
      <c r="O176" s="62">
        <f>IF(N176="","",IF(OR(H176="",H176=0),N176,ROUNDUP(N176/H176,0)))</f>
        <v/>
      </c>
      <c r="P176" s="63">
        <f t="array" ref="P176">IFERROR(INDEX(PRODUCT!$I:$I,MATCH(C176,PRODUCT!$B:$B,0)),"")</f>
        <v/>
      </c>
      <c r="Q176" s="63">
        <f>IF(C176="","",INPUT_SYSTEM!M190)</f>
        <v/>
      </c>
      <c r="R176" s="63">
        <f>IF(P176="","",P176*(1+Q176))</f>
        <v/>
      </c>
      <c r="S176" s="63">
        <f>IF(O176="","",IF(OR(H176="",H176=0),O176*P176,O176*H176*P176))</f>
        <v/>
      </c>
      <c r="T176" s="63">
        <f>IF(O176="","",IF(OR(H176="",H176=0),O176*R176,O176*H176*R176))</f>
        <v/>
      </c>
      <c r="U176" s="62">
        <f>IF(C176="","",INPUT_SYSTEM!C190)</f>
        <v/>
      </c>
      <c r="V176" s="62">
        <f>IF(C176="","",INPUT_SYSTEM!N190)</f>
        <v/>
      </c>
    </row>
    <row r="177" ht="15.75" customHeight="1" s="125">
      <c r="A177" s="62">
        <f>IF(INPUT_SYSTEM!D191="","",INPUT_SYSTEM!A191)</f>
        <v/>
      </c>
      <c r="B177" s="62">
        <f>IF(INPUT_SYSTEM!D191="","",INPUT_SYSTEM!B191)</f>
        <v/>
      </c>
      <c r="C177" s="62">
        <f>IF(INPUT_SYSTEM!D191="","",INPUT_SYSTEM!D191)</f>
        <v/>
      </c>
      <c r="D177" s="62">
        <f>IF(C177="","",INPUT_SYSTEM!E191)</f>
        <v/>
      </c>
      <c r="E177" s="62">
        <f>IF(C177="","",INPUT_SYSTEM!F191)</f>
        <v/>
      </c>
      <c r="F177" s="62">
        <f t="array" ref="F177">IFERROR(INDEX(PRODUCT!$D:$D,MATCH(C177,PRODUCT!$B:$B,0)),"")</f>
        <v/>
      </c>
      <c r="G177" s="62">
        <f t="array" ref="G177">IFERROR(INDEX(PRODUCT!$E:$E,MATCH(C177,PRODUCT!$B:$B,0)),"")</f>
        <v/>
      </c>
      <c r="H177" s="62">
        <f t="array" ref="H177">IFERROR(INDEX(PRODUCT!$F:$F,MATCH(C177,PRODUCT!$B:$B,0)),"")</f>
        <v/>
      </c>
      <c r="I177" s="62">
        <f>IF(C177="","",INPUT_SYSTEM!G191)</f>
        <v/>
      </c>
      <c r="J177" s="62">
        <f>IF(C177="","",INPUT_SYSTEM!H191)</f>
        <v/>
      </c>
      <c r="K177" s="60">
        <f>IF(C177="","",INPUT_SYSTEM!J191)</f>
        <v/>
      </c>
      <c r="L177" s="62">
        <f>IF(C177="","",INPUT_SYSTEM!K191)</f>
        <v/>
      </c>
      <c r="M177" s="62">
        <f>IF(C177="","",INPUT_SYSTEM!L191)</f>
        <v/>
      </c>
      <c r="N177" s="62">
        <f>IF(U177&lt;&gt;"SI","",IF(M177&lt;&gt;"",M177,IFERROR(I177*J177*(1+K177)*L177,"")))</f>
        <v/>
      </c>
      <c r="O177" s="62">
        <f>IF(N177="","",IF(OR(H177="",H177=0),N177,ROUNDUP(N177/H177,0)))</f>
        <v/>
      </c>
      <c r="P177" s="63">
        <f t="array" ref="P177">IFERROR(INDEX(PRODUCT!$I:$I,MATCH(C177,PRODUCT!$B:$B,0)),"")</f>
        <v/>
      </c>
      <c r="Q177" s="63">
        <f>IF(C177="","",INPUT_SYSTEM!M191)</f>
        <v/>
      </c>
      <c r="R177" s="63">
        <f>IF(P177="","",P177*(1+Q177))</f>
        <v/>
      </c>
      <c r="S177" s="63">
        <f>IF(O177="","",IF(OR(H177="",H177=0),O177*P177,O177*H177*P177))</f>
        <v/>
      </c>
      <c r="T177" s="63">
        <f>IF(O177="","",IF(OR(H177="",H177=0),O177*R177,O177*H177*R177))</f>
        <v/>
      </c>
      <c r="U177" s="62">
        <f>IF(C177="","",INPUT_SYSTEM!C191)</f>
        <v/>
      </c>
      <c r="V177" s="62">
        <f>IF(C177="","",INPUT_SYSTEM!N191)</f>
        <v/>
      </c>
    </row>
    <row r="178" ht="15.75" customHeight="1" s="125">
      <c r="A178" s="62">
        <f>IF(INPUT_SYSTEM!D192="","",INPUT_SYSTEM!A192)</f>
        <v/>
      </c>
      <c r="B178" s="62">
        <f>IF(INPUT_SYSTEM!D192="","",INPUT_SYSTEM!B192)</f>
        <v/>
      </c>
      <c r="C178" s="62">
        <f>IF(INPUT_SYSTEM!D192="","",INPUT_SYSTEM!D192)</f>
        <v/>
      </c>
      <c r="D178" s="62">
        <f>IF(C178="","",INPUT_SYSTEM!E192)</f>
        <v/>
      </c>
      <c r="E178" s="62">
        <f>IF(C178="","",INPUT_SYSTEM!F192)</f>
        <v/>
      </c>
      <c r="F178" s="62">
        <f t="array" ref="F178">IFERROR(INDEX(PRODUCT!$D:$D,MATCH(C178,PRODUCT!$B:$B,0)),"")</f>
        <v/>
      </c>
      <c r="G178" s="62">
        <f t="array" ref="G178">IFERROR(INDEX(PRODUCT!$E:$E,MATCH(C178,PRODUCT!$B:$B,0)),"")</f>
        <v/>
      </c>
      <c r="H178" s="62">
        <f t="array" ref="H178">IFERROR(INDEX(PRODUCT!$F:$F,MATCH(C178,PRODUCT!$B:$B,0)),"")</f>
        <v/>
      </c>
      <c r="I178" s="62">
        <f>IF(C178="","",INPUT_SYSTEM!G192)</f>
        <v/>
      </c>
      <c r="J178" s="62">
        <f>IF(C178="","",INPUT_SYSTEM!H192)</f>
        <v/>
      </c>
      <c r="K178" s="60">
        <f>IF(C178="","",INPUT_SYSTEM!J192)</f>
        <v/>
      </c>
      <c r="L178" s="62">
        <f>IF(C178="","",INPUT_SYSTEM!K192)</f>
        <v/>
      </c>
      <c r="M178" s="62">
        <f>IF(C178="","",INPUT_SYSTEM!L192)</f>
        <v/>
      </c>
      <c r="N178" s="62">
        <f>IF(U178&lt;&gt;"SI","",IF(M178&lt;&gt;"",M178,IFERROR(I178*J178*(1+K178)*L178,"")))</f>
        <v/>
      </c>
      <c r="O178" s="62">
        <f>IF(N178="","",IF(OR(H178="",H178=0),N178,ROUNDUP(N178/H178,0)))</f>
        <v/>
      </c>
      <c r="P178" s="63">
        <f t="array" ref="P178">IFERROR(INDEX(PRODUCT!$I:$I,MATCH(C178,PRODUCT!$B:$B,0)),"")</f>
        <v/>
      </c>
      <c r="Q178" s="63">
        <f>IF(C178="","",INPUT_SYSTEM!M192)</f>
        <v/>
      </c>
      <c r="R178" s="63">
        <f>IF(P178="","",P178*(1+Q178))</f>
        <v/>
      </c>
      <c r="S178" s="63">
        <f>IF(O178="","",IF(OR(H178="",H178=0),O178*P178,O178*H178*P178))</f>
        <v/>
      </c>
      <c r="T178" s="63">
        <f>IF(O178="","",IF(OR(H178="",H178=0),O178*R178,O178*H178*R178))</f>
        <v/>
      </c>
      <c r="U178" s="62">
        <f>IF(C178="","",INPUT_SYSTEM!C192)</f>
        <v/>
      </c>
      <c r="V178" s="62">
        <f>IF(C178="","",INPUT_SYSTEM!N192)</f>
        <v/>
      </c>
    </row>
    <row r="179" ht="15.75" customHeight="1" s="125">
      <c r="A179" s="62">
        <f>IF(INPUT_SYSTEM!D193="","",INPUT_SYSTEM!A193)</f>
        <v/>
      </c>
      <c r="B179" s="62">
        <f>IF(INPUT_SYSTEM!D193="","",INPUT_SYSTEM!B193)</f>
        <v/>
      </c>
      <c r="C179" s="62">
        <f>IF(INPUT_SYSTEM!D193="","",INPUT_SYSTEM!D193)</f>
        <v/>
      </c>
      <c r="D179" s="62">
        <f>IF(C179="","",INPUT_SYSTEM!E193)</f>
        <v/>
      </c>
      <c r="E179" s="62">
        <f>IF(C179="","",INPUT_SYSTEM!F193)</f>
        <v/>
      </c>
      <c r="F179" s="62">
        <f t="array" ref="F179">IFERROR(INDEX(PRODUCT!$D:$D,MATCH(C179,PRODUCT!$B:$B,0)),"")</f>
        <v/>
      </c>
      <c r="G179" s="62">
        <f t="array" ref="G179">IFERROR(INDEX(PRODUCT!$E:$E,MATCH(C179,PRODUCT!$B:$B,0)),"")</f>
        <v/>
      </c>
      <c r="H179" s="62">
        <f t="array" ref="H179">IFERROR(INDEX(PRODUCT!$F:$F,MATCH(C179,PRODUCT!$B:$B,0)),"")</f>
        <v/>
      </c>
      <c r="I179" s="62">
        <f>IF(C179="","",INPUT_SYSTEM!G193)</f>
        <v/>
      </c>
      <c r="J179" s="62">
        <f>IF(C179="","",INPUT_SYSTEM!H193)</f>
        <v/>
      </c>
      <c r="K179" s="60">
        <f>IF(C179="","",INPUT_SYSTEM!J193)</f>
        <v/>
      </c>
      <c r="L179" s="62">
        <f>IF(C179="","",INPUT_SYSTEM!K193)</f>
        <v/>
      </c>
      <c r="M179" s="62">
        <f>IF(C179="","",INPUT_SYSTEM!L193)</f>
        <v/>
      </c>
      <c r="N179" s="62">
        <f>IF(U179&lt;&gt;"SI","",IF(M179&lt;&gt;"",M179,IFERROR(I179*J179*(1+K179)*L179,"")))</f>
        <v/>
      </c>
      <c r="O179" s="62">
        <f>IF(N179="","",IF(OR(H179="",H179=0),N179,ROUNDUP(N179/H179,0)))</f>
        <v/>
      </c>
      <c r="P179" s="63">
        <f t="array" ref="P179">IFERROR(INDEX(PRODUCT!$I:$I,MATCH(C179,PRODUCT!$B:$B,0)),"")</f>
        <v/>
      </c>
      <c r="Q179" s="63">
        <f>IF(C179="","",INPUT_SYSTEM!M193)</f>
        <v/>
      </c>
      <c r="R179" s="63">
        <f>IF(P179="","",P179*(1+Q179))</f>
        <v/>
      </c>
      <c r="S179" s="63">
        <f>IF(O179="","",IF(OR(H179="",H179=0),O179*P179,O179*H179*P179))</f>
        <v/>
      </c>
      <c r="T179" s="63">
        <f>IF(O179="","",IF(OR(H179="",H179=0),O179*R179,O179*H179*R179))</f>
        <v/>
      </c>
      <c r="U179" s="62">
        <f>IF(C179="","",INPUT_SYSTEM!C193)</f>
        <v/>
      </c>
      <c r="V179" s="62">
        <f>IF(C179="","",INPUT_SYSTEM!N193)</f>
        <v/>
      </c>
    </row>
    <row r="180" ht="15.75" customHeight="1" s="125">
      <c r="A180" s="62">
        <f>IF(INPUT_SYSTEM!D194="","",INPUT_SYSTEM!A194)</f>
        <v/>
      </c>
      <c r="B180" s="62">
        <f>IF(INPUT_SYSTEM!D194="","",INPUT_SYSTEM!B194)</f>
        <v/>
      </c>
      <c r="C180" s="62">
        <f>IF(INPUT_SYSTEM!D194="","",INPUT_SYSTEM!D194)</f>
        <v/>
      </c>
      <c r="D180" s="62">
        <f>IF(C180="","",INPUT_SYSTEM!E194)</f>
        <v/>
      </c>
      <c r="E180" s="62">
        <f>IF(C180="","",INPUT_SYSTEM!F194)</f>
        <v/>
      </c>
      <c r="F180" s="62">
        <f t="array" ref="F180">IFERROR(INDEX(PRODUCT!$D:$D,MATCH(C180,PRODUCT!$B:$B,0)),"")</f>
        <v/>
      </c>
      <c r="G180" s="62">
        <f t="array" ref="G180">IFERROR(INDEX(PRODUCT!$E:$E,MATCH(C180,PRODUCT!$B:$B,0)),"")</f>
        <v/>
      </c>
      <c r="H180" s="62">
        <f t="array" ref="H180">IFERROR(INDEX(PRODUCT!$F:$F,MATCH(C180,PRODUCT!$B:$B,0)),"")</f>
        <v/>
      </c>
      <c r="I180" s="62">
        <f>IF(C180="","",INPUT_SYSTEM!G194)</f>
        <v/>
      </c>
      <c r="J180" s="62">
        <f>IF(C180="","",INPUT_SYSTEM!H194)</f>
        <v/>
      </c>
      <c r="K180" s="60">
        <f>IF(C180="","",INPUT_SYSTEM!J194)</f>
        <v/>
      </c>
      <c r="L180" s="62">
        <f>IF(C180="","",INPUT_SYSTEM!K194)</f>
        <v/>
      </c>
      <c r="M180" s="62">
        <f>IF(C180="","",INPUT_SYSTEM!L194)</f>
        <v/>
      </c>
      <c r="N180" s="62">
        <f>IF(U180&lt;&gt;"SI","",IF(M180&lt;&gt;"",M180,IFERROR(I180*J180*(1+K180)*L180,"")))</f>
        <v/>
      </c>
      <c r="O180" s="62">
        <f>IF(N180="","",IF(OR(H180="",H180=0),N180,ROUNDUP(N180/H180,0)))</f>
        <v/>
      </c>
      <c r="P180" s="63">
        <f t="array" ref="P180">IFERROR(INDEX(PRODUCT!$I:$I,MATCH(C180,PRODUCT!$B:$B,0)),"")</f>
        <v/>
      </c>
      <c r="Q180" s="63">
        <f>IF(C180="","",INPUT_SYSTEM!M194)</f>
        <v/>
      </c>
      <c r="R180" s="63">
        <f>IF(P180="","",P180*(1+Q180))</f>
        <v/>
      </c>
      <c r="S180" s="63">
        <f>IF(O180="","",IF(OR(H180="",H180=0),O180*P180,O180*H180*P180))</f>
        <v/>
      </c>
      <c r="T180" s="63">
        <f>IF(O180="","",IF(OR(H180="",H180=0),O180*R180,O180*H180*R180))</f>
        <v/>
      </c>
      <c r="U180" s="62">
        <f>IF(C180="","",INPUT_SYSTEM!C194)</f>
        <v/>
      </c>
      <c r="V180" s="62">
        <f>IF(C180="","",INPUT_SYSTEM!N194)</f>
        <v/>
      </c>
    </row>
    <row r="181" ht="15.75" customHeight="1" s="125">
      <c r="A181" s="62">
        <f>IF(INPUT_SYSTEM!D195="","",INPUT_SYSTEM!A195)</f>
        <v/>
      </c>
      <c r="B181" s="62">
        <f>IF(INPUT_SYSTEM!D195="","",INPUT_SYSTEM!B195)</f>
        <v/>
      </c>
      <c r="C181" s="62">
        <f>IF(INPUT_SYSTEM!D195="","",INPUT_SYSTEM!D195)</f>
        <v/>
      </c>
      <c r="D181" s="62">
        <f>IF(C181="","",INPUT_SYSTEM!E195)</f>
        <v/>
      </c>
      <c r="E181" s="62">
        <f>IF(C181="","",INPUT_SYSTEM!F195)</f>
        <v/>
      </c>
      <c r="F181" s="62">
        <f t="array" ref="F181">IFERROR(INDEX(PRODUCT!$D:$D,MATCH(C181,PRODUCT!$B:$B,0)),"")</f>
        <v/>
      </c>
      <c r="G181" s="62">
        <f t="array" ref="G181">IFERROR(INDEX(PRODUCT!$E:$E,MATCH(C181,PRODUCT!$B:$B,0)),"")</f>
        <v/>
      </c>
      <c r="H181" s="62">
        <f t="array" ref="H181">IFERROR(INDEX(PRODUCT!$F:$F,MATCH(C181,PRODUCT!$B:$B,0)),"")</f>
        <v/>
      </c>
      <c r="I181" s="62">
        <f>IF(C181="","",INPUT_SYSTEM!G195)</f>
        <v/>
      </c>
      <c r="J181" s="62">
        <f>IF(C181="","",INPUT_SYSTEM!H195)</f>
        <v/>
      </c>
      <c r="K181" s="60">
        <f>IF(C181="","",INPUT_SYSTEM!J195)</f>
        <v/>
      </c>
      <c r="L181" s="62">
        <f>IF(C181="","",INPUT_SYSTEM!K195)</f>
        <v/>
      </c>
      <c r="M181" s="62">
        <f>IF(C181="","",INPUT_SYSTEM!L195)</f>
        <v/>
      </c>
      <c r="N181" s="62">
        <f>IF(U181&lt;&gt;"SI","",IF(M181&lt;&gt;"",M181,IFERROR(I181*J181*(1+K181)*L181,"")))</f>
        <v/>
      </c>
      <c r="O181" s="62">
        <f>IF(N181="","",IF(OR(H181="",H181=0),N181,ROUNDUP(N181/H181,0)))</f>
        <v/>
      </c>
      <c r="P181" s="63">
        <f t="array" ref="P181">IFERROR(INDEX(PRODUCT!$I:$I,MATCH(C181,PRODUCT!$B:$B,0)),"")</f>
        <v/>
      </c>
      <c r="Q181" s="63">
        <f>IF(C181="","",INPUT_SYSTEM!M195)</f>
        <v/>
      </c>
      <c r="R181" s="63">
        <f>IF(P181="","",P181*(1+Q181))</f>
        <v/>
      </c>
      <c r="S181" s="63">
        <f>IF(O181="","",IF(OR(H181="",H181=0),O181*P181,O181*H181*P181))</f>
        <v/>
      </c>
      <c r="T181" s="63">
        <f>IF(O181="","",IF(OR(H181="",H181=0),O181*R181,O181*H181*R181))</f>
        <v/>
      </c>
      <c r="U181" s="62">
        <f>IF(C181="","",INPUT_SYSTEM!C195)</f>
        <v/>
      </c>
      <c r="V181" s="62">
        <f>IF(C181="","",INPUT_SYSTEM!N195)</f>
        <v/>
      </c>
    </row>
    <row r="182" ht="15.75" customHeight="1" s="125">
      <c r="A182" s="62">
        <f>IF(INPUT_SYSTEM!D196="","",INPUT_SYSTEM!A196)</f>
        <v/>
      </c>
      <c r="B182" s="62">
        <f>IF(INPUT_SYSTEM!D196="","",INPUT_SYSTEM!B196)</f>
        <v/>
      </c>
      <c r="C182" s="62">
        <f>IF(INPUT_SYSTEM!D196="","",INPUT_SYSTEM!D196)</f>
        <v/>
      </c>
      <c r="D182" s="62">
        <f>IF(C182="","",INPUT_SYSTEM!E196)</f>
        <v/>
      </c>
      <c r="E182" s="62">
        <f>IF(C182="","",INPUT_SYSTEM!F196)</f>
        <v/>
      </c>
      <c r="F182" s="62">
        <f t="array" ref="F182">IFERROR(INDEX(PRODUCT!$D:$D,MATCH(C182,PRODUCT!$B:$B,0)),"")</f>
        <v/>
      </c>
      <c r="G182" s="62">
        <f t="array" ref="G182">IFERROR(INDEX(PRODUCT!$E:$E,MATCH(C182,PRODUCT!$B:$B,0)),"")</f>
        <v/>
      </c>
      <c r="H182" s="62">
        <f t="array" ref="H182">IFERROR(INDEX(PRODUCT!$F:$F,MATCH(C182,PRODUCT!$B:$B,0)),"")</f>
        <v/>
      </c>
      <c r="I182" s="62">
        <f>IF(C182="","",INPUT_SYSTEM!G196)</f>
        <v/>
      </c>
      <c r="J182" s="62">
        <f>IF(C182="","",INPUT_SYSTEM!H196)</f>
        <v/>
      </c>
      <c r="K182" s="60">
        <f>IF(C182="","",INPUT_SYSTEM!J196)</f>
        <v/>
      </c>
      <c r="L182" s="62">
        <f>IF(C182="","",INPUT_SYSTEM!K196)</f>
        <v/>
      </c>
      <c r="M182" s="62">
        <f>IF(C182="","",INPUT_SYSTEM!L196)</f>
        <v/>
      </c>
      <c r="N182" s="62">
        <f>IF(U182&lt;&gt;"SI","",IF(M182&lt;&gt;"",M182,IFERROR(I182*J182*(1+K182)*L182,"")))</f>
        <v/>
      </c>
      <c r="O182" s="62">
        <f>IF(N182="","",IF(OR(H182="",H182=0),N182,ROUNDUP(N182/H182,0)))</f>
        <v/>
      </c>
      <c r="P182" s="63">
        <f t="array" ref="P182">IFERROR(INDEX(PRODUCT!$I:$I,MATCH(C182,PRODUCT!$B:$B,0)),"")</f>
        <v/>
      </c>
      <c r="Q182" s="63">
        <f>IF(C182="","",INPUT_SYSTEM!M196)</f>
        <v/>
      </c>
      <c r="R182" s="63">
        <f>IF(P182="","",P182*(1+Q182))</f>
        <v/>
      </c>
      <c r="S182" s="63">
        <f>IF(O182="","",IF(OR(H182="",H182=0),O182*P182,O182*H182*P182))</f>
        <v/>
      </c>
      <c r="T182" s="63">
        <f>IF(O182="","",IF(OR(H182="",H182=0),O182*R182,O182*H182*R182))</f>
        <v/>
      </c>
      <c r="U182" s="62">
        <f>IF(C182="","",INPUT_SYSTEM!C196)</f>
        <v/>
      </c>
      <c r="V182" s="62">
        <f>IF(C182="","",INPUT_SYSTEM!N196)</f>
        <v/>
      </c>
    </row>
    <row r="183" ht="15.75" customHeight="1" s="125">
      <c r="A183" s="62">
        <f>IF(INPUT_SYSTEM!D197="","",INPUT_SYSTEM!A197)</f>
        <v/>
      </c>
      <c r="B183" s="62">
        <f>IF(INPUT_SYSTEM!D197="","",INPUT_SYSTEM!B197)</f>
        <v/>
      </c>
      <c r="C183" s="62">
        <f>IF(INPUT_SYSTEM!D197="","",INPUT_SYSTEM!D197)</f>
        <v/>
      </c>
      <c r="D183" s="62">
        <f>IF(C183="","",INPUT_SYSTEM!E197)</f>
        <v/>
      </c>
      <c r="E183" s="62">
        <f>IF(C183="","",INPUT_SYSTEM!F197)</f>
        <v/>
      </c>
      <c r="F183" s="62">
        <f t="array" ref="F183">IFERROR(INDEX(PRODUCT!$D:$D,MATCH(C183,PRODUCT!$B:$B,0)),"")</f>
        <v/>
      </c>
      <c r="G183" s="62">
        <f t="array" ref="G183">IFERROR(INDEX(PRODUCT!$E:$E,MATCH(C183,PRODUCT!$B:$B,0)),"")</f>
        <v/>
      </c>
      <c r="H183" s="62">
        <f t="array" ref="H183">IFERROR(INDEX(PRODUCT!$F:$F,MATCH(C183,PRODUCT!$B:$B,0)),"")</f>
        <v/>
      </c>
      <c r="I183" s="62">
        <f>IF(C183="","",INPUT_SYSTEM!G197)</f>
        <v/>
      </c>
      <c r="J183" s="62">
        <f>IF(C183="","",INPUT_SYSTEM!H197)</f>
        <v/>
      </c>
      <c r="K183" s="60">
        <f>IF(C183="","",INPUT_SYSTEM!J197)</f>
        <v/>
      </c>
      <c r="L183" s="62">
        <f>IF(C183="","",INPUT_SYSTEM!K197)</f>
        <v/>
      </c>
      <c r="M183" s="62">
        <f>IF(C183="","",INPUT_SYSTEM!L197)</f>
        <v/>
      </c>
      <c r="N183" s="62">
        <f>IF(U183&lt;&gt;"SI","",IF(M183&lt;&gt;"",M183,IFERROR(I183*J183*(1+K183)*L183,"")))</f>
        <v/>
      </c>
      <c r="O183" s="62">
        <f>IF(N183="","",IF(OR(H183="",H183=0),N183,ROUNDUP(N183/H183,0)))</f>
        <v/>
      </c>
      <c r="P183" s="63">
        <f t="array" ref="P183">IFERROR(INDEX(PRODUCT!$I:$I,MATCH(C183,PRODUCT!$B:$B,0)),"")</f>
        <v/>
      </c>
      <c r="Q183" s="63">
        <f>IF(C183="","",INPUT_SYSTEM!M197)</f>
        <v/>
      </c>
      <c r="R183" s="63">
        <f>IF(P183="","",P183*(1+Q183))</f>
        <v/>
      </c>
      <c r="S183" s="63">
        <f>IF(O183="","",IF(OR(H183="",H183=0),O183*P183,O183*H183*P183))</f>
        <v/>
      </c>
      <c r="T183" s="63">
        <f>IF(O183="","",IF(OR(H183="",H183=0),O183*R183,O183*H183*R183))</f>
        <v/>
      </c>
      <c r="U183" s="62">
        <f>IF(C183="","",INPUT_SYSTEM!C197)</f>
        <v/>
      </c>
      <c r="V183" s="62">
        <f>IF(C183="","",INPUT_SYSTEM!N197)</f>
        <v/>
      </c>
    </row>
    <row r="184" ht="15.75" customHeight="1" s="125">
      <c r="A184" s="62">
        <f>IF(INPUT_SYSTEM!D198="","",INPUT_SYSTEM!A198)</f>
        <v/>
      </c>
      <c r="B184" s="62">
        <f>IF(INPUT_SYSTEM!D198="","",INPUT_SYSTEM!B198)</f>
        <v/>
      </c>
      <c r="C184" s="62">
        <f>IF(INPUT_SYSTEM!D198="","",INPUT_SYSTEM!D198)</f>
        <v/>
      </c>
      <c r="D184" s="62">
        <f>IF(C184="","",INPUT_SYSTEM!E198)</f>
        <v/>
      </c>
      <c r="E184" s="62">
        <f>IF(C184="","",INPUT_SYSTEM!F198)</f>
        <v/>
      </c>
      <c r="F184" s="62">
        <f t="array" ref="F184">IFERROR(INDEX(PRODUCT!$D:$D,MATCH(C184,PRODUCT!$B:$B,0)),"")</f>
        <v/>
      </c>
      <c r="G184" s="62">
        <f t="array" ref="G184">IFERROR(INDEX(PRODUCT!$E:$E,MATCH(C184,PRODUCT!$B:$B,0)),"")</f>
        <v/>
      </c>
      <c r="H184" s="62">
        <f t="array" ref="H184">IFERROR(INDEX(PRODUCT!$F:$F,MATCH(C184,PRODUCT!$B:$B,0)),"")</f>
        <v/>
      </c>
      <c r="I184" s="62">
        <f>IF(C184="","",INPUT_SYSTEM!G198)</f>
        <v/>
      </c>
      <c r="J184" s="62">
        <f>IF(C184="","",INPUT_SYSTEM!H198)</f>
        <v/>
      </c>
      <c r="K184" s="60">
        <f>IF(C184="","",INPUT_SYSTEM!J198)</f>
        <v/>
      </c>
      <c r="L184" s="62">
        <f>IF(C184="","",INPUT_SYSTEM!K198)</f>
        <v/>
      </c>
      <c r="M184" s="62">
        <f>IF(C184="","",INPUT_SYSTEM!L198)</f>
        <v/>
      </c>
      <c r="N184" s="62">
        <f>IF(U184&lt;&gt;"SI","",IF(M184&lt;&gt;"",M184,IFERROR(I184*J184*(1+K184)*L184,"")))</f>
        <v/>
      </c>
      <c r="O184" s="62">
        <f>IF(N184="","",IF(OR(H184="",H184=0),N184,ROUNDUP(N184/H184,0)))</f>
        <v/>
      </c>
      <c r="P184" s="63">
        <f t="array" ref="P184">IFERROR(INDEX(PRODUCT!$I:$I,MATCH(C184,PRODUCT!$B:$B,0)),"")</f>
        <v/>
      </c>
      <c r="Q184" s="63">
        <f>IF(C184="","",INPUT_SYSTEM!M198)</f>
        <v/>
      </c>
      <c r="R184" s="63">
        <f>IF(P184="","",P184*(1+Q184))</f>
        <v/>
      </c>
      <c r="S184" s="63">
        <f>IF(O184="","",IF(OR(H184="",H184=0),O184*P184,O184*H184*P184))</f>
        <v/>
      </c>
      <c r="T184" s="63">
        <f>IF(O184="","",IF(OR(H184="",H184=0),O184*R184,O184*H184*R184))</f>
        <v/>
      </c>
      <c r="U184" s="62">
        <f>IF(C184="","",INPUT_SYSTEM!C198)</f>
        <v/>
      </c>
      <c r="V184" s="62">
        <f>IF(C184="","",INPUT_SYSTEM!N198)</f>
        <v/>
      </c>
    </row>
    <row r="185" ht="15.75" customHeight="1" s="125">
      <c r="A185" s="62">
        <f>IF(INPUT_SYSTEM!D199="","",INPUT_SYSTEM!A199)</f>
        <v/>
      </c>
      <c r="B185" s="62">
        <f>IF(INPUT_SYSTEM!D199="","",INPUT_SYSTEM!B199)</f>
        <v/>
      </c>
      <c r="C185" s="62">
        <f>IF(INPUT_SYSTEM!D199="","",INPUT_SYSTEM!D199)</f>
        <v/>
      </c>
      <c r="D185" s="62">
        <f>IF(C185="","",INPUT_SYSTEM!E199)</f>
        <v/>
      </c>
      <c r="E185" s="62">
        <f>IF(C185="","",INPUT_SYSTEM!F199)</f>
        <v/>
      </c>
      <c r="F185" s="62">
        <f t="array" ref="F185">IFERROR(INDEX(PRODUCT!$D:$D,MATCH(C185,PRODUCT!$B:$B,0)),"")</f>
        <v/>
      </c>
      <c r="G185" s="62">
        <f t="array" ref="G185">IFERROR(INDEX(PRODUCT!$E:$E,MATCH(C185,PRODUCT!$B:$B,0)),"")</f>
        <v/>
      </c>
      <c r="H185" s="62">
        <f t="array" ref="H185">IFERROR(INDEX(PRODUCT!$F:$F,MATCH(C185,PRODUCT!$B:$B,0)),"")</f>
        <v/>
      </c>
      <c r="I185" s="62">
        <f>IF(C185="","",INPUT_SYSTEM!G199)</f>
        <v/>
      </c>
      <c r="J185" s="62">
        <f>IF(C185="","",INPUT_SYSTEM!H199)</f>
        <v/>
      </c>
      <c r="K185" s="60">
        <f>IF(C185="","",INPUT_SYSTEM!J199)</f>
        <v/>
      </c>
      <c r="L185" s="62">
        <f>IF(C185="","",INPUT_SYSTEM!K199)</f>
        <v/>
      </c>
      <c r="M185" s="62">
        <f>IF(C185="","",INPUT_SYSTEM!L199)</f>
        <v/>
      </c>
      <c r="N185" s="62">
        <f>IF(U185&lt;&gt;"SI","",IF(M185&lt;&gt;"",M185,IFERROR(I185*J185*(1+K185)*L185,"")))</f>
        <v/>
      </c>
      <c r="O185" s="62">
        <f>IF(N185="","",IF(OR(H185="",H185=0),N185,ROUNDUP(N185/H185,0)))</f>
        <v/>
      </c>
      <c r="P185" s="63">
        <f t="array" ref="P185">IFERROR(INDEX(PRODUCT!$I:$I,MATCH(C185,PRODUCT!$B:$B,0)),"")</f>
        <v/>
      </c>
      <c r="Q185" s="63">
        <f>IF(C185="","",INPUT_SYSTEM!M199)</f>
        <v/>
      </c>
      <c r="R185" s="63">
        <f>IF(P185="","",P185*(1+Q185))</f>
        <v/>
      </c>
      <c r="S185" s="63">
        <f>IF(O185="","",IF(OR(H185="",H185=0),O185*P185,O185*H185*P185))</f>
        <v/>
      </c>
      <c r="T185" s="63">
        <f>IF(O185="","",IF(OR(H185="",H185=0),O185*R185,O185*H185*R185))</f>
        <v/>
      </c>
      <c r="U185" s="62">
        <f>IF(C185="","",INPUT_SYSTEM!C199)</f>
        <v/>
      </c>
      <c r="V185" s="62">
        <f>IF(C185="","",INPUT_SYSTEM!N199)</f>
        <v/>
      </c>
    </row>
    <row r="186" ht="15.75" customHeight="1" s="125">
      <c r="A186" s="62">
        <f>IF(INPUT_SYSTEM!D200="","",INPUT_SYSTEM!A200)</f>
        <v/>
      </c>
      <c r="B186" s="62">
        <f>IF(INPUT_SYSTEM!D200="","",INPUT_SYSTEM!B200)</f>
        <v/>
      </c>
      <c r="C186" s="62">
        <f>IF(INPUT_SYSTEM!D200="","",INPUT_SYSTEM!D200)</f>
        <v/>
      </c>
      <c r="D186" s="62">
        <f>IF(C186="","",INPUT_SYSTEM!E200)</f>
        <v/>
      </c>
      <c r="E186" s="62">
        <f>IF(C186="","",INPUT_SYSTEM!F200)</f>
        <v/>
      </c>
      <c r="F186" s="62">
        <f t="array" ref="F186">IFERROR(INDEX(PRODUCT!$D:$D,MATCH(C186,PRODUCT!$B:$B,0)),"")</f>
        <v/>
      </c>
      <c r="G186" s="62">
        <f t="array" ref="G186">IFERROR(INDEX(PRODUCT!$E:$E,MATCH(C186,PRODUCT!$B:$B,0)),"")</f>
        <v/>
      </c>
      <c r="H186" s="62">
        <f t="array" ref="H186">IFERROR(INDEX(PRODUCT!$F:$F,MATCH(C186,PRODUCT!$B:$B,0)),"")</f>
        <v/>
      </c>
      <c r="I186" s="62">
        <f>IF(C186="","",INPUT_SYSTEM!G200)</f>
        <v/>
      </c>
      <c r="J186" s="62">
        <f>IF(C186="","",INPUT_SYSTEM!H200)</f>
        <v/>
      </c>
      <c r="K186" s="60">
        <f>IF(C186="","",INPUT_SYSTEM!J200)</f>
        <v/>
      </c>
      <c r="L186" s="62">
        <f>IF(C186="","",INPUT_SYSTEM!K200)</f>
        <v/>
      </c>
      <c r="M186" s="62">
        <f>IF(C186="","",INPUT_SYSTEM!L200)</f>
        <v/>
      </c>
      <c r="N186" s="62">
        <f>IF(U186&lt;&gt;"SI","",IF(M186&lt;&gt;"",M186,IFERROR(I186*J186*(1+K186)*L186,"")))</f>
        <v/>
      </c>
      <c r="O186" s="62">
        <f>IF(N186="","",IF(OR(H186="",H186=0),N186,ROUNDUP(N186/H186,0)))</f>
        <v/>
      </c>
      <c r="P186" s="63">
        <f t="array" ref="P186">IFERROR(INDEX(PRODUCT!$I:$I,MATCH(C186,PRODUCT!$B:$B,0)),"")</f>
        <v/>
      </c>
      <c r="Q186" s="63">
        <f>IF(C186="","",INPUT_SYSTEM!M200)</f>
        <v/>
      </c>
      <c r="R186" s="63">
        <f>IF(P186="","",P186*(1+Q186))</f>
        <v/>
      </c>
      <c r="S186" s="63">
        <f>IF(O186="","",IF(OR(H186="",H186=0),O186*P186,O186*H186*P186))</f>
        <v/>
      </c>
      <c r="T186" s="63">
        <f>IF(O186="","",IF(OR(H186="",H186=0),O186*R186,O186*H186*R186))</f>
        <v/>
      </c>
      <c r="U186" s="62">
        <f>IF(C186="","",INPUT_SYSTEM!C200)</f>
        <v/>
      </c>
      <c r="V186" s="62">
        <f>IF(C186="","",INPUT_SYSTEM!N200)</f>
        <v/>
      </c>
    </row>
    <row r="187" ht="15.75" customHeight="1" s="125">
      <c r="A187" s="62">
        <f>IF(INPUT_SYSTEM!D201="","",INPUT_SYSTEM!A201)</f>
        <v/>
      </c>
      <c r="B187" s="62">
        <f>IF(INPUT_SYSTEM!D201="","",INPUT_SYSTEM!B201)</f>
        <v/>
      </c>
      <c r="C187" s="62">
        <f>IF(INPUT_SYSTEM!D201="","",INPUT_SYSTEM!D201)</f>
        <v/>
      </c>
      <c r="D187" s="62">
        <f>IF(C187="","",INPUT_SYSTEM!E201)</f>
        <v/>
      </c>
      <c r="E187" s="62">
        <f>IF(C187="","",INPUT_SYSTEM!F201)</f>
        <v/>
      </c>
      <c r="F187" s="62">
        <f t="array" ref="F187">IFERROR(INDEX(PRODUCT!$D:$D,MATCH(C187,PRODUCT!$B:$B,0)),"")</f>
        <v/>
      </c>
      <c r="G187" s="62">
        <f t="array" ref="G187">IFERROR(INDEX(PRODUCT!$E:$E,MATCH(C187,PRODUCT!$B:$B,0)),"")</f>
        <v/>
      </c>
      <c r="H187" s="62">
        <f t="array" ref="H187">IFERROR(INDEX(PRODUCT!$F:$F,MATCH(C187,PRODUCT!$B:$B,0)),"")</f>
        <v/>
      </c>
      <c r="I187" s="62">
        <f>IF(C187="","",INPUT_SYSTEM!G201)</f>
        <v/>
      </c>
      <c r="J187" s="62">
        <f>IF(C187="","",INPUT_SYSTEM!H201)</f>
        <v/>
      </c>
      <c r="K187" s="60">
        <f>IF(C187="","",INPUT_SYSTEM!J201)</f>
        <v/>
      </c>
      <c r="L187" s="62">
        <f>IF(C187="","",INPUT_SYSTEM!K201)</f>
        <v/>
      </c>
      <c r="M187" s="62">
        <f>IF(C187="","",INPUT_SYSTEM!L201)</f>
        <v/>
      </c>
      <c r="N187" s="62">
        <f>IF(U187&lt;&gt;"SI","",IF(M187&lt;&gt;"",M187,IFERROR(I187*J187*(1+K187)*L187,"")))</f>
        <v/>
      </c>
      <c r="O187" s="62">
        <f>IF(N187="","",IF(OR(H187="",H187=0),N187,ROUNDUP(N187/H187,0)))</f>
        <v/>
      </c>
      <c r="P187" s="63">
        <f t="array" ref="P187">IFERROR(INDEX(PRODUCT!$I:$I,MATCH(C187,PRODUCT!$B:$B,0)),"")</f>
        <v/>
      </c>
      <c r="Q187" s="63">
        <f>IF(C187="","",INPUT_SYSTEM!M201)</f>
        <v/>
      </c>
      <c r="R187" s="63">
        <f>IF(P187="","",P187*(1+Q187))</f>
        <v/>
      </c>
      <c r="S187" s="63">
        <f>IF(O187="","",IF(OR(H187="",H187=0),O187*P187,O187*H187*P187))</f>
        <v/>
      </c>
      <c r="T187" s="63">
        <f>IF(O187="","",IF(OR(H187="",H187=0),O187*R187,O187*H187*R187))</f>
        <v/>
      </c>
      <c r="U187" s="62">
        <f>IF(C187="","",INPUT_SYSTEM!C201)</f>
        <v/>
      </c>
      <c r="V187" s="62">
        <f>IF(C187="","",INPUT_SYSTEM!N201)</f>
        <v/>
      </c>
    </row>
    <row r="188" ht="15.75" customHeight="1" s="125">
      <c r="A188" s="62">
        <f>IF(INPUT_SYSTEM!D202="","",INPUT_SYSTEM!A202)</f>
        <v/>
      </c>
      <c r="B188" s="62">
        <f>IF(INPUT_SYSTEM!D202="","",INPUT_SYSTEM!B202)</f>
        <v/>
      </c>
      <c r="C188" s="62">
        <f>IF(INPUT_SYSTEM!D202="","",INPUT_SYSTEM!D202)</f>
        <v/>
      </c>
      <c r="D188" s="62">
        <f>IF(C188="","",INPUT_SYSTEM!E202)</f>
        <v/>
      </c>
      <c r="E188" s="62">
        <f>IF(C188="","",INPUT_SYSTEM!F202)</f>
        <v/>
      </c>
      <c r="F188" s="62">
        <f t="array" ref="F188">IFERROR(INDEX(PRODUCT!$D:$D,MATCH(C188,PRODUCT!$B:$B,0)),"")</f>
        <v/>
      </c>
      <c r="G188" s="62">
        <f t="array" ref="G188">IFERROR(INDEX(PRODUCT!$E:$E,MATCH(C188,PRODUCT!$B:$B,0)),"")</f>
        <v/>
      </c>
      <c r="H188" s="62">
        <f t="array" ref="H188">IFERROR(INDEX(PRODUCT!$F:$F,MATCH(C188,PRODUCT!$B:$B,0)),"")</f>
        <v/>
      </c>
      <c r="I188" s="62">
        <f>IF(C188="","",INPUT_SYSTEM!G202)</f>
        <v/>
      </c>
      <c r="J188" s="62">
        <f>IF(C188="","",INPUT_SYSTEM!H202)</f>
        <v/>
      </c>
      <c r="K188" s="60">
        <f>IF(C188="","",INPUT_SYSTEM!J202)</f>
        <v/>
      </c>
      <c r="L188" s="62">
        <f>IF(C188="","",INPUT_SYSTEM!K202)</f>
        <v/>
      </c>
      <c r="M188" s="62">
        <f>IF(C188="","",INPUT_SYSTEM!L202)</f>
        <v/>
      </c>
      <c r="N188" s="62">
        <f>IF(U188&lt;&gt;"SI","",IF(M188&lt;&gt;"",M188,IFERROR(I188*J188*(1+K188)*L188,"")))</f>
        <v/>
      </c>
      <c r="O188" s="62">
        <f>IF(N188="","",IF(OR(H188="",H188=0),N188,ROUNDUP(N188/H188,0)))</f>
        <v/>
      </c>
      <c r="P188" s="63">
        <f t="array" ref="P188">IFERROR(INDEX(PRODUCT!$I:$I,MATCH(C188,PRODUCT!$B:$B,0)),"")</f>
        <v/>
      </c>
      <c r="Q188" s="63">
        <f>IF(C188="","",INPUT_SYSTEM!M202)</f>
        <v/>
      </c>
      <c r="R188" s="63">
        <f>IF(P188="","",P188*(1+Q188))</f>
        <v/>
      </c>
      <c r="S188" s="63">
        <f>IF(O188="","",IF(OR(H188="",H188=0),O188*P188,O188*H188*P188))</f>
        <v/>
      </c>
      <c r="T188" s="63">
        <f>IF(O188="","",IF(OR(H188="",H188=0),O188*R188,O188*H188*R188))</f>
        <v/>
      </c>
      <c r="U188" s="62">
        <f>IF(C188="","",INPUT_SYSTEM!C202)</f>
        <v/>
      </c>
      <c r="V188" s="62">
        <f>IF(C188="","",INPUT_SYSTEM!N202)</f>
        <v/>
      </c>
    </row>
    <row r="189" ht="15.75" customHeight="1" s="125">
      <c r="A189" s="62">
        <f>IF(INPUT_SYSTEM!D203="","",INPUT_SYSTEM!A203)</f>
        <v/>
      </c>
      <c r="B189" s="62">
        <f>IF(INPUT_SYSTEM!D203="","",INPUT_SYSTEM!B203)</f>
        <v/>
      </c>
      <c r="C189" s="62">
        <f>IF(INPUT_SYSTEM!D203="","",INPUT_SYSTEM!D203)</f>
        <v/>
      </c>
      <c r="D189" s="62">
        <f>IF(C189="","",INPUT_SYSTEM!E203)</f>
        <v/>
      </c>
      <c r="E189" s="62">
        <f>IF(C189="","",INPUT_SYSTEM!F203)</f>
        <v/>
      </c>
      <c r="F189" s="62">
        <f t="array" ref="F189">IFERROR(INDEX(PRODUCT!$D:$D,MATCH(C189,PRODUCT!$B:$B,0)),"")</f>
        <v/>
      </c>
      <c r="G189" s="62">
        <f t="array" ref="G189">IFERROR(INDEX(PRODUCT!$E:$E,MATCH(C189,PRODUCT!$B:$B,0)),"")</f>
        <v/>
      </c>
      <c r="H189" s="62">
        <f t="array" ref="H189">IFERROR(INDEX(PRODUCT!$F:$F,MATCH(C189,PRODUCT!$B:$B,0)),"")</f>
        <v/>
      </c>
      <c r="I189" s="62">
        <f>IF(C189="","",INPUT_SYSTEM!G203)</f>
        <v/>
      </c>
      <c r="J189" s="62">
        <f>IF(C189="","",INPUT_SYSTEM!H203)</f>
        <v/>
      </c>
      <c r="K189" s="60">
        <f>IF(C189="","",INPUT_SYSTEM!J203)</f>
        <v/>
      </c>
      <c r="L189" s="62">
        <f>IF(C189="","",INPUT_SYSTEM!K203)</f>
        <v/>
      </c>
      <c r="M189" s="62">
        <f>IF(C189="","",INPUT_SYSTEM!L203)</f>
        <v/>
      </c>
      <c r="N189" s="62">
        <f>IF(U189&lt;&gt;"SI","",IF(M189&lt;&gt;"",M189,IFERROR(I189*J189*(1+K189)*L189,"")))</f>
        <v/>
      </c>
      <c r="O189" s="62">
        <f>IF(N189="","",IF(OR(H189="",H189=0),N189,ROUNDUP(N189/H189,0)))</f>
        <v/>
      </c>
      <c r="P189" s="63">
        <f t="array" ref="P189">IFERROR(INDEX(PRODUCT!$I:$I,MATCH(C189,PRODUCT!$B:$B,0)),"")</f>
        <v/>
      </c>
      <c r="Q189" s="63">
        <f>IF(C189="","",INPUT_SYSTEM!M203)</f>
        <v/>
      </c>
      <c r="R189" s="63">
        <f>IF(P189="","",P189*(1+Q189))</f>
        <v/>
      </c>
      <c r="S189" s="63">
        <f>IF(O189="","",IF(OR(H189="",H189=0),O189*P189,O189*H189*P189))</f>
        <v/>
      </c>
      <c r="T189" s="63">
        <f>IF(O189="","",IF(OR(H189="",H189=0),O189*R189,O189*H189*R189))</f>
        <v/>
      </c>
      <c r="U189" s="62">
        <f>IF(C189="","",INPUT_SYSTEM!C203)</f>
        <v/>
      </c>
      <c r="V189" s="62">
        <f>IF(C189="","",INPUT_SYSTEM!N203)</f>
        <v/>
      </c>
    </row>
    <row r="190" ht="15.75" customHeight="1" s="125">
      <c r="A190" s="62">
        <f>IF(INPUT_SYSTEM!D204="","",INPUT_SYSTEM!A204)</f>
        <v/>
      </c>
      <c r="B190" s="62">
        <f>IF(INPUT_SYSTEM!D204="","",INPUT_SYSTEM!B204)</f>
        <v/>
      </c>
      <c r="C190" s="62">
        <f>IF(INPUT_SYSTEM!D204="","",INPUT_SYSTEM!D204)</f>
        <v/>
      </c>
      <c r="D190" s="62">
        <f>IF(C190="","",INPUT_SYSTEM!E204)</f>
        <v/>
      </c>
      <c r="E190" s="62">
        <f>IF(C190="","",INPUT_SYSTEM!F204)</f>
        <v/>
      </c>
      <c r="F190" s="62">
        <f t="array" ref="F190">IFERROR(INDEX(PRODUCT!$D:$D,MATCH(C190,PRODUCT!$B:$B,0)),"")</f>
        <v/>
      </c>
      <c r="G190" s="62">
        <f t="array" ref="G190">IFERROR(INDEX(PRODUCT!$E:$E,MATCH(C190,PRODUCT!$B:$B,0)),"")</f>
        <v/>
      </c>
      <c r="H190" s="62">
        <f t="array" ref="H190">IFERROR(INDEX(PRODUCT!$F:$F,MATCH(C190,PRODUCT!$B:$B,0)),"")</f>
        <v/>
      </c>
      <c r="I190" s="62">
        <f>IF(C190="","",INPUT_SYSTEM!G204)</f>
        <v/>
      </c>
      <c r="J190" s="62">
        <f>IF(C190="","",INPUT_SYSTEM!H204)</f>
        <v/>
      </c>
      <c r="K190" s="60">
        <f>IF(C190="","",INPUT_SYSTEM!J204)</f>
        <v/>
      </c>
      <c r="L190" s="62">
        <f>IF(C190="","",INPUT_SYSTEM!K204)</f>
        <v/>
      </c>
      <c r="M190" s="62">
        <f>IF(C190="","",INPUT_SYSTEM!L204)</f>
        <v/>
      </c>
      <c r="N190" s="62">
        <f>IF(U190&lt;&gt;"SI","",IF(M190&lt;&gt;"",M190,IFERROR(I190*J190*(1+K190)*L190,"")))</f>
        <v/>
      </c>
      <c r="O190" s="62">
        <f>IF(N190="","",IF(OR(H190="",H190=0),N190,ROUNDUP(N190/H190,0)))</f>
        <v/>
      </c>
      <c r="P190" s="63">
        <f t="array" ref="P190">IFERROR(INDEX(PRODUCT!$I:$I,MATCH(C190,PRODUCT!$B:$B,0)),"")</f>
        <v/>
      </c>
      <c r="Q190" s="63">
        <f>IF(C190="","",INPUT_SYSTEM!M204)</f>
        <v/>
      </c>
      <c r="R190" s="63">
        <f>IF(P190="","",P190*(1+Q190))</f>
        <v/>
      </c>
      <c r="S190" s="63">
        <f>IF(O190="","",IF(OR(H190="",H190=0),O190*P190,O190*H190*P190))</f>
        <v/>
      </c>
      <c r="T190" s="63">
        <f>IF(O190="","",IF(OR(H190="",H190=0),O190*R190,O190*H190*R190))</f>
        <v/>
      </c>
      <c r="U190" s="62">
        <f>IF(C190="","",INPUT_SYSTEM!C204)</f>
        <v/>
      </c>
      <c r="V190" s="62">
        <f>IF(C190="","",INPUT_SYSTEM!N204)</f>
        <v/>
      </c>
    </row>
    <row r="191" ht="15.75" customHeight="1" s="125">
      <c r="A191" s="62">
        <f>IF(INPUT_SYSTEM!D205="","",INPUT_SYSTEM!A205)</f>
        <v/>
      </c>
      <c r="B191" s="62">
        <f>IF(INPUT_SYSTEM!D205="","",INPUT_SYSTEM!B205)</f>
        <v/>
      </c>
      <c r="C191" s="62">
        <f>IF(INPUT_SYSTEM!D205="","",INPUT_SYSTEM!D205)</f>
        <v/>
      </c>
      <c r="D191" s="62">
        <f>IF(C191="","",INPUT_SYSTEM!E205)</f>
        <v/>
      </c>
      <c r="E191" s="62">
        <f>IF(C191="","",INPUT_SYSTEM!F205)</f>
        <v/>
      </c>
      <c r="F191" s="62">
        <f t="array" ref="F191">IFERROR(INDEX(PRODUCT!$D:$D,MATCH(C191,PRODUCT!$B:$B,0)),"")</f>
        <v/>
      </c>
      <c r="G191" s="62">
        <f t="array" ref="G191">IFERROR(INDEX(PRODUCT!$E:$E,MATCH(C191,PRODUCT!$B:$B,0)),"")</f>
        <v/>
      </c>
      <c r="H191" s="62">
        <f t="array" ref="H191">IFERROR(INDEX(PRODUCT!$F:$F,MATCH(C191,PRODUCT!$B:$B,0)),"")</f>
        <v/>
      </c>
      <c r="I191" s="62">
        <f>IF(C191="","",INPUT_SYSTEM!G205)</f>
        <v/>
      </c>
      <c r="J191" s="62">
        <f>IF(C191="","",INPUT_SYSTEM!H205)</f>
        <v/>
      </c>
      <c r="K191" s="60">
        <f>IF(C191="","",INPUT_SYSTEM!J205)</f>
        <v/>
      </c>
      <c r="L191" s="62">
        <f>IF(C191="","",INPUT_SYSTEM!K205)</f>
        <v/>
      </c>
      <c r="M191" s="62">
        <f>IF(C191="","",INPUT_SYSTEM!L205)</f>
        <v/>
      </c>
      <c r="N191" s="62">
        <f>IF(U191&lt;&gt;"SI","",IF(M191&lt;&gt;"",M191,IFERROR(I191*J191*(1+K191)*L191,"")))</f>
        <v/>
      </c>
      <c r="O191" s="62">
        <f>IF(N191="","",IF(OR(H191="",H191=0),N191,ROUNDUP(N191/H191,0)))</f>
        <v/>
      </c>
      <c r="P191" s="63">
        <f t="array" ref="P191">IFERROR(INDEX(PRODUCT!$I:$I,MATCH(C191,PRODUCT!$B:$B,0)),"")</f>
        <v/>
      </c>
      <c r="Q191" s="63">
        <f>IF(C191="","",INPUT_SYSTEM!M205)</f>
        <v/>
      </c>
      <c r="R191" s="63">
        <f>IF(P191="","",P191*(1+Q191))</f>
        <v/>
      </c>
      <c r="S191" s="63">
        <f>IF(O191="","",IF(OR(H191="",H191=0),O191*P191,O191*H191*P191))</f>
        <v/>
      </c>
      <c r="T191" s="63">
        <f>IF(O191="","",IF(OR(H191="",H191=0),O191*R191,O191*H191*R191))</f>
        <v/>
      </c>
      <c r="U191" s="62">
        <f>IF(C191="","",INPUT_SYSTEM!C205)</f>
        <v/>
      </c>
      <c r="V191" s="62">
        <f>IF(C191="","",INPUT_SYSTEM!N205)</f>
        <v/>
      </c>
    </row>
    <row r="192" ht="15.75" customHeight="1" s="125">
      <c r="A192" s="62">
        <f>IF(INPUT_SYSTEM!D206="","",INPUT_SYSTEM!A206)</f>
        <v/>
      </c>
      <c r="B192" s="62">
        <f>IF(INPUT_SYSTEM!D206="","",INPUT_SYSTEM!B206)</f>
        <v/>
      </c>
      <c r="C192" s="62">
        <f>IF(INPUT_SYSTEM!D206="","",INPUT_SYSTEM!D206)</f>
        <v/>
      </c>
      <c r="D192" s="62">
        <f>IF(C192="","",INPUT_SYSTEM!E206)</f>
        <v/>
      </c>
      <c r="E192" s="62">
        <f>IF(C192="","",INPUT_SYSTEM!F206)</f>
        <v/>
      </c>
      <c r="F192" s="62">
        <f t="array" ref="F192">IFERROR(INDEX(PRODUCT!$D:$D,MATCH(C192,PRODUCT!$B:$B,0)),"")</f>
        <v/>
      </c>
      <c r="G192" s="62">
        <f t="array" ref="G192">IFERROR(INDEX(PRODUCT!$E:$E,MATCH(C192,PRODUCT!$B:$B,0)),"")</f>
        <v/>
      </c>
      <c r="H192" s="62">
        <f t="array" ref="H192">IFERROR(INDEX(PRODUCT!$F:$F,MATCH(C192,PRODUCT!$B:$B,0)),"")</f>
        <v/>
      </c>
      <c r="I192" s="62">
        <f>IF(C192="","",INPUT_SYSTEM!G206)</f>
        <v/>
      </c>
      <c r="J192" s="62">
        <f>IF(C192="","",INPUT_SYSTEM!H206)</f>
        <v/>
      </c>
      <c r="K192" s="60">
        <f>IF(C192="","",INPUT_SYSTEM!J206)</f>
        <v/>
      </c>
      <c r="L192" s="62">
        <f>IF(C192="","",INPUT_SYSTEM!K206)</f>
        <v/>
      </c>
      <c r="M192" s="62">
        <f>IF(C192="","",INPUT_SYSTEM!L206)</f>
        <v/>
      </c>
      <c r="N192" s="62">
        <f>IF(U192&lt;&gt;"SI","",IF(M192&lt;&gt;"",M192,IFERROR(I192*J192*(1+K192)*L192,"")))</f>
        <v/>
      </c>
      <c r="O192" s="62">
        <f>IF(N192="","",IF(OR(H192="",H192=0),N192,ROUNDUP(N192/H192,0)))</f>
        <v/>
      </c>
      <c r="P192" s="63">
        <f t="array" ref="P192">IFERROR(INDEX(PRODUCT!$I:$I,MATCH(C192,PRODUCT!$B:$B,0)),"")</f>
        <v/>
      </c>
      <c r="Q192" s="63">
        <f>IF(C192="","",INPUT_SYSTEM!M206)</f>
        <v/>
      </c>
      <c r="R192" s="63">
        <f>IF(P192="","",P192*(1+Q192))</f>
        <v/>
      </c>
      <c r="S192" s="63">
        <f>IF(O192="","",IF(OR(H192="",H192=0),O192*P192,O192*H192*P192))</f>
        <v/>
      </c>
      <c r="T192" s="63">
        <f>IF(O192="","",IF(OR(H192="",H192=0),O192*R192,O192*H192*R192))</f>
        <v/>
      </c>
      <c r="U192" s="62">
        <f>IF(C192="","",INPUT_SYSTEM!C206)</f>
        <v/>
      </c>
      <c r="V192" s="62">
        <f>IF(C192="","",INPUT_SYSTEM!N206)</f>
        <v/>
      </c>
    </row>
    <row r="193" ht="15.75" customHeight="1" s="125">
      <c r="A193" s="62">
        <f>IF(INPUT_SYSTEM!D207="","",INPUT_SYSTEM!A207)</f>
        <v/>
      </c>
      <c r="B193" s="62">
        <f>IF(INPUT_SYSTEM!D207="","",INPUT_SYSTEM!B207)</f>
        <v/>
      </c>
      <c r="C193" s="62">
        <f>IF(INPUT_SYSTEM!D207="","",INPUT_SYSTEM!D207)</f>
        <v/>
      </c>
      <c r="D193" s="62">
        <f>IF(C193="","",INPUT_SYSTEM!E207)</f>
        <v/>
      </c>
      <c r="E193" s="62">
        <f>IF(C193="","",INPUT_SYSTEM!F207)</f>
        <v/>
      </c>
      <c r="F193" s="62">
        <f t="array" ref="F193">IFERROR(INDEX(PRODUCT!$D:$D,MATCH(C193,PRODUCT!$B:$B,0)),"")</f>
        <v/>
      </c>
      <c r="G193" s="62">
        <f t="array" ref="G193">IFERROR(INDEX(PRODUCT!$E:$E,MATCH(C193,PRODUCT!$B:$B,0)),"")</f>
        <v/>
      </c>
      <c r="H193" s="62">
        <f t="array" ref="H193">IFERROR(INDEX(PRODUCT!$F:$F,MATCH(C193,PRODUCT!$B:$B,0)),"")</f>
        <v/>
      </c>
      <c r="I193" s="62">
        <f>IF(C193="","",INPUT_SYSTEM!G207)</f>
        <v/>
      </c>
      <c r="J193" s="62">
        <f>IF(C193="","",INPUT_SYSTEM!H207)</f>
        <v/>
      </c>
      <c r="K193" s="60">
        <f>IF(C193="","",INPUT_SYSTEM!J207)</f>
        <v/>
      </c>
      <c r="L193" s="62">
        <f>IF(C193="","",INPUT_SYSTEM!K207)</f>
        <v/>
      </c>
      <c r="M193" s="62">
        <f>IF(C193="","",INPUT_SYSTEM!L207)</f>
        <v/>
      </c>
      <c r="N193" s="62">
        <f>IF(U193&lt;&gt;"SI","",IF(M193&lt;&gt;"",M193,IFERROR(I193*J193*(1+K193)*L193,"")))</f>
        <v/>
      </c>
      <c r="O193" s="62">
        <f>IF(N193="","",IF(OR(H193="",H193=0),N193,ROUNDUP(N193/H193,0)))</f>
        <v/>
      </c>
      <c r="P193" s="63">
        <f t="array" ref="P193">IFERROR(INDEX(PRODUCT!$I:$I,MATCH(C193,PRODUCT!$B:$B,0)),"")</f>
        <v/>
      </c>
      <c r="Q193" s="63">
        <f>IF(C193="","",INPUT_SYSTEM!M207)</f>
        <v/>
      </c>
      <c r="R193" s="63">
        <f>IF(P193="","",P193*(1+Q193))</f>
        <v/>
      </c>
      <c r="S193" s="63">
        <f>IF(O193="","",IF(OR(H193="",H193=0),O193*P193,O193*H193*P193))</f>
        <v/>
      </c>
      <c r="T193" s="63">
        <f>IF(O193="","",IF(OR(H193="",H193=0),O193*R193,O193*H193*R193))</f>
        <v/>
      </c>
      <c r="U193" s="62">
        <f>IF(C193="","",INPUT_SYSTEM!C207)</f>
        <v/>
      </c>
      <c r="V193" s="62">
        <f>IF(C193="","",INPUT_SYSTEM!N207)</f>
        <v/>
      </c>
    </row>
    <row r="194" ht="15.75" customHeight="1" s="125">
      <c r="A194" s="62">
        <f>IF(INPUT_SYSTEM!D208="","",INPUT_SYSTEM!A208)</f>
        <v/>
      </c>
      <c r="B194" s="62">
        <f>IF(INPUT_SYSTEM!D208="","",INPUT_SYSTEM!B208)</f>
        <v/>
      </c>
      <c r="C194" s="62">
        <f>IF(INPUT_SYSTEM!D208="","",INPUT_SYSTEM!D208)</f>
        <v/>
      </c>
      <c r="D194" s="62">
        <f>IF(C194="","",INPUT_SYSTEM!E208)</f>
        <v/>
      </c>
      <c r="E194" s="62">
        <f>IF(C194="","",INPUT_SYSTEM!F208)</f>
        <v/>
      </c>
      <c r="F194" s="62">
        <f t="array" ref="F194">IFERROR(INDEX(PRODUCT!$D:$D,MATCH(C194,PRODUCT!$B:$B,0)),"")</f>
        <v/>
      </c>
      <c r="G194" s="62">
        <f t="array" ref="G194">IFERROR(INDEX(PRODUCT!$E:$E,MATCH(C194,PRODUCT!$B:$B,0)),"")</f>
        <v/>
      </c>
      <c r="H194" s="62">
        <f t="array" ref="H194">IFERROR(INDEX(PRODUCT!$F:$F,MATCH(C194,PRODUCT!$B:$B,0)),"")</f>
        <v/>
      </c>
      <c r="I194" s="62">
        <f>IF(C194="","",INPUT_SYSTEM!G208)</f>
        <v/>
      </c>
      <c r="J194" s="62">
        <f>IF(C194="","",INPUT_SYSTEM!H208)</f>
        <v/>
      </c>
      <c r="K194" s="60">
        <f>IF(C194="","",INPUT_SYSTEM!J208)</f>
        <v/>
      </c>
      <c r="L194" s="62">
        <f>IF(C194="","",INPUT_SYSTEM!K208)</f>
        <v/>
      </c>
      <c r="M194" s="62">
        <f>IF(C194="","",INPUT_SYSTEM!L208)</f>
        <v/>
      </c>
      <c r="N194" s="62">
        <f>IF(U194&lt;&gt;"SI","",IF(M194&lt;&gt;"",M194,IFERROR(I194*J194*(1+K194)*L194,"")))</f>
        <v/>
      </c>
      <c r="O194" s="62">
        <f>IF(N194="","",IF(OR(H194="",H194=0),N194,ROUNDUP(N194/H194,0)))</f>
        <v/>
      </c>
      <c r="P194" s="63">
        <f t="array" ref="P194">IFERROR(INDEX(PRODUCT!$I:$I,MATCH(C194,PRODUCT!$B:$B,0)),"")</f>
        <v/>
      </c>
      <c r="Q194" s="63">
        <f>IF(C194="","",INPUT_SYSTEM!M208)</f>
        <v/>
      </c>
      <c r="R194" s="63">
        <f>IF(P194="","",P194*(1+Q194))</f>
        <v/>
      </c>
      <c r="S194" s="63">
        <f>IF(O194="","",IF(OR(H194="",H194=0),O194*P194,O194*H194*P194))</f>
        <v/>
      </c>
      <c r="T194" s="63">
        <f>IF(O194="","",IF(OR(H194="",H194=0),O194*R194,O194*H194*R194))</f>
        <v/>
      </c>
      <c r="U194" s="62">
        <f>IF(C194="","",INPUT_SYSTEM!C208)</f>
        <v/>
      </c>
      <c r="V194" s="62">
        <f>IF(C194="","",INPUT_SYSTEM!N208)</f>
        <v/>
      </c>
    </row>
    <row r="195" ht="15.75" customHeight="1" s="125">
      <c r="A195" s="62">
        <f>IF(INPUT_SYSTEM!D209="","",INPUT_SYSTEM!A209)</f>
        <v/>
      </c>
      <c r="B195" s="62">
        <f>IF(INPUT_SYSTEM!D209="","",INPUT_SYSTEM!B209)</f>
        <v/>
      </c>
      <c r="C195" s="62">
        <f>IF(INPUT_SYSTEM!D209="","",INPUT_SYSTEM!D209)</f>
        <v/>
      </c>
      <c r="D195" s="62">
        <f>IF(C195="","",INPUT_SYSTEM!E209)</f>
        <v/>
      </c>
      <c r="E195" s="62">
        <f>IF(C195="","",INPUT_SYSTEM!F209)</f>
        <v/>
      </c>
      <c r="F195" s="62">
        <f t="array" ref="F195">IFERROR(INDEX(PRODUCT!$D:$D,MATCH(C195,PRODUCT!$B:$B,0)),"")</f>
        <v/>
      </c>
      <c r="G195" s="62">
        <f t="array" ref="G195">IFERROR(INDEX(PRODUCT!$E:$E,MATCH(C195,PRODUCT!$B:$B,0)),"")</f>
        <v/>
      </c>
      <c r="H195" s="62">
        <f t="array" ref="H195">IFERROR(INDEX(PRODUCT!$F:$F,MATCH(C195,PRODUCT!$B:$B,0)),"")</f>
        <v/>
      </c>
      <c r="I195" s="62">
        <f>IF(C195="","",INPUT_SYSTEM!G209)</f>
        <v/>
      </c>
      <c r="J195" s="62">
        <f>IF(C195="","",INPUT_SYSTEM!H209)</f>
        <v/>
      </c>
      <c r="K195" s="60">
        <f>IF(C195="","",INPUT_SYSTEM!J209)</f>
        <v/>
      </c>
      <c r="L195" s="62">
        <f>IF(C195="","",INPUT_SYSTEM!K209)</f>
        <v/>
      </c>
      <c r="M195" s="62">
        <f>IF(C195="","",INPUT_SYSTEM!L209)</f>
        <v/>
      </c>
      <c r="N195" s="62">
        <f>IF(U195&lt;&gt;"SI","",IF(M195&lt;&gt;"",M195,IFERROR(I195*J195*(1+K195)*L195,"")))</f>
        <v/>
      </c>
      <c r="O195" s="62">
        <f>IF(N195="","",IF(OR(H195="",H195=0),N195,ROUNDUP(N195/H195,0)))</f>
        <v/>
      </c>
      <c r="P195" s="63">
        <f t="array" ref="P195">IFERROR(INDEX(PRODUCT!$I:$I,MATCH(C195,PRODUCT!$B:$B,0)),"")</f>
        <v/>
      </c>
      <c r="Q195" s="63">
        <f>IF(C195="","",INPUT_SYSTEM!M209)</f>
        <v/>
      </c>
      <c r="R195" s="63">
        <f>IF(P195="","",P195*(1+Q195))</f>
        <v/>
      </c>
      <c r="S195" s="63">
        <f>IF(O195="","",IF(OR(H195="",H195=0),O195*P195,O195*H195*P195))</f>
        <v/>
      </c>
      <c r="T195" s="63">
        <f>IF(O195="","",IF(OR(H195="",H195=0),O195*R195,O195*H195*R195))</f>
        <v/>
      </c>
      <c r="U195" s="62">
        <f>IF(C195="","",INPUT_SYSTEM!C209)</f>
        <v/>
      </c>
      <c r="V195" s="62">
        <f>IF(C195="","",INPUT_SYSTEM!N209)</f>
        <v/>
      </c>
    </row>
    <row r="196" ht="15.75" customHeight="1" s="125">
      <c r="A196" s="62">
        <f>IF(INPUT_SYSTEM!D210="","",INPUT_SYSTEM!A210)</f>
        <v/>
      </c>
      <c r="B196" s="62">
        <f>IF(INPUT_SYSTEM!D210="","",INPUT_SYSTEM!B210)</f>
        <v/>
      </c>
      <c r="C196" s="62">
        <f>IF(INPUT_SYSTEM!D210="","",INPUT_SYSTEM!D210)</f>
        <v/>
      </c>
      <c r="D196" s="62">
        <f>IF(C196="","",INPUT_SYSTEM!E210)</f>
        <v/>
      </c>
      <c r="E196" s="62">
        <f>IF(C196="","",INPUT_SYSTEM!F210)</f>
        <v/>
      </c>
      <c r="F196" s="62">
        <f t="array" ref="F196">IFERROR(INDEX(PRODUCT!$D:$D,MATCH(C196,PRODUCT!$B:$B,0)),"")</f>
        <v/>
      </c>
      <c r="G196" s="62">
        <f t="array" ref="G196">IFERROR(INDEX(PRODUCT!$E:$E,MATCH(C196,PRODUCT!$B:$B,0)),"")</f>
        <v/>
      </c>
      <c r="H196" s="62">
        <f t="array" ref="H196">IFERROR(INDEX(PRODUCT!$F:$F,MATCH(C196,PRODUCT!$B:$B,0)),"")</f>
        <v/>
      </c>
      <c r="I196" s="62">
        <f>IF(C196="","",INPUT_SYSTEM!G210)</f>
        <v/>
      </c>
      <c r="J196" s="62">
        <f>IF(C196="","",INPUT_SYSTEM!H210)</f>
        <v/>
      </c>
      <c r="K196" s="60">
        <f>IF(C196="","",INPUT_SYSTEM!J210)</f>
        <v/>
      </c>
      <c r="L196" s="62">
        <f>IF(C196="","",INPUT_SYSTEM!K210)</f>
        <v/>
      </c>
      <c r="M196" s="62">
        <f>IF(C196="","",INPUT_SYSTEM!L210)</f>
        <v/>
      </c>
      <c r="N196" s="62">
        <f>IF(U196&lt;&gt;"SI","",IF(M196&lt;&gt;"",M196,IFERROR(I196*J196*(1+K196)*L196,"")))</f>
        <v/>
      </c>
      <c r="O196" s="62">
        <f>IF(N196="","",IF(OR(H196="",H196=0),N196,ROUNDUP(N196/H196,0)))</f>
        <v/>
      </c>
      <c r="P196" s="63">
        <f t="array" ref="P196">IFERROR(INDEX(PRODUCT!$I:$I,MATCH(C196,PRODUCT!$B:$B,0)),"")</f>
        <v/>
      </c>
      <c r="Q196" s="63">
        <f>IF(C196="","",INPUT_SYSTEM!M210)</f>
        <v/>
      </c>
      <c r="R196" s="63">
        <f>IF(P196="","",P196*(1+Q196))</f>
        <v/>
      </c>
      <c r="S196" s="63">
        <f>IF(O196="","",IF(OR(H196="",H196=0),O196*P196,O196*H196*P196))</f>
        <v/>
      </c>
      <c r="T196" s="63">
        <f>IF(O196="","",IF(OR(H196="",H196=0),O196*R196,O196*H196*R196))</f>
        <v/>
      </c>
      <c r="U196" s="62">
        <f>IF(C196="","",INPUT_SYSTEM!C210)</f>
        <v/>
      </c>
      <c r="V196" s="62">
        <f>IF(C196="","",INPUT_SYSTEM!N210)</f>
        <v/>
      </c>
    </row>
    <row r="197" ht="15.75" customHeight="1" s="125">
      <c r="A197" s="62">
        <f>IF(INPUT_SYSTEM!D211="","",INPUT_SYSTEM!A211)</f>
        <v/>
      </c>
      <c r="B197" s="62">
        <f>IF(INPUT_SYSTEM!D211="","",INPUT_SYSTEM!B211)</f>
        <v/>
      </c>
      <c r="C197" s="62">
        <f>IF(INPUT_SYSTEM!D211="","",INPUT_SYSTEM!D211)</f>
        <v/>
      </c>
      <c r="D197" s="62">
        <f>IF(C197="","",INPUT_SYSTEM!E211)</f>
        <v/>
      </c>
      <c r="E197" s="62">
        <f>IF(C197="","",INPUT_SYSTEM!F211)</f>
        <v/>
      </c>
      <c r="F197" s="62">
        <f t="array" ref="F197">IFERROR(INDEX(PRODUCT!$D:$D,MATCH(C197,PRODUCT!$B:$B,0)),"")</f>
        <v/>
      </c>
      <c r="G197" s="62">
        <f t="array" ref="G197">IFERROR(INDEX(PRODUCT!$E:$E,MATCH(C197,PRODUCT!$B:$B,0)),"")</f>
        <v/>
      </c>
      <c r="H197" s="62">
        <f t="array" ref="H197">IFERROR(INDEX(PRODUCT!$F:$F,MATCH(C197,PRODUCT!$B:$B,0)),"")</f>
        <v/>
      </c>
      <c r="I197" s="62">
        <f>IF(C197="","",INPUT_SYSTEM!G211)</f>
        <v/>
      </c>
      <c r="J197" s="62">
        <f>IF(C197="","",INPUT_SYSTEM!H211)</f>
        <v/>
      </c>
      <c r="K197" s="60">
        <f>IF(C197="","",INPUT_SYSTEM!J211)</f>
        <v/>
      </c>
      <c r="L197" s="62">
        <f>IF(C197="","",INPUT_SYSTEM!K211)</f>
        <v/>
      </c>
      <c r="M197" s="62">
        <f>IF(C197="","",INPUT_SYSTEM!L211)</f>
        <v/>
      </c>
      <c r="N197" s="62">
        <f>IF(U197&lt;&gt;"SI","",IF(M197&lt;&gt;"",M197,IFERROR(I197*J197*(1+K197)*L197,"")))</f>
        <v/>
      </c>
      <c r="O197" s="62">
        <f>IF(N197="","",IF(OR(H197="",H197=0),N197,ROUNDUP(N197/H197,0)))</f>
        <v/>
      </c>
      <c r="P197" s="63">
        <f t="array" ref="P197">IFERROR(INDEX(PRODUCT!$I:$I,MATCH(C197,PRODUCT!$B:$B,0)),"")</f>
        <v/>
      </c>
      <c r="Q197" s="63">
        <f>IF(C197="","",INPUT_SYSTEM!M211)</f>
        <v/>
      </c>
      <c r="R197" s="63">
        <f>IF(P197="","",P197*(1+Q197))</f>
        <v/>
      </c>
      <c r="S197" s="63">
        <f>IF(O197="","",IF(OR(H197="",H197=0),O197*P197,O197*H197*P197))</f>
        <v/>
      </c>
      <c r="T197" s="63">
        <f>IF(O197="","",IF(OR(H197="",H197=0),O197*R197,O197*H197*R197))</f>
        <v/>
      </c>
      <c r="U197" s="62">
        <f>IF(C197="","",INPUT_SYSTEM!C211)</f>
        <v/>
      </c>
      <c r="V197" s="62">
        <f>IF(C197="","",INPUT_SYSTEM!N211)</f>
        <v/>
      </c>
    </row>
    <row r="198" ht="15.75" customHeight="1" s="125">
      <c r="A198" s="62">
        <f>IF(INPUT_SYSTEM!D212="","",INPUT_SYSTEM!A212)</f>
        <v/>
      </c>
      <c r="B198" s="62">
        <f>IF(INPUT_SYSTEM!D212="","",INPUT_SYSTEM!B212)</f>
        <v/>
      </c>
      <c r="C198" s="62">
        <f>IF(INPUT_SYSTEM!D212="","",INPUT_SYSTEM!D212)</f>
        <v/>
      </c>
      <c r="D198" s="62">
        <f>IF(C198="","",INPUT_SYSTEM!E212)</f>
        <v/>
      </c>
      <c r="E198" s="62">
        <f>IF(C198="","",INPUT_SYSTEM!F212)</f>
        <v/>
      </c>
      <c r="F198" s="62">
        <f t="array" ref="F198">IFERROR(INDEX(PRODUCT!$D:$D,MATCH(C198,PRODUCT!$B:$B,0)),"")</f>
        <v/>
      </c>
      <c r="G198" s="62">
        <f t="array" ref="G198">IFERROR(INDEX(PRODUCT!$E:$E,MATCH(C198,PRODUCT!$B:$B,0)),"")</f>
        <v/>
      </c>
      <c r="H198" s="62">
        <f t="array" ref="H198">IFERROR(INDEX(PRODUCT!$F:$F,MATCH(C198,PRODUCT!$B:$B,0)),"")</f>
        <v/>
      </c>
      <c r="I198" s="62">
        <f>IF(C198="","",INPUT_SYSTEM!G212)</f>
        <v/>
      </c>
      <c r="J198" s="62">
        <f>IF(C198="","",INPUT_SYSTEM!H212)</f>
        <v/>
      </c>
      <c r="K198" s="60">
        <f>IF(C198="","",INPUT_SYSTEM!J212)</f>
        <v/>
      </c>
      <c r="L198" s="62">
        <f>IF(C198="","",INPUT_SYSTEM!K212)</f>
        <v/>
      </c>
      <c r="M198" s="62">
        <f>IF(C198="","",INPUT_SYSTEM!L212)</f>
        <v/>
      </c>
      <c r="N198" s="62">
        <f>IF(U198&lt;&gt;"SI","",IF(M198&lt;&gt;"",M198,IFERROR(I198*J198*(1+K198)*L198,"")))</f>
        <v/>
      </c>
      <c r="O198" s="62">
        <f>IF(N198="","",IF(OR(H198="",H198=0),N198,ROUNDUP(N198/H198,0)))</f>
        <v/>
      </c>
      <c r="P198" s="63">
        <f t="array" ref="P198">IFERROR(INDEX(PRODUCT!$I:$I,MATCH(C198,PRODUCT!$B:$B,0)),"")</f>
        <v/>
      </c>
      <c r="Q198" s="63">
        <f>IF(C198="","",INPUT_SYSTEM!M212)</f>
        <v/>
      </c>
      <c r="R198" s="63">
        <f>IF(P198="","",P198*(1+Q198))</f>
        <v/>
      </c>
      <c r="S198" s="63">
        <f>IF(O198="","",IF(OR(H198="",H198=0),O198*P198,O198*H198*P198))</f>
        <v/>
      </c>
      <c r="T198" s="63">
        <f>IF(O198="","",IF(OR(H198="",H198=0),O198*R198,O198*H198*R198))</f>
        <v/>
      </c>
      <c r="U198" s="62">
        <f>IF(C198="","",INPUT_SYSTEM!C212)</f>
        <v/>
      </c>
      <c r="V198" s="62">
        <f>IF(C198="","",INPUT_SYSTEM!N212)</f>
        <v/>
      </c>
    </row>
    <row r="199" ht="15.75" customHeight="1" s="125">
      <c r="A199" s="62">
        <f>IF(INPUT_SYSTEM!D213="","",INPUT_SYSTEM!A213)</f>
        <v/>
      </c>
      <c r="B199" s="62">
        <f>IF(INPUT_SYSTEM!D213="","",INPUT_SYSTEM!B213)</f>
        <v/>
      </c>
      <c r="C199" s="62">
        <f>IF(INPUT_SYSTEM!D213="","",INPUT_SYSTEM!D213)</f>
        <v/>
      </c>
      <c r="D199" s="62">
        <f>IF(C199="","",INPUT_SYSTEM!E213)</f>
        <v/>
      </c>
      <c r="E199" s="62">
        <f>IF(C199="","",INPUT_SYSTEM!F213)</f>
        <v/>
      </c>
      <c r="F199" s="62">
        <f t="array" ref="F199">IFERROR(INDEX(PRODUCT!$D:$D,MATCH(C199,PRODUCT!$B:$B,0)),"")</f>
        <v/>
      </c>
      <c r="G199" s="62">
        <f t="array" ref="G199">IFERROR(INDEX(PRODUCT!$E:$E,MATCH(C199,PRODUCT!$B:$B,0)),"")</f>
        <v/>
      </c>
      <c r="H199" s="62">
        <f t="array" ref="H199">IFERROR(INDEX(PRODUCT!$F:$F,MATCH(C199,PRODUCT!$B:$B,0)),"")</f>
        <v/>
      </c>
      <c r="I199" s="62">
        <f>IF(C199="","",INPUT_SYSTEM!G213)</f>
        <v/>
      </c>
      <c r="J199" s="62">
        <f>IF(C199="","",INPUT_SYSTEM!H213)</f>
        <v/>
      </c>
      <c r="K199" s="60">
        <f>IF(C199="","",INPUT_SYSTEM!J213)</f>
        <v/>
      </c>
      <c r="L199" s="62">
        <f>IF(C199="","",INPUT_SYSTEM!K213)</f>
        <v/>
      </c>
      <c r="M199" s="62">
        <f>IF(C199="","",INPUT_SYSTEM!L213)</f>
        <v/>
      </c>
      <c r="N199" s="62">
        <f>IF(U199&lt;&gt;"SI","",IF(M199&lt;&gt;"",M199,IFERROR(I199*J199*(1+K199)*L199,"")))</f>
        <v/>
      </c>
      <c r="O199" s="62">
        <f>IF(N199="","",IF(OR(H199="",H199=0),N199,ROUNDUP(N199/H199,0)))</f>
        <v/>
      </c>
      <c r="P199" s="63">
        <f t="array" ref="P199">IFERROR(INDEX(PRODUCT!$I:$I,MATCH(C199,PRODUCT!$B:$B,0)),"")</f>
        <v/>
      </c>
      <c r="Q199" s="63">
        <f>IF(C199="","",INPUT_SYSTEM!M213)</f>
        <v/>
      </c>
      <c r="R199" s="63">
        <f>IF(P199="","",P199*(1+Q199))</f>
        <v/>
      </c>
      <c r="S199" s="63">
        <f>IF(O199="","",IF(OR(H199="",H199=0),O199*P199,O199*H199*P199))</f>
        <v/>
      </c>
      <c r="T199" s="63">
        <f>IF(O199="","",IF(OR(H199="",H199=0),O199*R199,O199*H199*R199))</f>
        <v/>
      </c>
      <c r="U199" s="62">
        <f>IF(C199="","",INPUT_SYSTEM!C213)</f>
        <v/>
      </c>
      <c r="V199" s="62">
        <f>IF(C199="","",INPUT_SYSTEM!N213)</f>
        <v/>
      </c>
    </row>
    <row r="200" ht="15.75" customHeight="1" s="125">
      <c r="A200" s="62">
        <f>IF(INPUT_SYSTEM!D214="","",INPUT_SYSTEM!A214)</f>
        <v/>
      </c>
      <c r="B200" s="62">
        <f>IF(INPUT_SYSTEM!D214="","",INPUT_SYSTEM!B214)</f>
        <v/>
      </c>
      <c r="C200" s="62">
        <f>IF(INPUT_SYSTEM!D214="","",INPUT_SYSTEM!D214)</f>
        <v/>
      </c>
      <c r="D200" s="62">
        <f>IF(C200="","",INPUT_SYSTEM!E214)</f>
        <v/>
      </c>
      <c r="E200" s="62">
        <f>IF(C200="","",INPUT_SYSTEM!F214)</f>
        <v/>
      </c>
      <c r="F200" s="62">
        <f t="array" ref="F200">IFERROR(INDEX(PRODUCT!$D:$D,MATCH(C200,PRODUCT!$B:$B,0)),"")</f>
        <v/>
      </c>
      <c r="G200" s="62">
        <f t="array" ref="G200">IFERROR(INDEX(PRODUCT!$E:$E,MATCH(C200,PRODUCT!$B:$B,0)),"")</f>
        <v/>
      </c>
      <c r="H200" s="62">
        <f t="array" ref="H200">IFERROR(INDEX(PRODUCT!$F:$F,MATCH(C200,PRODUCT!$B:$B,0)),"")</f>
        <v/>
      </c>
      <c r="I200" s="62">
        <f>IF(C200="","",INPUT_SYSTEM!G214)</f>
        <v/>
      </c>
      <c r="J200" s="62">
        <f>IF(C200="","",INPUT_SYSTEM!H214)</f>
        <v/>
      </c>
      <c r="K200" s="60">
        <f>IF(C200="","",INPUT_SYSTEM!J214)</f>
        <v/>
      </c>
      <c r="L200" s="62">
        <f>IF(C200="","",INPUT_SYSTEM!K214)</f>
        <v/>
      </c>
      <c r="M200" s="62">
        <f>IF(C200="","",INPUT_SYSTEM!L214)</f>
        <v/>
      </c>
      <c r="N200" s="62">
        <f>IF(U200&lt;&gt;"SI","",IF(M200&lt;&gt;"",M200,IFERROR(I200*J200*(1+K200)*L200,"")))</f>
        <v/>
      </c>
      <c r="O200" s="62">
        <f>IF(N200="","",IF(OR(H200="",H200=0),N200,ROUNDUP(N200/H200,0)))</f>
        <v/>
      </c>
      <c r="P200" s="63">
        <f t="array" ref="P200">IFERROR(INDEX(PRODUCT!$I:$I,MATCH(C200,PRODUCT!$B:$B,0)),"")</f>
        <v/>
      </c>
      <c r="Q200" s="63">
        <f>IF(C200="","",INPUT_SYSTEM!M214)</f>
        <v/>
      </c>
      <c r="R200" s="63">
        <f>IF(P200="","",P200*(1+Q200))</f>
        <v/>
      </c>
      <c r="S200" s="63">
        <f>IF(O200="","",IF(OR(H200="",H200=0),O200*P200,O200*H200*P200))</f>
        <v/>
      </c>
      <c r="T200" s="63">
        <f>IF(O200="","",IF(OR(H200="",H200=0),O200*R200,O200*H200*R200))</f>
        <v/>
      </c>
      <c r="U200" s="62">
        <f>IF(C200="","",INPUT_SYSTEM!C214)</f>
        <v/>
      </c>
      <c r="V200" s="62">
        <f>IF(C200="","",INPUT_SYSTEM!N214)</f>
        <v/>
      </c>
    </row>
    <row r="201" ht="15.75" customHeight="1" s="125">
      <c r="A201" s="62">
        <f>IF(INPUT_SYSTEM!D215="","",INPUT_SYSTEM!A215)</f>
        <v/>
      </c>
      <c r="B201" s="62">
        <f>IF(INPUT_SYSTEM!D215="","",INPUT_SYSTEM!B215)</f>
        <v/>
      </c>
      <c r="C201" s="62">
        <f>IF(INPUT_SYSTEM!D215="","",INPUT_SYSTEM!D215)</f>
        <v/>
      </c>
      <c r="D201" s="62">
        <f>IF(C201="","",INPUT_SYSTEM!E215)</f>
        <v/>
      </c>
      <c r="E201" s="62">
        <f>IF(C201="","",INPUT_SYSTEM!F215)</f>
        <v/>
      </c>
      <c r="F201" s="62">
        <f t="array" ref="F201">IFERROR(INDEX(PRODUCT!$D:$D,MATCH(C201,PRODUCT!$B:$B,0)),"")</f>
        <v/>
      </c>
      <c r="G201" s="62">
        <f t="array" ref="G201">IFERROR(INDEX(PRODUCT!$E:$E,MATCH(C201,PRODUCT!$B:$B,0)),"")</f>
        <v/>
      </c>
      <c r="H201" s="62">
        <f t="array" ref="H201">IFERROR(INDEX(PRODUCT!$F:$F,MATCH(C201,PRODUCT!$B:$B,0)),"")</f>
        <v/>
      </c>
      <c r="I201" s="62">
        <f>IF(C201="","",INPUT_SYSTEM!G215)</f>
        <v/>
      </c>
      <c r="J201" s="62">
        <f>IF(C201="","",INPUT_SYSTEM!H215)</f>
        <v/>
      </c>
      <c r="K201" s="60">
        <f>IF(C201="","",INPUT_SYSTEM!J215)</f>
        <v/>
      </c>
      <c r="L201" s="62">
        <f>IF(C201="","",INPUT_SYSTEM!K215)</f>
        <v/>
      </c>
      <c r="M201" s="62">
        <f>IF(C201="","",INPUT_SYSTEM!L215)</f>
        <v/>
      </c>
      <c r="N201" s="62">
        <f>IF(U201&lt;&gt;"SI","",IF(M201&lt;&gt;"",M201,IFERROR(I201*J201*(1+K201)*L201,"")))</f>
        <v/>
      </c>
      <c r="O201" s="62">
        <f>IF(N201="","",IF(OR(H201="",H201=0),N201,ROUNDUP(N201/H201,0)))</f>
        <v/>
      </c>
      <c r="P201" s="63">
        <f t="array" ref="P201">IFERROR(INDEX(PRODUCT!$I:$I,MATCH(C201,PRODUCT!$B:$B,0)),"")</f>
        <v/>
      </c>
      <c r="Q201" s="63">
        <f>IF(C201="","",INPUT_SYSTEM!M215)</f>
        <v/>
      </c>
      <c r="R201" s="63">
        <f>IF(P201="","",P201*(1+Q201))</f>
        <v/>
      </c>
      <c r="S201" s="63">
        <f>IF(O201="","",IF(OR(H201="",H201=0),O201*P201,O201*H201*P201))</f>
        <v/>
      </c>
      <c r="T201" s="63">
        <f>IF(O201="","",IF(OR(H201="",H201=0),O201*R201,O201*H201*R201))</f>
        <v/>
      </c>
      <c r="U201" s="62">
        <f>IF(C201="","",INPUT_SYSTEM!C215)</f>
        <v/>
      </c>
      <c r="V201" s="62">
        <f>IF(C201="","",INPUT_SYSTEM!N215)</f>
        <v/>
      </c>
    </row>
    <row r="202" ht="15.75" customHeight="1" s="125">
      <c r="A202" s="62">
        <f>IF(INPUT_SYSTEM!D216="","",INPUT_SYSTEM!A216)</f>
        <v/>
      </c>
      <c r="B202" s="62">
        <f>IF(INPUT_SYSTEM!D216="","",INPUT_SYSTEM!B216)</f>
        <v/>
      </c>
      <c r="C202" s="62">
        <f>IF(INPUT_SYSTEM!D216="","",INPUT_SYSTEM!D216)</f>
        <v/>
      </c>
      <c r="D202" s="62">
        <f>IF(C202="","",INPUT_SYSTEM!E216)</f>
        <v/>
      </c>
      <c r="E202" s="62">
        <f>IF(C202="","",INPUT_SYSTEM!F216)</f>
        <v/>
      </c>
      <c r="F202" s="62">
        <f t="array" ref="F202">IFERROR(INDEX(PRODUCT!$D:$D,MATCH(C202,PRODUCT!$B:$B,0)),"")</f>
        <v/>
      </c>
      <c r="G202" s="62">
        <f t="array" ref="G202">IFERROR(INDEX(PRODUCT!$E:$E,MATCH(C202,PRODUCT!$B:$B,0)),"")</f>
        <v/>
      </c>
      <c r="H202" s="62">
        <f t="array" ref="H202">IFERROR(INDEX(PRODUCT!$F:$F,MATCH(C202,PRODUCT!$B:$B,0)),"")</f>
        <v/>
      </c>
      <c r="I202" s="62">
        <f>IF(C202="","",INPUT_SYSTEM!G216)</f>
        <v/>
      </c>
      <c r="J202" s="62">
        <f>IF(C202="","",INPUT_SYSTEM!H216)</f>
        <v/>
      </c>
      <c r="K202" s="60">
        <f>IF(C202="","",INPUT_SYSTEM!J216)</f>
        <v/>
      </c>
      <c r="L202" s="62">
        <f>IF(C202="","",INPUT_SYSTEM!K216)</f>
        <v/>
      </c>
      <c r="M202" s="62">
        <f>IF(C202="","",INPUT_SYSTEM!L216)</f>
        <v/>
      </c>
      <c r="N202" s="62">
        <f>IF(U202&lt;&gt;"SI","",IF(M202&lt;&gt;"",M202,IFERROR(I202*J202*(1+K202)*L202,"")))</f>
        <v/>
      </c>
      <c r="O202" s="62">
        <f>IF(N202="","",IF(OR(H202="",H202=0),N202,ROUNDUP(N202/H202,0)))</f>
        <v/>
      </c>
      <c r="P202" s="63">
        <f t="array" ref="P202">IFERROR(INDEX(PRODUCT!$I:$I,MATCH(C202,PRODUCT!$B:$B,0)),"")</f>
        <v/>
      </c>
      <c r="Q202" s="63">
        <f>IF(C202="","",INPUT_SYSTEM!M216)</f>
        <v/>
      </c>
      <c r="R202" s="63">
        <f>IF(P202="","",P202*(1+Q202))</f>
        <v/>
      </c>
      <c r="S202" s="63">
        <f>IF(O202="","",IF(OR(H202="",H202=0),O202*P202,O202*H202*P202))</f>
        <v/>
      </c>
      <c r="T202" s="63">
        <f>IF(O202="","",IF(OR(H202="",H202=0),O202*R202,O202*H202*R202))</f>
        <v/>
      </c>
      <c r="U202" s="62">
        <f>IF(C202="","",INPUT_SYSTEM!C216)</f>
        <v/>
      </c>
      <c r="V202" s="62">
        <f>IF(C202="","",INPUT_SYSTEM!N216)</f>
        <v/>
      </c>
    </row>
    <row r="203" ht="15.75" customHeight="1" s="125">
      <c r="A203" s="62">
        <f>IF(INPUT_SYSTEM!D217="","",INPUT_SYSTEM!A217)</f>
        <v/>
      </c>
      <c r="B203" s="62">
        <f>IF(INPUT_SYSTEM!D217="","",INPUT_SYSTEM!B217)</f>
        <v/>
      </c>
      <c r="C203" s="62">
        <f>IF(INPUT_SYSTEM!D217="","",INPUT_SYSTEM!D217)</f>
        <v/>
      </c>
      <c r="D203" s="62">
        <f>IF(C203="","",INPUT_SYSTEM!E217)</f>
        <v/>
      </c>
      <c r="E203" s="62">
        <f>IF(C203="","",INPUT_SYSTEM!F217)</f>
        <v/>
      </c>
      <c r="F203" s="62">
        <f t="array" ref="F203">IFERROR(INDEX(PRODUCT!$D:$D,MATCH(C203,PRODUCT!$B:$B,0)),"")</f>
        <v/>
      </c>
      <c r="G203" s="62">
        <f t="array" ref="G203">IFERROR(INDEX(PRODUCT!$E:$E,MATCH(C203,PRODUCT!$B:$B,0)),"")</f>
        <v/>
      </c>
      <c r="H203" s="62">
        <f t="array" ref="H203">IFERROR(INDEX(PRODUCT!$F:$F,MATCH(C203,PRODUCT!$B:$B,0)),"")</f>
        <v/>
      </c>
      <c r="I203" s="62">
        <f>IF(C203="","",INPUT_SYSTEM!G217)</f>
        <v/>
      </c>
      <c r="J203" s="62">
        <f>IF(C203="","",INPUT_SYSTEM!H217)</f>
        <v/>
      </c>
      <c r="K203" s="60">
        <f>IF(C203="","",INPUT_SYSTEM!J217)</f>
        <v/>
      </c>
      <c r="L203" s="62">
        <f>IF(C203="","",INPUT_SYSTEM!K217)</f>
        <v/>
      </c>
      <c r="M203" s="62">
        <f>IF(C203="","",INPUT_SYSTEM!L217)</f>
        <v/>
      </c>
      <c r="N203" s="62">
        <f>IF(U203&lt;&gt;"SI","",IF(M203&lt;&gt;"",M203,IFERROR(I203*J203*(1+K203)*L203,"")))</f>
        <v/>
      </c>
      <c r="O203" s="62">
        <f>IF(N203="","",IF(OR(H203="",H203=0),N203,ROUNDUP(N203/H203,0)))</f>
        <v/>
      </c>
      <c r="P203" s="63">
        <f t="array" ref="P203">IFERROR(INDEX(PRODUCT!$I:$I,MATCH(C203,PRODUCT!$B:$B,0)),"")</f>
        <v/>
      </c>
      <c r="Q203" s="63">
        <f>IF(C203="","",INPUT_SYSTEM!M217)</f>
        <v/>
      </c>
      <c r="R203" s="63">
        <f>IF(P203="","",P203*(1+Q203))</f>
        <v/>
      </c>
      <c r="S203" s="63">
        <f>IF(O203="","",IF(OR(H203="",H203=0),O203*P203,O203*H203*P203))</f>
        <v/>
      </c>
      <c r="T203" s="63">
        <f>IF(O203="","",IF(OR(H203="",H203=0),O203*R203,O203*H203*R203))</f>
        <v/>
      </c>
      <c r="U203" s="62">
        <f>IF(C203="","",INPUT_SYSTEM!C217)</f>
        <v/>
      </c>
      <c r="V203" s="62">
        <f>IF(C203="","",INPUT_SYSTEM!N217)</f>
        <v/>
      </c>
    </row>
    <row r="204" ht="15.75" customHeight="1" s="125">
      <c r="A204" s="62">
        <f>IF(INPUT_SYSTEM!D218="","",INPUT_SYSTEM!A218)</f>
        <v/>
      </c>
      <c r="B204" s="62">
        <f>IF(INPUT_SYSTEM!D218="","",INPUT_SYSTEM!B218)</f>
        <v/>
      </c>
      <c r="C204" s="62">
        <f>IF(INPUT_SYSTEM!D218="","",INPUT_SYSTEM!D218)</f>
        <v/>
      </c>
      <c r="D204" s="62">
        <f>IF(C204="","",INPUT_SYSTEM!E218)</f>
        <v/>
      </c>
      <c r="E204" s="62">
        <f>IF(C204="","",INPUT_SYSTEM!F218)</f>
        <v/>
      </c>
      <c r="F204" s="62">
        <f t="array" ref="F204">IFERROR(INDEX(PRODUCT!$D:$D,MATCH(C204,PRODUCT!$B:$B,0)),"")</f>
        <v/>
      </c>
      <c r="G204" s="62">
        <f t="array" ref="G204">IFERROR(INDEX(PRODUCT!$E:$E,MATCH(C204,PRODUCT!$B:$B,0)),"")</f>
        <v/>
      </c>
      <c r="H204" s="62">
        <f t="array" ref="H204">IFERROR(INDEX(PRODUCT!$F:$F,MATCH(C204,PRODUCT!$B:$B,0)),"")</f>
        <v/>
      </c>
      <c r="I204" s="62">
        <f>IF(C204="","",INPUT_SYSTEM!G218)</f>
        <v/>
      </c>
      <c r="J204" s="62">
        <f>IF(C204="","",INPUT_SYSTEM!H218)</f>
        <v/>
      </c>
      <c r="K204" s="60">
        <f>IF(C204="","",INPUT_SYSTEM!J218)</f>
        <v/>
      </c>
      <c r="L204" s="62">
        <f>IF(C204="","",INPUT_SYSTEM!K218)</f>
        <v/>
      </c>
      <c r="M204" s="62">
        <f>IF(C204="","",INPUT_SYSTEM!L218)</f>
        <v/>
      </c>
      <c r="N204" s="62">
        <f>IF(U204&lt;&gt;"SI","",IF(M204&lt;&gt;"",M204,IFERROR(I204*J204*(1+K204)*L204,"")))</f>
        <v/>
      </c>
      <c r="O204" s="62">
        <f>IF(N204="","",IF(OR(H204="",H204=0),N204,ROUNDUP(N204/H204,0)))</f>
        <v/>
      </c>
      <c r="P204" s="63">
        <f t="array" ref="P204">IFERROR(INDEX(PRODUCT!$I:$I,MATCH(C204,PRODUCT!$B:$B,0)),"")</f>
        <v/>
      </c>
      <c r="Q204" s="63">
        <f>IF(C204="","",INPUT_SYSTEM!M218)</f>
        <v/>
      </c>
      <c r="R204" s="63">
        <f>IF(P204="","",P204*(1+Q204))</f>
        <v/>
      </c>
      <c r="S204" s="63">
        <f>IF(O204="","",IF(OR(H204="",H204=0),O204*P204,O204*H204*P204))</f>
        <v/>
      </c>
      <c r="T204" s="63">
        <f>IF(O204="","",IF(OR(H204="",H204=0),O204*R204,O204*H204*R204))</f>
        <v/>
      </c>
      <c r="U204" s="62">
        <f>IF(C204="","",INPUT_SYSTEM!C218)</f>
        <v/>
      </c>
      <c r="V204" s="62">
        <f>IF(C204="","",INPUT_SYSTEM!N218)</f>
        <v/>
      </c>
    </row>
    <row r="205" ht="15.75" customHeight="1" s="125">
      <c r="A205" s="62">
        <f>IF(INPUT_SYSTEM!D219="","",INPUT_SYSTEM!A219)</f>
        <v/>
      </c>
      <c r="B205" s="62">
        <f>IF(INPUT_SYSTEM!D219="","",INPUT_SYSTEM!B219)</f>
        <v/>
      </c>
      <c r="C205" s="62">
        <f>IF(INPUT_SYSTEM!D219="","",INPUT_SYSTEM!D219)</f>
        <v/>
      </c>
      <c r="D205" s="62">
        <f>IF(C205="","",INPUT_SYSTEM!E219)</f>
        <v/>
      </c>
      <c r="E205" s="62">
        <f>IF(C205="","",INPUT_SYSTEM!F219)</f>
        <v/>
      </c>
      <c r="F205" s="62">
        <f t="array" ref="F205">IFERROR(INDEX(PRODUCT!$D:$D,MATCH(C205,PRODUCT!$B:$B,0)),"")</f>
        <v/>
      </c>
      <c r="G205" s="62">
        <f t="array" ref="G205">IFERROR(INDEX(PRODUCT!$E:$E,MATCH(C205,PRODUCT!$B:$B,0)),"")</f>
        <v/>
      </c>
      <c r="H205" s="62">
        <f t="array" ref="H205">IFERROR(INDEX(PRODUCT!$F:$F,MATCH(C205,PRODUCT!$B:$B,0)),"")</f>
        <v/>
      </c>
      <c r="I205" s="62">
        <f>IF(C205="","",INPUT_SYSTEM!G219)</f>
        <v/>
      </c>
      <c r="J205" s="62">
        <f>IF(C205="","",INPUT_SYSTEM!H219)</f>
        <v/>
      </c>
      <c r="K205" s="60">
        <f>IF(C205="","",INPUT_SYSTEM!J219)</f>
        <v/>
      </c>
      <c r="L205" s="62">
        <f>IF(C205="","",INPUT_SYSTEM!K219)</f>
        <v/>
      </c>
      <c r="M205" s="62">
        <f>IF(C205="","",INPUT_SYSTEM!L219)</f>
        <v/>
      </c>
      <c r="N205" s="62">
        <f>IF(U205&lt;&gt;"SI","",IF(M205&lt;&gt;"",M205,IFERROR(I205*J205*(1+K205)*L205,"")))</f>
        <v/>
      </c>
      <c r="O205" s="62">
        <f>IF(N205="","",IF(OR(H205="",H205=0),N205,ROUNDUP(N205/H205,0)))</f>
        <v/>
      </c>
      <c r="P205" s="63">
        <f t="array" ref="P205">IFERROR(INDEX(PRODUCT!$I:$I,MATCH(C205,PRODUCT!$B:$B,0)),"")</f>
        <v/>
      </c>
      <c r="Q205" s="63">
        <f>IF(C205="","",INPUT_SYSTEM!M219)</f>
        <v/>
      </c>
      <c r="R205" s="63">
        <f>IF(P205="","",P205*(1+Q205))</f>
        <v/>
      </c>
      <c r="S205" s="63">
        <f>IF(O205="","",IF(OR(H205="",H205=0),O205*P205,O205*H205*P205))</f>
        <v/>
      </c>
      <c r="T205" s="63">
        <f>IF(O205="","",IF(OR(H205="",H205=0),O205*R205,O205*H205*R205))</f>
        <v/>
      </c>
      <c r="U205" s="62">
        <f>IF(C205="","",INPUT_SYSTEM!C219)</f>
        <v/>
      </c>
      <c r="V205" s="62">
        <f>IF(C205="","",INPUT_SYSTEM!N219)</f>
        <v/>
      </c>
    </row>
    <row r="206" ht="15.75" customHeight="1" s="125">
      <c r="A206" s="62">
        <f>IF(INPUT_SYSTEM!D220="","",INPUT_SYSTEM!A220)</f>
        <v/>
      </c>
      <c r="B206" s="62">
        <f>IF(INPUT_SYSTEM!D220="","",INPUT_SYSTEM!B220)</f>
        <v/>
      </c>
      <c r="C206" s="62">
        <f>IF(INPUT_SYSTEM!D220="","",INPUT_SYSTEM!D220)</f>
        <v/>
      </c>
      <c r="D206" s="62">
        <f>IF(C206="","",INPUT_SYSTEM!E220)</f>
        <v/>
      </c>
      <c r="E206" s="62">
        <f>IF(C206="","",INPUT_SYSTEM!F220)</f>
        <v/>
      </c>
      <c r="F206" s="62">
        <f t="array" ref="F206">IFERROR(INDEX(PRODUCT!$D:$D,MATCH(C206,PRODUCT!$B:$B,0)),"")</f>
        <v/>
      </c>
      <c r="G206" s="62">
        <f t="array" ref="G206">IFERROR(INDEX(PRODUCT!$E:$E,MATCH(C206,PRODUCT!$B:$B,0)),"")</f>
        <v/>
      </c>
      <c r="H206" s="62">
        <f t="array" ref="H206">IFERROR(INDEX(PRODUCT!$F:$F,MATCH(C206,PRODUCT!$B:$B,0)),"")</f>
        <v/>
      </c>
      <c r="I206" s="62">
        <f>IF(C206="","",INPUT_SYSTEM!G220)</f>
        <v/>
      </c>
      <c r="J206" s="62">
        <f>IF(C206="","",INPUT_SYSTEM!H220)</f>
        <v/>
      </c>
      <c r="K206" s="60">
        <f>IF(C206="","",INPUT_SYSTEM!J220)</f>
        <v/>
      </c>
      <c r="L206" s="62">
        <f>IF(C206="","",INPUT_SYSTEM!K220)</f>
        <v/>
      </c>
      <c r="M206" s="62">
        <f>IF(C206="","",INPUT_SYSTEM!L220)</f>
        <v/>
      </c>
      <c r="N206" s="62">
        <f>IF(U206&lt;&gt;"SI","",IF(M206&lt;&gt;"",M206,IFERROR(I206*J206*(1+K206)*L206,"")))</f>
        <v/>
      </c>
      <c r="O206" s="62">
        <f>IF(N206="","",IF(OR(H206="",H206=0),N206,ROUNDUP(N206/H206,0)))</f>
        <v/>
      </c>
      <c r="P206" s="63">
        <f t="array" ref="P206">IFERROR(INDEX(PRODUCT!$I:$I,MATCH(C206,PRODUCT!$B:$B,0)),"")</f>
        <v/>
      </c>
      <c r="Q206" s="63">
        <f>IF(C206="","",INPUT_SYSTEM!M220)</f>
        <v/>
      </c>
      <c r="R206" s="63">
        <f>IF(P206="","",P206*(1+Q206))</f>
        <v/>
      </c>
      <c r="S206" s="63">
        <f>IF(O206="","",IF(OR(H206="",H206=0),O206*P206,O206*H206*P206))</f>
        <v/>
      </c>
      <c r="T206" s="63">
        <f>IF(O206="","",IF(OR(H206="",H206=0),O206*R206,O206*H206*R206))</f>
        <v/>
      </c>
      <c r="U206" s="62">
        <f>IF(C206="","",INPUT_SYSTEM!C220)</f>
        <v/>
      </c>
      <c r="V206" s="62">
        <f>IF(C206="","",INPUT_SYSTEM!N220)</f>
        <v/>
      </c>
    </row>
    <row r="207" ht="15.75" customHeight="1" s="125">
      <c r="A207" s="62">
        <f>IF(INPUT_SYSTEM!D221="","",INPUT_SYSTEM!A221)</f>
        <v/>
      </c>
      <c r="B207" s="62">
        <f>IF(INPUT_SYSTEM!D221="","",INPUT_SYSTEM!B221)</f>
        <v/>
      </c>
      <c r="C207" s="62">
        <f>IF(INPUT_SYSTEM!D221="","",INPUT_SYSTEM!D221)</f>
        <v/>
      </c>
      <c r="D207" s="62">
        <f>IF(C207="","",INPUT_SYSTEM!E221)</f>
        <v/>
      </c>
      <c r="E207" s="62">
        <f>IF(C207="","",INPUT_SYSTEM!F221)</f>
        <v/>
      </c>
      <c r="F207" s="62">
        <f t="array" ref="F207">IFERROR(INDEX(PRODUCT!$D:$D,MATCH(C207,PRODUCT!$B:$B,0)),"")</f>
        <v/>
      </c>
      <c r="G207" s="62">
        <f t="array" ref="G207">IFERROR(INDEX(PRODUCT!$E:$E,MATCH(C207,PRODUCT!$B:$B,0)),"")</f>
        <v/>
      </c>
      <c r="H207" s="62">
        <f t="array" ref="H207">IFERROR(INDEX(PRODUCT!$F:$F,MATCH(C207,PRODUCT!$B:$B,0)),"")</f>
        <v/>
      </c>
      <c r="I207" s="62">
        <f>IF(C207="","",INPUT_SYSTEM!G221)</f>
        <v/>
      </c>
      <c r="J207" s="62">
        <f>IF(C207="","",INPUT_SYSTEM!H221)</f>
        <v/>
      </c>
      <c r="K207" s="60">
        <f>IF(C207="","",INPUT_SYSTEM!J221)</f>
        <v/>
      </c>
      <c r="L207" s="62">
        <f>IF(C207="","",INPUT_SYSTEM!K221)</f>
        <v/>
      </c>
      <c r="M207" s="62">
        <f>IF(C207="","",INPUT_SYSTEM!L221)</f>
        <v/>
      </c>
      <c r="N207" s="62">
        <f>IF(U207&lt;&gt;"SI","",IF(M207&lt;&gt;"",M207,IFERROR(I207*J207*(1+K207)*L207,"")))</f>
        <v/>
      </c>
      <c r="O207" s="62">
        <f>IF(N207="","",IF(OR(H207="",H207=0),N207,ROUNDUP(N207/H207,0)))</f>
        <v/>
      </c>
      <c r="P207" s="63">
        <f t="array" ref="P207">IFERROR(INDEX(PRODUCT!$I:$I,MATCH(C207,PRODUCT!$B:$B,0)),"")</f>
        <v/>
      </c>
      <c r="Q207" s="63">
        <f>IF(C207="","",INPUT_SYSTEM!M221)</f>
        <v/>
      </c>
      <c r="R207" s="63">
        <f>IF(P207="","",P207*(1+Q207))</f>
        <v/>
      </c>
      <c r="S207" s="63">
        <f>IF(O207="","",IF(OR(H207="",H207=0),O207*P207,O207*H207*P207))</f>
        <v/>
      </c>
      <c r="T207" s="63">
        <f>IF(O207="","",IF(OR(H207="",H207=0),O207*R207,O207*H207*R207))</f>
        <v/>
      </c>
      <c r="U207" s="62">
        <f>IF(C207="","",INPUT_SYSTEM!C221)</f>
        <v/>
      </c>
      <c r="V207" s="62">
        <f>IF(C207="","",INPUT_SYSTEM!N221)</f>
        <v/>
      </c>
    </row>
    <row r="208" ht="15.75" customHeight="1" s="125">
      <c r="A208" s="62">
        <f>IF(INPUT_SYSTEM!D222="","",INPUT_SYSTEM!A222)</f>
        <v/>
      </c>
      <c r="B208" s="62">
        <f>IF(INPUT_SYSTEM!D222="","",INPUT_SYSTEM!B222)</f>
        <v/>
      </c>
      <c r="C208" s="62">
        <f>IF(INPUT_SYSTEM!D222="","",INPUT_SYSTEM!D222)</f>
        <v/>
      </c>
      <c r="D208" s="62">
        <f>IF(C208="","",INPUT_SYSTEM!E222)</f>
        <v/>
      </c>
      <c r="E208" s="62">
        <f>IF(C208="","",INPUT_SYSTEM!F222)</f>
        <v/>
      </c>
      <c r="F208" s="62">
        <f t="array" ref="F208">IFERROR(INDEX(PRODUCT!$D:$D,MATCH(C208,PRODUCT!$B:$B,0)),"")</f>
        <v/>
      </c>
      <c r="G208" s="62">
        <f t="array" ref="G208">IFERROR(INDEX(PRODUCT!$E:$E,MATCH(C208,PRODUCT!$B:$B,0)),"")</f>
        <v/>
      </c>
      <c r="H208" s="62">
        <f t="array" ref="H208">IFERROR(INDEX(PRODUCT!$F:$F,MATCH(C208,PRODUCT!$B:$B,0)),"")</f>
        <v/>
      </c>
      <c r="I208" s="62">
        <f>IF(C208="","",INPUT_SYSTEM!G222)</f>
        <v/>
      </c>
      <c r="J208" s="62">
        <f>IF(C208="","",INPUT_SYSTEM!H222)</f>
        <v/>
      </c>
      <c r="K208" s="60">
        <f>IF(C208="","",INPUT_SYSTEM!J222)</f>
        <v/>
      </c>
      <c r="L208" s="62">
        <f>IF(C208="","",INPUT_SYSTEM!K222)</f>
        <v/>
      </c>
      <c r="M208" s="62">
        <f>IF(C208="","",INPUT_SYSTEM!L222)</f>
        <v/>
      </c>
      <c r="N208" s="62">
        <f>IF(U208&lt;&gt;"SI","",IF(M208&lt;&gt;"",M208,IFERROR(I208*J208*(1+K208)*L208,"")))</f>
        <v/>
      </c>
      <c r="O208" s="62">
        <f>IF(N208="","",IF(OR(H208="",H208=0),N208,ROUNDUP(N208/H208,0)))</f>
        <v/>
      </c>
      <c r="P208" s="63">
        <f t="array" ref="P208">IFERROR(INDEX(PRODUCT!$I:$I,MATCH(C208,PRODUCT!$B:$B,0)),"")</f>
        <v/>
      </c>
      <c r="Q208" s="63">
        <f>IF(C208="","",INPUT_SYSTEM!M222)</f>
        <v/>
      </c>
      <c r="R208" s="63">
        <f>IF(P208="","",P208*(1+Q208))</f>
        <v/>
      </c>
      <c r="S208" s="63">
        <f>IF(O208="","",IF(OR(H208="",H208=0),O208*P208,O208*H208*P208))</f>
        <v/>
      </c>
      <c r="T208" s="63">
        <f>IF(O208="","",IF(OR(H208="",H208=0),O208*R208,O208*H208*R208))</f>
        <v/>
      </c>
      <c r="U208" s="62">
        <f>IF(C208="","",INPUT_SYSTEM!C222)</f>
        <v/>
      </c>
      <c r="V208" s="62">
        <f>IF(C208="","",INPUT_SYSTEM!N222)</f>
        <v/>
      </c>
    </row>
    <row r="209" ht="15.75" customHeight="1" s="125">
      <c r="A209" s="62">
        <f>IF(INPUT_SYSTEM!D223="","",INPUT_SYSTEM!A223)</f>
        <v/>
      </c>
      <c r="B209" s="62">
        <f>IF(INPUT_SYSTEM!D223="","",INPUT_SYSTEM!B223)</f>
        <v/>
      </c>
      <c r="C209" s="62">
        <f>IF(INPUT_SYSTEM!D223="","",INPUT_SYSTEM!D223)</f>
        <v/>
      </c>
      <c r="D209" s="62">
        <f>IF(C209="","",INPUT_SYSTEM!E223)</f>
        <v/>
      </c>
      <c r="E209" s="62">
        <f>IF(C209="","",INPUT_SYSTEM!F223)</f>
        <v/>
      </c>
      <c r="F209" s="62">
        <f t="array" ref="F209">IFERROR(INDEX(PRODUCT!$D:$D,MATCH(C209,PRODUCT!$B:$B,0)),"")</f>
        <v/>
      </c>
      <c r="G209" s="62">
        <f t="array" ref="G209">IFERROR(INDEX(PRODUCT!$E:$E,MATCH(C209,PRODUCT!$B:$B,0)),"")</f>
        <v/>
      </c>
      <c r="H209" s="62">
        <f t="array" ref="H209">IFERROR(INDEX(PRODUCT!$F:$F,MATCH(C209,PRODUCT!$B:$B,0)),"")</f>
        <v/>
      </c>
      <c r="I209" s="62">
        <f>IF(C209="","",INPUT_SYSTEM!G223)</f>
        <v/>
      </c>
      <c r="J209" s="62">
        <f>IF(C209="","",INPUT_SYSTEM!H223)</f>
        <v/>
      </c>
      <c r="K209" s="60">
        <f>IF(C209="","",INPUT_SYSTEM!J223)</f>
        <v/>
      </c>
      <c r="L209" s="62">
        <f>IF(C209="","",INPUT_SYSTEM!K223)</f>
        <v/>
      </c>
      <c r="M209" s="62">
        <f>IF(C209="","",INPUT_SYSTEM!L223)</f>
        <v/>
      </c>
      <c r="N209" s="62">
        <f>IF(U209&lt;&gt;"SI","",IF(M209&lt;&gt;"",M209,IFERROR(I209*J209*(1+K209)*L209,"")))</f>
        <v/>
      </c>
      <c r="O209" s="62">
        <f>IF(N209="","",IF(OR(H209="",H209=0),N209,ROUNDUP(N209/H209,0)))</f>
        <v/>
      </c>
      <c r="P209" s="63">
        <f t="array" ref="P209">IFERROR(INDEX(PRODUCT!$I:$I,MATCH(C209,PRODUCT!$B:$B,0)),"")</f>
        <v/>
      </c>
      <c r="Q209" s="63">
        <f>IF(C209="","",INPUT_SYSTEM!M223)</f>
        <v/>
      </c>
      <c r="R209" s="63">
        <f>IF(P209="","",P209*(1+Q209))</f>
        <v/>
      </c>
      <c r="S209" s="63">
        <f>IF(O209="","",IF(OR(H209="",H209=0),O209*P209,O209*H209*P209))</f>
        <v/>
      </c>
      <c r="T209" s="63">
        <f>IF(O209="","",IF(OR(H209="",H209=0),O209*R209,O209*H209*R209))</f>
        <v/>
      </c>
      <c r="U209" s="62">
        <f>IF(C209="","",INPUT_SYSTEM!C223)</f>
        <v/>
      </c>
      <c r="V209" s="62">
        <f>IF(C209="","",INPUT_SYSTEM!N223)</f>
        <v/>
      </c>
    </row>
    <row r="210" ht="15.75" customHeight="1" s="125">
      <c r="A210" s="62">
        <f>IF(INPUT_SYSTEM!D224="","",INPUT_SYSTEM!A224)</f>
        <v/>
      </c>
      <c r="B210" s="62">
        <f>IF(INPUT_SYSTEM!D224="","",INPUT_SYSTEM!B224)</f>
        <v/>
      </c>
      <c r="C210" s="62">
        <f>IF(INPUT_SYSTEM!D224="","",INPUT_SYSTEM!D224)</f>
        <v/>
      </c>
      <c r="D210" s="62">
        <f>IF(C210="","",INPUT_SYSTEM!E224)</f>
        <v/>
      </c>
      <c r="E210" s="62">
        <f>IF(C210="","",INPUT_SYSTEM!F224)</f>
        <v/>
      </c>
      <c r="F210" s="62">
        <f t="array" ref="F210">IFERROR(INDEX(PRODUCT!$D:$D,MATCH(C210,PRODUCT!$B:$B,0)),"")</f>
        <v/>
      </c>
      <c r="G210" s="62">
        <f t="array" ref="G210">IFERROR(INDEX(PRODUCT!$E:$E,MATCH(C210,PRODUCT!$B:$B,0)),"")</f>
        <v/>
      </c>
      <c r="H210" s="62">
        <f t="array" ref="H210">IFERROR(INDEX(PRODUCT!$F:$F,MATCH(C210,PRODUCT!$B:$B,0)),"")</f>
        <v/>
      </c>
      <c r="I210" s="62">
        <f>IF(C210="","",INPUT_SYSTEM!G224)</f>
        <v/>
      </c>
      <c r="J210" s="62">
        <f>IF(C210="","",INPUT_SYSTEM!H224)</f>
        <v/>
      </c>
      <c r="K210" s="60">
        <f>IF(C210="","",INPUT_SYSTEM!J224)</f>
        <v/>
      </c>
      <c r="L210" s="62">
        <f>IF(C210="","",INPUT_SYSTEM!K224)</f>
        <v/>
      </c>
      <c r="M210" s="62">
        <f>IF(C210="","",INPUT_SYSTEM!L224)</f>
        <v/>
      </c>
      <c r="N210" s="62">
        <f>IF(U210&lt;&gt;"SI","",IF(M210&lt;&gt;"",M210,IFERROR(I210*J210*(1+K210)*L210,"")))</f>
        <v/>
      </c>
      <c r="O210" s="62">
        <f>IF(N210="","",IF(OR(H210="",H210=0),N210,ROUNDUP(N210/H210,0)))</f>
        <v/>
      </c>
      <c r="P210" s="63">
        <f t="array" ref="P210">IFERROR(INDEX(PRODUCT!$I:$I,MATCH(C210,PRODUCT!$B:$B,0)),"")</f>
        <v/>
      </c>
      <c r="Q210" s="63">
        <f>IF(C210="","",INPUT_SYSTEM!M224)</f>
        <v/>
      </c>
      <c r="R210" s="63">
        <f>IF(P210="","",P210*(1+Q210))</f>
        <v/>
      </c>
      <c r="S210" s="63">
        <f>IF(O210="","",IF(OR(H210="",H210=0),O210*P210,O210*H210*P210))</f>
        <v/>
      </c>
      <c r="T210" s="63">
        <f>IF(O210="","",IF(OR(H210="",H210=0),O210*R210,O210*H210*R210))</f>
        <v/>
      </c>
      <c r="U210" s="62">
        <f>IF(C210="","",INPUT_SYSTEM!C224)</f>
        <v/>
      </c>
      <c r="V210" s="62">
        <f>IF(C210="","",INPUT_SYSTEM!N224)</f>
        <v/>
      </c>
    </row>
    <row r="211" ht="15.75" customHeight="1" s="125">
      <c r="A211" s="62">
        <f>IF(INPUT_SYSTEM!D225="","",INPUT_SYSTEM!A225)</f>
        <v/>
      </c>
      <c r="B211" s="62">
        <f>IF(INPUT_SYSTEM!D225="","",INPUT_SYSTEM!B225)</f>
        <v/>
      </c>
      <c r="C211" s="62">
        <f>IF(INPUT_SYSTEM!D225="","",INPUT_SYSTEM!D225)</f>
        <v/>
      </c>
      <c r="D211" s="62">
        <f>IF(C211="","",INPUT_SYSTEM!E225)</f>
        <v/>
      </c>
      <c r="E211" s="62">
        <f>IF(C211="","",INPUT_SYSTEM!F225)</f>
        <v/>
      </c>
      <c r="F211" s="62">
        <f t="array" ref="F211">IFERROR(INDEX(PRODUCT!$D:$D,MATCH(C211,PRODUCT!$B:$B,0)),"")</f>
        <v/>
      </c>
      <c r="G211" s="62">
        <f t="array" ref="G211">IFERROR(INDEX(PRODUCT!$E:$E,MATCH(C211,PRODUCT!$B:$B,0)),"")</f>
        <v/>
      </c>
      <c r="H211" s="62">
        <f t="array" ref="H211">IFERROR(INDEX(PRODUCT!$F:$F,MATCH(C211,PRODUCT!$B:$B,0)),"")</f>
        <v/>
      </c>
      <c r="I211" s="62">
        <f>IF(C211="","",INPUT_SYSTEM!G225)</f>
        <v/>
      </c>
      <c r="J211" s="62">
        <f>IF(C211="","",INPUT_SYSTEM!H225)</f>
        <v/>
      </c>
      <c r="K211" s="60">
        <f>IF(C211="","",INPUT_SYSTEM!J225)</f>
        <v/>
      </c>
      <c r="L211" s="62">
        <f>IF(C211="","",INPUT_SYSTEM!K225)</f>
        <v/>
      </c>
      <c r="M211" s="62">
        <f>IF(C211="","",INPUT_SYSTEM!L225)</f>
        <v/>
      </c>
      <c r="N211" s="62">
        <f>IF(U211&lt;&gt;"SI","",IF(M211&lt;&gt;"",M211,IFERROR(I211*J211*(1+K211)*L211,"")))</f>
        <v/>
      </c>
      <c r="O211" s="62">
        <f>IF(N211="","",IF(OR(H211="",H211=0),N211,ROUNDUP(N211/H211,0)))</f>
        <v/>
      </c>
      <c r="P211" s="63">
        <f t="array" ref="P211">IFERROR(INDEX(PRODUCT!$I:$I,MATCH(C211,PRODUCT!$B:$B,0)),"")</f>
        <v/>
      </c>
      <c r="Q211" s="63">
        <f>IF(C211="","",INPUT_SYSTEM!M225)</f>
        <v/>
      </c>
      <c r="R211" s="63">
        <f>IF(P211="","",P211*(1+Q211))</f>
        <v/>
      </c>
      <c r="S211" s="63">
        <f>IF(O211="","",IF(OR(H211="",H211=0),O211*P211,O211*H211*P211))</f>
        <v/>
      </c>
      <c r="T211" s="63">
        <f>IF(O211="","",IF(OR(H211="",H211=0),O211*R211,O211*H211*R211))</f>
        <v/>
      </c>
      <c r="U211" s="62">
        <f>IF(C211="","",INPUT_SYSTEM!C225)</f>
        <v/>
      </c>
      <c r="V211" s="62">
        <f>IF(C211="","",INPUT_SYSTEM!N225)</f>
        <v/>
      </c>
    </row>
    <row r="212" ht="15.75" customHeight="1" s="125">
      <c r="A212" s="62">
        <f>IF(INPUT_SYSTEM!D226="","",INPUT_SYSTEM!A226)</f>
        <v/>
      </c>
      <c r="B212" s="62">
        <f>IF(INPUT_SYSTEM!D226="","",INPUT_SYSTEM!B226)</f>
        <v/>
      </c>
      <c r="C212" s="62">
        <f>IF(INPUT_SYSTEM!D226="","",INPUT_SYSTEM!D226)</f>
        <v/>
      </c>
      <c r="D212" s="62">
        <f>IF(C212="","",INPUT_SYSTEM!E226)</f>
        <v/>
      </c>
      <c r="E212" s="62">
        <f>IF(C212="","",INPUT_SYSTEM!F226)</f>
        <v/>
      </c>
      <c r="F212" s="62">
        <f t="array" ref="F212">IFERROR(INDEX(PRODUCT!$D:$D,MATCH(C212,PRODUCT!$B:$B,0)),"")</f>
        <v/>
      </c>
      <c r="G212" s="62">
        <f t="array" ref="G212">IFERROR(INDEX(PRODUCT!$E:$E,MATCH(C212,PRODUCT!$B:$B,0)),"")</f>
        <v/>
      </c>
      <c r="H212" s="62">
        <f t="array" ref="H212">IFERROR(INDEX(PRODUCT!$F:$F,MATCH(C212,PRODUCT!$B:$B,0)),"")</f>
        <v/>
      </c>
      <c r="I212" s="62">
        <f>IF(C212="","",INPUT_SYSTEM!G226)</f>
        <v/>
      </c>
      <c r="J212" s="62">
        <f>IF(C212="","",INPUT_SYSTEM!H226)</f>
        <v/>
      </c>
      <c r="K212" s="60">
        <f>IF(C212="","",INPUT_SYSTEM!J226)</f>
        <v/>
      </c>
      <c r="L212" s="62">
        <f>IF(C212="","",INPUT_SYSTEM!K226)</f>
        <v/>
      </c>
      <c r="M212" s="62">
        <f>IF(C212="","",INPUT_SYSTEM!L226)</f>
        <v/>
      </c>
      <c r="N212" s="62">
        <f>IF(U212&lt;&gt;"SI","",IF(M212&lt;&gt;"",M212,IFERROR(I212*J212*(1+K212)*L212,"")))</f>
        <v/>
      </c>
      <c r="O212" s="62">
        <f>IF(N212="","",IF(OR(H212="",H212=0),N212,ROUNDUP(N212/H212,0)))</f>
        <v/>
      </c>
      <c r="P212" s="63">
        <f t="array" ref="P212">IFERROR(INDEX(PRODUCT!$I:$I,MATCH(C212,PRODUCT!$B:$B,0)),"")</f>
        <v/>
      </c>
      <c r="Q212" s="63">
        <f>IF(C212="","",INPUT_SYSTEM!M226)</f>
        <v/>
      </c>
      <c r="R212" s="63">
        <f>IF(P212="","",P212*(1+Q212))</f>
        <v/>
      </c>
      <c r="S212" s="63">
        <f>IF(O212="","",IF(OR(H212="",H212=0),O212*P212,O212*H212*P212))</f>
        <v/>
      </c>
      <c r="T212" s="63">
        <f>IF(O212="","",IF(OR(H212="",H212=0),O212*R212,O212*H212*R212))</f>
        <v/>
      </c>
      <c r="U212" s="62">
        <f>IF(C212="","",INPUT_SYSTEM!C226)</f>
        <v/>
      </c>
      <c r="V212" s="62">
        <f>IF(C212="","",INPUT_SYSTEM!N226)</f>
        <v/>
      </c>
    </row>
    <row r="213" ht="15.75" customHeight="1" s="125">
      <c r="A213" s="62">
        <f>IF(INPUT_SYSTEM!D227="","",INPUT_SYSTEM!A227)</f>
        <v/>
      </c>
      <c r="B213" s="62">
        <f>IF(INPUT_SYSTEM!D227="","",INPUT_SYSTEM!B227)</f>
        <v/>
      </c>
      <c r="C213" s="62">
        <f>IF(INPUT_SYSTEM!D227="","",INPUT_SYSTEM!D227)</f>
        <v/>
      </c>
      <c r="D213" s="62">
        <f>IF(C213="","",INPUT_SYSTEM!E227)</f>
        <v/>
      </c>
      <c r="E213" s="62">
        <f>IF(C213="","",INPUT_SYSTEM!F227)</f>
        <v/>
      </c>
      <c r="F213" s="62">
        <f t="array" ref="F213">IFERROR(INDEX(PRODUCT!$D:$D,MATCH(C213,PRODUCT!$B:$B,0)),"")</f>
        <v/>
      </c>
      <c r="G213" s="62">
        <f t="array" ref="G213">IFERROR(INDEX(PRODUCT!$E:$E,MATCH(C213,PRODUCT!$B:$B,0)),"")</f>
        <v/>
      </c>
      <c r="H213" s="62">
        <f t="array" ref="H213">IFERROR(INDEX(PRODUCT!$F:$F,MATCH(C213,PRODUCT!$B:$B,0)),"")</f>
        <v/>
      </c>
      <c r="I213" s="62">
        <f>IF(C213="","",INPUT_SYSTEM!G227)</f>
        <v/>
      </c>
      <c r="J213" s="62">
        <f>IF(C213="","",INPUT_SYSTEM!H227)</f>
        <v/>
      </c>
      <c r="K213" s="60">
        <f>IF(C213="","",INPUT_SYSTEM!J227)</f>
        <v/>
      </c>
      <c r="L213" s="62">
        <f>IF(C213="","",INPUT_SYSTEM!K227)</f>
        <v/>
      </c>
      <c r="M213" s="62">
        <f>IF(C213="","",INPUT_SYSTEM!L227)</f>
        <v/>
      </c>
      <c r="N213" s="62">
        <f>IF(U213&lt;&gt;"SI","",IF(M213&lt;&gt;"",M213,IFERROR(I213*J213*(1+K213)*L213,"")))</f>
        <v/>
      </c>
      <c r="O213" s="62">
        <f>IF(N213="","",IF(OR(H213="",H213=0),N213,ROUNDUP(N213/H213,0)))</f>
        <v/>
      </c>
      <c r="P213" s="63">
        <f t="array" ref="P213">IFERROR(INDEX(PRODUCT!$I:$I,MATCH(C213,PRODUCT!$B:$B,0)),"")</f>
        <v/>
      </c>
      <c r="Q213" s="63">
        <f>IF(C213="","",INPUT_SYSTEM!M227)</f>
        <v/>
      </c>
      <c r="R213" s="63">
        <f>IF(P213="","",P213*(1+Q213))</f>
        <v/>
      </c>
      <c r="S213" s="63">
        <f>IF(O213="","",IF(OR(H213="",H213=0),O213*P213,O213*H213*P213))</f>
        <v/>
      </c>
      <c r="T213" s="63">
        <f>IF(O213="","",IF(OR(H213="",H213=0),O213*R213,O213*H213*R213))</f>
        <v/>
      </c>
      <c r="U213" s="62">
        <f>IF(C213="","",INPUT_SYSTEM!C227)</f>
        <v/>
      </c>
      <c r="V213" s="62">
        <f>IF(C213="","",INPUT_SYSTEM!N227)</f>
        <v/>
      </c>
    </row>
    <row r="214" ht="15.75" customHeight="1" s="125">
      <c r="A214" s="62">
        <f>IF(INPUT_SYSTEM!D228="","",INPUT_SYSTEM!A228)</f>
        <v/>
      </c>
      <c r="B214" s="62">
        <f>IF(INPUT_SYSTEM!D228="","",INPUT_SYSTEM!B228)</f>
        <v/>
      </c>
      <c r="C214" s="62">
        <f>IF(INPUT_SYSTEM!D228="","",INPUT_SYSTEM!D228)</f>
        <v/>
      </c>
      <c r="D214" s="62">
        <f>IF(C214="","",INPUT_SYSTEM!E228)</f>
        <v/>
      </c>
      <c r="E214" s="62">
        <f>IF(C214="","",INPUT_SYSTEM!F228)</f>
        <v/>
      </c>
      <c r="F214" s="62">
        <f t="array" ref="F214">IFERROR(INDEX(PRODUCT!$D:$D,MATCH(C214,PRODUCT!$B:$B,0)),"")</f>
        <v/>
      </c>
      <c r="G214" s="62">
        <f t="array" ref="G214">IFERROR(INDEX(PRODUCT!$E:$E,MATCH(C214,PRODUCT!$B:$B,0)),"")</f>
        <v/>
      </c>
      <c r="H214" s="62">
        <f t="array" ref="H214">IFERROR(INDEX(PRODUCT!$F:$F,MATCH(C214,PRODUCT!$B:$B,0)),"")</f>
        <v/>
      </c>
      <c r="I214" s="62">
        <f>IF(C214="","",INPUT_SYSTEM!G228)</f>
        <v/>
      </c>
      <c r="J214" s="62">
        <f>IF(C214="","",INPUT_SYSTEM!H228)</f>
        <v/>
      </c>
      <c r="K214" s="60">
        <f>IF(C214="","",INPUT_SYSTEM!J228)</f>
        <v/>
      </c>
      <c r="L214" s="62">
        <f>IF(C214="","",INPUT_SYSTEM!K228)</f>
        <v/>
      </c>
      <c r="M214" s="62">
        <f>IF(C214="","",INPUT_SYSTEM!L228)</f>
        <v/>
      </c>
      <c r="N214" s="62">
        <f>IF(U214&lt;&gt;"SI","",IF(M214&lt;&gt;"",M214,IFERROR(I214*J214*(1+K214)*L214,"")))</f>
        <v/>
      </c>
      <c r="O214" s="62">
        <f>IF(N214="","",IF(OR(H214="",H214=0),N214,ROUNDUP(N214/H214,0)))</f>
        <v/>
      </c>
      <c r="P214" s="63">
        <f t="array" ref="P214">IFERROR(INDEX(PRODUCT!$I:$I,MATCH(C214,PRODUCT!$B:$B,0)),"")</f>
        <v/>
      </c>
      <c r="Q214" s="63">
        <f>IF(C214="","",INPUT_SYSTEM!M228)</f>
        <v/>
      </c>
      <c r="R214" s="63">
        <f>IF(P214="","",P214*(1+Q214))</f>
        <v/>
      </c>
      <c r="S214" s="63">
        <f>IF(O214="","",IF(OR(H214="",H214=0),O214*P214,O214*H214*P214))</f>
        <v/>
      </c>
      <c r="T214" s="63">
        <f>IF(O214="","",IF(OR(H214="",H214=0),O214*R214,O214*H214*R214))</f>
        <v/>
      </c>
      <c r="U214" s="62">
        <f>IF(C214="","",INPUT_SYSTEM!C228)</f>
        <v/>
      </c>
      <c r="V214" s="62">
        <f>IF(C214="","",INPUT_SYSTEM!N228)</f>
        <v/>
      </c>
    </row>
    <row r="215" ht="15.75" customHeight="1" s="125">
      <c r="A215" s="62">
        <f>IF(INPUT_SYSTEM!D229="","",INPUT_SYSTEM!A229)</f>
        <v/>
      </c>
      <c r="B215" s="62">
        <f>IF(INPUT_SYSTEM!D229="","",INPUT_SYSTEM!B229)</f>
        <v/>
      </c>
      <c r="C215" s="62">
        <f>IF(INPUT_SYSTEM!D229="","",INPUT_SYSTEM!D229)</f>
        <v/>
      </c>
      <c r="D215" s="62">
        <f>IF(C215="","",INPUT_SYSTEM!E229)</f>
        <v/>
      </c>
      <c r="E215" s="62">
        <f>IF(C215="","",INPUT_SYSTEM!F229)</f>
        <v/>
      </c>
      <c r="F215" s="62">
        <f t="array" ref="F215">IFERROR(INDEX(PRODUCT!$D:$D,MATCH(C215,PRODUCT!$B:$B,0)),"")</f>
        <v/>
      </c>
      <c r="G215" s="62">
        <f t="array" ref="G215">IFERROR(INDEX(PRODUCT!$E:$E,MATCH(C215,PRODUCT!$B:$B,0)),"")</f>
        <v/>
      </c>
      <c r="H215" s="62">
        <f t="array" ref="H215">IFERROR(INDEX(PRODUCT!$F:$F,MATCH(C215,PRODUCT!$B:$B,0)),"")</f>
        <v/>
      </c>
      <c r="I215" s="62">
        <f>IF(C215="","",INPUT_SYSTEM!G229)</f>
        <v/>
      </c>
      <c r="J215" s="62">
        <f>IF(C215="","",INPUT_SYSTEM!H229)</f>
        <v/>
      </c>
      <c r="K215" s="60">
        <f>IF(C215="","",INPUT_SYSTEM!J229)</f>
        <v/>
      </c>
      <c r="L215" s="62">
        <f>IF(C215="","",INPUT_SYSTEM!K229)</f>
        <v/>
      </c>
      <c r="M215" s="62">
        <f>IF(C215="","",INPUT_SYSTEM!L229)</f>
        <v/>
      </c>
      <c r="N215" s="62">
        <f>IF(U215&lt;&gt;"SI","",IF(M215&lt;&gt;"",M215,IFERROR(I215*J215*(1+K215)*L215,"")))</f>
        <v/>
      </c>
      <c r="O215" s="62">
        <f>IF(N215="","",IF(OR(H215="",H215=0),N215,ROUNDUP(N215/H215,0)))</f>
        <v/>
      </c>
      <c r="P215" s="63">
        <f t="array" ref="P215">IFERROR(INDEX(PRODUCT!$I:$I,MATCH(C215,PRODUCT!$B:$B,0)),"")</f>
        <v/>
      </c>
      <c r="Q215" s="63">
        <f>IF(C215="","",INPUT_SYSTEM!M229)</f>
        <v/>
      </c>
      <c r="R215" s="63">
        <f>IF(P215="","",P215*(1+Q215))</f>
        <v/>
      </c>
      <c r="S215" s="63">
        <f>IF(O215="","",IF(OR(H215="",H215=0),O215*P215,O215*H215*P215))</f>
        <v/>
      </c>
      <c r="T215" s="63">
        <f>IF(O215="","",IF(OR(H215="",H215=0),O215*R215,O215*H215*R215))</f>
        <v/>
      </c>
      <c r="U215" s="62">
        <f>IF(C215="","",INPUT_SYSTEM!C229)</f>
        <v/>
      </c>
      <c r="V215" s="62">
        <f>IF(C215="","",INPUT_SYSTEM!N229)</f>
        <v/>
      </c>
    </row>
    <row r="216" ht="15.75" customHeight="1" s="125">
      <c r="A216" s="62">
        <f>IF(INPUT_SYSTEM!D230="","",INPUT_SYSTEM!A230)</f>
        <v/>
      </c>
      <c r="B216" s="62">
        <f>IF(INPUT_SYSTEM!D230="","",INPUT_SYSTEM!B230)</f>
        <v/>
      </c>
      <c r="C216" s="62">
        <f>IF(INPUT_SYSTEM!D230="","",INPUT_SYSTEM!D230)</f>
        <v/>
      </c>
      <c r="D216" s="62">
        <f>IF(C216="","",INPUT_SYSTEM!E230)</f>
        <v/>
      </c>
      <c r="E216" s="62">
        <f>IF(C216="","",INPUT_SYSTEM!F230)</f>
        <v/>
      </c>
      <c r="F216" s="62">
        <f t="array" ref="F216">IFERROR(INDEX(PRODUCT!$D:$D,MATCH(C216,PRODUCT!$B:$B,0)),"")</f>
        <v/>
      </c>
      <c r="G216" s="62">
        <f t="array" ref="G216">IFERROR(INDEX(PRODUCT!$E:$E,MATCH(C216,PRODUCT!$B:$B,0)),"")</f>
        <v/>
      </c>
      <c r="H216" s="62">
        <f t="array" ref="H216">IFERROR(INDEX(PRODUCT!$F:$F,MATCH(C216,PRODUCT!$B:$B,0)),"")</f>
        <v/>
      </c>
      <c r="I216" s="62">
        <f>IF(C216="","",INPUT_SYSTEM!G230)</f>
        <v/>
      </c>
      <c r="J216" s="62">
        <f>IF(C216="","",INPUT_SYSTEM!H230)</f>
        <v/>
      </c>
      <c r="K216" s="60">
        <f>IF(C216="","",INPUT_SYSTEM!J230)</f>
        <v/>
      </c>
      <c r="L216" s="62">
        <f>IF(C216="","",INPUT_SYSTEM!K230)</f>
        <v/>
      </c>
      <c r="M216" s="62">
        <f>IF(C216="","",INPUT_SYSTEM!L230)</f>
        <v/>
      </c>
      <c r="N216" s="62">
        <f>IF(U216&lt;&gt;"SI","",IF(M216&lt;&gt;"",M216,IFERROR(I216*J216*(1+K216)*L216,"")))</f>
        <v/>
      </c>
      <c r="O216" s="62">
        <f>IF(N216="","",IF(OR(H216="",H216=0),N216,ROUNDUP(N216/H216,0)))</f>
        <v/>
      </c>
      <c r="P216" s="63">
        <f t="array" ref="P216">IFERROR(INDEX(PRODUCT!$I:$I,MATCH(C216,PRODUCT!$B:$B,0)),"")</f>
        <v/>
      </c>
      <c r="Q216" s="63">
        <f>IF(C216="","",INPUT_SYSTEM!M230)</f>
        <v/>
      </c>
      <c r="R216" s="63">
        <f>IF(P216="","",P216*(1+Q216))</f>
        <v/>
      </c>
      <c r="S216" s="63">
        <f>IF(O216="","",IF(OR(H216="",H216=0),O216*P216,O216*H216*P216))</f>
        <v/>
      </c>
      <c r="T216" s="63">
        <f>IF(O216="","",IF(OR(H216="",H216=0),O216*R216,O216*H216*R216))</f>
        <v/>
      </c>
      <c r="U216" s="62">
        <f>IF(C216="","",INPUT_SYSTEM!C230)</f>
        <v/>
      </c>
      <c r="V216" s="62">
        <f>IF(C216="","",INPUT_SYSTEM!N230)</f>
        <v/>
      </c>
    </row>
    <row r="217" ht="15.75" customHeight="1" s="125">
      <c r="A217" s="62">
        <f>IF(INPUT_SYSTEM!D231="","",INPUT_SYSTEM!A231)</f>
        <v/>
      </c>
      <c r="B217" s="62">
        <f>IF(INPUT_SYSTEM!D231="","",INPUT_SYSTEM!B231)</f>
        <v/>
      </c>
      <c r="C217" s="62">
        <f>IF(INPUT_SYSTEM!D231="","",INPUT_SYSTEM!D231)</f>
        <v/>
      </c>
      <c r="D217" s="62">
        <f>IF(C217="","",INPUT_SYSTEM!E231)</f>
        <v/>
      </c>
      <c r="E217" s="62">
        <f>IF(C217="","",INPUT_SYSTEM!F231)</f>
        <v/>
      </c>
      <c r="F217" s="62">
        <f t="array" ref="F217">IFERROR(INDEX(PRODUCT!$D:$D,MATCH(C217,PRODUCT!$B:$B,0)),"")</f>
        <v/>
      </c>
      <c r="G217" s="62">
        <f t="array" ref="G217">IFERROR(INDEX(PRODUCT!$E:$E,MATCH(C217,PRODUCT!$B:$B,0)),"")</f>
        <v/>
      </c>
      <c r="H217" s="62">
        <f t="array" ref="H217">IFERROR(INDEX(PRODUCT!$F:$F,MATCH(C217,PRODUCT!$B:$B,0)),"")</f>
        <v/>
      </c>
      <c r="I217" s="62">
        <f>IF(C217="","",INPUT_SYSTEM!G231)</f>
        <v/>
      </c>
      <c r="J217" s="62">
        <f>IF(C217="","",INPUT_SYSTEM!H231)</f>
        <v/>
      </c>
      <c r="K217" s="60">
        <f>IF(C217="","",INPUT_SYSTEM!J231)</f>
        <v/>
      </c>
      <c r="L217" s="62">
        <f>IF(C217="","",INPUT_SYSTEM!K231)</f>
        <v/>
      </c>
      <c r="M217" s="62">
        <f>IF(C217="","",INPUT_SYSTEM!L231)</f>
        <v/>
      </c>
      <c r="N217" s="62">
        <f>IF(U217&lt;&gt;"SI","",IF(M217&lt;&gt;"",M217,IFERROR(I217*J217*(1+K217)*L217,"")))</f>
        <v/>
      </c>
      <c r="O217" s="62">
        <f>IF(N217="","",IF(OR(H217="",H217=0),N217,ROUNDUP(N217/H217,0)))</f>
        <v/>
      </c>
      <c r="P217" s="63">
        <f t="array" ref="P217">IFERROR(INDEX(PRODUCT!$I:$I,MATCH(C217,PRODUCT!$B:$B,0)),"")</f>
        <v/>
      </c>
      <c r="Q217" s="63">
        <f>IF(C217="","",INPUT_SYSTEM!M231)</f>
        <v/>
      </c>
      <c r="R217" s="63">
        <f>IF(P217="","",P217*(1+Q217))</f>
        <v/>
      </c>
      <c r="S217" s="63">
        <f>IF(O217="","",IF(OR(H217="",H217=0),O217*P217,O217*H217*P217))</f>
        <v/>
      </c>
      <c r="T217" s="63">
        <f>IF(O217="","",IF(OR(H217="",H217=0),O217*R217,O217*H217*R217))</f>
        <v/>
      </c>
      <c r="U217" s="62">
        <f>IF(C217="","",INPUT_SYSTEM!C231)</f>
        <v/>
      </c>
      <c r="V217" s="62">
        <f>IF(C217="","",INPUT_SYSTEM!N231)</f>
        <v/>
      </c>
    </row>
    <row r="218" ht="15.75" customHeight="1" s="125">
      <c r="A218" s="62">
        <f>IF(INPUT_SYSTEM!D232="","",INPUT_SYSTEM!A232)</f>
        <v/>
      </c>
      <c r="B218" s="62">
        <f>IF(INPUT_SYSTEM!D232="","",INPUT_SYSTEM!B232)</f>
        <v/>
      </c>
      <c r="C218" s="62">
        <f>IF(INPUT_SYSTEM!D232="","",INPUT_SYSTEM!D232)</f>
        <v/>
      </c>
      <c r="D218" s="62">
        <f>IF(C218="","",INPUT_SYSTEM!E232)</f>
        <v/>
      </c>
      <c r="E218" s="62">
        <f>IF(C218="","",INPUT_SYSTEM!F232)</f>
        <v/>
      </c>
      <c r="F218" s="62">
        <f t="array" ref="F218">IFERROR(INDEX(PRODUCT!$D:$D,MATCH(C218,PRODUCT!$B:$B,0)),"")</f>
        <v/>
      </c>
      <c r="G218" s="62">
        <f t="array" ref="G218">IFERROR(INDEX(PRODUCT!$E:$E,MATCH(C218,PRODUCT!$B:$B,0)),"")</f>
        <v/>
      </c>
      <c r="H218" s="62">
        <f t="array" ref="H218">IFERROR(INDEX(PRODUCT!$F:$F,MATCH(C218,PRODUCT!$B:$B,0)),"")</f>
        <v/>
      </c>
      <c r="I218" s="62">
        <f>IF(C218="","",INPUT_SYSTEM!G232)</f>
        <v/>
      </c>
      <c r="J218" s="62">
        <f>IF(C218="","",INPUT_SYSTEM!H232)</f>
        <v/>
      </c>
      <c r="K218" s="60">
        <f>IF(C218="","",INPUT_SYSTEM!J232)</f>
        <v/>
      </c>
      <c r="L218" s="62">
        <f>IF(C218="","",INPUT_SYSTEM!K232)</f>
        <v/>
      </c>
      <c r="M218" s="62">
        <f>IF(C218="","",INPUT_SYSTEM!L232)</f>
        <v/>
      </c>
      <c r="N218" s="62">
        <f>IF(U218&lt;&gt;"SI","",IF(M218&lt;&gt;"",M218,IFERROR(I218*J218*(1+K218)*L218,"")))</f>
        <v/>
      </c>
      <c r="O218" s="62">
        <f>IF(N218="","",IF(OR(H218="",H218=0),N218,ROUNDUP(N218/H218,0)))</f>
        <v/>
      </c>
      <c r="P218" s="63">
        <f t="array" ref="P218">IFERROR(INDEX(PRODUCT!$I:$I,MATCH(C218,PRODUCT!$B:$B,0)),"")</f>
        <v/>
      </c>
      <c r="Q218" s="63">
        <f>IF(C218="","",INPUT_SYSTEM!M232)</f>
        <v/>
      </c>
      <c r="R218" s="63">
        <f>IF(P218="","",P218*(1+Q218))</f>
        <v/>
      </c>
      <c r="S218" s="63">
        <f>IF(O218="","",IF(OR(H218="",H218=0),O218*P218,O218*H218*P218))</f>
        <v/>
      </c>
      <c r="T218" s="63">
        <f>IF(O218="","",IF(OR(H218="",H218=0),O218*R218,O218*H218*R218))</f>
        <v/>
      </c>
      <c r="U218" s="62">
        <f>IF(C218="","",INPUT_SYSTEM!C232)</f>
        <v/>
      </c>
      <c r="V218" s="62">
        <f>IF(C218="","",INPUT_SYSTEM!N232)</f>
        <v/>
      </c>
    </row>
    <row r="219" ht="15.75" customHeight="1" s="125">
      <c r="A219" s="62">
        <f>IF(INPUT_SYSTEM!D233="","",INPUT_SYSTEM!A233)</f>
        <v/>
      </c>
      <c r="B219" s="62">
        <f>IF(INPUT_SYSTEM!D233="","",INPUT_SYSTEM!B233)</f>
        <v/>
      </c>
      <c r="C219" s="62">
        <f>IF(INPUT_SYSTEM!D233="","",INPUT_SYSTEM!D233)</f>
        <v/>
      </c>
      <c r="D219" s="62">
        <f>IF(C219="","",INPUT_SYSTEM!E233)</f>
        <v/>
      </c>
      <c r="E219" s="62">
        <f>IF(C219="","",INPUT_SYSTEM!F233)</f>
        <v/>
      </c>
      <c r="F219" s="62">
        <f t="array" ref="F219">IFERROR(INDEX(PRODUCT!$D:$D,MATCH(C219,PRODUCT!$B:$B,0)),"")</f>
        <v/>
      </c>
      <c r="G219" s="62">
        <f t="array" ref="G219">IFERROR(INDEX(PRODUCT!$E:$E,MATCH(C219,PRODUCT!$B:$B,0)),"")</f>
        <v/>
      </c>
      <c r="H219" s="62">
        <f t="array" ref="H219">IFERROR(INDEX(PRODUCT!$F:$F,MATCH(C219,PRODUCT!$B:$B,0)),"")</f>
        <v/>
      </c>
      <c r="I219" s="62">
        <f>IF(C219="","",INPUT_SYSTEM!G233)</f>
        <v/>
      </c>
      <c r="J219" s="62">
        <f>IF(C219="","",INPUT_SYSTEM!H233)</f>
        <v/>
      </c>
      <c r="K219" s="60">
        <f>IF(C219="","",INPUT_SYSTEM!J233)</f>
        <v/>
      </c>
      <c r="L219" s="62">
        <f>IF(C219="","",INPUT_SYSTEM!K233)</f>
        <v/>
      </c>
      <c r="M219" s="62">
        <f>IF(C219="","",INPUT_SYSTEM!L233)</f>
        <v/>
      </c>
      <c r="N219" s="62">
        <f>IF(U219&lt;&gt;"SI","",IF(M219&lt;&gt;"",M219,IFERROR(I219*J219*(1+K219)*L219,"")))</f>
        <v/>
      </c>
      <c r="O219" s="62">
        <f>IF(N219="","",IF(OR(H219="",H219=0),N219,ROUNDUP(N219/H219,0)))</f>
        <v/>
      </c>
      <c r="P219" s="63">
        <f t="array" ref="P219">IFERROR(INDEX(PRODUCT!$I:$I,MATCH(C219,PRODUCT!$B:$B,0)),"")</f>
        <v/>
      </c>
      <c r="Q219" s="63">
        <f>IF(C219="","",INPUT_SYSTEM!M233)</f>
        <v/>
      </c>
      <c r="R219" s="63">
        <f>IF(P219="","",P219*(1+Q219))</f>
        <v/>
      </c>
      <c r="S219" s="63">
        <f>IF(O219="","",IF(OR(H219="",H219=0),O219*P219,O219*H219*P219))</f>
        <v/>
      </c>
      <c r="T219" s="63">
        <f>IF(O219="","",IF(OR(H219="",H219=0),O219*R219,O219*H219*R219))</f>
        <v/>
      </c>
      <c r="U219" s="62">
        <f>IF(C219="","",INPUT_SYSTEM!C233)</f>
        <v/>
      </c>
      <c r="V219" s="62">
        <f>IF(C219="","",INPUT_SYSTEM!N233)</f>
        <v/>
      </c>
    </row>
    <row r="220" ht="15.75" customHeight="1" s="125">
      <c r="A220" s="62">
        <f>IF(INPUT_SYSTEM!D234="","",INPUT_SYSTEM!A234)</f>
        <v/>
      </c>
      <c r="B220" s="62">
        <f>IF(INPUT_SYSTEM!D234="","",INPUT_SYSTEM!B234)</f>
        <v/>
      </c>
      <c r="C220" s="62">
        <f>IF(INPUT_SYSTEM!D234="","",INPUT_SYSTEM!D234)</f>
        <v/>
      </c>
      <c r="D220" s="62">
        <f>IF(C220="","",INPUT_SYSTEM!E234)</f>
        <v/>
      </c>
      <c r="E220" s="62">
        <f>IF(C220="","",INPUT_SYSTEM!F234)</f>
        <v/>
      </c>
      <c r="F220" s="62">
        <f t="array" ref="F220">IFERROR(INDEX(PRODUCT!$D:$D,MATCH(C220,PRODUCT!$B:$B,0)),"")</f>
        <v/>
      </c>
      <c r="G220" s="62">
        <f t="array" ref="G220">IFERROR(INDEX(PRODUCT!$E:$E,MATCH(C220,PRODUCT!$B:$B,0)),"")</f>
        <v/>
      </c>
      <c r="H220" s="62">
        <f t="array" ref="H220">IFERROR(INDEX(PRODUCT!$F:$F,MATCH(C220,PRODUCT!$B:$B,0)),"")</f>
        <v/>
      </c>
      <c r="I220" s="62">
        <f>IF(C220="","",INPUT_SYSTEM!G234)</f>
        <v/>
      </c>
      <c r="J220" s="62">
        <f>IF(C220="","",INPUT_SYSTEM!H234)</f>
        <v/>
      </c>
      <c r="K220" s="60">
        <f>IF(C220="","",INPUT_SYSTEM!J234)</f>
        <v/>
      </c>
      <c r="L220" s="62">
        <f>IF(C220="","",INPUT_SYSTEM!K234)</f>
        <v/>
      </c>
      <c r="M220" s="62">
        <f>IF(C220="","",INPUT_SYSTEM!L234)</f>
        <v/>
      </c>
      <c r="N220" s="62">
        <f>IF(U220&lt;&gt;"SI","",IF(M220&lt;&gt;"",M220,IFERROR(I220*J220*(1+K220)*L220,"")))</f>
        <v/>
      </c>
      <c r="O220" s="62">
        <f>IF(N220="","",IF(OR(H220="",H220=0),N220,ROUNDUP(N220/H220,0)))</f>
        <v/>
      </c>
      <c r="P220" s="63">
        <f t="array" ref="P220">IFERROR(INDEX(PRODUCT!$I:$I,MATCH(C220,PRODUCT!$B:$B,0)),"")</f>
        <v/>
      </c>
      <c r="Q220" s="63">
        <f>IF(C220="","",INPUT_SYSTEM!M234)</f>
        <v/>
      </c>
      <c r="R220" s="63">
        <f>IF(P220="","",P220*(1+Q220))</f>
        <v/>
      </c>
      <c r="S220" s="63">
        <f>IF(O220="","",IF(OR(H220="",H220=0),O220*P220,O220*H220*P220))</f>
        <v/>
      </c>
      <c r="T220" s="63">
        <f>IF(O220="","",IF(OR(H220="",H220=0),O220*R220,O220*H220*R220))</f>
        <v/>
      </c>
      <c r="U220" s="62">
        <f>IF(C220="","",INPUT_SYSTEM!C234)</f>
        <v/>
      </c>
      <c r="V220" s="62">
        <f>IF(C220="","",INPUT_SYSTEM!N234)</f>
        <v/>
      </c>
    </row>
    <row r="221" ht="15.75" customHeight="1" s="125">
      <c r="A221" s="62">
        <f>IF(INPUT_SYSTEM!D235="","",INPUT_SYSTEM!A235)</f>
        <v/>
      </c>
      <c r="B221" s="62">
        <f>IF(INPUT_SYSTEM!D235="","",INPUT_SYSTEM!B235)</f>
        <v/>
      </c>
      <c r="C221" s="62">
        <f>IF(INPUT_SYSTEM!D235="","",INPUT_SYSTEM!D235)</f>
        <v/>
      </c>
      <c r="D221" s="62">
        <f>IF(C221="","",INPUT_SYSTEM!E235)</f>
        <v/>
      </c>
      <c r="E221" s="62">
        <f>IF(C221="","",INPUT_SYSTEM!F235)</f>
        <v/>
      </c>
      <c r="F221" s="62">
        <f t="array" ref="F221">IFERROR(INDEX(PRODUCT!$D:$D,MATCH(C221,PRODUCT!$B:$B,0)),"")</f>
        <v/>
      </c>
      <c r="G221" s="62">
        <f t="array" ref="G221">IFERROR(INDEX(PRODUCT!$E:$E,MATCH(C221,PRODUCT!$B:$B,0)),"")</f>
        <v/>
      </c>
      <c r="H221" s="62">
        <f t="array" ref="H221">IFERROR(INDEX(PRODUCT!$F:$F,MATCH(C221,PRODUCT!$B:$B,0)),"")</f>
        <v/>
      </c>
      <c r="I221" s="62">
        <f>IF(C221="","",INPUT_SYSTEM!G235)</f>
        <v/>
      </c>
      <c r="J221" s="62">
        <f>IF(C221="","",INPUT_SYSTEM!H235)</f>
        <v/>
      </c>
      <c r="K221" s="60">
        <f>IF(C221="","",INPUT_SYSTEM!J235)</f>
        <v/>
      </c>
      <c r="L221" s="62">
        <f>IF(C221="","",INPUT_SYSTEM!K235)</f>
        <v/>
      </c>
      <c r="M221" s="62">
        <f>IF(C221="","",INPUT_SYSTEM!L235)</f>
        <v/>
      </c>
      <c r="N221" s="62">
        <f>IF(U221&lt;&gt;"SI","",IF(M221&lt;&gt;"",M221,IFERROR(I221*J221*(1+K221)*L221,"")))</f>
        <v/>
      </c>
      <c r="O221" s="62">
        <f>IF(N221="","",IF(OR(H221="",H221=0),N221,ROUNDUP(N221/H221,0)))</f>
        <v/>
      </c>
      <c r="P221" s="63">
        <f t="array" ref="P221">IFERROR(INDEX(PRODUCT!$I:$I,MATCH(C221,PRODUCT!$B:$B,0)),"")</f>
        <v/>
      </c>
      <c r="Q221" s="63">
        <f>IF(C221="","",INPUT_SYSTEM!M235)</f>
        <v/>
      </c>
      <c r="R221" s="63">
        <f>IF(P221="","",P221*(1+Q221))</f>
        <v/>
      </c>
      <c r="S221" s="63">
        <f>IF(O221="","",IF(OR(H221="",H221=0),O221*P221,O221*H221*P221))</f>
        <v/>
      </c>
      <c r="T221" s="63">
        <f>IF(O221="","",IF(OR(H221="",H221=0),O221*R221,O221*H221*R221))</f>
        <v/>
      </c>
      <c r="U221" s="62">
        <f>IF(C221="","",INPUT_SYSTEM!C235)</f>
        <v/>
      </c>
      <c r="V221" s="62">
        <f>IF(C221="","",INPUT_SYSTEM!N235)</f>
        <v/>
      </c>
    </row>
    <row r="222" ht="15.75" customHeight="1" s="125">
      <c r="A222" s="62">
        <f>IF(INPUT_SYSTEM!D236="","",INPUT_SYSTEM!A236)</f>
        <v/>
      </c>
      <c r="B222" s="62">
        <f>IF(INPUT_SYSTEM!D236="","",INPUT_SYSTEM!B236)</f>
        <v/>
      </c>
      <c r="C222" s="62">
        <f>IF(INPUT_SYSTEM!D236="","",INPUT_SYSTEM!D236)</f>
        <v/>
      </c>
      <c r="D222" s="62">
        <f>IF(C222="","",INPUT_SYSTEM!E236)</f>
        <v/>
      </c>
      <c r="E222" s="62">
        <f>IF(C222="","",INPUT_SYSTEM!F236)</f>
        <v/>
      </c>
      <c r="F222" s="62">
        <f t="array" ref="F222">IFERROR(INDEX(PRODUCT!$D:$D,MATCH(C222,PRODUCT!$B:$B,0)),"")</f>
        <v/>
      </c>
      <c r="G222" s="62">
        <f t="array" ref="G222">IFERROR(INDEX(PRODUCT!$E:$E,MATCH(C222,PRODUCT!$B:$B,0)),"")</f>
        <v/>
      </c>
      <c r="H222" s="62">
        <f t="array" ref="H222">IFERROR(INDEX(PRODUCT!$F:$F,MATCH(C222,PRODUCT!$B:$B,0)),"")</f>
        <v/>
      </c>
      <c r="I222" s="62">
        <f>IF(C222="","",INPUT_SYSTEM!G236)</f>
        <v/>
      </c>
      <c r="J222" s="62">
        <f>IF(C222="","",INPUT_SYSTEM!H236)</f>
        <v/>
      </c>
      <c r="K222" s="60">
        <f>IF(C222="","",INPUT_SYSTEM!J236)</f>
        <v/>
      </c>
      <c r="L222" s="62">
        <f>IF(C222="","",INPUT_SYSTEM!K236)</f>
        <v/>
      </c>
      <c r="M222" s="62">
        <f>IF(C222="","",INPUT_SYSTEM!L236)</f>
        <v/>
      </c>
      <c r="N222" s="62">
        <f>IF(U222&lt;&gt;"SI","",IF(M222&lt;&gt;"",M222,IFERROR(I222*J222*(1+K222)*L222,"")))</f>
        <v/>
      </c>
      <c r="O222" s="62">
        <f>IF(N222="","",IF(OR(H222="",H222=0),N222,ROUNDUP(N222/H222,0)))</f>
        <v/>
      </c>
      <c r="P222" s="63">
        <f t="array" ref="P222">IFERROR(INDEX(PRODUCT!$I:$I,MATCH(C222,PRODUCT!$B:$B,0)),"")</f>
        <v/>
      </c>
      <c r="Q222" s="63">
        <f>IF(C222="","",INPUT_SYSTEM!M236)</f>
        <v/>
      </c>
      <c r="R222" s="63">
        <f>IF(P222="","",P222*(1+Q222))</f>
        <v/>
      </c>
      <c r="S222" s="63">
        <f>IF(O222="","",IF(OR(H222="",H222=0),O222*P222,O222*H222*P222))</f>
        <v/>
      </c>
      <c r="T222" s="63">
        <f>IF(O222="","",IF(OR(H222="",H222=0),O222*R222,O222*H222*R222))</f>
        <v/>
      </c>
      <c r="U222" s="62">
        <f>IF(C222="","",INPUT_SYSTEM!C236)</f>
        <v/>
      </c>
      <c r="V222" s="62">
        <f>IF(C222="","",INPUT_SYSTEM!N236)</f>
        <v/>
      </c>
    </row>
    <row r="223" ht="15.75" customHeight="1" s="125">
      <c r="A223" s="62">
        <f>IF(INPUT_SYSTEM!D237="","",INPUT_SYSTEM!A237)</f>
        <v/>
      </c>
      <c r="B223" s="62">
        <f>IF(INPUT_SYSTEM!D237="","",INPUT_SYSTEM!B237)</f>
        <v/>
      </c>
      <c r="C223" s="62">
        <f>IF(INPUT_SYSTEM!D237="","",INPUT_SYSTEM!D237)</f>
        <v/>
      </c>
      <c r="D223" s="62">
        <f>IF(C223="","",INPUT_SYSTEM!E237)</f>
        <v/>
      </c>
      <c r="E223" s="62">
        <f>IF(C223="","",INPUT_SYSTEM!F237)</f>
        <v/>
      </c>
      <c r="F223" s="62">
        <f t="array" ref="F223">IFERROR(INDEX(PRODUCT!$D:$D,MATCH(C223,PRODUCT!$B:$B,0)),"")</f>
        <v/>
      </c>
      <c r="G223" s="62">
        <f t="array" ref="G223">IFERROR(INDEX(PRODUCT!$E:$E,MATCH(C223,PRODUCT!$B:$B,0)),"")</f>
        <v/>
      </c>
      <c r="H223" s="62">
        <f t="array" ref="H223">IFERROR(INDEX(PRODUCT!$F:$F,MATCH(C223,PRODUCT!$B:$B,0)),"")</f>
        <v/>
      </c>
      <c r="I223" s="62">
        <f>IF(C223="","",INPUT_SYSTEM!G237)</f>
        <v/>
      </c>
      <c r="J223" s="62">
        <f>IF(C223="","",INPUT_SYSTEM!H237)</f>
        <v/>
      </c>
      <c r="K223" s="60">
        <f>IF(C223="","",INPUT_SYSTEM!J237)</f>
        <v/>
      </c>
      <c r="L223" s="62">
        <f>IF(C223="","",INPUT_SYSTEM!K237)</f>
        <v/>
      </c>
      <c r="M223" s="62">
        <f>IF(C223="","",INPUT_SYSTEM!L237)</f>
        <v/>
      </c>
      <c r="N223" s="62">
        <f>IF(U223&lt;&gt;"SI","",IF(M223&lt;&gt;"",M223,IFERROR(I223*J223*(1+K223)*L223,"")))</f>
        <v/>
      </c>
      <c r="O223" s="62">
        <f>IF(N223="","",IF(OR(H223="",H223=0),N223,ROUNDUP(N223/H223,0)))</f>
        <v/>
      </c>
      <c r="P223" s="63">
        <f t="array" ref="P223">IFERROR(INDEX(PRODUCT!$I:$I,MATCH(C223,PRODUCT!$B:$B,0)),"")</f>
        <v/>
      </c>
      <c r="Q223" s="63">
        <f>IF(C223="","",INPUT_SYSTEM!M237)</f>
        <v/>
      </c>
      <c r="R223" s="63">
        <f>IF(P223="","",P223*(1+Q223))</f>
        <v/>
      </c>
      <c r="S223" s="63">
        <f>IF(O223="","",IF(OR(H223="",H223=0),O223*P223,O223*H223*P223))</f>
        <v/>
      </c>
      <c r="T223" s="63">
        <f>IF(O223="","",IF(OR(H223="",H223=0),O223*R223,O223*H223*R223))</f>
        <v/>
      </c>
      <c r="U223" s="62">
        <f>IF(C223="","",INPUT_SYSTEM!C237)</f>
        <v/>
      </c>
      <c r="V223" s="62">
        <f>IF(C223="","",INPUT_SYSTEM!N237)</f>
        <v/>
      </c>
    </row>
    <row r="224" ht="15.75" customHeight="1" s="125">
      <c r="A224" s="62">
        <f>IF(INPUT_SYSTEM!D238="","",INPUT_SYSTEM!A238)</f>
        <v/>
      </c>
      <c r="B224" s="62">
        <f>IF(INPUT_SYSTEM!D238="","",INPUT_SYSTEM!B238)</f>
        <v/>
      </c>
      <c r="C224" s="62">
        <f>IF(INPUT_SYSTEM!D238="","",INPUT_SYSTEM!D238)</f>
        <v/>
      </c>
      <c r="D224" s="62">
        <f>IF(C224="","",INPUT_SYSTEM!E238)</f>
        <v/>
      </c>
      <c r="E224" s="62">
        <f>IF(C224="","",INPUT_SYSTEM!F238)</f>
        <v/>
      </c>
      <c r="F224" s="62">
        <f t="array" ref="F224">IFERROR(INDEX(PRODUCT!$D:$D,MATCH(C224,PRODUCT!$B:$B,0)),"")</f>
        <v/>
      </c>
      <c r="G224" s="62">
        <f t="array" ref="G224">IFERROR(INDEX(PRODUCT!$E:$E,MATCH(C224,PRODUCT!$B:$B,0)),"")</f>
        <v/>
      </c>
      <c r="H224" s="62">
        <f t="array" ref="H224">IFERROR(INDEX(PRODUCT!$F:$F,MATCH(C224,PRODUCT!$B:$B,0)),"")</f>
        <v/>
      </c>
      <c r="I224" s="62">
        <f>IF(C224="","",INPUT_SYSTEM!G238)</f>
        <v/>
      </c>
      <c r="J224" s="62">
        <f>IF(C224="","",INPUT_SYSTEM!H238)</f>
        <v/>
      </c>
      <c r="K224" s="60">
        <f>IF(C224="","",INPUT_SYSTEM!J238)</f>
        <v/>
      </c>
      <c r="L224" s="62">
        <f>IF(C224="","",INPUT_SYSTEM!K238)</f>
        <v/>
      </c>
      <c r="M224" s="62">
        <f>IF(C224="","",INPUT_SYSTEM!L238)</f>
        <v/>
      </c>
      <c r="N224" s="62">
        <f>IF(U224&lt;&gt;"SI","",IF(M224&lt;&gt;"",M224,IFERROR(I224*J224*(1+K224)*L224,"")))</f>
        <v/>
      </c>
      <c r="O224" s="62">
        <f>IF(N224="","",IF(OR(H224="",H224=0),N224,ROUNDUP(N224/H224,0)))</f>
        <v/>
      </c>
      <c r="P224" s="63">
        <f t="array" ref="P224">IFERROR(INDEX(PRODUCT!$I:$I,MATCH(C224,PRODUCT!$B:$B,0)),"")</f>
        <v/>
      </c>
      <c r="Q224" s="63">
        <f>IF(C224="","",INPUT_SYSTEM!M238)</f>
        <v/>
      </c>
      <c r="R224" s="63">
        <f>IF(P224="","",P224*(1+Q224))</f>
        <v/>
      </c>
      <c r="S224" s="63">
        <f>IF(O224="","",IF(OR(H224="",H224=0),O224*P224,O224*H224*P224))</f>
        <v/>
      </c>
      <c r="T224" s="63">
        <f>IF(O224="","",IF(OR(H224="",H224=0),O224*R224,O224*H224*R224))</f>
        <v/>
      </c>
      <c r="U224" s="62">
        <f>IF(C224="","",INPUT_SYSTEM!C238)</f>
        <v/>
      </c>
      <c r="V224" s="62">
        <f>IF(C224="","",INPUT_SYSTEM!N238)</f>
        <v/>
      </c>
    </row>
    <row r="225" ht="15.75" customHeight="1" s="125">
      <c r="A225" s="62">
        <f>IF(INPUT_SYSTEM!D239="","",INPUT_SYSTEM!A239)</f>
        <v/>
      </c>
      <c r="B225" s="62">
        <f>IF(INPUT_SYSTEM!D239="","",INPUT_SYSTEM!B239)</f>
        <v/>
      </c>
      <c r="C225" s="62">
        <f>IF(INPUT_SYSTEM!D239="","",INPUT_SYSTEM!D239)</f>
        <v/>
      </c>
      <c r="D225" s="62">
        <f>IF(C225="","",INPUT_SYSTEM!E239)</f>
        <v/>
      </c>
      <c r="E225" s="62">
        <f>IF(C225="","",INPUT_SYSTEM!F239)</f>
        <v/>
      </c>
      <c r="F225" s="62">
        <f t="array" ref="F225">IFERROR(INDEX(PRODUCT!$D:$D,MATCH(C225,PRODUCT!$B:$B,0)),"")</f>
        <v/>
      </c>
      <c r="G225" s="62">
        <f t="array" ref="G225">IFERROR(INDEX(PRODUCT!$E:$E,MATCH(C225,PRODUCT!$B:$B,0)),"")</f>
        <v/>
      </c>
      <c r="H225" s="62">
        <f t="array" ref="H225">IFERROR(INDEX(PRODUCT!$F:$F,MATCH(C225,PRODUCT!$B:$B,0)),"")</f>
        <v/>
      </c>
      <c r="I225" s="62">
        <f>IF(C225="","",INPUT_SYSTEM!G239)</f>
        <v/>
      </c>
      <c r="J225" s="62">
        <f>IF(C225="","",INPUT_SYSTEM!H239)</f>
        <v/>
      </c>
      <c r="K225" s="60">
        <f>IF(C225="","",INPUT_SYSTEM!J239)</f>
        <v/>
      </c>
      <c r="L225" s="62">
        <f>IF(C225="","",INPUT_SYSTEM!K239)</f>
        <v/>
      </c>
      <c r="M225" s="62">
        <f>IF(C225="","",INPUT_SYSTEM!L239)</f>
        <v/>
      </c>
      <c r="N225" s="62">
        <f>IF(U225&lt;&gt;"SI","",IF(M225&lt;&gt;"",M225,IFERROR(I225*J225*(1+K225)*L225,"")))</f>
        <v/>
      </c>
      <c r="O225" s="62">
        <f>IF(N225="","",IF(OR(H225="",H225=0),N225,ROUNDUP(N225/H225,0)))</f>
        <v/>
      </c>
      <c r="P225" s="63">
        <f t="array" ref="P225">IFERROR(INDEX(PRODUCT!$I:$I,MATCH(C225,PRODUCT!$B:$B,0)),"")</f>
        <v/>
      </c>
      <c r="Q225" s="63">
        <f>IF(C225="","",INPUT_SYSTEM!M239)</f>
        <v/>
      </c>
      <c r="R225" s="63">
        <f>IF(P225="","",P225*(1+Q225))</f>
        <v/>
      </c>
      <c r="S225" s="63">
        <f>IF(O225="","",IF(OR(H225="",H225=0),O225*P225,O225*H225*P225))</f>
        <v/>
      </c>
      <c r="T225" s="63">
        <f>IF(O225="","",IF(OR(H225="",H225=0),O225*R225,O225*H225*R225))</f>
        <v/>
      </c>
      <c r="U225" s="62">
        <f>IF(C225="","",INPUT_SYSTEM!C239)</f>
        <v/>
      </c>
      <c r="V225" s="62">
        <f>IF(C225="","",INPUT_SYSTEM!N239)</f>
        <v/>
      </c>
    </row>
    <row r="226" ht="15.75" customHeight="1" s="125">
      <c r="A226" s="62">
        <f>IF(INPUT_SYSTEM!D240="","",INPUT_SYSTEM!A240)</f>
        <v/>
      </c>
      <c r="B226" s="62">
        <f>IF(INPUT_SYSTEM!D240="","",INPUT_SYSTEM!B240)</f>
        <v/>
      </c>
      <c r="C226" s="62">
        <f>IF(INPUT_SYSTEM!D240="","",INPUT_SYSTEM!D240)</f>
        <v/>
      </c>
      <c r="D226" s="62">
        <f>IF(C226="","",INPUT_SYSTEM!E240)</f>
        <v/>
      </c>
      <c r="E226" s="62">
        <f>IF(C226="","",INPUT_SYSTEM!F240)</f>
        <v/>
      </c>
      <c r="F226" s="62">
        <f t="array" ref="F226">IFERROR(INDEX(PRODUCT!$D:$D,MATCH(C226,PRODUCT!$B:$B,0)),"")</f>
        <v/>
      </c>
      <c r="G226" s="62">
        <f t="array" ref="G226">IFERROR(INDEX(PRODUCT!$E:$E,MATCH(C226,PRODUCT!$B:$B,0)),"")</f>
        <v/>
      </c>
      <c r="H226" s="62">
        <f t="array" ref="H226">IFERROR(INDEX(PRODUCT!$F:$F,MATCH(C226,PRODUCT!$B:$B,0)),"")</f>
        <v/>
      </c>
      <c r="I226" s="62">
        <f>IF(C226="","",INPUT_SYSTEM!G240)</f>
        <v/>
      </c>
      <c r="J226" s="62">
        <f>IF(C226="","",INPUT_SYSTEM!H240)</f>
        <v/>
      </c>
      <c r="K226" s="60">
        <f>IF(C226="","",INPUT_SYSTEM!J240)</f>
        <v/>
      </c>
      <c r="L226" s="62">
        <f>IF(C226="","",INPUT_SYSTEM!K240)</f>
        <v/>
      </c>
      <c r="M226" s="62">
        <f>IF(C226="","",INPUT_SYSTEM!L240)</f>
        <v/>
      </c>
      <c r="N226" s="62">
        <f>IF(U226&lt;&gt;"SI","",IF(M226&lt;&gt;"",M226,IFERROR(I226*J226*(1+K226)*L226,"")))</f>
        <v/>
      </c>
      <c r="O226" s="62">
        <f>IF(N226="","",IF(OR(H226="",H226=0),N226,ROUNDUP(N226/H226,0)))</f>
        <v/>
      </c>
      <c r="P226" s="63">
        <f t="array" ref="P226">IFERROR(INDEX(PRODUCT!$I:$I,MATCH(C226,PRODUCT!$B:$B,0)),"")</f>
        <v/>
      </c>
      <c r="Q226" s="63">
        <f>IF(C226="","",INPUT_SYSTEM!M240)</f>
        <v/>
      </c>
      <c r="R226" s="63">
        <f>IF(P226="","",P226*(1+Q226))</f>
        <v/>
      </c>
      <c r="S226" s="63">
        <f>IF(O226="","",IF(OR(H226="",H226=0),O226*P226,O226*H226*P226))</f>
        <v/>
      </c>
      <c r="T226" s="63">
        <f>IF(O226="","",IF(OR(H226="",H226=0),O226*R226,O226*H226*R226))</f>
        <v/>
      </c>
      <c r="U226" s="62">
        <f>IF(C226="","",INPUT_SYSTEM!C240)</f>
        <v/>
      </c>
      <c r="V226" s="62">
        <f>IF(C226="","",INPUT_SYSTEM!N240)</f>
        <v/>
      </c>
    </row>
    <row r="227" ht="15.75" customHeight="1" s="125">
      <c r="A227" s="62">
        <f>IF(INPUT_SYSTEM!D241="","",INPUT_SYSTEM!A241)</f>
        <v/>
      </c>
      <c r="B227" s="62">
        <f>IF(INPUT_SYSTEM!D241="","",INPUT_SYSTEM!B241)</f>
        <v/>
      </c>
      <c r="C227" s="62">
        <f>IF(INPUT_SYSTEM!D241="","",INPUT_SYSTEM!D241)</f>
        <v/>
      </c>
      <c r="D227" s="62">
        <f>IF(C227="","",INPUT_SYSTEM!E241)</f>
        <v/>
      </c>
      <c r="E227" s="62">
        <f>IF(C227="","",INPUT_SYSTEM!F241)</f>
        <v/>
      </c>
      <c r="F227" s="62">
        <f t="array" ref="F227">IFERROR(INDEX(PRODUCT!$D:$D,MATCH(C227,PRODUCT!$B:$B,0)),"")</f>
        <v/>
      </c>
      <c r="G227" s="62">
        <f t="array" ref="G227">IFERROR(INDEX(PRODUCT!$E:$E,MATCH(C227,PRODUCT!$B:$B,0)),"")</f>
        <v/>
      </c>
      <c r="H227" s="62">
        <f t="array" ref="H227">IFERROR(INDEX(PRODUCT!$F:$F,MATCH(C227,PRODUCT!$B:$B,0)),"")</f>
        <v/>
      </c>
      <c r="I227" s="62">
        <f>IF(C227="","",INPUT_SYSTEM!G241)</f>
        <v/>
      </c>
      <c r="J227" s="62">
        <f>IF(C227="","",INPUT_SYSTEM!H241)</f>
        <v/>
      </c>
      <c r="K227" s="60">
        <f>IF(C227="","",INPUT_SYSTEM!J241)</f>
        <v/>
      </c>
      <c r="L227" s="62">
        <f>IF(C227="","",INPUT_SYSTEM!K241)</f>
        <v/>
      </c>
      <c r="M227" s="62">
        <f>IF(C227="","",INPUT_SYSTEM!L241)</f>
        <v/>
      </c>
      <c r="N227" s="62">
        <f>IF(U227&lt;&gt;"SI","",IF(M227&lt;&gt;"",M227,IFERROR(I227*J227*(1+K227)*L227,"")))</f>
        <v/>
      </c>
      <c r="O227" s="62">
        <f>IF(N227="","",IF(OR(H227="",H227=0),N227,ROUNDUP(N227/H227,0)))</f>
        <v/>
      </c>
      <c r="P227" s="63">
        <f t="array" ref="P227">IFERROR(INDEX(PRODUCT!$I:$I,MATCH(C227,PRODUCT!$B:$B,0)),"")</f>
        <v/>
      </c>
      <c r="Q227" s="63">
        <f>IF(C227="","",INPUT_SYSTEM!M241)</f>
        <v/>
      </c>
      <c r="R227" s="63">
        <f>IF(P227="","",P227*(1+Q227))</f>
        <v/>
      </c>
      <c r="S227" s="63">
        <f>IF(O227="","",IF(OR(H227="",H227=0),O227*P227,O227*H227*P227))</f>
        <v/>
      </c>
      <c r="T227" s="63">
        <f>IF(O227="","",IF(OR(H227="",H227=0),O227*R227,O227*H227*R227))</f>
        <v/>
      </c>
      <c r="U227" s="62">
        <f>IF(C227="","",INPUT_SYSTEM!C241)</f>
        <v/>
      </c>
      <c r="V227" s="62">
        <f>IF(C227="","",INPUT_SYSTEM!N241)</f>
        <v/>
      </c>
    </row>
    <row r="228" ht="15.75" customHeight="1" s="125">
      <c r="A228" s="62">
        <f>IF(INPUT_SYSTEM!D242="","",INPUT_SYSTEM!A242)</f>
        <v/>
      </c>
      <c r="B228" s="62">
        <f>IF(INPUT_SYSTEM!D242="","",INPUT_SYSTEM!B242)</f>
        <v/>
      </c>
      <c r="C228" s="62">
        <f>IF(INPUT_SYSTEM!D242="","",INPUT_SYSTEM!D242)</f>
        <v/>
      </c>
      <c r="D228" s="62">
        <f>IF(C228="","",INPUT_SYSTEM!E242)</f>
        <v/>
      </c>
      <c r="E228" s="62">
        <f>IF(C228="","",INPUT_SYSTEM!F242)</f>
        <v/>
      </c>
      <c r="F228" s="62">
        <f t="array" ref="F228">IFERROR(INDEX(PRODUCT!$D:$D,MATCH(C228,PRODUCT!$B:$B,0)),"")</f>
        <v/>
      </c>
      <c r="G228" s="62">
        <f t="array" ref="G228">IFERROR(INDEX(PRODUCT!$E:$E,MATCH(C228,PRODUCT!$B:$B,0)),"")</f>
        <v/>
      </c>
      <c r="H228" s="62">
        <f t="array" ref="H228">IFERROR(INDEX(PRODUCT!$F:$F,MATCH(C228,PRODUCT!$B:$B,0)),"")</f>
        <v/>
      </c>
      <c r="I228" s="62">
        <f>IF(C228="","",INPUT_SYSTEM!G242)</f>
        <v/>
      </c>
      <c r="J228" s="62">
        <f>IF(C228="","",INPUT_SYSTEM!H242)</f>
        <v/>
      </c>
      <c r="K228" s="60">
        <f>IF(C228="","",INPUT_SYSTEM!J242)</f>
        <v/>
      </c>
      <c r="L228" s="62">
        <f>IF(C228="","",INPUT_SYSTEM!K242)</f>
        <v/>
      </c>
      <c r="M228" s="62">
        <f>IF(C228="","",INPUT_SYSTEM!L242)</f>
        <v/>
      </c>
      <c r="N228" s="62">
        <f>IF(U228&lt;&gt;"SI","",IF(M228&lt;&gt;"",M228,IFERROR(I228*J228*(1+K228)*L228,"")))</f>
        <v/>
      </c>
      <c r="O228" s="62">
        <f>IF(N228="","",IF(OR(H228="",H228=0),N228,ROUNDUP(N228/H228,0)))</f>
        <v/>
      </c>
      <c r="P228" s="63">
        <f t="array" ref="P228">IFERROR(INDEX(PRODUCT!$I:$I,MATCH(C228,PRODUCT!$B:$B,0)),"")</f>
        <v/>
      </c>
      <c r="Q228" s="63">
        <f>IF(C228="","",INPUT_SYSTEM!M242)</f>
        <v/>
      </c>
      <c r="R228" s="63">
        <f>IF(P228="","",P228*(1+Q228))</f>
        <v/>
      </c>
      <c r="S228" s="63">
        <f>IF(O228="","",IF(OR(H228="",H228=0),O228*P228,O228*H228*P228))</f>
        <v/>
      </c>
      <c r="T228" s="63">
        <f>IF(O228="","",IF(OR(H228="",H228=0),O228*R228,O228*H228*R228))</f>
        <v/>
      </c>
      <c r="U228" s="62">
        <f>IF(C228="","",INPUT_SYSTEM!C242)</f>
        <v/>
      </c>
      <c r="V228" s="62">
        <f>IF(C228="","",INPUT_SYSTEM!N242)</f>
        <v/>
      </c>
    </row>
    <row r="229" ht="15.75" customHeight="1" s="125">
      <c r="A229" s="62">
        <f>IF(INPUT_SYSTEM!D243="","",INPUT_SYSTEM!A243)</f>
        <v/>
      </c>
      <c r="B229" s="62">
        <f>IF(INPUT_SYSTEM!D243="","",INPUT_SYSTEM!B243)</f>
        <v/>
      </c>
      <c r="C229" s="62">
        <f>IF(INPUT_SYSTEM!D243="","",INPUT_SYSTEM!D243)</f>
        <v/>
      </c>
      <c r="D229" s="62">
        <f>IF(C229="","",INPUT_SYSTEM!E243)</f>
        <v/>
      </c>
      <c r="E229" s="62">
        <f>IF(C229="","",INPUT_SYSTEM!F243)</f>
        <v/>
      </c>
      <c r="F229" s="62">
        <f t="array" ref="F229">IFERROR(INDEX(PRODUCT!$D:$D,MATCH(C229,PRODUCT!$B:$B,0)),"")</f>
        <v/>
      </c>
      <c r="G229" s="62">
        <f t="array" ref="G229">IFERROR(INDEX(PRODUCT!$E:$E,MATCH(C229,PRODUCT!$B:$B,0)),"")</f>
        <v/>
      </c>
      <c r="H229" s="62">
        <f t="array" ref="H229">IFERROR(INDEX(PRODUCT!$F:$F,MATCH(C229,PRODUCT!$B:$B,0)),"")</f>
        <v/>
      </c>
      <c r="I229" s="62">
        <f>IF(C229="","",INPUT_SYSTEM!G243)</f>
        <v/>
      </c>
      <c r="J229" s="62">
        <f>IF(C229="","",INPUT_SYSTEM!H243)</f>
        <v/>
      </c>
      <c r="K229" s="60">
        <f>IF(C229="","",INPUT_SYSTEM!J243)</f>
        <v/>
      </c>
      <c r="L229" s="62">
        <f>IF(C229="","",INPUT_SYSTEM!K243)</f>
        <v/>
      </c>
      <c r="M229" s="62">
        <f>IF(C229="","",INPUT_SYSTEM!L243)</f>
        <v/>
      </c>
      <c r="N229" s="62">
        <f>IF(U229&lt;&gt;"SI","",IF(M229&lt;&gt;"",M229,IFERROR(I229*J229*(1+K229)*L229,"")))</f>
        <v/>
      </c>
      <c r="O229" s="62">
        <f>IF(N229="","",IF(OR(H229="",H229=0),N229,ROUNDUP(N229/H229,0)))</f>
        <v/>
      </c>
      <c r="P229" s="63">
        <f t="array" ref="P229">IFERROR(INDEX(PRODUCT!$I:$I,MATCH(C229,PRODUCT!$B:$B,0)),"")</f>
        <v/>
      </c>
      <c r="Q229" s="63">
        <f>IF(C229="","",INPUT_SYSTEM!M243)</f>
        <v/>
      </c>
      <c r="R229" s="63">
        <f>IF(P229="","",P229*(1+Q229))</f>
        <v/>
      </c>
      <c r="S229" s="63">
        <f>IF(O229="","",IF(OR(H229="",H229=0),O229*P229,O229*H229*P229))</f>
        <v/>
      </c>
      <c r="T229" s="63">
        <f>IF(O229="","",IF(OR(H229="",H229=0),O229*R229,O229*H229*R229))</f>
        <v/>
      </c>
      <c r="U229" s="62">
        <f>IF(C229="","",INPUT_SYSTEM!C243)</f>
        <v/>
      </c>
      <c r="V229" s="62">
        <f>IF(C229="","",INPUT_SYSTEM!N243)</f>
        <v/>
      </c>
    </row>
    <row r="230" ht="15.75" customHeight="1" s="125">
      <c r="A230" s="62">
        <f>IF(INPUT_SYSTEM!D244="","",INPUT_SYSTEM!A244)</f>
        <v/>
      </c>
      <c r="B230" s="62">
        <f>IF(INPUT_SYSTEM!D244="","",INPUT_SYSTEM!B244)</f>
        <v/>
      </c>
      <c r="C230" s="62">
        <f>IF(INPUT_SYSTEM!D244="","",INPUT_SYSTEM!D244)</f>
        <v/>
      </c>
      <c r="D230" s="62">
        <f>IF(C230="","",INPUT_SYSTEM!E244)</f>
        <v/>
      </c>
      <c r="E230" s="62">
        <f>IF(C230="","",INPUT_SYSTEM!F244)</f>
        <v/>
      </c>
      <c r="F230" s="62">
        <f t="array" ref="F230">IFERROR(INDEX(PRODUCT!$D:$D,MATCH(C230,PRODUCT!$B:$B,0)),"")</f>
        <v/>
      </c>
      <c r="G230" s="62">
        <f t="array" ref="G230">IFERROR(INDEX(PRODUCT!$E:$E,MATCH(C230,PRODUCT!$B:$B,0)),"")</f>
        <v/>
      </c>
      <c r="H230" s="62">
        <f t="array" ref="H230">IFERROR(INDEX(PRODUCT!$F:$F,MATCH(C230,PRODUCT!$B:$B,0)),"")</f>
        <v/>
      </c>
      <c r="I230" s="62">
        <f>IF(C230="","",INPUT_SYSTEM!G244)</f>
        <v/>
      </c>
      <c r="J230" s="62">
        <f>IF(C230="","",INPUT_SYSTEM!H244)</f>
        <v/>
      </c>
      <c r="K230" s="60">
        <f>IF(C230="","",INPUT_SYSTEM!J244)</f>
        <v/>
      </c>
      <c r="L230" s="62">
        <f>IF(C230="","",INPUT_SYSTEM!K244)</f>
        <v/>
      </c>
      <c r="M230" s="62">
        <f>IF(C230="","",INPUT_SYSTEM!L244)</f>
        <v/>
      </c>
      <c r="N230" s="62">
        <f>IF(U230&lt;&gt;"SI","",IF(M230&lt;&gt;"",M230,IFERROR(I230*J230*(1+K230)*L230,"")))</f>
        <v/>
      </c>
      <c r="O230" s="62">
        <f>IF(N230="","",IF(OR(H230="",H230=0),N230,ROUNDUP(N230/H230,0)))</f>
        <v/>
      </c>
      <c r="P230" s="63">
        <f t="array" ref="P230">IFERROR(INDEX(PRODUCT!$I:$I,MATCH(C230,PRODUCT!$B:$B,0)),"")</f>
        <v/>
      </c>
      <c r="Q230" s="63">
        <f>IF(C230="","",INPUT_SYSTEM!M244)</f>
        <v/>
      </c>
      <c r="R230" s="63">
        <f>IF(P230="","",P230*(1+Q230))</f>
        <v/>
      </c>
      <c r="S230" s="63">
        <f>IF(O230="","",IF(OR(H230="",H230=0),O230*P230,O230*H230*P230))</f>
        <v/>
      </c>
      <c r="T230" s="63">
        <f>IF(O230="","",IF(OR(H230="",H230=0),O230*R230,O230*H230*R230))</f>
        <v/>
      </c>
      <c r="U230" s="62">
        <f>IF(C230="","",INPUT_SYSTEM!C244)</f>
        <v/>
      </c>
      <c r="V230" s="62">
        <f>IF(C230="","",INPUT_SYSTEM!N244)</f>
        <v/>
      </c>
    </row>
    <row r="231" ht="15.75" customHeight="1" s="125">
      <c r="A231" s="62">
        <f>IF(INPUT_SYSTEM!D245="","",INPUT_SYSTEM!A245)</f>
        <v/>
      </c>
      <c r="B231" s="62">
        <f>IF(INPUT_SYSTEM!D245="","",INPUT_SYSTEM!B245)</f>
        <v/>
      </c>
      <c r="C231" s="62">
        <f>IF(INPUT_SYSTEM!D245="","",INPUT_SYSTEM!D245)</f>
        <v/>
      </c>
      <c r="D231" s="62">
        <f>IF(C231="","",INPUT_SYSTEM!E245)</f>
        <v/>
      </c>
      <c r="E231" s="62">
        <f>IF(C231="","",INPUT_SYSTEM!F245)</f>
        <v/>
      </c>
      <c r="F231" s="62">
        <f t="array" ref="F231">IFERROR(INDEX(PRODUCT!$D:$D,MATCH(C231,PRODUCT!$B:$B,0)),"")</f>
        <v/>
      </c>
      <c r="G231" s="62">
        <f t="array" ref="G231">IFERROR(INDEX(PRODUCT!$E:$E,MATCH(C231,PRODUCT!$B:$B,0)),"")</f>
        <v/>
      </c>
      <c r="H231" s="62">
        <f t="array" ref="H231">IFERROR(INDEX(PRODUCT!$F:$F,MATCH(C231,PRODUCT!$B:$B,0)),"")</f>
        <v/>
      </c>
      <c r="I231" s="62">
        <f>IF(C231="","",INPUT_SYSTEM!G245)</f>
        <v/>
      </c>
      <c r="J231" s="62">
        <f>IF(C231="","",INPUT_SYSTEM!H245)</f>
        <v/>
      </c>
      <c r="K231" s="60">
        <f>IF(C231="","",INPUT_SYSTEM!J245)</f>
        <v/>
      </c>
      <c r="L231" s="62">
        <f>IF(C231="","",INPUT_SYSTEM!K245)</f>
        <v/>
      </c>
      <c r="M231" s="62">
        <f>IF(C231="","",INPUT_SYSTEM!L245)</f>
        <v/>
      </c>
      <c r="N231" s="62">
        <f>IF(U231&lt;&gt;"SI","",IF(M231&lt;&gt;"",M231,IFERROR(I231*J231*(1+K231)*L231,"")))</f>
        <v/>
      </c>
      <c r="O231" s="62">
        <f>IF(N231="","",IF(OR(H231="",H231=0),N231,ROUNDUP(N231/H231,0)))</f>
        <v/>
      </c>
      <c r="P231" s="63">
        <f t="array" ref="P231">IFERROR(INDEX(PRODUCT!$I:$I,MATCH(C231,PRODUCT!$B:$B,0)),"")</f>
        <v/>
      </c>
      <c r="Q231" s="63">
        <f>IF(C231="","",INPUT_SYSTEM!M245)</f>
        <v/>
      </c>
      <c r="R231" s="63">
        <f>IF(P231="","",P231*(1+Q231))</f>
        <v/>
      </c>
      <c r="S231" s="63">
        <f>IF(O231="","",IF(OR(H231="",H231=0),O231*P231,O231*H231*P231))</f>
        <v/>
      </c>
      <c r="T231" s="63">
        <f>IF(O231="","",IF(OR(H231="",H231=0),O231*R231,O231*H231*R231))</f>
        <v/>
      </c>
      <c r="U231" s="62">
        <f>IF(C231="","",INPUT_SYSTEM!C245)</f>
        <v/>
      </c>
      <c r="V231" s="62">
        <f>IF(C231="","",INPUT_SYSTEM!N245)</f>
        <v/>
      </c>
    </row>
    <row r="232" ht="15.75" customHeight="1" s="125">
      <c r="A232" s="62">
        <f>IF(INPUT_SYSTEM!D246="","",INPUT_SYSTEM!A246)</f>
        <v/>
      </c>
      <c r="B232" s="62">
        <f>IF(INPUT_SYSTEM!D246="","",INPUT_SYSTEM!B246)</f>
        <v/>
      </c>
      <c r="C232" s="62">
        <f>IF(INPUT_SYSTEM!D246="","",INPUT_SYSTEM!D246)</f>
        <v/>
      </c>
      <c r="D232" s="62">
        <f>IF(C232="","",INPUT_SYSTEM!E246)</f>
        <v/>
      </c>
      <c r="E232" s="62">
        <f>IF(C232="","",INPUT_SYSTEM!F246)</f>
        <v/>
      </c>
      <c r="F232" s="62">
        <f t="array" ref="F232">IFERROR(INDEX(PRODUCT!$D:$D,MATCH(C232,PRODUCT!$B:$B,0)),"")</f>
        <v/>
      </c>
      <c r="G232" s="62">
        <f t="array" ref="G232">IFERROR(INDEX(PRODUCT!$E:$E,MATCH(C232,PRODUCT!$B:$B,0)),"")</f>
        <v/>
      </c>
      <c r="H232" s="62">
        <f t="array" ref="H232">IFERROR(INDEX(PRODUCT!$F:$F,MATCH(C232,PRODUCT!$B:$B,0)),"")</f>
        <v/>
      </c>
      <c r="I232" s="62">
        <f>IF(C232="","",INPUT_SYSTEM!G246)</f>
        <v/>
      </c>
      <c r="J232" s="62">
        <f>IF(C232="","",INPUT_SYSTEM!H246)</f>
        <v/>
      </c>
      <c r="K232" s="60">
        <f>IF(C232="","",INPUT_SYSTEM!J246)</f>
        <v/>
      </c>
      <c r="L232" s="62">
        <f>IF(C232="","",INPUT_SYSTEM!K246)</f>
        <v/>
      </c>
      <c r="M232" s="62">
        <f>IF(C232="","",INPUT_SYSTEM!L246)</f>
        <v/>
      </c>
      <c r="N232" s="62">
        <f>IF(U232&lt;&gt;"SI","",IF(M232&lt;&gt;"",M232,IFERROR(I232*J232*(1+K232)*L232,"")))</f>
        <v/>
      </c>
      <c r="O232" s="62">
        <f>IF(N232="","",IF(OR(H232="",H232=0),N232,ROUNDUP(N232/H232,0)))</f>
        <v/>
      </c>
      <c r="P232" s="63">
        <f t="array" ref="P232">IFERROR(INDEX(PRODUCT!$I:$I,MATCH(C232,PRODUCT!$B:$B,0)),"")</f>
        <v/>
      </c>
      <c r="Q232" s="63">
        <f>IF(C232="","",INPUT_SYSTEM!M246)</f>
        <v/>
      </c>
      <c r="R232" s="63">
        <f>IF(P232="","",P232*(1+Q232))</f>
        <v/>
      </c>
      <c r="S232" s="63">
        <f>IF(O232="","",IF(OR(H232="",H232=0),O232*P232,O232*H232*P232))</f>
        <v/>
      </c>
      <c r="T232" s="63">
        <f>IF(O232="","",IF(OR(H232="",H232=0),O232*R232,O232*H232*R232))</f>
        <v/>
      </c>
      <c r="U232" s="62">
        <f>IF(C232="","",INPUT_SYSTEM!C246)</f>
        <v/>
      </c>
      <c r="V232" s="62">
        <f>IF(C232="","",INPUT_SYSTEM!N246)</f>
        <v/>
      </c>
    </row>
    <row r="233" ht="15.75" customHeight="1" s="125">
      <c r="A233" s="62">
        <f>IF(INPUT_SYSTEM!D247="","",INPUT_SYSTEM!A247)</f>
        <v/>
      </c>
      <c r="B233" s="62">
        <f>IF(INPUT_SYSTEM!D247="","",INPUT_SYSTEM!B247)</f>
        <v/>
      </c>
      <c r="C233" s="62">
        <f>IF(INPUT_SYSTEM!D247="","",INPUT_SYSTEM!D247)</f>
        <v/>
      </c>
      <c r="D233" s="62">
        <f>IF(C233="","",INPUT_SYSTEM!E247)</f>
        <v/>
      </c>
      <c r="E233" s="62">
        <f>IF(C233="","",INPUT_SYSTEM!F247)</f>
        <v/>
      </c>
      <c r="F233" s="62">
        <f t="array" ref="F233">IFERROR(INDEX(PRODUCT!$D:$D,MATCH(C233,PRODUCT!$B:$B,0)),"")</f>
        <v/>
      </c>
      <c r="G233" s="62">
        <f t="array" ref="G233">IFERROR(INDEX(PRODUCT!$E:$E,MATCH(C233,PRODUCT!$B:$B,0)),"")</f>
        <v/>
      </c>
      <c r="H233" s="62">
        <f t="array" ref="H233">IFERROR(INDEX(PRODUCT!$F:$F,MATCH(C233,PRODUCT!$B:$B,0)),"")</f>
        <v/>
      </c>
      <c r="I233" s="62">
        <f>IF(C233="","",INPUT_SYSTEM!G247)</f>
        <v/>
      </c>
      <c r="J233" s="62">
        <f>IF(C233="","",INPUT_SYSTEM!H247)</f>
        <v/>
      </c>
      <c r="K233" s="60">
        <f>IF(C233="","",INPUT_SYSTEM!J247)</f>
        <v/>
      </c>
      <c r="L233" s="62">
        <f>IF(C233="","",INPUT_SYSTEM!K247)</f>
        <v/>
      </c>
      <c r="M233" s="62">
        <f>IF(C233="","",INPUT_SYSTEM!L247)</f>
        <v/>
      </c>
      <c r="N233" s="62">
        <f>IF(U233&lt;&gt;"SI","",IF(M233&lt;&gt;"",M233,IFERROR(I233*J233*(1+K233)*L233,"")))</f>
        <v/>
      </c>
      <c r="O233" s="62">
        <f>IF(N233="","",IF(OR(H233="",H233=0),N233,ROUNDUP(N233/H233,0)))</f>
        <v/>
      </c>
      <c r="P233" s="63">
        <f t="array" ref="P233">IFERROR(INDEX(PRODUCT!$I:$I,MATCH(C233,PRODUCT!$B:$B,0)),"")</f>
        <v/>
      </c>
      <c r="Q233" s="63">
        <f>IF(C233="","",INPUT_SYSTEM!M247)</f>
        <v/>
      </c>
      <c r="R233" s="63">
        <f>IF(P233="","",P233*(1+Q233))</f>
        <v/>
      </c>
      <c r="S233" s="63">
        <f>IF(O233="","",IF(OR(H233="",H233=0),O233*P233,O233*H233*P233))</f>
        <v/>
      </c>
      <c r="T233" s="63">
        <f>IF(O233="","",IF(OR(H233="",H233=0),O233*R233,O233*H233*R233))</f>
        <v/>
      </c>
      <c r="U233" s="62">
        <f>IF(C233="","",INPUT_SYSTEM!C247)</f>
        <v/>
      </c>
      <c r="V233" s="62">
        <f>IF(C233="","",INPUT_SYSTEM!N247)</f>
        <v/>
      </c>
    </row>
    <row r="234" ht="15.75" customHeight="1" s="125">
      <c r="A234" s="62">
        <f>IF(INPUT_SYSTEM!D248="","",INPUT_SYSTEM!A248)</f>
        <v/>
      </c>
      <c r="B234" s="62">
        <f>IF(INPUT_SYSTEM!D248="","",INPUT_SYSTEM!B248)</f>
        <v/>
      </c>
      <c r="C234" s="62">
        <f>IF(INPUT_SYSTEM!D248="","",INPUT_SYSTEM!D248)</f>
        <v/>
      </c>
      <c r="D234" s="62">
        <f>IF(C234="","",INPUT_SYSTEM!E248)</f>
        <v/>
      </c>
      <c r="E234" s="62">
        <f>IF(C234="","",INPUT_SYSTEM!F248)</f>
        <v/>
      </c>
      <c r="F234" s="62">
        <f t="array" ref="F234">IFERROR(INDEX(PRODUCT!$D:$D,MATCH(C234,PRODUCT!$B:$B,0)),"")</f>
        <v/>
      </c>
      <c r="G234" s="62">
        <f t="array" ref="G234">IFERROR(INDEX(PRODUCT!$E:$E,MATCH(C234,PRODUCT!$B:$B,0)),"")</f>
        <v/>
      </c>
      <c r="H234" s="62">
        <f t="array" ref="H234">IFERROR(INDEX(PRODUCT!$F:$F,MATCH(C234,PRODUCT!$B:$B,0)),"")</f>
        <v/>
      </c>
      <c r="I234" s="62">
        <f>IF(C234="","",INPUT_SYSTEM!G248)</f>
        <v/>
      </c>
      <c r="J234" s="62">
        <f>IF(C234="","",INPUT_SYSTEM!H248)</f>
        <v/>
      </c>
      <c r="K234" s="60">
        <f>IF(C234="","",INPUT_SYSTEM!J248)</f>
        <v/>
      </c>
      <c r="L234" s="62">
        <f>IF(C234="","",INPUT_SYSTEM!K248)</f>
        <v/>
      </c>
      <c r="M234" s="62">
        <f>IF(C234="","",INPUT_SYSTEM!L248)</f>
        <v/>
      </c>
      <c r="N234" s="62">
        <f>IF(U234&lt;&gt;"SI","",IF(M234&lt;&gt;"",M234,IFERROR(I234*J234*(1+K234)*L234,"")))</f>
        <v/>
      </c>
      <c r="O234" s="62">
        <f>IF(N234="","",IF(OR(H234="",H234=0),N234,ROUNDUP(N234/H234,0)))</f>
        <v/>
      </c>
      <c r="P234" s="63">
        <f t="array" ref="P234">IFERROR(INDEX(PRODUCT!$I:$I,MATCH(C234,PRODUCT!$B:$B,0)),"")</f>
        <v/>
      </c>
      <c r="Q234" s="63">
        <f>IF(C234="","",INPUT_SYSTEM!M248)</f>
        <v/>
      </c>
      <c r="R234" s="63">
        <f>IF(P234="","",P234*(1+Q234))</f>
        <v/>
      </c>
      <c r="S234" s="63">
        <f>IF(O234="","",IF(OR(H234="",H234=0),O234*P234,O234*H234*P234))</f>
        <v/>
      </c>
      <c r="T234" s="63">
        <f>IF(O234="","",IF(OR(H234="",H234=0),O234*R234,O234*H234*R234))</f>
        <v/>
      </c>
      <c r="U234" s="62">
        <f>IF(C234="","",INPUT_SYSTEM!C248)</f>
        <v/>
      </c>
      <c r="V234" s="62">
        <f>IF(C234="","",INPUT_SYSTEM!N248)</f>
        <v/>
      </c>
    </row>
    <row r="235" ht="15.75" customHeight="1" s="125">
      <c r="A235" s="62">
        <f>IF(INPUT_SYSTEM!D249="","",INPUT_SYSTEM!A249)</f>
        <v/>
      </c>
      <c r="B235" s="62">
        <f>IF(INPUT_SYSTEM!D249="","",INPUT_SYSTEM!B249)</f>
        <v/>
      </c>
      <c r="C235" s="62">
        <f>IF(INPUT_SYSTEM!D249="","",INPUT_SYSTEM!D249)</f>
        <v/>
      </c>
      <c r="D235" s="62">
        <f>IF(C235="","",INPUT_SYSTEM!E249)</f>
        <v/>
      </c>
      <c r="E235" s="62">
        <f>IF(C235="","",INPUT_SYSTEM!F249)</f>
        <v/>
      </c>
      <c r="F235" s="62">
        <f t="array" ref="F235">IFERROR(INDEX(PRODUCT!$D:$D,MATCH(C235,PRODUCT!$B:$B,0)),"")</f>
        <v/>
      </c>
      <c r="G235" s="62">
        <f t="array" ref="G235">IFERROR(INDEX(PRODUCT!$E:$E,MATCH(C235,PRODUCT!$B:$B,0)),"")</f>
        <v/>
      </c>
      <c r="H235" s="62">
        <f t="array" ref="H235">IFERROR(INDEX(PRODUCT!$F:$F,MATCH(C235,PRODUCT!$B:$B,0)),"")</f>
        <v/>
      </c>
      <c r="I235" s="62">
        <f>IF(C235="","",INPUT_SYSTEM!G249)</f>
        <v/>
      </c>
      <c r="J235" s="62">
        <f>IF(C235="","",INPUT_SYSTEM!H249)</f>
        <v/>
      </c>
      <c r="K235" s="60">
        <f>IF(C235="","",INPUT_SYSTEM!J249)</f>
        <v/>
      </c>
      <c r="L235" s="62">
        <f>IF(C235="","",INPUT_SYSTEM!K249)</f>
        <v/>
      </c>
      <c r="M235" s="62">
        <f>IF(C235="","",INPUT_SYSTEM!L249)</f>
        <v/>
      </c>
      <c r="N235" s="62">
        <f>IF(U235&lt;&gt;"SI","",IF(M235&lt;&gt;"",M235,IFERROR(I235*J235*(1+K235)*L235,"")))</f>
        <v/>
      </c>
      <c r="O235" s="62">
        <f>IF(N235="","",IF(OR(H235="",H235=0),N235,ROUNDUP(N235/H235,0)))</f>
        <v/>
      </c>
      <c r="P235" s="63">
        <f t="array" ref="P235">IFERROR(INDEX(PRODUCT!$I:$I,MATCH(C235,PRODUCT!$B:$B,0)),"")</f>
        <v/>
      </c>
      <c r="Q235" s="63">
        <f>IF(C235="","",INPUT_SYSTEM!M249)</f>
        <v/>
      </c>
      <c r="R235" s="63">
        <f>IF(P235="","",P235*(1+Q235))</f>
        <v/>
      </c>
      <c r="S235" s="63">
        <f>IF(O235="","",IF(OR(H235="",H235=0),O235*P235,O235*H235*P235))</f>
        <v/>
      </c>
      <c r="T235" s="63">
        <f>IF(O235="","",IF(OR(H235="",H235=0),O235*R235,O235*H235*R235))</f>
        <v/>
      </c>
      <c r="U235" s="62">
        <f>IF(C235="","",INPUT_SYSTEM!C249)</f>
        <v/>
      </c>
      <c r="V235" s="62">
        <f>IF(C235="","",INPUT_SYSTEM!N249)</f>
        <v/>
      </c>
    </row>
    <row r="236" ht="15.75" customHeight="1" s="125">
      <c r="A236" s="62">
        <f>IF(INPUT_SYSTEM!D250="","",INPUT_SYSTEM!A250)</f>
        <v/>
      </c>
      <c r="B236" s="62">
        <f>IF(INPUT_SYSTEM!D250="","",INPUT_SYSTEM!B250)</f>
        <v/>
      </c>
      <c r="C236" s="62">
        <f>IF(INPUT_SYSTEM!D250="","",INPUT_SYSTEM!D250)</f>
        <v/>
      </c>
      <c r="D236" s="62">
        <f>IF(C236="","",INPUT_SYSTEM!E250)</f>
        <v/>
      </c>
      <c r="E236" s="62">
        <f>IF(C236="","",INPUT_SYSTEM!F250)</f>
        <v/>
      </c>
      <c r="F236" s="62">
        <f t="array" ref="F236">IFERROR(INDEX(PRODUCT!$D:$D,MATCH(C236,PRODUCT!$B:$B,0)),"")</f>
        <v/>
      </c>
      <c r="G236" s="62">
        <f t="array" ref="G236">IFERROR(INDEX(PRODUCT!$E:$E,MATCH(C236,PRODUCT!$B:$B,0)),"")</f>
        <v/>
      </c>
      <c r="H236" s="62">
        <f t="array" ref="H236">IFERROR(INDEX(PRODUCT!$F:$F,MATCH(C236,PRODUCT!$B:$B,0)),"")</f>
        <v/>
      </c>
      <c r="I236" s="62">
        <f>IF(C236="","",INPUT_SYSTEM!G250)</f>
        <v/>
      </c>
      <c r="J236" s="62">
        <f>IF(C236="","",INPUT_SYSTEM!H250)</f>
        <v/>
      </c>
      <c r="K236" s="60">
        <f>IF(C236="","",INPUT_SYSTEM!J250)</f>
        <v/>
      </c>
      <c r="L236" s="62">
        <f>IF(C236="","",INPUT_SYSTEM!K250)</f>
        <v/>
      </c>
      <c r="M236" s="62">
        <f>IF(C236="","",INPUT_SYSTEM!L250)</f>
        <v/>
      </c>
      <c r="N236" s="62">
        <f>IF(U236&lt;&gt;"SI","",IF(M236&lt;&gt;"",M236,IFERROR(I236*J236*(1+K236)*L236,"")))</f>
        <v/>
      </c>
      <c r="O236" s="62">
        <f>IF(N236="","",IF(OR(H236="",H236=0),N236,ROUNDUP(N236/H236,0)))</f>
        <v/>
      </c>
      <c r="P236" s="63">
        <f t="array" ref="P236">IFERROR(INDEX(PRODUCT!$I:$I,MATCH(C236,PRODUCT!$B:$B,0)),"")</f>
        <v/>
      </c>
      <c r="Q236" s="63">
        <f>IF(C236="","",INPUT_SYSTEM!M250)</f>
        <v/>
      </c>
      <c r="R236" s="63">
        <f>IF(P236="","",P236*(1+Q236))</f>
        <v/>
      </c>
      <c r="S236" s="63">
        <f>IF(O236="","",IF(OR(H236="",H236=0),O236*P236,O236*H236*P236))</f>
        <v/>
      </c>
      <c r="T236" s="63">
        <f>IF(O236="","",IF(OR(H236="",H236=0),O236*R236,O236*H236*R236))</f>
        <v/>
      </c>
      <c r="U236" s="62">
        <f>IF(C236="","",INPUT_SYSTEM!C250)</f>
        <v/>
      </c>
      <c r="V236" s="62">
        <f>IF(C236="","",INPUT_SYSTEM!N250)</f>
        <v/>
      </c>
    </row>
    <row r="237" ht="15.75" customHeight="1" s="125">
      <c r="A237" s="62">
        <f>IF(INPUT_SYSTEM!D251="","",INPUT_SYSTEM!A251)</f>
        <v/>
      </c>
      <c r="B237" s="62">
        <f>IF(INPUT_SYSTEM!D251="","",INPUT_SYSTEM!B251)</f>
        <v/>
      </c>
      <c r="C237" s="62">
        <f>IF(INPUT_SYSTEM!D251="","",INPUT_SYSTEM!D251)</f>
        <v/>
      </c>
      <c r="D237" s="62">
        <f>IF(C237="","",INPUT_SYSTEM!E251)</f>
        <v/>
      </c>
      <c r="E237" s="62">
        <f>IF(C237="","",INPUT_SYSTEM!F251)</f>
        <v/>
      </c>
      <c r="F237" s="62">
        <f t="array" ref="F237">IFERROR(INDEX(PRODUCT!$D:$D,MATCH(C237,PRODUCT!$B:$B,0)),"")</f>
        <v/>
      </c>
      <c r="G237" s="62">
        <f t="array" ref="G237">IFERROR(INDEX(PRODUCT!$E:$E,MATCH(C237,PRODUCT!$B:$B,0)),"")</f>
        <v/>
      </c>
      <c r="H237" s="62">
        <f t="array" ref="H237">IFERROR(INDEX(PRODUCT!$F:$F,MATCH(C237,PRODUCT!$B:$B,0)),"")</f>
        <v/>
      </c>
      <c r="I237" s="62">
        <f>IF(C237="","",INPUT_SYSTEM!G251)</f>
        <v/>
      </c>
      <c r="J237" s="62">
        <f>IF(C237="","",INPUT_SYSTEM!H251)</f>
        <v/>
      </c>
      <c r="K237" s="60">
        <f>IF(C237="","",INPUT_SYSTEM!J251)</f>
        <v/>
      </c>
      <c r="L237" s="62">
        <f>IF(C237="","",INPUT_SYSTEM!K251)</f>
        <v/>
      </c>
      <c r="M237" s="62">
        <f>IF(C237="","",INPUT_SYSTEM!L251)</f>
        <v/>
      </c>
      <c r="N237" s="62">
        <f>IF(U237&lt;&gt;"SI","",IF(M237&lt;&gt;"",M237,IFERROR(I237*J237*(1+K237)*L237,"")))</f>
        <v/>
      </c>
      <c r="O237" s="62">
        <f>IF(N237="","",IF(OR(H237="",H237=0),N237,ROUNDUP(N237/H237,0)))</f>
        <v/>
      </c>
      <c r="P237" s="63">
        <f t="array" ref="P237">IFERROR(INDEX(PRODUCT!$I:$I,MATCH(C237,PRODUCT!$B:$B,0)),"")</f>
        <v/>
      </c>
      <c r="Q237" s="63">
        <f>IF(C237="","",INPUT_SYSTEM!M251)</f>
        <v/>
      </c>
      <c r="R237" s="63">
        <f>IF(P237="","",P237*(1+Q237))</f>
        <v/>
      </c>
      <c r="S237" s="63">
        <f>IF(O237="","",IF(OR(H237="",H237=0),O237*P237,O237*H237*P237))</f>
        <v/>
      </c>
      <c r="T237" s="63">
        <f>IF(O237="","",IF(OR(H237="",H237=0),O237*R237,O237*H237*R237))</f>
        <v/>
      </c>
      <c r="U237" s="62">
        <f>IF(C237="","",INPUT_SYSTEM!C251)</f>
        <v/>
      </c>
      <c r="V237" s="62">
        <f>IF(C237="","",INPUT_SYSTEM!N251)</f>
        <v/>
      </c>
    </row>
    <row r="238" ht="15.75" customHeight="1" s="125">
      <c r="A238" s="62">
        <f>IF(INPUT_SYSTEM!D252="","",INPUT_SYSTEM!A252)</f>
        <v/>
      </c>
      <c r="B238" s="62">
        <f>IF(INPUT_SYSTEM!D252="","",INPUT_SYSTEM!B252)</f>
        <v/>
      </c>
      <c r="C238" s="62">
        <f>IF(INPUT_SYSTEM!D252="","",INPUT_SYSTEM!D252)</f>
        <v/>
      </c>
      <c r="D238" s="62">
        <f>IF(C238="","",INPUT_SYSTEM!E252)</f>
        <v/>
      </c>
      <c r="E238" s="62">
        <f>IF(C238="","",INPUT_SYSTEM!F252)</f>
        <v/>
      </c>
      <c r="F238" s="62">
        <f t="array" ref="F238">IFERROR(INDEX(PRODUCT!$D:$D,MATCH(C238,PRODUCT!$B:$B,0)),"")</f>
        <v/>
      </c>
      <c r="G238" s="62">
        <f t="array" ref="G238">IFERROR(INDEX(PRODUCT!$E:$E,MATCH(C238,PRODUCT!$B:$B,0)),"")</f>
        <v/>
      </c>
      <c r="H238" s="62">
        <f t="array" ref="H238">IFERROR(INDEX(PRODUCT!$F:$F,MATCH(C238,PRODUCT!$B:$B,0)),"")</f>
        <v/>
      </c>
      <c r="I238" s="62">
        <f>IF(C238="","",INPUT_SYSTEM!G252)</f>
        <v/>
      </c>
      <c r="J238" s="62">
        <f>IF(C238="","",INPUT_SYSTEM!H252)</f>
        <v/>
      </c>
      <c r="K238" s="60">
        <f>IF(C238="","",INPUT_SYSTEM!J252)</f>
        <v/>
      </c>
      <c r="L238" s="62">
        <f>IF(C238="","",INPUT_SYSTEM!K252)</f>
        <v/>
      </c>
      <c r="M238" s="62">
        <f>IF(C238="","",INPUT_SYSTEM!L252)</f>
        <v/>
      </c>
      <c r="N238" s="62">
        <f>IF(U238&lt;&gt;"SI","",IF(M238&lt;&gt;"",M238,IFERROR(I238*J238*(1+K238)*L238,"")))</f>
        <v/>
      </c>
      <c r="O238" s="62">
        <f>IF(N238="","",IF(OR(H238="",H238=0),N238,ROUNDUP(N238/H238,0)))</f>
        <v/>
      </c>
      <c r="P238" s="63">
        <f t="array" ref="P238">IFERROR(INDEX(PRODUCT!$I:$I,MATCH(C238,PRODUCT!$B:$B,0)),"")</f>
        <v/>
      </c>
      <c r="Q238" s="63">
        <f>IF(C238="","",INPUT_SYSTEM!M252)</f>
        <v/>
      </c>
      <c r="R238" s="63">
        <f>IF(P238="","",P238*(1+Q238))</f>
        <v/>
      </c>
      <c r="S238" s="63">
        <f>IF(O238="","",IF(OR(H238="",H238=0),O238*P238,O238*H238*P238))</f>
        <v/>
      </c>
      <c r="T238" s="63">
        <f>IF(O238="","",IF(OR(H238="",H238=0),O238*R238,O238*H238*R238))</f>
        <v/>
      </c>
      <c r="U238" s="62">
        <f>IF(C238="","",INPUT_SYSTEM!C252)</f>
        <v/>
      </c>
      <c r="V238" s="62">
        <f>IF(C238="","",INPUT_SYSTEM!N252)</f>
        <v/>
      </c>
    </row>
    <row r="239" ht="15.75" customHeight="1" s="125">
      <c r="A239" s="62">
        <f>IF(INPUT_SYSTEM!D253="","",INPUT_SYSTEM!A253)</f>
        <v/>
      </c>
      <c r="B239" s="62">
        <f>IF(INPUT_SYSTEM!D253="","",INPUT_SYSTEM!B253)</f>
        <v/>
      </c>
      <c r="C239" s="62">
        <f>IF(INPUT_SYSTEM!D253="","",INPUT_SYSTEM!D253)</f>
        <v/>
      </c>
      <c r="D239" s="62">
        <f>IF(C239="","",INPUT_SYSTEM!E253)</f>
        <v/>
      </c>
      <c r="E239" s="62">
        <f>IF(C239="","",INPUT_SYSTEM!F253)</f>
        <v/>
      </c>
      <c r="F239" s="62">
        <f t="array" ref="F239">IFERROR(INDEX(PRODUCT!$D:$D,MATCH(C239,PRODUCT!$B:$B,0)),"")</f>
        <v/>
      </c>
      <c r="G239" s="62">
        <f t="array" ref="G239">IFERROR(INDEX(PRODUCT!$E:$E,MATCH(C239,PRODUCT!$B:$B,0)),"")</f>
        <v/>
      </c>
      <c r="H239" s="62">
        <f t="array" ref="H239">IFERROR(INDEX(PRODUCT!$F:$F,MATCH(C239,PRODUCT!$B:$B,0)),"")</f>
        <v/>
      </c>
      <c r="I239" s="62">
        <f>IF(C239="","",INPUT_SYSTEM!G253)</f>
        <v/>
      </c>
      <c r="J239" s="62">
        <f>IF(C239="","",INPUT_SYSTEM!H253)</f>
        <v/>
      </c>
      <c r="K239" s="60">
        <f>IF(C239="","",INPUT_SYSTEM!J253)</f>
        <v/>
      </c>
      <c r="L239" s="62">
        <f>IF(C239="","",INPUT_SYSTEM!K253)</f>
        <v/>
      </c>
      <c r="M239" s="62">
        <f>IF(C239="","",INPUT_SYSTEM!L253)</f>
        <v/>
      </c>
      <c r="N239" s="62">
        <f>IF(U239&lt;&gt;"SI","",IF(M239&lt;&gt;"",M239,IFERROR(I239*J239*(1+K239)*L239,"")))</f>
        <v/>
      </c>
      <c r="O239" s="62">
        <f>IF(N239="","",IF(OR(H239="",H239=0),N239,ROUNDUP(N239/H239,0)))</f>
        <v/>
      </c>
      <c r="P239" s="63">
        <f t="array" ref="P239">IFERROR(INDEX(PRODUCT!$I:$I,MATCH(C239,PRODUCT!$B:$B,0)),"")</f>
        <v/>
      </c>
      <c r="Q239" s="63">
        <f>IF(C239="","",INPUT_SYSTEM!M253)</f>
        <v/>
      </c>
      <c r="R239" s="63">
        <f>IF(P239="","",P239*(1+Q239))</f>
        <v/>
      </c>
      <c r="S239" s="63">
        <f>IF(O239="","",IF(OR(H239="",H239=0),O239*P239,O239*H239*P239))</f>
        <v/>
      </c>
      <c r="T239" s="63">
        <f>IF(O239="","",IF(OR(H239="",H239=0),O239*R239,O239*H239*R239))</f>
        <v/>
      </c>
      <c r="U239" s="62">
        <f>IF(C239="","",INPUT_SYSTEM!C253)</f>
        <v/>
      </c>
      <c r="V239" s="62">
        <f>IF(C239="","",INPUT_SYSTEM!N253)</f>
        <v/>
      </c>
    </row>
    <row r="240" ht="15.75" customHeight="1" s="125">
      <c r="A240" s="62">
        <f>IF(INPUT_SYSTEM!D254="","",INPUT_SYSTEM!A254)</f>
        <v/>
      </c>
      <c r="B240" s="62">
        <f>IF(INPUT_SYSTEM!D254="","",INPUT_SYSTEM!B254)</f>
        <v/>
      </c>
      <c r="C240" s="62">
        <f>IF(INPUT_SYSTEM!D254="","",INPUT_SYSTEM!D254)</f>
        <v/>
      </c>
      <c r="D240" s="62">
        <f>IF(C240="","",INPUT_SYSTEM!E254)</f>
        <v/>
      </c>
      <c r="E240" s="62">
        <f>IF(C240="","",INPUT_SYSTEM!F254)</f>
        <v/>
      </c>
      <c r="F240" s="62">
        <f t="array" ref="F240">IFERROR(INDEX(PRODUCT!$D:$D,MATCH(C240,PRODUCT!$B:$B,0)),"")</f>
        <v/>
      </c>
      <c r="G240" s="62">
        <f t="array" ref="G240">IFERROR(INDEX(PRODUCT!$E:$E,MATCH(C240,PRODUCT!$B:$B,0)),"")</f>
        <v/>
      </c>
      <c r="H240" s="62">
        <f t="array" ref="H240">IFERROR(INDEX(PRODUCT!$F:$F,MATCH(C240,PRODUCT!$B:$B,0)),"")</f>
        <v/>
      </c>
      <c r="I240" s="62">
        <f>IF(C240="","",INPUT_SYSTEM!G254)</f>
        <v/>
      </c>
      <c r="J240" s="62">
        <f>IF(C240="","",INPUT_SYSTEM!H254)</f>
        <v/>
      </c>
      <c r="K240" s="60">
        <f>IF(C240="","",INPUT_SYSTEM!J254)</f>
        <v/>
      </c>
      <c r="L240" s="62">
        <f>IF(C240="","",INPUT_SYSTEM!K254)</f>
        <v/>
      </c>
      <c r="M240" s="62">
        <f>IF(C240="","",INPUT_SYSTEM!L254)</f>
        <v/>
      </c>
      <c r="N240" s="62">
        <f>IF(U240&lt;&gt;"SI","",IF(M240&lt;&gt;"",M240,IFERROR(I240*J240*(1+K240)*L240,"")))</f>
        <v/>
      </c>
      <c r="O240" s="62">
        <f>IF(N240="","",IF(OR(H240="",H240=0),N240,ROUNDUP(N240/H240,0)))</f>
        <v/>
      </c>
      <c r="P240" s="63">
        <f t="array" ref="P240">IFERROR(INDEX(PRODUCT!$I:$I,MATCH(C240,PRODUCT!$B:$B,0)),"")</f>
        <v/>
      </c>
      <c r="Q240" s="63">
        <f>IF(C240="","",INPUT_SYSTEM!M254)</f>
        <v/>
      </c>
      <c r="R240" s="63">
        <f>IF(P240="","",P240*(1+Q240))</f>
        <v/>
      </c>
      <c r="S240" s="63">
        <f>IF(O240="","",IF(OR(H240="",H240=0),O240*P240,O240*H240*P240))</f>
        <v/>
      </c>
      <c r="T240" s="63">
        <f>IF(O240="","",IF(OR(H240="",H240=0),O240*R240,O240*H240*R240))</f>
        <v/>
      </c>
      <c r="U240" s="62">
        <f>IF(C240="","",INPUT_SYSTEM!C254)</f>
        <v/>
      </c>
      <c r="V240" s="62">
        <f>IF(C240="","",INPUT_SYSTEM!N254)</f>
        <v/>
      </c>
    </row>
    <row r="241" ht="15.75" customHeight="1" s="125">
      <c r="A241" s="62">
        <f>IF(INPUT_SYSTEM!D255="","",INPUT_SYSTEM!A255)</f>
        <v/>
      </c>
      <c r="B241" s="62">
        <f>IF(INPUT_SYSTEM!D255="","",INPUT_SYSTEM!B255)</f>
        <v/>
      </c>
      <c r="C241" s="62">
        <f>IF(INPUT_SYSTEM!D255="","",INPUT_SYSTEM!D255)</f>
        <v/>
      </c>
      <c r="D241" s="62">
        <f>IF(C241="","",INPUT_SYSTEM!E255)</f>
        <v/>
      </c>
      <c r="E241" s="62">
        <f>IF(C241="","",INPUT_SYSTEM!F255)</f>
        <v/>
      </c>
      <c r="F241" s="62">
        <f t="array" ref="F241">IFERROR(INDEX(PRODUCT!$D:$D,MATCH(C241,PRODUCT!$B:$B,0)),"")</f>
        <v/>
      </c>
      <c r="G241" s="62">
        <f t="array" ref="G241">IFERROR(INDEX(PRODUCT!$E:$E,MATCH(C241,PRODUCT!$B:$B,0)),"")</f>
        <v/>
      </c>
      <c r="H241" s="62">
        <f t="array" ref="H241">IFERROR(INDEX(PRODUCT!$F:$F,MATCH(C241,PRODUCT!$B:$B,0)),"")</f>
        <v/>
      </c>
      <c r="I241" s="62">
        <f>IF(C241="","",INPUT_SYSTEM!G255)</f>
        <v/>
      </c>
      <c r="J241" s="62">
        <f>IF(C241="","",INPUT_SYSTEM!H255)</f>
        <v/>
      </c>
      <c r="K241" s="60">
        <f>IF(C241="","",INPUT_SYSTEM!J255)</f>
        <v/>
      </c>
      <c r="L241" s="62">
        <f>IF(C241="","",INPUT_SYSTEM!K255)</f>
        <v/>
      </c>
      <c r="M241" s="62">
        <f>IF(C241="","",INPUT_SYSTEM!L255)</f>
        <v/>
      </c>
      <c r="N241" s="62">
        <f>IF(U241&lt;&gt;"SI","",IF(M241&lt;&gt;"",M241,IFERROR(I241*J241*(1+K241)*L241,"")))</f>
        <v/>
      </c>
      <c r="O241" s="62">
        <f>IF(N241="","",IF(OR(H241="",H241=0),N241,ROUNDUP(N241/H241,0)))</f>
        <v/>
      </c>
      <c r="P241" s="63">
        <f t="array" ref="P241">IFERROR(INDEX(PRODUCT!$I:$I,MATCH(C241,PRODUCT!$B:$B,0)),"")</f>
        <v/>
      </c>
      <c r="Q241" s="63">
        <f>IF(C241="","",INPUT_SYSTEM!M255)</f>
        <v/>
      </c>
      <c r="R241" s="63">
        <f>IF(P241="","",P241*(1+Q241))</f>
        <v/>
      </c>
      <c r="S241" s="63">
        <f>IF(O241="","",IF(OR(H241="",H241=0),O241*P241,O241*H241*P241))</f>
        <v/>
      </c>
      <c r="T241" s="63">
        <f>IF(O241="","",IF(OR(H241="",H241=0),O241*R241,O241*H241*R241))</f>
        <v/>
      </c>
      <c r="U241" s="62">
        <f>IF(C241="","",INPUT_SYSTEM!C255)</f>
        <v/>
      </c>
      <c r="V241" s="62">
        <f>IF(C241="","",INPUT_SYSTEM!N255)</f>
        <v/>
      </c>
    </row>
    <row r="242" ht="15.75" customHeight="1" s="125">
      <c r="A242" s="62">
        <f>IF(INPUT_SYSTEM!D256="","",INPUT_SYSTEM!A256)</f>
        <v/>
      </c>
      <c r="B242" s="62">
        <f>IF(INPUT_SYSTEM!D256="","",INPUT_SYSTEM!B256)</f>
        <v/>
      </c>
      <c r="C242" s="62">
        <f>IF(INPUT_SYSTEM!D256="","",INPUT_SYSTEM!D256)</f>
        <v/>
      </c>
      <c r="D242" s="62">
        <f>IF(C242="","",INPUT_SYSTEM!E256)</f>
        <v/>
      </c>
      <c r="E242" s="62">
        <f>IF(C242="","",INPUT_SYSTEM!F256)</f>
        <v/>
      </c>
      <c r="F242" s="62">
        <f t="array" ref="F242">IFERROR(INDEX(PRODUCT!$D:$D,MATCH(C242,PRODUCT!$B:$B,0)),"")</f>
        <v/>
      </c>
      <c r="G242" s="62">
        <f t="array" ref="G242">IFERROR(INDEX(PRODUCT!$E:$E,MATCH(C242,PRODUCT!$B:$B,0)),"")</f>
        <v/>
      </c>
      <c r="H242" s="62">
        <f t="array" ref="H242">IFERROR(INDEX(PRODUCT!$F:$F,MATCH(C242,PRODUCT!$B:$B,0)),"")</f>
        <v/>
      </c>
      <c r="I242" s="62">
        <f>IF(C242="","",INPUT_SYSTEM!G256)</f>
        <v/>
      </c>
      <c r="J242" s="62">
        <f>IF(C242="","",INPUT_SYSTEM!H256)</f>
        <v/>
      </c>
      <c r="K242" s="60">
        <f>IF(C242="","",INPUT_SYSTEM!J256)</f>
        <v/>
      </c>
      <c r="L242" s="62">
        <f>IF(C242="","",INPUT_SYSTEM!K256)</f>
        <v/>
      </c>
      <c r="M242" s="62">
        <f>IF(C242="","",INPUT_SYSTEM!L256)</f>
        <v/>
      </c>
      <c r="N242" s="62">
        <f>IF(U242&lt;&gt;"SI","",IF(M242&lt;&gt;"",M242,IFERROR(I242*J242*(1+K242)*L242,"")))</f>
        <v/>
      </c>
      <c r="O242" s="62">
        <f>IF(N242="","",IF(OR(H242="",H242=0),N242,ROUNDUP(N242/H242,0)))</f>
        <v/>
      </c>
      <c r="P242" s="63">
        <f t="array" ref="P242">IFERROR(INDEX(PRODUCT!$I:$I,MATCH(C242,PRODUCT!$B:$B,0)),"")</f>
        <v/>
      </c>
      <c r="Q242" s="63">
        <f>IF(C242="","",INPUT_SYSTEM!M256)</f>
        <v/>
      </c>
      <c r="R242" s="63">
        <f>IF(P242="","",P242*(1+Q242))</f>
        <v/>
      </c>
      <c r="S242" s="63">
        <f>IF(O242="","",IF(OR(H242="",H242=0),O242*P242,O242*H242*P242))</f>
        <v/>
      </c>
      <c r="T242" s="63">
        <f>IF(O242="","",IF(OR(H242="",H242=0),O242*R242,O242*H242*R242))</f>
        <v/>
      </c>
      <c r="U242" s="62">
        <f>IF(C242="","",INPUT_SYSTEM!C256)</f>
        <v/>
      </c>
      <c r="V242" s="62">
        <f>IF(C242="","",INPUT_SYSTEM!N256)</f>
        <v/>
      </c>
    </row>
    <row r="243" ht="15.75" customHeight="1" s="125">
      <c r="A243" s="62">
        <f>IF(INPUT_SYSTEM!D257="","",INPUT_SYSTEM!A257)</f>
        <v/>
      </c>
      <c r="B243" s="62">
        <f>IF(INPUT_SYSTEM!D257="","",INPUT_SYSTEM!B257)</f>
        <v/>
      </c>
      <c r="C243" s="62">
        <f>IF(INPUT_SYSTEM!D257="","",INPUT_SYSTEM!D257)</f>
        <v/>
      </c>
      <c r="D243" s="62">
        <f>IF(C243="","",INPUT_SYSTEM!E257)</f>
        <v/>
      </c>
      <c r="E243" s="62">
        <f>IF(C243="","",INPUT_SYSTEM!F257)</f>
        <v/>
      </c>
      <c r="F243" s="62">
        <f t="array" ref="F243">IFERROR(INDEX(PRODUCT!$D:$D,MATCH(C243,PRODUCT!$B:$B,0)),"")</f>
        <v/>
      </c>
      <c r="G243" s="62">
        <f t="array" ref="G243">IFERROR(INDEX(PRODUCT!$E:$E,MATCH(C243,PRODUCT!$B:$B,0)),"")</f>
        <v/>
      </c>
      <c r="H243" s="62">
        <f t="array" ref="H243">IFERROR(INDEX(PRODUCT!$F:$F,MATCH(C243,PRODUCT!$B:$B,0)),"")</f>
        <v/>
      </c>
      <c r="I243" s="62">
        <f>IF(C243="","",INPUT_SYSTEM!G257)</f>
        <v/>
      </c>
      <c r="J243" s="62">
        <f>IF(C243="","",INPUT_SYSTEM!H257)</f>
        <v/>
      </c>
      <c r="K243" s="60">
        <f>IF(C243="","",INPUT_SYSTEM!J257)</f>
        <v/>
      </c>
      <c r="L243" s="62">
        <f>IF(C243="","",INPUT_SYSTEM!K257)</f>
        <v/>
      </c>
      <c r="M243" s="62">
        <f>IF(C243="","",INPUT_SYSTEM!L257)</f>
        <v/>
      </c>
      <c r="N243" s="62">
        <f>IF(U243&lt;&gt;"SI","",IF(M243&lt;&gt;"",M243,IFERROR(I243*J243*(1+K243)*L243,"")))</f>
        <v/>
      </c>
      <c r="O243" s="62">
        <f>IF(N243="","",IF(OR(H243="",H243=0),N243,ROUNDUP(N243/H243,0)))</f>
        <v/>
      </c>
      <c r="P243" s="63">
        <f t="array" ref="P243">IFERROR(INDEX(PRODUCT!$I:$I,MATCH(C243,PRODUCT!$B:$B,0)),"")</f>
        <v/>
      </c>
      <c r="Q243" s="63">
        <f>IF(C243="","",INPUT_SYSTEM!M257)</f>
        <v/>
      </c>
      <c r="R243" s="63">
        <f>IF(P243="","",P243*(1+Q243))</f>
        <v/>
      </c>
      <c r="S243" s="63">
        <f>IF(O243="","",IF(OR(H243="",H243=0),O243*P243,O243*H243*P243))</f>
        <v/>
      </c>
      <c r="T243" s="63">
        <f>IF(O243="","",IF(OR(H243="",H243=0),O243*R243,O243*H243*R243))</f>
        <v/>
      </c>
      <c r="U243" s="62">
        <f>IF(C243="","",INPUT_SYSTEM!C257)</f>
        <v/>
      </c>
      <c r="V243" s="62">
        <f>IF(C243="","",INPUT_SYSTEM!N257)</f>
        <v/>
      </c>
    </row>
    <row r="244" ht="15.75" customHeight="1" s="125">
      <c r="A244" s="62">
        <f>IF(INPUT_SYSTEM!D258="","",INPUT_SYSTEM!A258)</f>
        <v/>
      </c>
      <c r="B244" s="62">
        <f>IF(INPUT_SYSTEM!D258="","",INPUT_SYSTEM!B258)</f>
        <v/>
      </c>
      <c r="C244" s="62">
        <f>IF(INPUT_SYSTEM!D258="","",INPUT_SYSTEM!D258)</f>
        <v/>
      </c>
      <c r="D244" s="62">
        <f>IF(C244="","",INPUT_SYSTEM!E258)</f>
        <v/>
      </c>
      <c r="E244" s="62">
        <f>IF(C244="","",INPUT_SYSTEM!F258)</f>
        <v/>
      </c>
      <c r="F244" s="62">
        <f t="array" ref="F244">IFERROR(INDEX(PRODUCT!$D:$D,MATCH(C244,PRODUCT!$B:$B,0)),"")</f>
        <v/>
      </c>
      <c r="G244" s="62">
        <f t="array" ref="G244">IFERROR(INDEX(PRODUCT!$E:$E,MATCH(C244,PRODUCT!$B:$B,0)),"")</f>
        <v/>
      </c>
      <c r="H244" s="62">
        <f t="array" ref="H244">IFERROR(INDEX(PRODUCT!$F:$F,MATCH(C244,PRODUCT!$B:$B,0)),"")</f>
        <v/>
      </c>
      <c r="I244" s="62">
        <f>IF(C244="","",INPUT_SYSTEM!G258)</f>
        <v/>
      </c>
      <c r="J244" s="62">
        <f>IF(C244="","",INPUT_SYSTEM!H258)</f>
        <v/>
      </c>
      <c r="K244" s="60">
        <f>IF(C244="","",INPUT_SYSTEM!J258)</f>
        <v/>
      </c>
      <c r="L244" s="62">
        <f>IF(C244="","",INPUT_SYSTEM!K258)</f>
        <v/>
      </c>
      <c r="M244" s="62">
        <f>IF(C244="","",INPUT_SYSTEM!L258)</f>
        <v/>
      </c>
      <c r="N244" s="62">
        <f>IF(U244&lt;&gt;"SI","",IF(M244&lt;&gt;"",M244,IFERROR(I244*J244*(1+K244)*L244,"")))</f>
        <v/>
      </c>
      <c r="O244" s="62">
        <f>IF(N244="","",IF(OR(H244="",H244=0),N244,ROUNDUP(N244/H244,0)))</f>
        <v/>
      </c>
      <c r="P244" s="63">
        <f t="array" ref="P244">IFERROR(INDEX(PRODUCT!$I:$I,MATCH(C244,PRODUCT!$B:$B,0)),"")</f>
        <v/>
      </c>
      <c r="Q244" s="63">
        <f>IF(C244="","",INPUT_SYSTEM!M258)</f>
        <v/>
      </c>
      <c r="R244" s="63">
        <f>IF(P244="","",P244*(1+Q244))</f>
        <v/>
      </c>
      <c r="S244" s="63">
        <f>IF(O244="","",IF(OR(H244="",H244=0),O244*P244,O244*H244*P244))</f>
        <v/>
      </c>
      <c r="T244" s="63">
        <f>IF(O244="","",IF(OR(H244="",H244=0),O244*R244,O244*H244*R244))</f>
        <v/>
      </c>
      <c r="U244" s="62">
        <f>IF(C244="","",INPUT_SYSTEM!C258)</f>
        <v/>
      </c>
      <c r="V244" s="62">
        <f>IF(C244="","",INPUT_SYSTEM!N258)</f>
        <v/>
      </c>
    </row>
    <row r="245" ht="15.75" customHeight="1" s="125">
      <c r="A245" s="62">
        <f>IF(INPUT_SYSTEM!D259="","",INPUT_SYSTEM!A259)</f>
        <v/>
      </c>
      <c r="B245" s="62">
        <f>IF(INPUT_SYSTEM!D259="","",INPUT_SYSTEM!B259)</f>
        <v/>
      </c>
      <c r="C245" s="62">
        <f>IF(INPUT_SYSTEM!D259="","",INPUT_SYSTEM!D259)</f>
        <v/>
      </c>
      <c r="D245" s="62">
        <f>IF(C245="","",INPUT_SYSTEM!E259)</f>
        <v/>
      </c>
      <c r="E245" s="62">
        <f>IF(C245="","",INPUT_SYSTEM!F259)</f>
        <v/>
      </c>
      <c r="F245" s="62">
        <f t="array" ref="F245">IFERROR(INDEX(PRODUCT!$D:$D,MATCH(C245,PRODUCT!$B:$B,0)),"")</f>
        <v/>
      </c>
      <c r="G245" s="62">
        <f t="array" ref="G245">IFERROR(INDEX(PRODUCT!$E:$E,MATCH(C245,PRODUCT!$B:$B,0)),"")</f>
        <v/>
      </c>
      <c r="H245" s="62">
        <f t="array" ref="H245">IFERROR(INDEX(PRODUCT!$F:$F,MATCH(C245,PRODUCT!$B:$B,0)),"")</f>
        <v/>
      </c>
      <c r="I245" s="62">
        <f>IF(C245="","",INPUT_SYSTEM!G259)</f>
        <v/>
      </c>
      <c r="J245" s="62">
        <f>IF(C245="","",INPUT_SYSTEM!H259)</f>
        <v/>
      </c>
      <c r="K245" s="60">
        <f>IF(C245="","",INPUT_SYSTEM!J259)</f>
        <v/>
      </c>
      <c r="L245" s="62">
        <f>IF(C245="","",INPUT_SYSTEM!K259)</f>
        <v/>
      </c>
      <c r="M245" s="62">
        <f>IF(C245="","",INPUT_SYSTEM!L259)</f>
        <v/>
      </c>
      <c r="N245" s="62">
        <f>IF(U245&lt;&gt;"SI","",IF(M245&lt;&gt;"",M245,IFERROR(I245*J245*(1+K245)*L245,"")))</f>
        <v/>
      </c>
      <c r="O245" s="62">
        <f>IF(N245="","",IF(OR(H245="",H245=0),N245,ROUNDUP(N245/H245,0)))</f>
        <v/>
      </c>
      <c r="P245" s="63">
        <f t="array" ref="P245">IFERROR(INDEX(PRODUCT!$I:$I,MATCH(C245,PRODUCT!$B:$B,0)),"")</f>
        <v/>
      </c>
      <c r="Q245" s="63">
        <f>IF(C245="","",INPUT_SYSTEM!M259)</f>
        <v/>
      </c>
      <c r="R245" s="63">
        <f>IF(P245="","",P245*(1+Q245))</f>
        <v/>
      </c>
      <c r="S245" s="63">
        <f>IF(O245="","",IF(OR(H245="",H245=0),O245*P245,O245*H245*P245))</f>
        <v/>
      </c>
      <c r="T245" s="63">
        <f>IF(O245="","",IF(OR(H245="",H245=0),O245*R245,O245*H245*R245))</f>
        <v/>
      </c>
      <c r="U245" s="62">
        <f>IF(C245="","",INPUT_SYSTEM!C259)</f>
        <v/>
      </c>
      <c r="V245" s="62">
        <f>IF(C245="","",INPUT_SYSTEM!N259)</f>
        <v/>
      </c>
    </row>
    <row r="246" ht="15.75" customHeight="1" s="125">
      <c r="A246" s="62">
        <f>IF(INPUT_SYSTEM!D260="","",INPUT_SYSTEM!A260)</f>
        <v/>
      </c>
      <c r="B246" s="62">
        <f>IF(INPUT_SYSTEM!D260="","",INPUT_SYSTEM!B260)</f>
        <v/>
      </c>
      <c r="C246" s="62">
        <f>IF(INPUT_SYSTEM!D260="","",INPUT_SYSTEM!D260)</f>
        <v/>
      </c>
      <c r="D246" s="62">
        <f>IF(C246="","",INPUT_SYSTEM!E260)</f>
        <v/>
      </c>
      <c r="E246" s="62">
        <f>IF(C246="","",INPUT_SYSTEM!F260)</f>
        <v/>
      </c>
      <c r="F246" s="62">
        <f t="array" ref="F246">IFERROR(INDEX(PRODUCT!$D:$D,MATCH(C246,PRODUCT!$B:$B,0)),"")</f>
        <v/>
      </c>
      <c r="G246" s="62">
        <f t="array" ref="G246">IFERROR(INDEX(PRODUCT!$E:$E,MATCH(C246,PRODUCT!$B:$B,0)),"")</f>
        <v/>
      </c>
      <c r="H246" s="62">
        <f t="array" ref="H246">IFERROR(INDEX(PRODUCT!$F:$F,MATCH(C246,PRODUCT!$B:$B,0)),"")</f>
        <v/>
      </c>
      <c r="I246" s="62">
        <f>IF(C246="","",INPUT_SYSTEM!G260)</f>
        <v/>
      </c>
      <c r="J246" s="62">
        <f>IF(C246="","",INPUT_SYSTEM!H260)</f>
        <v/>
      </c>
      <c r="K246" s="60">
        <f>IF(C246="","",INPUT_SYSTEM!J260)</f>
        <v/>
      </c>
      <c r="L246" s="62">
        <f>IF(C246="","",INPUT_SYSTEM!K260)</f>
        <v/>
      </c>
      <c r="M246" s="62">
        <f>IF(C246="","",INPUT_SYSTEM!L260)</f>
        <v/>
      </c>
      <c r="N246" s="62">
        <f>IF(U246&lt;&gt;"SI","",IF(M246&lt;&gt;"",M246,IFERROR(I246*J246*(1+K246)*L246,"")))</f>
        <v/>
      </c>
      <c r="O246" s="62">
        <f>IF(N246="","",IF(OR(H246="",H246=0),N246,ROUNDUP(N246/H246,0)))</f>
        <v/>
      </c>
      <c r="P246" s="63">
        <f t="array" ref="P246">IFERROR(INDEX(PRODUCT!$I:$I,MATCH(C246,PRODUCT!$B:$B,0)),"")</f>
        <v/>
      </c>
      <c r="Q246" s="63">
        <f>IF(C246="","",INPUT_SYSTEM!M260)</f>
        <v/>
      </c>
      <c r="R246" s="63">
        <f>IF(P246="","",P246*(1+Q246))</f>
        <v/>
      </c>
      <c r="S246" s="63">
        <f>IF(O246="","",IF(OR(H246="",H246=0),O246*P246,O246*H246*P246))</f>
        <v/>
      </c>
      <c r="T246" s="63">
        <f>IF(O246="","",IF(OR(H246="",H246=0),O246*R246,O246*H246*R246))</f>
        <v/>
      </c>
      <c r="U246" s="62">
        <f>IF(C246="","",INPUT_SYSTEM!C260)</f>
        <v/>
      </c>
      <c r="V246" s="62">
        <f>IF(C246="","",INPUT_SYSTEM!N260)</f>
        <v/>
      </c>
    </row>
    <row r="247" ht="15.75" customHeight="1" s="125">
      <c r="A247" s="62">
        <f>IF(INPUT_SYSTEM!D261="","",INPUT_SYSTEM!A261)</f>
        <v/>
      </c>
      <c r="B247" s="62">
        <f>IF(INPUT_SYSTEM!D261="","",INPUT_SYSTEM!B261)</f>
        <v/>
      </c>
      <c r="C247" s="62">
        <f>IF(INPUT_SYSTEM!D261="","",INPUT_SYSTEM!D261)</f>
        <v/>
      </c>
      <c r="D247" s="62">
        <f>IF(C247="","",INPUT_SYSTEM!E261)</f>
        <v/>
      </c>
      <c r="E247" s="62">
        <f>IF(C247="","",INPUT_SYSTEM!F261)</f>
        <v/>
      </c>
      <c r="F247" s="62">
        <f t="array" ref="F247">IFERROR(INDEX(PRODUCT!$D:$D,MATCH(C247,PRODUCT!$B:$B,0)),"")</f>
        <v/>
      </c>
      <c r="G247" s="62">
        <f t="array" ref="G247">IFERROR(INDEX(PRODUCT!$E:$E,MATCH(C247,PRODUCT!$B:$B,0)),"")</f>
        <v/>
      </c>
      <c r="H247" s="62">
        <f t="array" ref="H247">IFERROR(INDEX(PRODUCT!$F:$F,MATCH(C247,PRODUCT!$B:$B,0)),"")</f>
        <v/>
      </c>
      <c r="I247" s="62">
        <f>IF(C247="","",INPUT_SYSTEM!G261)</f>
        <v/>
      </c>
      <c r="J247" s="62">
        <f>IF(C247="","",INPUT_SYSTEM!H261)</f>
        <v/>
      </c>
      <c r="K247" s="60">
        <f>IF(C247="","",INPUT_SYSTEM!J261)</f>
        <v/>
      </c>
      <c r="L247" s="62">
        <f>IF(C247="","",INPUT_SYSTEM!K261)</f>
        <v/>
      </c>
      <c r="M247" s="62">
        <f>IF(C247="","",INPUT_SYSTEM!L261)</f>
        <v/>
      </c>
      <c r="N247" s="62">
        <f>IF(U247&lt;&gt;"SI","",IF(M247&lt;&gt;"",M247,IFERROR(I247*J247*(1+K247)*L247,"")))</f>
        <v/>
      </c>
      <c r="O247" s="62">
        <f>IF(N247="","",IF(OR(H247="",H247=0),N247,ROUNDUP(N247/H247,0)))</f>
        <v/>
      </c>
      <c r="P247" s="63">
        <f t="array" ref="P247">IFERROR(INDEX(PRODUCT!$I:$I,MATCH(C247,PRODUCT!$B:$B,0)),"")</f>
        <v/>
      </c>
      <c r="Q247" s="63">
        <f>IF(C247="","",INPUT_SYSTEM!M261)</f>
        <v/>
      </c>
      <c r="R247" s="63">
        <f>IF(P247="","",P247*(1+Q247))</f>
        <v/>
      </c>
      <c r="S247" s="63">
        <f>IF(O247="","",IF(OR(H247="",H247=0),O247*P247,O247*H247*P247))</f>
        <v/>
      </c>
      <c r="T247" s="63">
        <f>IF(O247="","",IF(OR(H247="",H247=0),O247*R247,O247*H247*R247))</f>
        <v/>
      </c>
      <c r="U247" s="62">
        <f>IF(C247="","",INPUT_SYSTEM!C261)</f>
        <v/>
      </c>
      <c r="V247" s="62">
        <f>IF(C247="","",INPUT_SYSTEM!N261)</f>
        <v/>
      </c>
    </row>
    <row r="248" ht="15.75" customHeight="1" s="125">
      <c r="A248" s="62">
        <f>IF(INPUT_SYSTEM!D262="","",INPUT_SYSTEM!A262)</f>
        <v/>
      </c>
      <c r="B248" s="62">
        <f>IF(INPUT_SYSTEM!D262="","",INPUT_SYSTEM!B262)</f>
        <v/>
      </c>
      <c r="C248" s="62">
        <f>IF(INPUT_SYSTEM!D262="","",INPUT_SYSTEM!D262)</f>
        <v/>
      </c>
      <c r="D248" s="62">
        <f>IF(C248="","",INPUT_SYSTEM!E262)</f>
        <v/>
      </c>
      <c r="E248" s="62">
        <f>IF(C248="","",INPUT_SYSTEM!F262)</f>
        <v/>
      </c>
      <c r="F248" s="62">
        <f t="array" ref="F248">IFERROR(INDEX(PRODUCT!$D:$D,MATCH(C248,PRODUCT!$B:$B,0)),"")</f>
        <v/>
      </c>
      <c r="G248" s="62">
        <f t="array" ref="G248">IFERROR(INDEX(PRODUCT!$E:$E,MATCH(C248,PRODUCT!$B:$B,0)),"")</f>
        <v/>
      </c>
      <c r="H248" s="62">
        <f t="array" ref="H248">IFERROR(INDEX(PRODUCT!$F:$F,MATCH(C248,PRODUCT!$B:$B,0)),"")</f>
        <v/>
      </c>
      <c r="I248" s="62">
        <f>IF(C248="","",INPUT_SYSTEM!G262)</f>
        <v/>
      </c>
      <c r="J248" s="62">
        <f>IF(C248="","",INPUT_SYSTEM!H262)</f>
        <v/>
      </c>
      <c r="K248" s="60">
        <f>IF(C248="","",INPUT_SYSTEM!J262)</f>
        <v/>
      </c>
      <c r="L248" s="62">
        <f>IF(C248="","",INPUT_SYSTEM!K262)</f>
        <v/>
      </c>
      <c r="M248" s="62">
        <f>IF(C248="","",INPUT_SYSTEM!L262)</f>
        <v/>
      </c>
      <c r="N248" s="62">
        <f>IF(U248&lt;&gt;"SI","",IF(M248&lt;&gt;"",M248,IFERROR(I248*J248*(1+K248)*L248,"")))</f>
        <v/>
      </c>
      <c r="O248" s="62">
        <f>IF(N248="","",IF(OR(H248="",H248=0),N248,ROUNDUP(N248/H248,0)))</f>
        <v/>
      </c>
      <c r="P248" s="63">
        <f t="array" ref="P248">IFERROR(INDEX(PRODUCT!$I:$I,MATCH(C248,PRODUCT!$B:$B,0)),"")</f>
        <v/>
      </c>
      <c r="Q248" s="63">
        <f>IF(C248="","",INPUT_SYSTEM!M262)</f>
        <v/>
      </c>
      <c r="R248" s="63">
        <f>IF(P248="","",P248*(1+Q248))</f>
        <v/>
      </c>
      <c r="S248" s="63">
        <f>IF(O248="","",IF(OR(H248="",H248=0),O248*P248,O248*H248*P248))</f>
        <v/>
      </c>
      <c r="T248" s="63">
        <f>IF(O248="","",IF(OR(H248="",H248=0),O248*R248,O248*H248*R248))</f>
        <v/>
      </c>
      <c r="U248" s="62">
        <f>IF(C248="","",INPUT_SYSTEM!C262)</f>
        <v/>
      </c>
      <c r="V248" s="62">
        <f>IF(C248="","",INPUT_SYSTEM!N262)</f>
        <v/>
      </c>
    </row>
    <row r="249" ht="15.75" customHeight="1" s="125">
      <c r="A249" s="62">
        <f>IF(INPUT_SYSTEM!D263="","",INPUT_SYSTEM!A263)</f>
        <v/>
      </c>
      <c r="B249" s="62">
        <f>IF(INPUT_SYSTEM!D263="","",INPUT_SYSTEM!B263)</f>
        <v/>
      </c>
      <c r="C249" s="62">
        <f>IF(INPUT_SYSTEM!D263="","",INPUT_SYSTEM!D263)</f>
        <v/>
      </c>
      <c r="D249" s="62">
        <f>IF(C249="","",INPUT_SYSTEM!E263)</f>
        <v/>
      </c>
      <c r="E249" s="62">
        <f>IF(C249="","",INPUT_SYSTEM!F263)</f>
        <v/>
      </c>
      <c r="F249" s="62">
        <f t="array" ref="F249">IFERROR(INDEX(PRODUCT!$D:$D,MATCH(C249,PRODUCT!$B:$B,0)),"")</f>
        <v/>
      </c>
      <c r="G249" s="62">
        <f t="array" ref="G249">IFERROR(INDEX(PRODUCT!$E:$E,MATCH(C249,PRODUCT!$B:$B,0)),"")</f>
        <v/>
      </c>
      <c r="H249" s="62">
        <f t="array" ref="H249">IFERROR(INDEX(PRODUCT!$F:$F,MATCH(C249,PRODUCT!$B:$B,0)),"")</f>
        <v/>
      </c>
      <c r="I249" s="62">
        <f>IF(C249="","",INPUT_SYSTEM!G263)</f>
        <v/>
      </c>
      <c r="J249" s="62">
        <f>IF(C249="","",INPUT_SYSTEM!H263)</f>
        <v/>
      </c>
      <c r="K249" s="60">
        <f>IF(C249="","",INPUT_SYSTEM!J263)</f>
        <v/>
      </c>
      <c r="L249" s="62">
        <f>IF(C249="","",INPUT_SYSTEM!K263)</f>
        <v/>
      </c>
      <c r="M249" s="62">
        <f>IF(C249="","",INPUT_SYSTEM!L263)</f>
        <v/>
      </c>
      <c r="N249" s="62">
        <f>IF(U249&lt;&gt;"SI","",IF(M249&lt;&gt;"",M249,IFERROR(I249*J249*(1+K249)*L249,"")))</f>
        <v/>
      </c>
      <c r="O249" s="62">
        <f>IF(N249="","",IF(OR(H249="",H249=0),N249,ROUNDUP(N249/H249,0)))</f>
        <v/>
      </c>
      <c r="P249" s="63">
        <f t="array" ref="P249">IFERROR(INDEX(PRODUCT!$I:$I,MATCH(C249,PRODUCT!$B:$B,0)),"")</f>
        <v/>
      </c>
      <c r="Q249" s="63">
        <f>IF(C249="","",INPUT_SYSTEM!M263)</f>
        <v/>
      </c>
      <c r="R249" s="63">
        <f>IF(P249="","",P249*(1+Q249))</f>
        <v/>
      </c>
      <c r="S249" s="63">
        <f>IF(O249="","",IF(OR(H249="",H249=0),O249*P249,O249*H249*P249))</f>
        <v/>
      </c>
      <c r="T249" s="63">
        <f>IF(O249="","",IF(OR(H249="",H249=0),O249*R249,O249*H249*R249))</f>
        <v/>
      </c>
      <c r="U249" s="62">
        <f>IF(C249="","",INPUT_SYSTEM!C263)</f>
        <v/>
      </c>
      <c r="V249" s="62">
        <f>IF(C249="","",INPUT_SYSTEM!N263)</f>
        <v/>
      </c>
    </row>
    <row r="250" ht="15.75" customHeight="1" s="125">
      <c r="A250" s="62">
        <f>IF(INPUT_SYSTEM!D264="","",INPUT_SYSTEM!A264)</f>
        <v/>
      </c>
      <c r="B250" s="62">
        <f>IF(INPUT_SYSTEM!D264="","",INPUT_SYSTEM!B264)</f>
        <v/>
      </c>
      <c r="C250" s="62">
        <f>IF(INPUT_SYSTEM!D264="","",INPUT_SYSTEM!D264)</f>
        <v/>
      </c>
      <c r="D250" s="62">
        <f>IF(C250="","",INPUT_SYSTEM!E264)</f>
        <v/>
      </c>
      <c r="E250" s="62">
        <f>IF(C250="","",INPUT_SYSTEM!F264)</f>
        <v/>
      </c>
      <c r="F250" s="62">
        <f t="array" ref="F250">IFERROR(INDEX(PRODUCT!$D:$D,MATCH(C250,PRODUCT!$B:$B,0)),"")</f>
        <v/>
      </c>
      <c r="G250" s="62">
        <f t="array" ref="G250">IFERROR(INDEX(PRODUCT!$E:$E,MATCH(C250,PRODUCT!$B:$B,0)),"")</f>
        <v/>
      </c>
      <c r="H250" s="62">
        <f t="array" ref="H250">IFERROR(INDEX(PRODUCT!$F:$F,MATCH(C250,PRODUCT!$B:$B,0)),"")</f>
        <v/>
      </c>
      <c r="I250" s="62">
        <f>IF(C250="","",INPUT_SYSTEM!G264)</f>
        <v/>
      </c>
      <c r="J250" s="62">
        <f>IF(C250="","",INPUT_SYSTEM!H264)</f>
        <v/>
      </c>
      <c r="K250" s="60">
        <f>IF(C250="","",INPUT_SYSTEM!J264)</f>
        <v/>
      </c>
      <c r="L250" s="62">
        <f>IF(C250="","",INPUT_SYSTEM!K264)</f>
        <v/>
      </c>
      <c r="M250" s="62">
        <f>IF(C250="","",INPUT_SYSTEM!L264)</f>
        <v/>
      </c>
      <c r="N250" s="62">
        <f>IF(U250&lt;&gt;"SI","",IF(M250&lt;&gt;"",M250,IFERROR(I250*J250*(1+K250)*L250,"")))</f>
        <v/>
      </c>
      <c r="O250" s="62">
        <f>IF(N250="","",IF(OR(H250="",H250=0),N250,ROUNDUP(N250/H250,0)))</f>
        <v/>
      </c>
      <c r="P250" s="63">
        <f t="array" ref="P250">IFERROR(INDEX(PRODUCT!$I:$I,MATCH(C250,PRODUCT!$B:$B,0)),"")</f>
        <v/>
      </c>
      <c r="Q250" s="63">
        <f>IF(C250="","",INPUT_SYSTEM!M264)</f>
        <v/>
      </c>
      <c r="R250" s="63">
        <f>IF(P250="","",P250*(1+Q250))</f>
        <v/>
      </c>
      <c r="S250" s="63">
        <f>IF(O250="","",IF(OR(H250="",H250=0),O250*P250,O250*H250*P250))</f>
        <v/>
      </c>
      <c r="T250" s="63">
        <f>IF(O250="","",IF(OR(H250="",H250=0),O250*R250,O250*H250*R250))</f>
        <v/>
      </c>
      <c r="U250" s="62">
        <f>IF(C250="","",INPUT_SYSTEM!C264)</f>
        <v/>
      </c>
      <c r="V250" s="62">
        <f>IF(C250="","",INPUT_SYSTEM!N264)</f>
        <v/>
      </c>
    </row>
    <row r="251" ht="15.75" customHeight="1" s="125">
      <c r="A251" s="62">
        <f>IF(INPUT_SYSTEM!D265="","",INPUT_SYSTEM!A265)</f>
        <v/>
      </c>
      <c r="B251" s="62">
        <f>IF(INPUT_SYSTEM!D265="","",INPUT_SYSTEM!B265)</f>
        <v/>
      </c>
      <c r="C251" s="62">
        <f>IF(INPUT_SYSTEM!D265="","",INPUT_SYSTEM!D265)</f>
        <v/>
      </c>
      <c r="D251" s="62">
        <f>IF(C251="","",INPUT_SYSTEM!E265)</f>
        <v/>
      </c>
      <c r="E251" s="62">
        <f>IF(C251="","",INPUT_SYSTEM!F265)</f>
        <v/>
      </c>
      <c r="F251" s="62">
        <f t="array" ref="F251">IFERROR(INDEX(PRODUCT!$D:$D,MATCH(C251,PRODUCT!$B:$B,0)),"")</f>
        <v/>
      </c>
      <c r="G251" s="62">
        <f t="array" ref="G251">IFERROR(INDEX(PRODUCT!$E:$E,MATCH(C251,PRODUCT!$B:$B,0)),"")</f>
        <v/>
      </c>
      <c r="H251" s="62">
        <f t="array" ref="H251">IFERROR(INDEX(PRODUCT!$F:$F,MATCH(C251,PRODUCT!$B:$B,0)),"")</f>
        <v/>
      </c>
      <c r="I251" s="62">
        <f>IF(C251="","",INPUT_SYSTEM!G265)</f>
        <v/>
      </c>
      <c r="J251" s="62">
        <f>IF(C251="","",INPUT_SYSTEM!H265)</f>
        <v/>
      </c>
      <c r="K251" s="60">
        <f>IF(C251="","",INPUT_SYSTEM!J265)</f>
        <v/>
      </c>
      <c r="L251" s="62">
        <f>IF(C251="","",INPUT_SYSTEM!K265)</f>
        <v/>
      </c>
      <c r="M251" s="62">
        <f>IF(C251="","",INPUT_SYSTEM!L265)</f>
        <v/>
      </c>
      <c r="N251" s="62">
        <f>IF(U251&lt;&gt;"SI","",IF(M251&lt;&gt;"",M251,IFERROR(I251*J251*(1+K251)*L251,"")))</f>
        <v/>
      </c>
      <c r="O251" s="62">
        <f>IF(N251="","",IF(OR(H251="",H251=0),N251,ROUNDUP(N251/H251,0)))</f>
        <v/>
      </c>
      <c r="P251" s="63">
        <f t="array" ref="P251">IFERROR(INDEX(PRODUCT!$I:$I,MATCH(C251,PRODUCT!$B:$B,0)),"")</f>
        <v/>
      </c>
      <c r="Q251" s="63">
        <f>IF(C251="","",INPUT_SYSTEM!M265)</f>
        <v/>
      </c>
      <c r="R251" s="63">
        <f>IF(P251="","",P251*(1+Q251))</f>
        <v/>
      </c>
      <c r="S251" s="63">
        <f>IF(O251="","",IF(OR(H251="",H251=0),O251*P251,O251*H251*P251))</f>
        <v/>
      </c>
      <c r="T251" s="63">
        <f>IF(O251="","",IF(OR(H251="",H251=0),O251*R251,O251*H251*R251))</f>
        <v/>
      </c>
      <c r="U251" s="62">
        <f>IF(C251="","",INPUT_SYSTEM!C265)</f>
        <v/>
      </c>
      <c r="V251" s="2" t="n"/>
    </row>
    <row r="252" ht="15.75" customHeight="1" s="125">
      <c r="A252" s="62">
        <f>IF(INPUT_SYSTEM!D266="","",INPUT_SYSTEM!A266)</f>
        <v/>
      </c>
      <c r="B252" s="62">
        <f>IF(INPUT_SYSTEM!D266="","",INPUT_SYSTEM!B266)</f>
        <v/>
      </c>
      <c r="C252" s="62">
        <f>IF(INPUT_SYSTEM!D266="","",INPUT_SYSTEM!D266)</f>
        <v/>
      </c>
      <c r="D252" s="62">
        <f>IF(C252="","",INPUT_SYSTEM!E266)</f>
        <v/>
      </c>
      <c r="E252" s="62">
        <f>IF(C252="","",INPUT_SYSTEM!F266)</f>
        <v/>
      </c>
      <c r="F252" s="62">
        <f t="array" ref="F252">IFERROR(INDEX(PRODUCT!$D:$D,MATCH(C252,PRODUCT!$B:$B,0)),"")</f>
        <v/>
      </c>
      <c r="G252" s="62">
        <f t="array" ref="G252">IFERROR(INDEX(PRODUCT!$E:$E,MATCH(C252,PRODUCT!$B:$B,0)),"")</f>
        <v/>
      </c>
      <c r="H252" s="62">
        <f t="array" ref="H252">IFERROR(INDEX(PRODUCT!$F:$F,MATCH(C252,PRODUCT!$B:$B,0)),"")</f>
        <v/>
      </c>
      <c r="I252" s="62">
        <f>IF(C252="","",INPUT_SYSTEM!G266)</f>
        <v/>
      </c>
      <c r="J252" s="62">
        <f>IF(C252="","",INPUT_SYSTEM!H266)</f>
        <v/>
      </c>
      <c r="K252" s="60">
        <f>IF(C252="","",INPUT_SYSTEM!J266)</f>
        <v/>
      </c>
      <c r="L252" s="62">
        <f>IF(C252="","",INPUT_SYSTEM!K266)</f>
        <v/>
      </c>
      <c r="M252" s="62">
        <f>IF(C252="","",INPUT_SYSTEM!L266)</f>
        <v/>
      </c>
      <c r="N252" s="62">
        <f>IF(U252&lt;&gt;"SI","",IF(M252&lt;&gt;"",M252,IFERROR(I252*J252*(1+K252)*L252,"")))</f>
        <v/>
      </c>
      <c r="O252" s="62">
        <f>IF(N252="","",IF(OR(H252="",H252=0),N252,ROUNDUP(N252/H252,0)))</f>
        <v/>
      </c>
      <c r="P252" s="63">
        <f t="array" ref="P252">IFERROR(INDEX(PRODUCT!$I:$I,MATCH(C252,PRODUCT!$B:$B,0)),"")</f>
        <v/>
      </c>
      <c r="Q252" s="63">
        <f>IF(C252="","",INPUT_SYSTEM!M266)</f>
        <v/>
      </c>
      <c r="R252" s="63">
        <f>IF(P252="","",P252*(1+Q252))</f>
        <v/>
      </c>
      <c r="S252" s="63">
        <f>IF(O252="","",IF(OR(H252="",H252=0),O252*P252,O252*H252*P252))</f>
        <v/>
      </c>
      <c r="T252" s="63">
        <f>IF(O252="","",IF(OR(H252="",H252=0),O252*R252,O252*H252*R252))</f>
        <v/>
      </c>
      <c r="U252" s="62">
        <f>IF(C252="","",INPUT_SYSTEM!C266)</f>
        <v/>
      </c>
      <c r="V252" s="2" t="n"/>
    </row>
    <row r="253" ht="15.75" customHeight="1" s="125">
      <c r="A253" s="62">
        <f>IF(INPUT_SYSTEM!D267="","",INPUT_SYSTEM!A267)</f>
        <v/>
      </c>
      <c r="B253" s="62">
        <f>IF(INPUT_SYSTEM!D267="","",INPUT_SYSTEM!B267)</f>
        <v/>
      </c>
      <c r="C253" s="62">
        <f>IF(INPUT_SYSTEM!D267="","",INPUT_SYSTEM!D267)</f>
        <v/>
      </c>
      <c r="D253" s="62">
        <f>IF(C253="","",INPUT_SYSTEM!E267)</f>
        <v/>
      </c>
      <c r="E253" s="62">
        <f>IF(C253="","",INPUT_SYSTEM!F267)</f>
        <v/>
      </c>
      <c r="F253" s="62">
        <f t="array" ref="F253">IFERROR(INDEX(PRODUCT!$D:$D,MATCH(C253,PRODUCT!$B:$B,0)),"")</f>
        <v/>
      </c>
      <c r="G253" s="62">
        <f t="array" ref="G253">IFERROR(INDEX(PRODUCT!$E:$E,MATCH(C253,PRODUCT!$B:$B,0)),"")</f>
        <v/>
      </c>
      <c r="H253" s="62">
        <f t="array" ref="H253">IFERROR(INDEX(PRODUCT!$F:$F,MATCH(C253,PRODUCT!$B:$B,0)),"")</f>
        <v/>
      </c>
      <c r="I253" s="62">
        <f>IF(C253="","",INPUT_SYSTEM!G267)</f>
        <v/>
      </c>
      <c r="J253" s="62">
        <f>IF(C253="","",INPUT_SYSTEM!H267)</f>
        <v/>
      </c>
      <c r="K253" s="60">
        <f>IF(C253="","",INPUT_SYSTEM!J267)</f>
        <v/>
      </c>
      <c r="L253" s="62">
        <f>IF(C253="","",INPUT_SYSTEM!K267)</f>
        <v/>
      </c>
      <c r="M253" s="62">
        <f>IF(C253="","",INPUT_SYSTEM!L267)</f>
        <v/>
      </c>
      <c r="N253" s="62">
        <f>IF(U253&lt;&gt;"SI","",IF(M253&lt;&gt;"",M253,IFERROR(I253*J253*(1+K253)*L253,"")))</f>
        <v/>
      </c>
      <c r="O253" s="62">
        <f>IF(N253="","",IF(OR(H253="",H253=0),N253,ROUNDUP(N253/H253,0)))</f>
        <v/>
      </c>
      <c r="P253" s="63">
        <f t="array" ref="P253">IFERROR(INDEX(PRODUCT!$I:$I,MATCH(C253,PRODUCT!$B:$B,0)),"")</f>
        <v/>
      </c>
      <c r="Q253" s="63">
        <f>IF(C253="","",INPUT_SYSTEM!M267)</f>
        <v/>
      </c>
      <c r="R253" s="63">
        <f>IF(P253="","",P253*(1+Q253))</f>
        <v/>
      </c>
      <c r="S253" s="63">
        <f>IF(O253="","",IF(OR(H253="",H253=0),O253*P253,O253*H253*P253))</f>
        <v/>
      </c>
      <c r="T253" s="63">
        <f>IF(O253="","",IF(OR(H253="",H253=0),O253*R253,O253*H253*R253))</f>
        <v/>
      </c>
      <c r="U253" s="62">
        <f>IF(C253="","",INPUT_SYSTEM!C267)</f>
        <v/>
      </c>
      <c r="V253" s="2" t="n"/>
    </row>
    <row r="254" ht="15.75" customHeight="1" s="125">
      <c r="A254" s="62">
        <f>IF(INPUT_SYSTEM!D268="","",INPUT_SYSTEM!A268)</f>
        <v/>
      </c>
      <c r="B254" s="62">
        <f>IF(INPUT_SYSTEM!D268="","",INPUT_SYSTEM!B268)</f>
        <v/>
      </c>
      <c r="C254" s="62">
        <f>IF(INPUT_SYSTEM!D268="","",INPUT_SYSTEM!D268)</f>
        <v/>
      </c>
      <c r="D254" s="62">
        <f>IF(C254="","",INPUT_SYSTEM!E268)</f>
        <v/>
      </c>
      <c r="E254" s="62">
        <f>IF(C254="","",INPUT_SYSTEM!F268)</f>
        <v/>
      </c>
      <c r="F254" s="62">
        <f t="array" ref="F254">IFERROR(INDEX(PRODUCT!$D:$D,MATCH(C254,PRODUCT!$B:$B,0)),"")</f>
        <v/>
      </c>
      <c r="G254" s="62">
        <f t="array" ref="G254">IFERROR(INDEX(PRODUCT!$E:$E,MATCH(C254,PRODUCT!$B:$B,0)),"")</f>
        <v/>
      </c>
      <c r="H254" s="62">
        <f t="array" ref="H254">IFERROR(INDEX(PRODUCT!$F:$F,MATCH(C254,PRODUCT!$B:$B,0)),"")</f>
        <v/>
      </c>
      <c r="I254" s="62">
        <f>IF(C254="","",INPUT_SYSTEM!G268)</f>
        <v/>
      </c>
      <c r="J254" s="62">
        <f>IF(C254="","",INPUT_SYSTEM!H268)</f>
        <v/>
      </c>
      <c r="K254" s="60">
        <f>IF(C254="","",INPUT_SYSTEM!J268)</f>
        <v/>
      </c>
      <c r="L254" s="62">
        <f>IF(C254="","",INPUT_SYSTEM!K268)</f>
        <v/>
      </c>
      <c r="M254" s="62">
        <f>IF(C254="","",INPUT_SYSTEM!L268)</f>
        <v/>
      </c>
      <c r="N254" s="62">
        <f>IF(U254&lt;&gt;"SI","",IF(M254&lt;&gt;"",M254,IFERROR(I254*J254*(1+K254)*L254,"")))</f>
        <v/>
      </c>
      <c r="O254" s="62">
        <f>IF(N254="","",IF(OR(H254="",H254=0),N254,ROUNDUP(N254/H254,0)))</f>
        <v/>
      </c>
      <c r="P254" s="63">
        <f t="array" ref="P254">IFERROR(INDEX(PRODUCT!$I:$I,MATCH(C254,PRODUCT!$B:$B,0)),"")</f>
        <v/>
      </c>
      <c r="Q254" s="63">
        <f>IF(C254="","",INPUT_SYSTEM!M268)</f>
        <v/>
      </c>
      <c r="R254" s="63">
        <f>IF(P254="","",P254*(1+Q254))</f>
        <v/>
      </c>
      <c r="S254" s="63">
        <f>IF(O254="","",IF(OR(H254="",H254=0),O254*P254,O254*H254*P254))</f>
        <v/>
      </c>
      <c r="T254" s="63">
        <f>IF(O254="","",IF(OR(H254="",H254=0),O254*R254,O254*H254*R254))</f>
        <v/>
      </c>
      <c r="U254" s="62">
        <f>IF(C254="","",INPUT_SYSTEM!C268)</f>
        <v/>
      </c>
      <c r="V254" s="2" t="n"/>
    </row>
    <row r="255" ht="15.75" customHeight="1" s="125">
      <c r="A255" s="62">
        <f>IF(INPUT_SYSTEM!D269="","",INPUT_SYSTEM!A269)</f>
        <v/>
      </c>
      <c r="B255" s="62">
        <f>IF(INPUT_SYSTEM!D269="","",INPUT_SYSTEM!B269)</f>
        <v/>
      </c>
      <c r="C255" s="62">
        <f>IF(INPUT_SYSTEM!D269="","",INPUT_SYSTEM!D269)</f>
        <v/>
      </c>
      <c r="D255" s="62">
        <f>IF(C255="","",INPUT_SYSTEM!E269)</f>
        <v/>
      </c>
      <c r="E255" s="62">
        <f>IF(C255="","",INPUT_SYSTEM!F269)</f>
        <v/>
      </c>
      <c r="F255" s="62">
        <f t="array" ref="F255">IFERROR(INDEX(PRODUCT!$D:$D,MATCH(C255,PRODUCT!$B:$B,0)),"")</f>
        <v/>
      </c>
      <c r="G255" s="62">
        <f t="array" ref="G255">IFERROR(INDEX(PRODUCT!$E:$E,MATCH(C255,PRODUCT!$B:$B,0)),"")</f>
        <v/>
      </c>
      <c r="H255" s="62">
        <f t="array" ref="H255">IFERROR(INDEX(PRODUCT!$F:$F,MATCH(C255,PRODUCT!$B:$B,0)),"")</f>
        <v/>
      </c>
      <c r="I255" s="62">
        <f>IF(C255="","",INPUT_SYSTEM!G269)</f>
        <v/>
      </c>
      <c r="J255" s="62">
        <f>IF(C255="","",INPUT_SYSTEM!H269)</f>
        <v/>
      </c>
      <c r="K255" s="60">
        <f>IF(C255="","",INPUT_SYSTEM!J269)</f>
        <v/>
      </c>
      <c r="L255" s="62">
        <f>IF(C255="","",INPUT_SYSTEM!K269)</f>
        <v/>
      </c>
      <c r="M255" s="62">
        <f>IF(C255="","",INPUT_SYSTEM!L269)</f>
        <v/>
      </c>
      <c r="N255" s="62">
        <f>IF(U255&lt;&gt;"SI","",IF(M255&lt;&gt;"",M255,IFERROR(I255*J255*(1+K255)*L255,"")))</f>
        <v/>
      </c>
      <c r="O255" s="62">
        <f>IF(N255="","",IF(OR(H255="",H255=0),N255,ROUNDUP(N255/H255,0)))</f>
        <v/>
      </c>
      <c r="P255" s="63">
        <f t="array" ref="P255">IFERROR(INDEX(PRODUCT!$I:$I,MATCH(C255,PRODUCT!$B:$B,0)),"")</f>
        <v/>
      </c>
      <c r="Q255" s="63">
        <f>IF(C255="","",INPUT_SYSTEM!M269)</f>
        <v/>
      </c>
      <c r="R255" s="63">
        <f>IF(P255="","",P255*(1+Q255))</f>
        <v/>
      </c>
      <c r="S255" s="63">
        <f>IF(O255="","",IF(OR(H255="",H255=0),O255*P255,O255*H255*P255))</f>
        <v/>
      </c>
      <c r="T255" s="63">
        <f>IF(O255="","",IF(OR(H255="",H255=0),O255*R255,O255*H255*R255))</f>
        <v/>
      </c>
      <c r="U255" s="62">
        <f>IF(C255="","",INPUT_SYSTEM!C269)</f>
        <v/>
      </c>
      <c r="V255" s="2" t="n"/>
    </row>
    <row r="256" ht="15.75" customHeight="1" s="125">
      <c r="A256" s="62">
        <f>IF(INPUT_SYSTEM!D270="","",INPUT_SYSTEM!A270)</f>
        <v/>
      </c>
      <c r="B256" s="62">
        <f>IF(INPUT_SYSTEM!D270="","",INPUT_SYSTEM!B270)</f>
        <v/>
      </c>
      <c r="C256" s="62">
        <f>IF(INPUT_SYSTEM!D270="","",INPUT_SYSTEM!D270)</f>
        <v/>
      </c>
      <c r="D256" s="62">
        <f>IF(C256="","",INPUT_SYSTEM!E270)</f>
        <v/>
      </c>
      <c r="E256" s="62">
        <f>IF(C256="","",INPUT_SYSTEM!F270)</f>
        <v/>
      </c>
      <c r="F256" s="62">
        <f t="array" ref="F256">IFERROR(INDEX(PRODUCT!$D:$D,MATCH(C256,PRODUCT!$B:$B,0)),"")</f>
        <v/>
      </c>
      <c r="G256" s="62">
        <f t="array" ref="G256">IFERROR(INDEX(PRODUCT!$E:$E,MATCH(C256,PRODUCT!$B:$B,0)),"")</f>
        <v/>
      </c>
      <c r="H256" s="62">
        <f t="array" ref="H256">IFERROR(INDEX(PRODUCT!$F:$F,MATCH(C256,PRODUCT!$B:$B,0)),"")</f>
        <v/>
      </c>
      <c r="I256" s="62">
        <f>IF(C256="","",INPUT_SYSTEM!G270)</f>
        <v/>
      </c>
      <c r="J256" s="62">
        <f>IF(C256="","",INPUT_SYSTEM!H270)</f>
        <v/>
      </c>
      <c r="K256" s="60">
        <f>IF(C256="","",INPUT_SYSTEM!J270)</f>
        <v/>
      </c>
      <c r="L256" s="62">
        <f>IF(C256="","",INPUT_SYSTEM!K270)</f>
        <v/>
      </c>
      <c r="M256" s="62">
        <f>IF(C256="","",INPUT_SYSTEM!L270)</f>
        <v/>
      </c>
      <c r="N256" s="62">
        <f>IF(U256&lt;&gt;"SI","",IF(M256&lt;&gt;"",M256,IFERROR(I256*J256*(1+K256)*L256,"")))</f>
        <v/>
      </c>
      <c r="O256" s="62">
        <f>IF(N256="","",IF(OR(H256="",H256=0),N256,ROUNDUP(N256/H256,0)))</f>
        <v/>
      </c>
      <c r="P256" s="63">
        <f t="array" ref="P256">IFERROR(INDEX(PRODUCT!$I:$I,MATCH(C256,PRODUCT!$B:$B,0)),"")</f>
        <v/>
      </c>
      <c r="Q256" s="63">
        <f>IF(C256="","",INPUT_SYSTEM!M270)</f>
        <v/>
      </c>
      <c r="R256" s="63">
        <f>IF(P256="","",P256*(1+Q256))</f>
        <v/>
      </c>
      <c r="S256" s="63">
        <f>IF(O256="","",IF(OR(H256="",H256=0),O256*P256,O256*H256*P256))</f>
        <v/>
      </c>
      <c r="T256" s="63">
        <f>IF(O256="","",IF(OR(H256="",H256=0),O256*R256,O256*H256*R256))</f>
        <v/>
      </c>
      <c r="U256" s="62">
        <f>IF(C256="","",INPUT_SYSTEM!C270)</f>
        <v/>
      </c>
      <c r="V256" s="2" t="n"/>
    </row>
    <row r="257" ht="15.75" customHeight="1" s="125">
      <c r="A257" s="62">
        <f>IF(INPUT_SYSTEM!D271="","",INPUT_SYSTEM!A271)</f>
        <v/>
      </c>
      <c r="B257" s="62">
        <f>IF(INPUT_SYSTEM!D271="","",INPUT_SYSTEM!B271)</f>
        <v/>
      </c>
      <c r="C257" s="62">
        <f>IF(INPUT_SYSTEM!D271="","",INPUT_SYSTEM!D271)</f>
        <v/>
      </c>
      <c r="D257" s="62">
        <f>IF(C257="","",INPUT_SYSTEM!E271)</f>
        <v/>
      </c>
      <c r="E257" s="62">
        <f>IF(C257="","",INPUT_SYSTEM!F271)</f>
        <v/>
      </c>
      <c r="F257" s="62">
        <f t="array" ref="F257">IFERROR(INDEX(PRODUCT!$D:$D,MATCH(C257,PRODUCT!$B:$B,0)),"")</f>
        <v/>
      </c>
      <c r="G257" s="62">
        <f t="array" ref="G257">IFERROR(INDEX(PRODUCT!$E:$E,MATCH(C257,PRODUCT!$B:$B,0)),"")</f>
        <v/>
      </c>
      <c r="H257" s="62">
        <f t="array" ref="H257">IFERROR(INDEX(PRODUCT!$F:$F,MATCH(C257,PRODUCT!$B:$B,0)),"")</f>
        <v/>
      </c>
      <c r="I257" s="62">
        <f>IF(C257="","",INPUT_SYSTEM!G271)</f>
        <v/>
      </c>
      <c r="J257" s="62">
        <f>IF(C257="","",INPUT_SYSTEM!H271)</f>
        <v/>
      </c>
      <c r="K257" s="60">
        <f>IF(C257="","",INPUT_SYSTEM!J271)</f>
        <v/>
      </c>
      <c r="L257" s="62">
        <f>IF(C257="","",INPUT_SYSTEM!K271)</f>
        <v/>
      </c>
      <c r="M257" s="62">
        <f>IF(C257="","",INPUT_SYSTEM!L271)</f>
        <v/>
      </c>
      <c r="N257" s="62">
        <f>IF(U257&lt;&gt;"SI","",IF(M257&lt;&gt;"",M257,IFERROR(I257*J257*(1+K257)*L257,"")))</f>
        <v/>
      </c>
      <c r="O257" s="62">
        <f>IF(N257="","",IF(OR(H257="",H257=0),N257,ROUNDUP(N257/H257,0)))</f>
        <v/>
      </c>
      <c r="P257" s="63">
        <f t="array" ref="P257">IFERROR(INDEX(PRODUCT!$I:$I,MATCH(C257,PRODUCT!$B:$B,0)),"")</f>
        <v/>
      </c>
      <c r="Q257" s="63">
        <f>IF(C257="","",INPUT_SYSTEM!M271)</f>
        <v/>
      </c>
      <c r="R257" s="63">
        <f>IF(P257="","",P257*(1+Q257))</f>
        <v/>
      </c>
      <c r="S257" s="63">
        <f>IF(O257="","",IF(OR(H257="",H257=0),O257*P257,O257*H257*P257))</f>
        <v/>
      </c>
      <c r="T257" s="63">
        <f>IF(O257="","",IF(OR(H257="",H257=0),O257*R257,O257*H257*R257))</f>
        <v/>
      </c>
      <c r="U257" s="62">
        <f>IF(C257="","",INPUT_SYSTEM!C271)</f>
        <v/>
      </c>
      <c r="V257" s="2" t="n"/>
    </row>
    <row r="258" ht="15.75" customHeight="1" s="125">
      <c r="A258" s="62">
        <f>IF(INPUT_SYSTEM!D272="","",INPUT_SYSTEM!A272)</f>
        <v/>
      </c>
      <c r="B258" s="62">
        <f>IF(INPUT_SYSTEM!D272="","",INPUT_SYSTEM!B272)</f>
        <v/>
      </c>
      <c r="C258" s="62">
        <f>IF(INPUT_SYSTEM!D272="","",INPUT_SYSTEM!D272)</f>
        <v/>
      </c>
      <c r="D258" s="62">
        <f>IF(C258="","",INPUT_SYSTEM!E272)</f>
        <v/>
      </c>
      <c r="E258" s="62">
        <f>IF(C258="","",INPUT_SYSTEM!F272)</f>
        <v/>
      </c>
      <c r="F258" s="62">
        <f t="array" ref="F258">IFERROR(INDEX(PRODUCT!$D:$D,MATCH(C258,PRODUCT!$B:$B,0)),"")</f>
        <v/>
      </c>
      <c r="G258" s="62">
        <f t="array" ref="G258">IFERROR(INDEX(PRODUCT!$E:$E,MATCH(C258,PRODUCT!$B:$B,0)),"")</f>
        <v/>
      </c>
      <c r="H258" s="62">
        <f t="array" ref="H258">IFERROR(INDEX(PRODUCT!$F:$F,MATCH(C258,PRODUCT!$B:$B,0)),"")</f>
        <v/>
      </c>
      <c r="I258" s="62">
        <f>IF(C258="","",INPUT_SYSTEM!G272)</f>
        <v/>
      </c>
      <c r="J258" s="62">
        <f>IF(C258="","",INPUT_SYSTEM!H272)</f>
        <v/>
      </c>
      <c r="K258" s="60">
        <f>IF(C258="","",INPUT_SYSTEM!J272)</f>
        <v/>
      </c>
      <c r="L258" s="62">
        <f>IF(C258="","",INPUT_SYSTEM!K272)</f>
        <v/>
      </c>
      <c r="M258" s="62">
        <f>IF(C258="","",INPUT_SYSTEM!L272)</f>
        <v/>
      </c>
      <c r="N258" s="62">
        <f>IF(U258&lt;&gt;"SI","",IF(M258&lt;&gt;"",M258,IFERROR(I258*J258*(1+K258)*L258,"")))</f>
        <v/>
      </c>
      <c r="O258" s="62">
        <f>IF(N258="","",IF(OR(H258="",H258=0),N258,ROUNDUP(N258/H258,0)))</f>
        <v/>
      </c>
      <c r="P258" s="63">
        <f t="array" ref="P258">IFERROR(INDEX(PRODUCT!$I:$I,MATCH(C258,PRODUCT!$B:$B,0)),"")</f>
        <v/>
      </c>
      <c r="Q258" s="63">
        <f>IF(C258="","",INPUT_SYSTEM!M272)</f>
        <v/>
      </c>
      <c r="R258" s="63">
        <f>IF(P258="","",P258*(1+Q258))</f>
        <v/>
      </c>
      <c r="S258" s="63">
        <f>IF(O258="","",IF(OR(H258="",H258=0),O258*P258,O258*H258*P258))</f>
        <v/>
      </c>
      <c r="T258" s="63">
        <f>IF(O258="","",IF(OR(H258="",H258=0),O258*R258,O258*H258*R258))</f>
        <v/>
      </c>
      <c r="U258" s="62">
        <f>IF(C258="","",INPUT_SYSTEM!C272)</f>
        <v/>
      </c>
      <c r="V258" s="2" t="n"/>
    </row>
    <row r="259" ht="15.75" customHeight="1" s="125">
      <c r="A259" s="62">
        <f>IF(INPUT_SYSTEM!D273="","",INPUT_SYSTEM!A273)</f>
        <v/>
      </c>
      <c r="B259" s="62">
        <f>IF(INPUT_SYSTEM!D273="","",INPUT_SYSTEM!B273)</f>
        <v/>
      </c>
      <c r="C259" s="62">
        <f>IF(INPUT_SYSTEM!D273="","",INPUT_SYSTEM!D273)</f>
        <v/>
      </c>
      <c r="D259" s="62">
        <f>IF(C259="","",INPUT_SYSTEM!E273)</f>
        <v/>
      </c>
      <c r="E259" s="62">
        <f>IF(C259="","",INPUT_SYSTEM!F273)</f>
        <v/>
      </c>
      <c r="F259" s="62">
        <f t="array" ref="F259">IFERROR(INDEX(PRODUCT!$D:$D,MATCH(C259,PRODUCT!$B:$B,0)),"")</f>
        <v/>
      </c>
      <c r="G259" s="62">
        <f t="array" ref="G259">IFERROR(INDEX(PRODUCT!$E:$E,MATCH(C259,PRODUCT!$B:$B,0)),"")</f>
        <v/>
      </c>
      <c r="H259" s="62">
        <f t="array" ref="H259">IFERROR(INDEX(PRODUCT!$F:$F,MATCH(C259,PRODUCT!$B:$B,0)),"")</f>
        <v/>
      </c>
      <c r="I259" s="62">
        <f>IF(C259="","",INPUT_SYSTEM!G273)</f>
        <v/>
      </c>
      <c r="J259" s="62">
        <f>IF(C259="","",INPUT_SYSTEM!H273)</f>
        <v/>
      </c>
      <c r="K259" s="60">
        <f>IF(C259="","",INPUT_SYSTEM!J273)</f>
        <v/>
      </c>
      <c r="L259" s="62">
        <f>IF(C259="","",INPUT_SYSTEM!K273)</f>
        <v/>
      </c>
      <c r="M259" s="62">
        <f>IF(C259="","",INPUT_SYSTEM!L273)</f>
        <v/>
      </c>
      <c r="N259" s="62">
        <f>IF(U259&lt;&gt;"SI","",IF(M259&lt;&gt;"",M259,IFERROR(I259*J259*(1+K259)*L259,"")))</f>
        <v/>
      </c>
      <c r="O259" s="62">
        <f>IF(N259="","",IF(OR(H259="",H259=0),N259,ROUNDUP(N259/H259,0)))</f>
        <v/>
      </c>
      <c r="P259" s="63">
        <f t="array" ref="P259">IFERROR(INDEX(PRODUCT!$I:$I,MATCH(C259,PRODUCT!$B:$B,0)),"")</f>
        <v/>
      </c>
      <c r="Q259" s="63">
        <f>IF(C259="","",INPUT_SYSTEM!M273)</f>
        <v/>
      </c>
      <c r="R259" s="63">
        <f>IF(P259="","",P259*(1+Q259))</f>
        <v/>
      </c>
      <c r="S259" s="63">
        <f>IF(O259="","",IF(OR(H259="",H259=0),O259*P259,O259*H259*P259))</f>
        <v/>
      </c>
      <c r="T259" s="63">
        <f>IF(O259="","",IF(OR(H259="",H259=0),O259*R259,O259*H259*R259))</f>
        <v/>
      </c>
      <c r="U259" s="62">
        <f>IF(C259="","",INPUT_SYSTEM!C273)</f>
        <v/>
      </c>
      <c r="V259" s="2" t="n"/>
    </row>
    <row r="260" ht="15.75" customHeight="1" s="125">
      <c r="A260" s="62">
        <f>IF(INPUT_SYSTEM!D274="","",INPUT_SYSTEM!A274)</f>
        <v/>
      </c>
      <c r="B260" s="62">
        <f>IF(INPUT_SYSTEM!D274="","",INPUT_SYSTEM!B274)</f>
        <v/>
      </c>
      <c r="C260" s="62">
        <f>IF(INPUT_SYSTEM!D274="","",INPUT_SYSTEM!D274)</f>
        <v/>
      </c>
      <c r="D260" s="62">
        <f>IF(C260="","",INPUT_SYSTEM!E274)</f>
        <v/>
      </c>
      <c r="E260" s="62">
        <f>IF(C260="","",INPUT_SYSTEM!F274)</f>
        <v/>
      </c>
      <c r="F260" s="62">
        <f t="array" ref="F260">IFERROR(INDEX(PRODUCT!$D:$D,MATCH(C260,PRODUCT!$B:$B,0)),"")</f>
        <v/>
      </c>
      <c r="G260" s="62">
        <f t="array" ref="G260">IFERROR(INDEX(PRODUCT!$E:$E,MATCH(C260,PRODUCT!$B:$B,0)),"")</f>
        <v/>
      </c>
      <c r="H260" s="62">
        <f t="array" ref="H260">IFERROR(INDEX(PRODUCT!$F:$F,MATCH(C260,PRODUCT!$B:$B,0)),"")</f>
        <v/>
      </c>
      <c r="I260" s="62">
        <f>IF(C260="","",INPUT_SYSTEM!G274)</f>
        <v/>
      </c>
      <c r="J260" s="62">
        <f>IF(C260="","",INPUT_SYSTEM!H274)</f>
        <v/>
      </c>
      <c r="K260" s="60">
        <f>IF(C260="","",INPUT_SYSTEM!J274)</f>
        <v/>
      </c>
      <c r="L260" s="62">
        <f>IF(C260="","",INPUT_SYSTEM!K274)</f>
        <v/>
      </c>
      <c r="M260" s="62">
        <f>IF(C260="","",INPUT_SYSTEM!L274)</f>
        <v/>
      </c>
      <c r="N260" s="62">
        <f>IF(U260&lt;&gt;"SI","",IF(M260&lt;&gt;"",M260,IFERROR(I260*J260*(1+K260)*L260,"")))</f>
        <v/>
      </c>
      <c r="O260" s="62">
        <f>IF(N260="","",IF(OR(H260="",H260=0),N260,ROUNDUP(N260/H260,0)))</f>
        <v/>
      </c>
      <c r="P260" s="63">
        <f t="array" ref="P260">IFERROR(INDEX(PRODUCT!$I:$I,MATCH(C260,PRODUCT!$B:$B,0)),"")</f>
        <v/>
      </c>
      <c r="Q260" s="63">
        <f>IF(C260="","",INPUT_SYSTEM!M274)</f>
        <v/>
      </c>
      <c r="R260" s="63">
        <f>IF(P260="","",P260*(1+Q260))</f>
        <v/>
      </c>
      <c r="S260" s="63">
        <f>IF(O260="","",IF(OR(H260="",H260=0),O260*P260,O260*H260*P260))</f>
        <v/>
      </c>
      <c r="T260" s="63">
        <f>IF(O260="","",IF(OR(H260="",H260=0),O260*R260,O260*H260*R260))</f>
        <v/>
      </c>
      <c r="U260" s="62">
        <f>IF(C260="","",INPUT_SYSTEM!C274)</f>
        <v/>
      </c>
      <c r="V260" s="2" t="n"/>
    </row>
    <row r="261" ht="15.75" customHeight="1" s="125">
      <c r="A261" s="62">
        <f>IF(INPUT_SYSTEM!D275="","",INPUT_SYSTEM!A275)</f>
        <v/>
      </c>
      <c r="B261" s="62">
        <f>IF(INPUT_SYSTEM!D275="","",INPUT_SYSTEM!B275)</f>
        <v/>
      </c>
      <c r="C261" s="62">
        <f>IF(INPUT_SYSTEM!D275="","",INPUT_SYSTEM!D275)</f>
        <v/>
      </c>
      <c r="D261" s="62">
        <f>IF(C261="","",INPUT_SYSTEM!E275)</f>
        <v/>
      </c>
      <c r="E261" s="62">
        <f>IF(C261="","",INPUT_SYSTEM!F275)</f>
        <v/>
      </c>
      <c r="F261" s="62">
        <f t="array" ref="F261">IFERROR(INDEX(PRODUCT!$D:$D,MATCH(C261,PRODUCT!$B:$B,0)),"")</f>
        <v/>
      </c>
      <c r="G261" s="62">
        <f t="array" ref="G261">IFERROR(INDEX(PRODUCT!$E:$E,MATCH(C261,PRODUCT!$B:$B,0)),"")</f>
        <v/>
      </c>
      <c r="H261" s="62">
        <f t="array" ref="H261">IFERROR(INDEX(PRODUCT!$F:$F,MATCH(C261,PRODUCT!$B:$B,0)),"")</f>
        <v/>
      </c>
      <c r="I261" s="62">
        <f>IF(C261="","",INPUT_SYSTEM!G275)</f>
        <v/>
      </c>
      <c r="J261" s="62">
        <f>IF(C261="","",INPUT_SYSTEM!H275)</f>
        <v/>
      </c>
      <c r="K261" s="60">
        <f>IF(C261="","",INPUT_SYSTEM!J275)</f>
        <v/>
      </c>
      <c r="L261" s="62">
        <f>IF(C261="","",INPUT_SYSTEM!K275)</f>
        <v/>
      </c>
      <c r="M261" s="62">
        <f>IF(C261="","",INPUT_SYSTEM!L275)</f>
        <v/>
      </c>
      <c r="N261" s="62">
        <f>IF(U261&lt;&gt;"SI","",IF(M261&lt;&gt;"",M261,IFERROR(I261*J261*(1+K261)*L261,"")))</f>
        <v/>
      </c>
      <c r="O261" s="62">
        <f>IF(N261="","",IF(OR(H261="",H261=0),N261,ROUNDUP(N261/H261,0)))</f>
        <v/>
      </c>
      <c r="P261" s="63">
        <f t="array" ref="P261">IFERROR(INDEX(PRODUCT!$I:$I,MATCH(C261,PRODUCT!$B:$B,0)),"")</f>
        <v/>
      </c>
      <c r="Q261" s="63">
        <f>IF(C261="","",INPUT_SYSTEM!M275)</f>
        <v/>
      </c>
      <c r="R261" s="63">
        <f>IF(P261="","",P261*(1+Q261))</f>
        <v/>
      </c>
      <c r="S261" s="63">
        <f>IF(O261="","",IF(OR(H261="",H261=0),O261*P261,O261*H261*P261))</f>
        <v/>
      </c>
      <c r="T261" s="63">
        <f>IF(O261="","",IF(OR(H261="",H261=0),O261*R261,O261*H261*R261))</f>
        <v/>
      </c>
      <c r="U261" s="62">
        <f>IF(C261="","",INPUT_SYSTEM!C275)</f>
        <v/>
      </c>
      <c r="V261" s="2" t="n"/>
    </row>
    <row r="262" ht="15.75" customHeight="1" s="125">
      <c r="A262" s="62">
        <f>IF(INPUT_SYSTEM!D276="","",INPUT_SYSTEM!A276)</f>
        <v/>
      </c>
      <c r="B262" s="62">
        <f>IF(INPUT_SYSTEM!D276="","",INPUT_SYSTEM!B276)</f>
        <v/>
      </c>
      <c r="C262" s="62">
        <f>IF(INPUT_SYSTEM!D276="","",INPUT_SYSTEM!D276)</f>
        <v/>
      </c>
      <c r="D262" s="62">
        <f>IF(C262="","",INPUT_SYSTEM!E276)</f>
        <v/>
      </c>
      <c r="E262" s="62">
        <f>IF(C262="","",INPUT_SYSTEM!F276)</f>
        <v/>
      </c>
      <c r="F262" s="62">
        <f t="array" ref="F262">IFERROR(INDEX(PRODUCT!$D:$D,MATCH(C262,PRODUCT!$B:$B,0)),"")</f>
        <v/>
      </c>
      <c r="G262" s="62">
        <f t="array" ref="G262">IFERROR(INDEX(PRODUCT!$E:$E,MATCH(C262,PRODUCT!$B:$B,0)),"")</f>
        <v/>
      </c>
      <c r="H262" s="62">
        <f t="array" ref="H262">IFERROR(INDEX(PRODUCT!$F:$F,MATCH(C262,PRODUCT!$B:$B,0)),"")</f>
        <v/>
      </c>
      <c r="I262" s="62">
        <f>IF(C262="","",INPUT_SYSTEM!G276)</f>
        <v/>
      </c>
      <c r="J262" s="62">
        <f>IF(C262="","",INPUT_SYSTEM!H276)</f>
        <v/>
      </c>
      <c r="K262" s="60">
        <f>IF(C262="","",INPUT_SYSTEM!J276)</f>
        <v/>
      </c>
      <c r="L262" s="62">
        <f>IF(C262="","",INPUT_SYSTEM!K276)</f>
        <v/>
      </c>
      <c r="M262" s="62">
        <f>IF(C262="","",INPUT_SYSTEM!L276)</f>
        <v/>
      </c>
      <c r="N262" s="62">
        <f>IF(U262&lt;&gt;"SI","",IF(M262&lt;&gt;"",M262,IFERROR(I262*J262*(1+K262)*L262,"")))</f>
        <v/>
      </c>
      <c r="O262" s="62">
        <f>IF(N262="","",IF(OR(H262="",H262=0),N262,ROUNDUP(N262/H262,0)))</f>
        <v/>
      </c>
      <c r="P262" s="63">
        <f t="array" ref="P262">IFERROR(INDEX(PRODUCT!$I:$I,MATCH(C262,PRODUCT!$B:$B,0)),"")</f>
        <v/>
      </c>
      <c r="Q262" s="63">
        <f>IF(C262="","",INPUT_SYSTEM!M276)</f>
        <v/>
      </c>
      <c r="R262" s="63">
        <f>IF(P262="","",P262*(1+Q262))</f>
        <v/>
      </c>
      <c r="S262" s="63">
        <f>IF(O262="","",IF(OR(H262="",H262=0),O262*P262,O262*H262*P262))</f>
        <v/>
      </c>
      <c r="T262" s="63">
        <f>IF(O262="","",IF(OR(H262="",H262=0),O262*R262,O262*H262*R262))</f>
        <v/>
      </c>
      <c r="U262" s="62">
        <f>IF(C262="","",INPUT_SYSTEM!C276)</f>
        <v/>
      </c>
      <c r="V262" s="2" t="n"/>
    </row>
    <row r="263" ht="15.75" customHeight="1" s="125">
      <c r="A263" s="62">
        <f>IF(INPUT_SYSTEM!D277="","",INPUT_SYSTEM!A277)</f>
        <v/>
      </c>
      <c r="B263" s="62">
        <f>IF(INPUT_SYSTEM!D277="","",INPUT_SYSTEM!B277)</f>
        <v/>
      </c>
      <c r="C263" s="62">
        <f>IF(INPUT_SYSTEM!D277="","",INPUT_SYSTEM!D277)</f>
        <v/>
      </c>
      <c r="D263" s="62">
        <f>IF(C263="","",INPUT_SYSTEM!E277)</f>
        <v/>
      </c>
      <c r="E263" s="62">
        <f>IF(C263="","",INPUT_SYSTEM!F277)</f>
        <v/>
      </c>
      <c r="F263" s="62">
        <f t="array" ref="F263">IFERROR(INDEX(PRODUCT!$D:$D,MATCH(C263,PRODUCT!$B:$B,0)),"")</f>
        <v/>
      </c>
      <c r="G263" s="62">
        <f t="array" ref="G263">IFERROR(INDEX(PRODUCT!$E:$E,MATCH(C263,PRODUCT!$B:$B,0)),"")</f>
        <v/>
      </c>
      <c r="H263" s="62">
        <f t="array" ref="H263">IFERROR(INDEX(PRODUCT!$F:$F,MATCH(C263,PRODUCT!$B:$B,0)),"")</f>
        <v/>
      </c>
      <c r="I263" s="62">
        <f>IF(C263="","",INPUT_SYSTEM!G277)</f>
        <v/>
      </c>
      <c r="J263" s="62">
        <f>IF(C263="","",INPUT_SYSTEM!H277)</f>
        <v/>
      </c>
      <c r="K263" s="60">
        <f>IF(C263="","",INPUT_SYSTEM!J277)</f>
        <v/>
      </c>
      <c r="L263" s="62">
        <f>IF(C263="","",INPUT_SYSTEM!K277)</f>
        <v/>
      </c>
      <c r="M263" s="62">
        <f>IF(C263="","",INPUT_SYSTEM!L277)</f>
        <v/>
      </c>
      <c r="N263" s="62">
        <f>IF(U263&lt;&gt;"SI","",IF(M263&lt;&gt;"",M263,IFERROR(I263*J263*(1+K263)*L263,"")))</f>
        <v/>
      </c>
      <c r="O263" s="62">
        <f>IF(N263="","",IF(OR(H263="",H263=0),N263,ROUNDUP(N263/H263,0)))</f>
        <v/>
      </c>
      <c r="P263" s="63">
        <f t="array" ref="P263">IFERROR(INDEX(PRODUCT!$I:$I,MATCH(C263,PRODUCT!$B:$B,0)),"")</f>
        <v/>
      </c>
      <c r="Q263" s="63">
        <f>IF(C263="","",INPUT_SYSTEM!M277)</f>
        <v/>
      </c>
      <c r="R263" s="63">
        <f>IF(P263="","",P263*(1+Q263))</f>
        <v/>
      </c>
      <c r="S263" s="63">
        <f>IF(O263="","",IF(OR(H263="",H263=0),O263*P263,O263*H263*P263))</f>
        <v/>
      </c>
      <c r="T263" s="63">
        <f>IF(O263="","",IF(OR(H263="",H263=0),O263*R263,O263*H263*R263))</f>
        <v/>
      </c>
      <c r="U263" s="62">
        <f>IF(C263="","",INPUT_SYSTEM!C277)</f>
        <v/>
      </c>
      <c r="V263" s="2" t="n"/>
    </row>
    <row r="264" ht="15.75" customHeight="1" s="125">
      <c r="A264" s="62">
        <f>IF(INPUT_SYSTEM!D278="","",INPUT_SYSTEM!A278)</f>
        <v/>
      </c>
      <c r="B264" s="62">
        <f>IF(INPUT_SYSTEM!D278="","",INPUT_SYSTEM!B278)</f>
        <v/>
      </c>
      <c r="C264" s="62">
        <f>IF(INPUT_SYSTEM!D278="","",INPUT_SYSTEM!D278)</f>
        <v/>
      </c>
      <c r="D264" s="62">
        <f>IF(C264="","",INPUT_SYSTEM!E278)</f>
        <v/>
      </c>
      <c r="E264" s="62">
        <f>IF(C264="","",INPUT_SYSTEM!F278)</f>
        <v/>
      </c>
      <c r="F264" s="62">
        <f t="array" ref="F264">IFERROR(INDEX(PRODUCT!$D:$D,MATCH(C264,PRODUCT!$B:$B,0)),"")</f>
        <v/>
      </c>
      <c r="G264" s="62">
        <f t="array" ref="G264">IFERROR(INDEX(PRODUCT!$E:$E,MATCH(C264,PRODUCT!$B:$B,0)),"")</f>
        <v/>
      </c>
      <c r="H264" s="62">
        <f t="array" ref="H264">IFERROR(INDEX(PRODUCT!$F:$F,MATCH(C264,PRODUCT!$B:$B,0)),"")</f>
        <v/>
      </c>
      <c r="I264" s="62">
        <f>IF(C264="","",INPUT_SYSTEM!G278)</f>
        <v/>
      </c>
      <c r="J264" s="62">
        <f>IF(C264="","",INPUT_SYSTEM!H278)</f>
        <v/>
      </c>
      <c r="K264" s="60">
        <f>IF(C264="","",INPUT_SYSTEM!J278)</f>
        <v/>
      </c>
      <c r="L264" s="62">
        <f>IF(C264="","",INPUT_SYSTEM!K278)</f>
        <v/>
      </c>
      <c r="M264" s="62">
        <f>IF(C264="","",INPUT_SYSTEM!L278)</f>
        <v/>
      </c>
      <c r="N264" s="62">
        <f>IF(U264&lt;&gt;"SI","",IF(M264&lt;&gt;"",M264,IFERROR(I264*J264*(1+K264)*L264,"")))</f>
        <v/>
      </c>
      <c r="O264" s="62">
        <f>IF(N264="","",IF(OR(H264="",H264=0),N264,ROUNDUP(N264/H264,0)))</f>
        <v/>
      </c>
      <c r="P264" s="63">
        <f t="array" ref="P264">IFERROR(INDEX(PRODUCT!$I:$I,MATCH(C264,PRODUCT!$B:$B,0)),"")</f>
        <v/>
      </c>
      <c r="Q264" s="63">
        <f>IF(C264="","",INPUT_SYSTEM!M278)</f>
        <v/>
      </c>
      <c r="R264" s="63">
        <f>IF(P264="","",P264*(1+Q264))</f>
        <v/>
      </c>
      <c r="S264" s="63">
        <f>IF(O264="","",IF(OR(H264="",H264=0),O264*P264,O264*H264*P264))</f>
        <v/>
      </c>
      <c r="T264" s="63">
        <f>IF(O264="","",IF(OR(H264="",H264=0),O264*R264,O264*H264*R264))</f>
        <v/>
      </c>
      <c r="U264" s="62">
        <f>IF(C264="","",INPUT_SYSTEM!C278)</f>
        <v/>
      </c>
      <c r="V264" s="2" t="n"/>
    </row>
    <row r="265" ht="15.75" customHeight="1" s="125">
      <c r="A265" s="62">
        <f>IF(INPUT_SYSTEM!D279="","",INPUT_SYSTEM!A279)</f>
        <v/>
      </c>
      <c r="B265" s="62">
        <f>IF(INPUT_SYSTEM!D279="","",INPUT_SYSTEM!B279)</f>
        <v/>
      </c>
      <c r="C265" s="62">
        <f>IF(INPUT_SYSTEM!D279="","",INPUT_SYSTEM!D279)</f>
        <v/>
      </c>
      <c r="D265" s="62">
        <f>IF(C265="","",INPUT_SYSTEM!E279)</f>
        <v/>
      </c>
      <c r="E265" s="62">
        <f>IF(C265="","",INPUT_SYSTEM!F279)</f>
        <v/>
      </c>
      <c r="F265" s="62">
        <f t="array" ref="F265">IFERROR(INDEX(PRODUCT!$D:$D,MATCH(C265,PRODUCT!$B:$B,0)),"")</f>
        <v/>
      </c>
      <c r="G265" s="62">
        <f t="array" ref="G265">IFERROR(INDEX(PRODUCT!$E:$E,MATCH(C265,PRODUCT!$B:$B,0)),"")</f>
        <v/>
      </c>
      <c r="H265" s="62">
        <f t="array" ref="H265">IFERROR(INDEX(PRODUCT!$F:$F,MATCH(C265,PRODUCT!$B:$B,0)),"")</f>
        <v/>
      </c>
      <c r="I265" s="62">
        <f>IF(C265="","",INPUT_SYSTEM!G279)</f>
        <v/>
      </c>
      <c r="J265" s="62">
        <f>IF(C265="","",INPUT_SYSTEM!H279)</f>
        <v/>
      </c>
      <c r="K265" s="60">
        <f>IF(C265="","",INPUT_SYSTEM!J279)</f>
        <v/>
      </c>
      <c r="L265" s="62">
        <f>IF(C265="","",INPUT_SYSTEM!K279)</f>
        <v/>
      </c>
      <c r="M265" s="62">
        <f>IF(C265="","",INPUT_SYSTEM!L279)</f>
        <v/>
      </c>
      <c r="N265" s="62">
        <f>IF(U265&lt;&gt;"SI","",IF(M265&lt;&gt;"",M265,IFERROR(I265*J265*(1+K265)*L265,"")))</f>
        <v/>
      </c>
      <c r="O265" s="62">
        <f>IF(N265="","",IF(OR(H265="",H265=0),N265,ROUNDUP(N265/H265,0)))</f>
        <v/>
      </c>
      <c r="P265" s="63">
        <f t="array" ref="P265">IFERROR(INDEX(PRODUCT!$I:$I,MATCH(C265,PRODUCT!$B:$B,0)),"")</f>
        <v/>
      </c>
      <c r="Q265" s="63">
        <f>IF(C265="","",INPUT_SYSTEM!M279)</f>
        <v/>
      </c>
      <c r="R265" s="63">
        <f>IF(P265="","",P265*(1+Q265))</f>
        <v/>
      </c>
      <c r="S265" s="63">
        <f>IF(O265="","",IF(OR(H265="",H265=0),O265*P265,O265*H265*P265))</f>
        <v/>
      </c>
      <c r="T265" s="63">
        <f>IF(O265="","",IF(OR(H265="",H265=0),O265*R265,O265*H265*R265))</f>
        <v/>
      </c>
      <c r="U265" s="62">
        <f>IF(C265="","",INPUT_SYSTEM!C279)</f>
        <v/>
      </c>
      <c r="V265" s="2" t="n"/>
    </row>
    <row r="266" ht="15.75" customHeight="1" s="125">
      <c r="A266" s="62">
        <f>IF(INPUT_SYSTEM!D280="","",INPUT_SYSTEM!A280)</f>
        <v/>
      </c>
      <c r="B266" s="62">
        <f>IF(INPUT_SYSTEM!D280="","",INPUT_SYSTEM!B280)</f>
        <v/>
      </c>
      <c r="C266" s="62">
        <f>IF(INPUT_SYSTEM!D280="","",INPUT_SYSTEM!D280)</f>
        <v/>
      </c>
      <c r="D266" s="62">
        <f>IF(C266="","",INPUT_SYSTEM!E280)</f>
        <v/>
      </c>
      <c r="E266" s="62">
        <f>IF(C266="","",INPUT_SYSTEM!F280)</f>
        <v/>
      </c>
      <c r="F266" s="62">
        <f t="array" ref="F266">IFERROR(INDEX(PRODUCT!$D:$D,MATCH(C266,PRODUCT!$B:$B,0)),"")</f>
        <v/>
      </c>
      <c r="G266" s="62">
        <f t="array" ref="G266">IFERROR(INDEX(PRODUCT!$E:$E,MATCH(C266,PRODUCT!$B:$B,0)),"")</f>
        <v/>
      </c>
      <c r="H266" s="62">
        <f t="array" ref="H266">IFERROR(INDEX(PRODUCT!$F:$F,MATCH(C266,PRODUCT!$B:$B,0)),"")</f>
        <v/>
      </c>
      <c r="I266" s="62">
        <f>IF(C266="","",INPUT_SYSTEM!G280)</f>
        <v/>
      </c>
      <c r="J266" s="62">
        <f>IF(C266="","",INPUT_SYSTEM!H280)</f>
        <v/>
      </c>
      <c r="K266" s="60">
        <f>IF(C266="","",INPUT_SYSTEM!J280)</f>
        <v/>
      </c>
      <c r="L266" s="62">
        <f>IF(C266="","",INPUT_SYSTEM!K280)</f>
        <v/>
      </c>
      <c r="M266" s="62">
        <f>IF(C266="","",INPUT_SYSTEM!L280)</f>
        <v/>
      </c>
      <c r="N266" s="62">
        <f>IF(U266&lt;&gt;"SI","",IF(M266&lt;&gt;"",M266,IFERROR(I266*J266*(1+K266)*L266,"")))</f>
        <v/>
      </c>
      <c r="O266" s="62">
        <f>IF(N266="","",IF(OR(H266="",H266=0),N266,ROUNDUP(N266/H266,0)))</f>
        <v/>
      </c>
      <c r="P266" s="63">
        <f t="array" ref="P266">IFERROR(INDEX(PRODUCT!$I:$I,MATCH(C266,PRODUCT!$B:$B,0)),"")</f>
        <v/>
      </c>
      <c r="Q266" s="63">
        <f>IF(C266="","",INPUT_SYSTEM!M280)</f>
        <v/>
      </c>
      <c r="R266" s="63">
        <f>IF(P266="","",P266*(1+Q266))</f>
        <v/>
      </c>
      <c r="S266" s="63">
        <f>IF(O266="","",IF(OR(H266="",H266=0),O266*P266,O266*H266*P266))</f>
        <v/>
      </c>
      <c r="T266" s="63">
        <f>IF(O266="","",IF(OR(H266="",H266=0),O266*R266,O266*H266*R266))</f>
        <v/>
      </c>
      <c r="U266" s="62">
        <f>IF(C266="","",INPUT_SYSTEM!C280)</f>
        <v/>
      </c>
      <c r="V266" s="2" t="n"/>
    </row>
    <row r="267" ht="15.75" customHeight="1" s="125">
      <c r="A267" s="62">
        <f>IF(INPUT_SYSTEM!D281="","",INPUT_SYSTEM!A281)</f>
        <v/>
      </c>
      <c r="B267" s="62">
        <f>IF(INPUT_SYSTEM!D281="","",INPUT_SYSTEM!B281)</f>
        <v/>
      </c>
      <c r="C267" s="62">
        <f>IF(INPUT_SYSTEM!D281="","",INPUT_SYSTEM!D281)</f>
        <v/>
      </c>
      <c r="D267" s="62">
        <f>IF(C267="","",INPUT_SYSTEM!E281)</f>
        <v/>
      </c>
      <c r="E267" s="62">
        <f>IF(C267="","",INPUT_SYSTEM!F281)</f>
        <v/>
      </c>
      <c r="F267" s="62">
        <f t="array" ref="F267">IFERROR(INDEX(PRODUCT!$D:$D,MATCH(C267,PRODUCT!$B:$B,0)),"")</f>
        <v/>
      </c>
      <c r="G267" s="62">
        <f t="array" ref="G267">IFERROR(INDEX(PRODUCT!$E:$E,MATCH(C267,PRODUCT!$B:$B,0)),"")</f>
        <v/>
      </c>
      <c r="H267" s="62">
        <f t="array" ref="H267">IFERROR(INDEX(PRODUCT!$F:$F,MATCH(C267,PRODUCT!$B:$B,0)),"")</f>
        <v/>
      </c>
      <c r="I267" s="62">
        <f>IF(C267="","",INPUT_SYSTEM!G281)</f>
        <v/>
      </c>
      <c r="J267" s="62">
        <f>IF(C267="","",INPUT_SYSTEM!H281)</f>
        <v/>
      </c>
      <c r="K267" s="60">
        <f>IF(C267="","",INPUT_SYSTEM!J281)</f>
        <v/>
      </c>
      <c r="L267" s="62">
        <f>IF(C267="","",INPUT_SYSTEM!K281)</f>
        <v/>
      </c>
      <c r="M267" s="62">
        <f>IF(C267="","",INPUT_SYSTEM!L281)</f>
        <v/>
      </c>
      <c r="N267" s="62">
        <f>IF(U267&lt;&gt;"SI","",IF(M267&lt;&gt;"",M267,IFERROR(I267*J267*(1+K267)*L267,"")))</f>
        <v/>
      </c>
      <c r="O267" s="62">
        <f>IF(N267="","",IF(OR(H267="",H267=0),N267,ROUNDUP(N267/H267,0)))</f>
        <v/>
      </c>
      <c r="P267" s="63">
        <f t="array" ref="P267">IFERROR(INDEX(PRODUCT!$I:$I,MATCH(C267,PRODUCT!$B:$B,0)),"")</f>
        <v/>
      </c>
      <c r="Q267" s="63">
        <f>IF(C267="","",INPUT_SYSTEM!M281)</f>
        <v/>
      </c>
      <c r="R267" s="63">
        <f>IF(P267="","",P267*(1+Q267))</f>
        <v/>
      </c>
      <c r="S267" s="63">
        <f>IF(O267="","",IF(OR(H267="",H267=0),O267*P267,O267*H267*P267))</f>
        <v/>
      </c>
      <c r="T267" s="63">
        <f>IF(O267="","",IF(OR(H267="",H267=0),O267*R267,O267*H267*R267))</f>
        <v/>
      </c>
      <c r="U267" s="62">
        <f>IF(C267="","",INPUT_SYSTEM!C281)</f>
        <v/>
      </c>
      <c r="V267" s="2" t="n"/>
    </row>
    <row r="268" ht="15.75" customHeight="1" s="125">
      <c r="A268" s="62">
        <f>IF(INPUT_SYSTEM!D282="","",INPUT_SYSTEM!A282)</f>
        <v/>
      </c>
      <c r="B268" s="62">
        <f>IF(INPUT_SYSTEM!D282="","",INPUT_SYSTEM!B282)</f>
        <v/>
      </c>
      <c r="C268" s="62">
        <f>IF(INPUT_SYSTEM!D282="","",INPUT_SYSTEM!D282)</f>
        <v/>
      </c>
      <c r="D268" s="62">
        <f>IF(C268="","",INPUT_SYSTEM!E282)</f>
        <v/>
      </c>
      <c r="E268" s="62">
        <f>IF(C268="","",INPUT_SYSTEM!F282)</f>
        <v/>
      </c>
      <c r="F268" s="62">
        <f t="array" ref="F268">IFERROR(INDEX(PRODUCT!$D:$D,MATCH(C268,PRODUCT!$B:$B,0)),"")</f>
        <v/>
      </c>
      <c r="G268" s="62">
        <f t="array" ref="G268">IFERROR(INDEX(PRODUCT!$E:$E,MATCH(C268,PRODUCT!$B:$B,0)),"")</f>
        <v/>
      </c>
      <c r="H268" s="62">
        <f t="array" ref="H268">IFERROR(INDEX(PRODUCT!$F:$F,MATCH(C268,PRODUCT!$B:$B,0)),"")</f>
        <v/>
      </c>
      <c r="I268" s="62">
        <f>IF(C268="","",INPUT_SYSTEM!G282)</f>
        <v/>
      </c>
      <c r="J268" s="62">
        <f>IF(C268="","",INPUT_SYSTEM!H282)</f>
        <v/>
      </c>
      <c r="K268" s="60">
        <f>IF(C268="","",INPUT_SYSTEM!J282)</f>
        <v/>
      </c>
      <c r="L268" s="62">
        <f>IF(C268="","",INPUT_SYSTEM!K282)</f>
        <v/>
      </c>
      <c r="M268" s="62">
        <f>IF(C268="","",INPUT_SYSTEM!L282)</f>
        <v/>
      </c>
      <c r="N268" s="62">
        <f>IF(U268&lt;&gt;"SI","",IF(M268&lt;&gt;"",M268,IFERROR(I268*J268*(1+K268)*L268,"")))</f>
        <v/>
      </c>
      <c r="O268" s="62">
        <f>IF(N268="","",IF(OR(H268="",H268=0),N268,ROUNDUP(N268/H268,0)))</f>
        <v/>
      </c>
      <c r="P268" s="63">
        <f t="array" ref="P268">IFERROR(INDEX(PRODUCT!$I:$I,MATCH(C268,PRODUCT!$B:$B,0)),"")</f>
        <v/>
      </c>
      <c r="Q268" s="63">
        <f>IF(C268="","",INPUT_SYSTEM!M282)</f>
        <v/>
      </c>
      <c r="R268" s="63">
        <f>IF(P268="","",P268*(1+Q268))</f>
        <v/>
      </c>
      <c r="S268" s="63">
        <f>IF(O268="","",IF(OR(H268="",H268=0),O268*P268,O268*H268*P268))</f>
        <v/>
      </c>
      <c r="T268" s="63">
        <f>IF(O268="","",IF(OR(H268="",H268=0),O268*R268,O268*H268*R268))</f>
        <v/>
      </c>
      <c r="U268" s="62">
        <f>IF(C268="","",INPUT_SYSTEM!C282)</f>
        <v/>
      </c>
      <c r="V268" s="2" t="n"/>
    </row>
    <row r="269" ht="15.75" customHeight="1" s="125">
      <c r="A269" s="62">
        <f>IF(INPUT_SYSTEM!D283="","",INPUT_SYSTEM!A283)</f>
        <v/>
      </c>
      <c r="B269" s="62">
        <f>IF(INPUT_SYSTEM!D283="","",INPUT_SYSTEM!B283)</f>
        <v/>
      </c>
      <c r="C269" s="62">
        <f>IF(INPUT_SYSTEM!D283="","",INPUT_SYSTEM!D283)</f>
        <v/>
      </c>
      <c r="D269" s="62">
        <f>IF(C269="","",INPUT_SYSTEM!E283)</f>
        <v/>
      </c>
      <c r="E269" s="62">
        <f>IF(C269="","",INPUT_SYSTEM!F283)</f>
        <v/>
      </c>
      <c r="F269" s="62">
        <f t="array" ref="F269">IFERROR(INDEX(PRODUCT!$D:$D,MATCH(C269,PRODUCT!$B:$B,0)),"")</f>
        <v/>
      </c>
      <c r="G269" s="62">
        <f t="array" ref="G269">IFERROR(INDEX(PRODUCT!$E:$E,MATCH(C269,PRODUCT!$B:$B,0)),"")</f>
        <v/>
      </c>
      <c r="H269" s="62">
        <f t="array" ref="H269">IFERROR(INDEX(PRODUCT!$F:$F,MATCH(C269,PRODUCT!$B:$B,0)),"")</f>
        <v/>
      </c>
      <c r="I269" s="62">
        <f>IF(C269="","",INPUT_SYSTEM!G283)</f>
        <v/>
      </c>
      <c r="J269" s="62">
        <f>IF(C269="","",INPUT_SYSTEM!H283)</f>
        <v/>
      </c>
      <c r="K269" s="60">
        <f>IF(C269="","",INPUT_SYSTEM!J283)</f>
        <v/>
      </c>
      <c r="L269" s="62">
        <f>IF(C269="","",INPUT_SYSTEM!K283)</f>
        <v/>
      </c>
      <c r="M269" s="62">
        <f>IF(C269="","",INPUT_SYSTEM!L283)</f>
        <v/>
      </c>
      <c r="N269" s="62">
        <f>IF(U269&lt;&gt;"SI","",IF(M269&lt;&gt;"",M269,IFERROR(I269*J269*(1+K269)*L269,"")))</f>
        <v/>
      </c>
      <c r="O269" s="62">
        <f>IF(N269="","",IF(OR(H269="",H269=0),N269,ROUNDUP(N269/H269,0)))</f>
        <v/>
      </c>
      <c r="P269" s="63">
        <f t="array" ref="P269">IFERROR(INDEX(PRODUCT!$I:$I,MATCH(C269,PRODUCT!$B:$B,0)),"")</f>
        <v/>
      </c>
      <c r="Q269" s="63">
        <f>IF(C269="","",INPUT_SYSTEM!M283)</f>
        <v/>
      </c>
      <c r="R269" s="63">
        <f>IF(P269="","",P269*(1+Q269))</f>
        <v/>
      </c>
      <c r="S269" s="63">
        <f>IF(O269="","",IF(OR(H269="",H269=0),O269*P269,O269*H269*P269))</f>
        <v/>
      </c>
      <c r="T269" s="63">
        <f>IF(O269="","",IF(OR(H269="",H269=0),O269*R269,O269*H269*R269))</f>
        <v/>
      </c>
      <c r="U269" s="62">
        <f>IF(C269="","",INPUT_SYSTEM!C283)</f>
        <v/>
      </c>
      <c r="V269" s="2" t="n"/>
    </row>
    <row r="270" ht="15.75" customHeight="1" s="125">
      <c r="A270" s="62">
        <f>IF(INPUT_SYSTEM!D284="","",INPUT_SYSTEM!A284)</f>
        <v/>
      </c>
      <c r="B270" s="62">
        <f>IF(INPUT_SYSTEM!D284="","",INPUT_SYSTEM!B284)</f>
        <v/>
      </c>
      <c r="C270" s="62">
        <f>IF(INPUT_SYSTEM!D284="","",INPUT_SYSTEM!D284)</f>
        <v/>
      </c>
      <c r="D270" s="62">
        <f>IF(C270="","",INPUT_SYSTEM!E284)</f>
        <v/>
      </c>
      <c r="E270" s="62">
        <f>IF(C270="","",INPUT_SYSTEM!F284)</f>
        <v/>
      </c>
      <c r="F270" s="62">
        <f t="array" ref="F270">IFERROR(INDEX(PRODUCT!$D:$D,MATCH(C270,PRODUCT!$B:$B,0)),"")</f>
        <v/>
      </c>
      <c r="G270" s="62">
        <f t="array" ref="G270">IFERROR(INDEX(PRODUCT!$E:$E,MATCH(C270,PRODUCT!$B:$B,0)),"")</f>
        <v/>
      </c>
      <c r="H270" s="62">
        <f t="array" ref="H270">IFERROR(INDEX(PRODUCT!$F:$F,MATCH(C270,PRODUCT!$B:$B,0)),"")</f>
        <v/>
      </c>
      <c r="I270" s="62">
        <f>IF(C270="","",INPUT_SYSTEM!G284)</f>
        <v/>
      </c>
      <c r="J270" s="62">
        <f>IF(C270="","",INPUT_SYSTEM!H284)</f>
        <v/>
      </c>
      <c r="K270" s="60">
        <f>IF(C270="","",INPUT_SYSTEM!J284)</f>
        <v/>
      </c>
      <c r="L270" s="62">
        <f>IF(C270="","",INPUT_SYSTEM!K284)</f>
        <v/>
      </c>
      <c r="M270" s="62">
        <f>IF(C270="","",INPUT_SYSTEM!L284)</f>
        <v/>
      </c>
      <c r="N270" s="62">
        <f>IF(U270&lt;&gt;"SI","",IF(M270&lt;&gt;"",M270,IFERROR(I270*J270*(1+K270)*L270,"")))</f>
        <v/>
      </c>
      <c r="O270" s="62">
        <f>IF(N270="","",IF(OR(H270="",H270=0),N270,ROUNDUP(N270/H270,0)))</f>
        <v/>
      </c>
      <c r="P270" s="63">
        <f t="array" ref="P270">IFERROR(INDEX(PRODUCT!$I:$I,MATCH(C270,PRODUCT!$B:$B,0)),"")</f>
        <v/>
      </c>
      <c r="Q270" s="63">
        <f>IF(C270="","",INPUT_SYSTEM!M284)</f>
        <v/>
      </c>
      <c r="R270" s="63">
        <f>IF(P270="","",P270*(1+Q270))</f>
        <v/>
      </c>
      <c r="S270" s="63">
        <f>IF(O270="","",IF(OR(H270="",H270=0),O270*P270,O270*H270*P270))</f>
        <v/>
      </c>
      <c r="T270" s="63">
        <f>IF(O270="","",IF(OR(H270="",H270=0),O270*R270,O270*H270*R270))</f>
        <v/>
      </c>
      <c r="U270" s="62">
        <f>IF(C270="","",INPUT_SYSTEM!C284)</f>
        <v/>
      </c>
      <c r="V270" s="2" t="n"/>
    </row>
    <row r="271" ht="15.75" customHeight="1" s="125">
      <c r="A271" s="62">
        <f>IF(INPUT_SYSTEM!D285="","",INPUT_SYSTEM!A285)</f>
        <v/>
      </c>
      <c r="B271" s="62">
        <f>IF(INPUT_SYSTEM!D285="","",INPUT_SYSTEM!B285)</f>
        <v/>
      </c>
      <c r="C271" s="62">
        <f>IF(INPUT_SYSTEM!D285="","",INPUT_SYSTEM!D285)</f>
        <v/>
      </c>
      <c r="D271" s="62">
        <f>IF(C271="","",INPUT_SYSTEM!E285)</f>
        <v/>
      </c>
      <c r="E271" s="62">
        <f>IF(C271="","",INPUT_SYSTEM!F285)</f>
        <v/>
      </c>
      <c r="F271" s="62">
        <f t="array" ref="F271">IFERROR(INDEX(PRODUCT!$D:$D,MATCH(C271,PRODUCT!$B:$B,0)),"")</f>
        <v/>
      </c>
      <c r="G271" s="62">
        <f t="array" ref="G271">IFERROR(INDEX(PRODUCT!$E:$E,MATCH(C271,PRODUCT!$B:$B,0)),"")</f>
        <v/>
      </c>
      <c r="H271" s="62">
        <f t="array" ref="H271">IFERROR(INDEX(PRODUCT!$F:$F,MATCH(C271,PRODUCT!$B:$B,0)),"")</f>
        <v/>
      </c>
      <c r="I271" s="62">
        <f>IF(C271="","",INPUT_SYSTEM!G285)</f>
        <v/>
      </c>
      <c r="J271" s="62">
        <f>IF(C271="","",INPUT_SYSTEM!H285)</f>
        <v/>
      </c>
      <c r="K271" s="60">
        <f>IF(C271="","",INPUT_SYSTEM!J285)</f>
        <v/>
      </c>
      <c r="L271" s="62">
        <f>IF(C271="","",INPUT_SYSTEM!K285)</f>
        <v/>
      </c>
      <c r="M271" s="62">
        <f>IF(C271="","",INPUT_SYSTEM!L285)</f>
        <v/>
      </c>
      <c r="N271" s="62">
        <f>IF(U271&lt;&gt;"SI","",IF(M271&lt;&gt;"",M271,IFERROR(I271*J271*(1+K271)*L271,"")))</f>
        <v/>
      </c>
      <c r="O271" s="62">
        <f>IF(N271="","",IF(OR(H271="",H271=0),N271,ROUNDUP(N271/H271,0)))</f>
        <v/>
      </c>
      <c r="P271" s="63">
        <f t="array" ref="P271">IFERROR(INDEX(PRODUCT!$I:$I,MATCH(C271,PRODUCT!$B:$B,0)),"")</f>
        <v/>
      </c>
      <c r="Q271" s="63">
        <f>IF(C271="","",INPUT_SYSTEM!M285)</f>
        <v/>
      </c>
      <c r="R271" s="63">
        <f>IF(P271="","",P271*(1+Q271))</f>
        <v/>
      </c>
      <c r="S271" s="63">
        <f>IF(O271="","",IF(OR(H271="",H271=0),O271*P271,O271*H271*P271))</f>
        <v/>
      </c>
      <c r="T271" s="63">
        <f>IF(O271="","",IF(OR(H271="",H271=0),O271*R271,O271*H271*R271))</f>
        <v/>
      </c>
      <c r="U271" s="62">
        <f>IF(C271="","",INPUT_SYSTEM!C285)</f>
        <v/>
      </c>
      <c r="V271" s="2" t="n"/>
    </row>
    <row r="272" ht="15.75" customHeight="1" s="125">
      <c r="A272" s="62">
        <f>IF(INPUT_SYSTEM!D286="","",INPUT_SYSTEM!A286)</f>
        <v/>
      </c>
      <c r="B272" s="62">
        <f>IF(INPUT_SYSTEM!D286="","",INPUT_SYSTEM!B286)</f>
        <v/>
      </c>
      <c r="C272" s="62">
        <f>IF(INPUT_SYSTEM!D286="","",INPUT_SYSTEM!D286)</f>
        <v/>
      </c>
      <c r="D272" s="62">
        <f>IF(C272="","",INPUT_SYSTEM!E286)</f>
        <v/>
      </c>
      <c r="E272" s="62">
        <f>IF(C272="","",INPUT_SYSTEM!F286)</f>
        <v/>
      </c>
      <c r="F272" s="62">
        <f t="array" ref="F272">IFERROR(INDEX(PRODUCT!$D:$D,MATCH(C272,PRODUCT!$B:$B,0)),"")</f>
        <v/>
      </c>
      <c r="G272" s="62">
        <f t="array" ref="G272">IFERROR(INDEX(PRODUCT!$E:$E,MATCH(C272,PRODUCT!$B:$B,0)),"")</f>
        <v/>
      </c>
      <c r="H272" s="62">
        <f t="array" ref="H272">IFERROR(INDEX(PRODUCT!$F:$F,MATCH(C272,PRODUCT!$B:$B,0)),"")</f>
        <v/>
      </c>
      <c r="I272" s="62">
        <f>IF(C272="","",INPUT_SYSTEM!G286)</f>
        <v/>
      </c>
      <c r="J272" s="62">
        <f>IF(C272="","",INPUT_SYSTEM!H286)</f>
        <v/>
      </c>
      <c r="K272" s="60">
        <f>IF(C272="","",INPUT_SYSTEM!J286)</f>
        <v/>
      </c>
      <c r="L272" s="62">
        <f>IF(C272="","",INPUT_SYSTEM!K286)</f>
        <v/>
      </c>
      <c r="M272" s="62">
        <f>IF(C272="","",INPUT_SYSTEM!L286)</f>
        <v/>
      </c>
      <c r="N272" s="62">
        <f>IF(U272&lt;&gt;"SI","",IF(M272&lt;&gt;"",M272,IFERROR(I272*J272*(1+K272)*L272,"")))</f>
        <v/>
      </c>
      <c r="O272" s="62">
        <f>IF(N272="","",IF(OR(H272="",H272=0),N272,ROUNDUP(N272/H272,0)))</f>
        <v/>
      </c>
      <c r="P272" s="63">
        <f t="array" ref="P272">IFERROR(INDEX(PRODUCT!$I:$I,MATCH(C272,PRODUCT!$B:$B,0)),"")</f>
        <v/>
      </c>
      <c r="Q272" s="63">
        <f>IF(C272="","",INPUT_SYSTEM!M286)</f>
        <v/>
      </c>
      <c r="R272" s="63">
        <f>IF(P272="","",P272*(1+Q272))</f>
        <v/>
      </c>
      <c r="S272" s="63">
        <f>IF(O272="","",IF(OR(H272="",H272=0),O272*P272,O272*H272*P272))</f>
        <v/>
      </c>
      <c r="T272" s="63">
        <f>IF(O272="","",IF(OR(H272="",H272=0),O272*R272,O272*H272*R272))</f>
        <v/>
      </c>
      <c r="U272" s="62">
        <f>IF(C272="","",INPUT_SYSTEM!C286)</f>
        <v/>
      </c>
      <c r="V272" s="2" t="n"/>
    </row>
    <row r="273" ht="15.75" customHeight="1" s="125">
      <c r="A273" s="62">
        <f>IF(INPUT_SYSTEM!D287="","",INPUT_SYSTEM!A287)</f>
        <v/>
      </c>
      <c r="B273" s="62">
        <f>IF(INPUT_SYSTEM!D287="","",INPUT_SYSTEM!B287)</f>
        <v/>
      </c>
      <c r="C273" s="62">
        <f>IF(INPUT_SYSTEM!D287="","",INPUT_SYSTEM!D287)</f>
        <v/>
      </c>
      <c r="D273" s="62">
        <f>IF(C273="","",INPUT_SYSTEM!E287)</f>
        <v/>
      </c>
      <c r="E273" s="62">
        <f>IF(C273="","",INPUT_SYSTEM!F287)</f>
        <v/>
      </c>
      <c r="F273" s="62">
        <f t="array" ref="F273">IFERROR(INDEX(PRODUCT!$D:$D,MATCH(C273,PRODUCT!$B:$B,0)),"")</f>
        <v/>
      </c>
      <c r="G273" s="62">
        <f t="array" ref="G273">IFERROR(INDEX(PRODUCT!$E:$E,MATCH(C273,PRODUCT!$B:$B,0)),"")</f>
        <v/>
      </c>
      <c r="H273" s="62">
        <f t="array" ref="H273">IFERROR(INDEX(PRODUCT!$F:$F,MATCH(C273,PRODUCT!$B:$B,0)),"")</f>
        <v/>
      </c>
      <c r="I273" s="62">
        <f>IF(C273="","",INPUT_SYSTEM!G287)</f>
        <v/>
      </c>
      <c r="J273" s="62">
        <f>IF(C273="","",INPUT_SYSTEM!H287)</f>
        <v/>
      </c>
      <c r="K273" s="60">
        <f>IF(C273="","",INPUT_SYSTEM!J287)</f>
        <v/>
      </c>
      <c r="L273" s="62">
        <f>IF(C273="","",INPUT_SYSTEM!K287)</f>
        <v/>
      </c>
      <c r="M273" s="62">
        <f>IF(C273="","",INPUT_SYSTEM!L287)</f>
        <v/>
      </c>
      <c r="N273" s="62">
        <f>IF(U273&lt;&gt;"SI","",IF(M273&lt;&gt;"",M273,IFERROR(I273*J273*(1+K273)*L273,"")))</f>
        <v/>
      </c>
      <c r="O273" s="62">
        <f>IF(N273="","",IF(OR(H273="",H273=0),N273,ROUNDUP(N273/H273,0)))</f>
        <v/>
      </c>
      <c r="P273" s="63">
        <f t="array" ref="P273">IFERROR(INDEX(PRODUCT!$I:$I,MATCH(C273,PRODUCT!$B:$B,0)),"")</f>
        <v/>
      </c>
      <c r="Q273" s="63">
        <f>IF(C273="","",INPUT_SYSTEM!M287)</f>
        <v/>
      </c>
      <c r="R273" s="63">
        <f>IF(P273="","",P273*(1+Q273))</f>
        <v/>
      </c>
      <c r="S273" s="63">
        <f>IF(O273="","",IF(OR(H273="",H273=0),O273*P273,O273*H273*P273))</f>
        <v/>
      </c>
      <c r="T273" s="63">
        <f>IF(O273="","",IF(OR(H273="",H273=0),O273*R273,O273*H273*R273))</f>
        <v/>
      </c>
      <c r="U273" s="62">
        <f>IF(C273="","",INPUT_SYSTEM!C287)</f>
        <v/>
      </c>
      <c r="V273" s="2" t="n"/>
    </row>
    <row r="274" ht="15.75" customHeight="1" s="125">
      <c r="A274" s="62">
        <f>IF(INPUT_SYSTEM!D288="","",INPUT_SYSTEM!A288)</f>
        <v/>
      </c>
      <c r="B274" s="62">
        <f>IF(INPUT_SYSTEM!D288="","",INPUT_SYSTEM!B288)</f>
        <v/>
      </c>
      <c r="C274" s="62">
        <f>IF(INPUT_SYSTEM!D288="","",INPUT_SYSTEM!D288)</f>
        <v/>
      </c>
      <c r="D274" s="62">
        <f>IF(C274="","",INPUT_SYSTEM!E288)</f>
        <v/>
      </c>
      <c r="E274" s="62">
        <f>IF(C274="","",INPUT_SYSTEM!F288)</f>
        <v/>
      </c>
      <c r="F274" s="62">
        <f t="array" ref="F274">IFERROR(INDEX(PRODUCT!$D:$D,MATCH(C274,PRODUCT!$B:$B,0)),"")</f>
        <v/>
      </c>
      <c r="G274" s="62">
        <f t="array" ref="G274">IFERROR(INDEX(PRODUCT!$E:$E,MATCH(C274,PRODUCT!$B:$B,0)),"")</f>
        <v/>
      </c>
      <c r="H274" s="62">
        <f t="array" ref="H274">IFERROR(INDEX(PRODUCT!$F:$F,MATCH(C274,PRODUCT!$B:$B,0)),"")</f>
        <v/>
      </c>
      <c r="I274" s="62">
        <f>IF(C274="","",INPUT_SYSTEM!G288)</f>
        <v/>
      </c>
      <c r="J274" s="62">
        <f>IF(C274="","",INPUT_SYSTEM!H288)</f>
        <v/>
      </c>
      <c r="K274" s="60">
        <f>IF(C274="","",INPUT_SYSTEM!J288)</f>
        <v/>
      </c>
      <c r="L274" s="62">
        <f>IF(C274="","",INPUT_SYSTEM!K288)</f>
        <v/>
      </c>
      <c r="M274" s="62">
        <f>IF(C274="","",INPUT_SYSTEM!L288)</f>
        <v/>
      </c>
      <c r="N274" s="62">
        <f>IF(U274&lt;&gt;"SI","",IF(M274&lt;&gt;"",M274,IFERROR(I274*J274*(1+K274)*L274,"")))</f>
        <v/>
      </c>
      <c r="O274" s="62">
        <f>IF(N274="","",IF(OR(H274="",H274=0),N274,ROUNDUP(N274/H274,0)))</f>
        <v/>
      </c>
      <c r="P274" s="63">
        <f t="array" ref="P274">IFERROR(INDEX(PRODUCT!$I:$I,MATCH(C274,PRODUCT!$B:$B,0)),"")</f>
        <v/>
      </c>
      <c r="Q274" s="63">
        <f>IF(C274="","",INPUT_SYSTEM!M288)</f>
        <v/>
      </c>
      <c r="R274" s="63">
        <f>IF(P274="","",P274*(1+Q274))</f>
        <v/>
      </c>
      <c r="S274" s="63">
        <f>IF(O274="","",IF(OR(H274="",H274=0),O274*P274,O274*H274*P274))</f>
        <v/>
      </c>
      <c r="T274" s="63">
        <f>IF(O274="","",IF(OR(H274="",H274=0),O274*R274,O274*H274*R274))</f>
        <v/>
      </c>
      <c r="U274" s="62">
        <f>IF(C274="","",INPUT_SYSTEM!C288)</f>
        <v/>
      </c>
      <c r="V274" s="2" t="n"/>
    </row>
    <row r="275" ht="15.75" customHeight="1" s="125">
      <c r="A275" s="62">
        <f>IF(INPUT_SYSTEM!D289="","",INPUT_SYSTEM!A289)</f>
        <v/>
      </c>
      <c r="B275" s="62">
        <f>IF(INPUT_SYSTEM!D289="","",INPUT_SYSTEM!B289)</f>
        <v/>
      </c>
      <c r="C275" s="62">
        <f>IF(INPUT_SYSTEM!D289="","",INPUT_SYSTEM!D289)</f>
        <v/>
      </c>
      <c r="D275" s="62">
        <f>IF(C275="","",INPUT_SYSTEM!E289)</f>
        <v/>
      </c>
      <c r="E275" s="62">
        <f>IF(C275="","",INPUT_SYSTEM!F289)</f>
        <v/>
      </c>
      <c r="F275" s="62">
        <f t="array" ref="F275">IFERROR(INDEX(PRODUCT!$D:$D,MATCH(C275,PRODUCT!$B:$B,0)),"")</f>
        <v/>
      </c>
      <c r="G275" s="62">
        <f t="array" ref="G275">IFERROR(INDEX(PRODUCT!$E:$E,MATCH(C275,PRODUCT!$B:$B,0)),"")</f>
        <v/>
      </c>
      <c r="H275" s="62">
        <f t="array" ref="H275">IFERROR(INDEX(PRODUCT!$F:$F,MATCH(C275,PRODUCT!$B:$B,0)),"")</f>
        <v/>
      </c>
      <c r="I275" s="62">
        <f>IF(C275="","",INPUT_SYSTEM!G289)</f>
        <v/>
      </c>
      <c r="J275" s="62">
        <f>IF(C275="","",INPUT_SYSTEM!H289)</f>
        <v/>
      </c>
      <c r="K275" s="60">
        <f>IF(C275="","",INPUT_SYSTEM!J289)</f>
        <v/>
      </c>
      <c r="L275" s="62">
        <f>IF(C275="","",INPUT_SYSTEM!K289)</f>
        <v/>
      </c>
      <c r="M275" s="62">
        <f>IF(C275="","",INPUT_SYSTEM!L289)</f>
        <v/>
      </c>
      <c r="N275" s="62">
        <f>IF(U275&lt;&gt;"SI","",IF(M275&lt;&gt;"",M275,IFERROR(I275*J275*(1+K275)*L275,"")))</f>
        <v/>
      </c>
      <c r="O275" s="62">
        <f>IF(N275="","",IF(OR(H275="",H275=0),N275,ROUNDUP(N275/H275,0)))</f>
        <v/>
      </c>
      <c r="P275" s="63">
        <f t="array" ref="P275">IFERROR(INDEX(PRODUCT!$I:$I,MATCH(C275,PRODUCT!$B:$B,0)),"")</f>
        <v/>
      </c>
      <c r="Q275" s="63">
        <f>IF(C275="","",INPUT_SYSTEM!M289)</f>
        <v/>
      </c>
      <c r="R275" s="63">
        <f>IF(P275="","",P275*(1+Q275))</f>
        <v/>
      </c>
      <c r="S275" s="63">
        <f>IF(O275="","",IF(OR(H275="",H275=0),O275*P275,O275*H275*P275))</f>
        <v/>
      </c>
      <c r="T275" s="63">
        <f>IF(O275="","",IF(OR(H275="",H275=0),O275*R275,O275*H275*R275))</f>
        <v/>
      </c>
      <c r="U275" s="62">
        <f>IF(C275="","",INPUT_SYSTEM!C289)</f>
        <v/>
      </c>
      <c r="V275" s="2" t="n"/>
    </row>
    <row r="276" ht="15.75" customHeight="1" s="125">
      <c r="A276" s="62">
        <f>IF(INPUT_SYSTEM!D290="","",INPUT_SYSTEM!A290)</f>
        <v/>
      </c>
      <c r="B276" s="62">
        <f>IF(INPUT_SYSTEM!D290="","",INPUT_SYSTEM!B290)</f>
        <v/>
      </c>
      <c r="C276" s="62">
        <f>IF(INPUT_SYSTEM!D290="","",INPUT_SYSTEM!D290)</f>
        <v/>
      </c>
      <c r="D276" s="62">
        <f>IF(C276="","",INPUT_SYSTEM!E290)</f>
        <v/>
      </c>
      <c r="E276" s="62">
        <f>IF(C276="","",INPUT_SYSTEM!F290)</f>
        <v/>
      </c>
      <c r="F276" s="62">
        <f t="array" ref="F276">IFERROR(INDEX(PRODUCT!$D:$D,MATCH(C276,PRODUCT!$B:$B,0)),"")</f>
        <v/>
      </c>
      <c r="G276" s="62">
        <f t="array" ref="G276">IFERROR(INDEX(PRODUCT!$E:$E,MATCH(C276,PRODUCT!$B:$B,0)),"")</f>
        <v/>
      </c>
      <c r="H276" s="62">
        <f t="array" ref="H276">IFERROR(INDEX(PRODUCT!$F:$F,MATCH(C276,PRODUCT!$B:$B,0)),"")</f>
        <v/>
      </c>
      <c r="I276" s="62">
        <f>IF(C276="","",INPUT_SYSTEM!G290)</f>
        <v/>
      </c>
      <c r="J276" s="62">
        <f>IF(C276="","",INPUT_SYSTEM!H290)</f>
        <v/>
      </c>
      <c r="K276" s="60">
        <f>IF(C276="","",INPUT_SYSTEM!J290)</f>
        <v/>
      </c>
      <c r="L276" s="62">
        <f>IF(C276="","",INPUT_SYSTEM!K290)</f>
        <v/>
      </c>
      <c r="M276" s="62">
        <f>IF(C276="","",INPUT_SYSTEM!L290)</f>
        <v/>
      </c>
      <c r="N276" s="62">
        <f>IF(U276&lt;&gt;"SI","",IF(M276&lt;&gt;"",M276,IFERROR(I276*J276*(1+K276)*L276,"")))</f>
        <v/>
      </c>
      <c r="O276" s="62">
        <f>IF(N276="","",IF(OR(H276="",H276=0),N276,ROUNDUP(N276/H276,0)))</f>
        <v/>
      </c>
      <c r="P276" s="63">
        <f t="array" ref="P276">IFERROR(INDEX(PRODUCT!$I:$I,MATCH(C276,PRODUCT!$B:$B,0)),"")</f>
        <v/>
      </c>
      <c r="Q276" s="63">
        <f>IF(C276="","",INPUT_SYSTEM!M290)</f>
        <v/>
      </c>
      <c r="R276" s="63">
        <f>IF(P276="","",P276*(1+Q276))</f>
        <v/>
      </c>
      <c r="S276" s="63">
        <f>IF(O276="","",IF(OR(H276="",H276=0),O276*P276,O276*H276*P276))</f>
        <v/>
      </c>
      <c r="T276" s="63">
        <f>IF(O276="","",IF(OR(H276="",H276=0),O276*R276,O276*H276*R276))</f>
        <v/>
      </c>
      <c r="U276" s="62">
        <f>IF(C276="","",INPUT_SYSTEM!C290)</f>
        <v/>
      </c>
      <c r="V276" s="2" t="n"/>
    </row>
    <row r="277" ht="15.75" customHeight="1" s="125">
      <c r="A277" s="62">
        <f>IF(INPUT_SYSTEM!D291="","",INPUT_SYSTEM!A291)</f>
        <v/>
      </c>
      <c r="B277" s="62">
        <f>IF(INPUT_SYSTEM!D291="","",INPUT_SYSTEM!B291)</f>
        <v/>
      </c>
      <c r="C277" s="62">
        <f>IF(INPUT_SYSTEM!D291="","",INPUT_SYSTEM!D291)</f>
        <v/>
      </c>
      <c r="D277" s="62">
        <f>IF(C277="","",INPUT_SYSTEM!E291)</f>
        <v/>
      </c>
      <c r="E277" s="62">
        <f>IF(C277="","",INPUT_SYSTEM!F291)</f>
        <v/>
      </c>
      <c r="F277" s="62">
        <f t="array" ref="F277">IFERROR(INDEX(PRODUCT!$D:$D,MATCH(C277,PRODUCT!$B:$B,0)),"")</f>
        <v/>
      </c>
      <c r="G277" s="62">
        <f t="array" ref="G277">IFERROR(INDEX(PRODUCT!$E:$E,MATCH(C277,PRODUCT!$B:$B,0)),"")</f>
        <v/>
      </c>
      <c r="H277" s="62">
        <f t="array" ref="H277">IFERROR(INDEX(PRODUCT!$F:$F,MATCH(C277,PRODUCT!$B:$B,0)),"")</f>
        <v/>
      </c>
      <c r="I277" s="62">
        <f>IF(C277="","",INPUT_SYSTEM!G291)</f>
        <v/>
      </c>
      <c r="J277" s="62">
        <f>IF(C277="","",INPUT_SYSTEM!H291)</f>
        <v/>
      </c>
      <c r="K277" s="60">
        <f>IF(C277="","",INPUT_SYSTEM!J291)</f>
        <v/>
      </c>
      <c r="L277" s="62">
        <f>IF(C277="","",INPUT_SYSTEM!K291)</f>
        <v/>
      </c>
      <c r="M277" s="62">
        <f>IF(C277="","",INPUT_SYSTEM!L291)</f>
        <v/>
      </c>
      <c r="N277" s="62">
        <f>IF(U277&lt;&gt;"SI","",IF(M277&lt;&gt;"",M277,IFERROR(I277*J277*(1+K277)*L277,"")))</f>
        <v/>
      </c>
      <c r="O277" s="62">
        <f>IF(N277="","",IF(OR(H277="",H277=0),N277,ROUNDUP(N277/H277,0)))</f>
        <v/>
      </c>
      <c r="P277" s="63">
        <f t="array" ref="P277">IFERROR(INDEX(PRODUCT!$I:$I,MATCH(C277,PRODUCT!$B:$B,0)),"")</f>
        <v/>
      </c>
      <c r="Q277" s="63">
        <f>IF(C277="","",INPUT_SYSTEM!M291)</f>
        <v/>
      </c>
      <c r="R277" s="63">
        <f>IF(P277="","",P277*(1+Q277))</f>
        <v/>
      </c>
      <c r="S277" s="63">
        <f>IF(O277="","",IF(OR(H277="",H277=0),O277*P277,O277*H277*P277))</f>
        <v/>
      </c>
      <c r="T277" s="63">
        <f>IF(O277="","",IF(OR(H277="",H277=0),O277*R277,O277*H277*R277))</f>
        <v/>
      </c>
      <c r="U277" s="62">
        <f>IF(C277="","",INPUT_SYSTEM!C291)</f>
        <v/>
      </c>
      <c r="V277" s="2" t="n"/>
    </row>
    <row r="278" ht="15.75" customHeight="1" s="125">
      <c r="A278" s="62">
        <f>IF(INPUT_SYSTEM!D292="","",INPUT_SYSTEM!A292)</f>
        <v/>
      </c>
      <c r="B278" s="62">
        <f>IF(INPUT_SYSTEM!D292="","",INPUT_SYSTEM!B292)</f>
        <v/>
      </c>
      <c r="C278" s="62">
        <f>IF(INPUT_SYSTEM!D292="","",INPUT_SYSTEM!D292)</f>
        <v/>
      </c>
      <c r="D278" s="62">
        <f>IF(C278="","",INPUT_SYSTEM!E292)</f>
        <v/>
      </c>
      <c r="E278" s="62">
        <f>IF(C278="","",INPUT_SYSTEM!F292)</f>
        <v/>
      </c>
      <c r="F278" s="62">
        <f t="array" ref="F278">IFERROR(INDEX(PRODUCT!$D:$D,MATCH(C278,PRODUCT!$B:$B,0)),"")</f>
        <v/>
      </c>
      <c r="G278" s="62">
        <f t="array" ref="G278">IFERROR(INDEX(PRODUCT!$E:$E,MATCH(C278,PRODUCT!$B:$B,0)),"")</f>
        <v/>
      </c>
      <c r="H278" s="62">
        <f t="array" ref="H278">IFERROR(INDEX(PRODUCT!$F:$F,MATCH(C278,PRODUCT!$B:$B,0)),"")</f>
        <v/>
      </c>
      <c r="I278" s="62">
        <f>IF(C278="","",INPUT_SYSTEM!G292)</f>
        <v/>
      </c>
      <c r="J278" s="62">
        <f>IF(C278="","",INPUT_SYSTEM!H292)</f>
        <v/>
      </c>
      <c r="K278" s="60">
        <f>IF(C278="","",INPUT_SYSTEM!J292)</f>
        <v/>
      </c>
      <c r="L278" s="62">
        <f>IF(C278="","",INPUT_SYSTEM!K292)</f>
        <v/>
      </c>
      <c r="M278" s="62">
        <f>IF(C278="","",INPUT_SYSTEM!L292)</f>
        <v/>
      </c>
      <c r="N278" s="62">
        <f>IF(U278&lt;&gt;"SI","",IF(M278&lt;&gt;"",M278,IFERROR(I278*J278*(1+K278)*L278,"")))</f>
        <v/>
      </c>
      <c r="O278" s="62">
        <f>IF(N278="","",IF(OR(H278="",H278=0),N278,ROUNDUP(N278/H278,0)))</f>
        <v/>
      </c>
      <c r="P278" s="63">
        <f t="array" ref="P278">IFERROR(INDEX(PRODUCT!$I:$I,MATCH(C278,PRODUCT!$B:$B,0)),"")</f>
        <v/>
      </c>
      <c r="Q278" s="63">
        <f>IF(C278="","",INPUT_SYSTEM!M292)</f>
        <v/>
      </c>
      <c r="R278" s="63">
        <f>IF(P278="","",P278*(1+Q278))</f>
        <v/>
      </c>
      <c r="S278" s="63">
        <f>IF(O278="","",IF(OR(H278="",H278=0),O278*P278,O278*H278*P278))</f>
        <v/>
      </c>
      <c r="T278" s="63">
        <f>IF(O278="","",IF(OR(H278="",H278=0),O278*R278,O278*H278*R278))</f>
        <v/>
      </c>
      <c r="U278" s="62">
        <f>IF(C278="","",INPUT_SYSTEM!C292)</f>
        <v/>
      </c>
      <c r="V278" s="2" t="n"/>
    </row>
    <row r="279" ht="15.75" customHeight="1" s="125">
      <c r="A279" s="62">
        <f>IF(INPUT_SYSTEM!D293="","",INPUT_SYSTEM!A293)</f>
        <v/>
      </c>
      <c r="B279" s="62">
        <f>IF(INPUT_SYSTEM!D293="","",INPUT_SYSTEM!B293)</f>
        <v/>
      </c>
      <c r="C279" s="62">
        <f>IF(INPUT_SYSTEM!D293="","",INPUT_SYSTEM!D293)</f>
        <v/>
      </c>
      <c r="D279" s="62">
        <f>IF(C279="","",INPUT_SYSTEM!E293)</f>
        <v/>
      </c>
      <c r="E279" s="62">
        <f>IF(C279="","",INPUT_SYSTEM!F293)</f>
        <v/>
      </c>
      <c r="F279" s="62">
        <f t="array" ref="F279">IFERROR(INDEX(PRODUCT!$D:$D,MATCH(C279,PRODUCT!$B:$B,0)),"")</f>
        <v/>
      </c>
      <c r="G279" s="62">
        <f t="array" ref="G279">IFERROR(INDEX(PRODUCT!$E:$E,MATCH(C279,PRODUCT!$B:$B,0)),"")</f>
        <v/>
      </c>
      <c r="H279" s="62">
        <f t="array" ref="H279">IFERROR(INDEX(PRODUCT!$F:$F,MATCH(C279,PRODUCT!$B:$B,0)),"")</f>
        <v/>
      </c>
      <c r="I279" s="62">
        <f>IF(C279="","",INPUT_SYSTEM!G293)</f>
        <v/>
      </c>
      <c r="J279" s="62">
        <f>IF(C279="","",INPUT_SYSTEM!H293)</f>
        <v/>
      </c>
      <c r="K279" s="60">
        <f>IF(C279="","",INPUT_SYSTEM!J293)</f>
        <v/>
      </c>
      <c r="L279" s="62">
        <f>IF(C279="","",INPUT_SYSTEM!K293)</f>
        <v/>
      </c>
      <c r="M279" s="62">
        <f>IF(C279="","",INPUT_SYSTEM!L293)</f>
        <v/>
      </c>
      <c r="N279" s="62">
        <f>IF(U279&lt;&gt;"SI","",IF(M279&lt;&gt;"",M279,IFERROR(I279*J279*(1+K279)*L279,"")))</f>
        <v/>
      </c>
      <c r="O279" s="62">
        <f>IF(N279="","",IF(OR(H279="",H279=0),N279,ROUNDUP(N279/H279,0)))</f>
        <v/>
      </c>
      <c r="P279" s="63">
        <f t="array" ref="P279">IFERROR(INDEX(PRODUCT!$I:$I,MATCH(C279,PRODUCT!$B:$B,0)),"")</f>
        <v/>
      </c>
      <c r="Q279" s="63">
        <f>IF(C279="","",INPUT_SYSTEM!M293)</f>
        <v/>
      </c>
      <c r="R279" s="63">
        <f>IF(P279="","",P279*(1+Q279))</f>
        <v/>
      </c>
      <c r="S279" s="63">
        <f>IF(O279="","",IF(OR(H279="",H279=0),O279*P279,O279*H279*P279))</f>
        <v/>
      </c>
      <c r="T279" s="63">
        <f>IF(O279="","",IF(OR(H279="",H279=0),O279*R279,O279*H279*R279))</f>
        <v/>
      </c>
      <c r="U279" s="62">
        <f>IF(C279="","",INPUT_SYSTEM!C293)</f>
        <v/>
      </c>
      <c r="V279" s="2" t="n"/>
    </row>
    <row r="280" ht="15.75" customHeight="1" s="125">
      <c r="A280" s="62">
        <f>IF(INPUT_SYSTEM!D294="","",INPUT_SYSTEM!A294)</f>
        <v/>
      </c>
      <c r="B280" s="62">
        <f>IF(INPUT_SYSTEM!D294="","",INPUT_SYSTEM!B294)</f>
        <v/>
      </c>
      <c r="C280" s="62">
        <f>IF(INPUT_SYSTEM!D294="","",INPUT_SYSTEM!D294)</f>
        <v/>
      </c>
      <c r="D280" s="62">
        <f>IF(C280="","",INPUT_SYSTEM!E294)</f>
        <v/>
      </c>
      <c r="E280" s="62">
        <f>IF(C280="","",INPUT_SYSTEM!F294)</f>
        <v/>
      </c>
      <c r="F280" s="62">
        <f t="array" ref="F280">IFERROR(INDEX(PRODUCT!$D:$D,MATCH(C280,PRODUCT!$B:$B,0)),"")</f>
        <v/>
      </c>
      <c r="G280" s="62">
        <f t="array" ref="G280">IFERROR(INDEX(PRODUCT!$E:$E,MATCH(C280,PRODUCT!$B:$B,0)),"")</f>
        <v/>
      </c>
      <c r="H280" s="62">
        <f t="array" ref="H280">IFERROR(INDEX(PRODUCT!$F:$F,MATCH(C280,PRODUCT!$B:$B,0)),"")</f>
        <v/>
      </c>
      <c r="I280" s="62">
        <f>IF(C280="","",INPUT_SYSTEM!G294)</f>
        <v/>
      </c>
      <c r="J280" s="62">
        <f>IF(C280="","",INPUT_SYSTEM!H294)</f>
        <v/>
      </c>
      <c r="K280" s="60">
        <f>IF(C280="","",INPUT_SYSTEM!J294)</f>
        <v/>
      </c>
      <c r="L280" s="62">
        <f>IF(C280="","",INPUT_SYSTEM!K294)</f>
        <v/>
      </c>
      <c r="M280" s="62">
        <f>IF(C280="","",INPUT_SYSTEM!L294)</f>
        <v/>
      </c>
      <c r="N280" s="62">
        <f>IF(U280&lt;&gt;"SI","",IF(M280&lt;&gt;"",M280,IFERROR(I280*J280*(1+K280)*L280,"")))</f>
        <v/>
      </c>
      <c r="O280" s="62">
        <f>IF(N280="","",IF(OR(H280="",H280=0),N280,ROUNDUP(N280/H280,0)))</f>
        <v/>
      </c>
      <c r="P280" s="63">
        <f t="array" ref="P280">IFERROR(INDEX(PRODUCT!$I:$I,MATCH(C280,PRODUCT!$B:$B,0)),"")</f>
        <v/>
      </c>
      <c r="Q280" s="63">
        <f>IF(C280="","",INPUT_SYSTEM!M294)</f>
        <v/>
      </c>
      <c r="R280" s="63">
        <f>IF(P280="","",P280*(1+Q280))</f>
        <v/>
      </c>
      <c r="S280" s="63">
        <f>IF(O280="","",IF(OR(H280="",H280=0),O280*P280,O280*H280*P280))</f>
        <v/>
      </c>
      <c r="T280" s="63">
        <f>IF(O280="","",IF(OR(H280="",H280=0),O280*R280,O280*H280*R280))</f>
        <v/>
      </c>
      <c r="U280" s="62">
        <f>IF(C280="","",INPUT_SYSTEM!C294)</f>
        <v/>
      </c>
      <c r="V280" s="2" t="n"/>
    </row>
    <row r="281" ht="15.75" customHeight="1" s="125">
      <c r="A281" s="62">
        <f>IF(INPUT_SYSTEM!D295="","",INPUT_SYSTEM!A295)</f>
        <v/>
      </c>
      <c r="B281" s="62">
        <f>IF(INPUT_SYSTEM!D295="","",INPUT_SYSTEM!B295)</f>
        <v/>
      </c>
      <c r="C281" s="62">
        <f>IF(INPUT_SYSTEM!D295="","",INPUT_SYSTEM!D295)</f>
        <v/>
      </c>
      <c r="D281" s="62">
        <f>IF(C281="","",INPUT_SYSTEM!E295)</f>
        <v/>
      </c>
      <c r="E281" s="62">
        <f>IF(C281="","",INPUT_SYSTEM!F295)</f>
        <v/>
      </c>
      <c r="F281" s="62">
        <f t="array" ref="F281">IFERROR(INDEX(PRODUCT!$D:$D,MATCH(C281,PRODUCT!$B:$B,0)),"")</f>
        <v/>
      </c>
      <c r="G281" s="62">
        <f t="array" ref="G281">IFERROR(INDEX(PRODUCT!$E:$E,MATCH(C281,PRODUCT!$B:$B,0)),"")</f>
        <v/>
      </c>
      <c r="H281" s="62">
        <f t="array" ref="H281">IFERROR(INDEX(PRODUCT!$F:$F,MATCH(C281,PRODUCT!$B:$B,0)),"")</f>
        <v/>
      </c>
      <c r="I281" s="62">
        <f>IF(C281="","",INPUT_SYSTEM!G295)</f>
        <v/>
      </c>
      <c r="J281" s="62">
        <f>IF(C281="","",INPUT_SYSTEM!H295)</f>
        <v/>
      </c>
      <c r="K281" s="60">
        <f>IF(C281="","",INPUT_SYSTEM!J295)</f>
        <v/>
      </c>
      <c r="L281" s="62">
        <f>IF(C281="","",INPUT_SYSTEM!K295)</f>
        <v/>
      </c>
      <c r="M281" s="62">
        <f>IF(C281="","",INPUT_SYSTEM!L295)</f>
        <v/>
      </c>
      <c r="N281" s="62">
        <f>IF(U281&lt;&gt;"SI","",IF(M281&lt;&gt;"",M281,IFERROR(I281*J281*(1+K281)*L281,"")))</f>
        <v/>
      </c>
      <c r="O281" s="62">
        <f>IF(N281="","",IF(OR(H281="",H281=0),N281,ROUNDUP(N281/H281,0)))</f>
        <v/>
      </c>
      <c r="P281" s="63">
        <f t="array" ref="P281">IFERROR(INDEX(PRODUCT!$I:$I,MATCH(C281,PRODUCT!$B:$B,0)),"")</f>
        <v/>
      </c>
      <c r="Q281" s="63">
        <f>IF(C281="","",INPUT_SYSTEM!M295)</f>
        <v/>
      </c>
      <c r="R281" s="63">
        <f>IF(P281="","",P281*(1+Q281))</f>
        <v/>
      </c>
      <c r="S281" s="63">
        <f>IF(O281="","",IF(OR(H281="",H281=0),O281*P281,O281*H281*P281))</f>
        <v/>
      </c>
      <c r="T281" s="63">
        <f>IF(O281="","",IF(OR(H281="",H281=0),O281*R281,O281*H281*R281))</f>
        <v/>
      </c>
      <c r="U281" s="62">
        <f>IF(C281="","",INPUT_SYSTEM!C295)</f>
        <v/>
      </c>
      <c r="V281" s="2" t="n"/>
    </row>
    <row r="282" ht="15.75" customHeight="1" s="125">
      <c r="A282" s="62">
        <f>IF(INPUT_SYSTEM!D296="","",INPUT_SYSTEM!A296)</f>
        <v/>
      </c>
      <c r="B282" s="62">
        <f>IF(INPUT_SYSTEM!D296="","",INPUT_SYSTEM!B296)</f>
        <v/>
      </c>
      <c r="C282" s="62">
        <f>IF(INPUT_SYSTEM!D296="","",INPUT_SYSTEM!D296)</f>
        <v/>
      </c>
      <c r="D282" s="62">
        <f>IF(C282="","",INPUT_SYSTEM!E296)</f>
        <v/>
      </c>
      <c r="E282" s="62">
        <f>IF(C282="","",INPUT_SYSTEM!F296)</f>
        <v/>
      </c>
      <c r="F282" s="62">
        <f t="array" ref="F282">IFERROR(INDEX(PRODUCT!$D:$D,MATCH(C282,PRODUCT!$B:$B,0)),"")</f>
        <v/>
      </c>
      <c r="G282" s="62">
        <f t="array" ref="G282">IFERROR(INDEX(PRODUCT!$E:$E,MATCH(C282,PRODUCT!$B:$B,0)),"")</f>
        <v/>
      </c>
      <c r="H282" s="62">
        <f t="array" ref="H282">IFERROR(INDEX(PRODUCT!$F:$F,MATCH(C282,PRODUCT!$B:$B,0)),"")</f>
        <v/>
      </c>
      <c r="I282" s="62">
        <f>IF(C282="","",INPUT_SYSTEM!G296)</f>
        <v/>
      </c>
      <c r="J282" s="62">
        <f>IF(C282="","",INPUT_SYSTEM!H296)</f>
        <v/>
      </c>
      <c r="K282" s="60">
        <f>IF(C282="","",INPUT_SYSTEM!J296)</f>
        <v/>
      </c>
      <c r="L282" s="62">
        <f>IF(C282="","",INPUT_SYSTEM!K296)</f>
        <v/>
      </c>
      <c r="M282" s="62">
        <f>IF(C282="","",INPUT_SYSTEM!L296)</f>
        <v/>
      </c>
      <c r="N282" s="62">
        <f>IF(U282&lt;&gt;"SI","",IF(M282&lt;&gt;"",M282,IFERROR(I282*J282*(1+K282)*L282,"")))</f>
        <v/>
      </c>
      <c r="O282" s="62">
        <f>IF(N282="","",IF(OR(H282="",H282=0),N282,ROUNDUP(N282/H282,0)))</f>
        <v/>
      </c>
      <c r="P282" s="63">
        <f t="array" ref="P282">IFERROR(INDEX(PRODUCT!$I:$I,MATCH(C282,PRODUCT!$B:$B,0)),"")</f>
        <v/>
      </c>
      <c r="Q282" s="63">
        <f>IF(C282="","",INPUT_SYSTEM!M296)</f>
        <v/>
      </c>
      <c r="R282" s="63">
        <f>IF(P282="","",P282*(1+Q282))</f>
        <v/>
      </c>
      <c r="S282" s="63">
        <f>IF(O282="","",IF(OR(H282="",H282=0),O282*P282,O282*H282*P282))</f>
        <v/>
      </c>
      <c r="T282" s="63">
        <f>IF(O282="","",IF(OR(H282="",H282=0),O282*R282,O282*H282*R282))</f>
        <v/>
      </c>
      <c r="U282" s="62">
        <f>IF(C282="","",INPUT_SYSTEM!C296)</f>
        <v/>
      </c>
      <c r="V282" s="2" t="n"/>
    </row>
    <row r="283" ht="15.75" customHeight="1" s="125">
      <c r="A283" s="62">
        <f>IF(INPUT_SYSTEM!D297="","",INPUT_SYSTEM!A297)</f>
        <v/>
      </c>
      <c r="B283" s="62">
        <f>IF(INPUT_SYSTEM!D297="","",INPUT_SYSTEM!B297)</f>
        <v/>
      </c>
      <c r="C283" s="62">
        <f>IF(INPUT_SYSTEM!D297="","",INPUT_SYSTEM!D297)</f>
        <v/>
      </c>
      <c r="D283" s="62">
        <f>IF(C283="","",INPUT_SYSTEM!E297)</f>
        <v/>
      </c>
      <c r="E283" s="62">
        <f>IF(C283="","",INPUT_SYSTEM!F297)</f>
        <v/>
      </c>
      <c r="F283" s="62">
        <f t="array" ref="F283">IFERROR(INDEX(PRODUCT!$D:$D,MATCH(C283,PRODUCT!$B:$B,0)),"")</f>
        <v/>
      </c>
      <c r="G283" s="62">
        <f t="array" ref="G283">IFERROR(INDEX(PRODUCT!$E:$E,MATCH(C283,PRODUCT!$B:$B,0)),"")</f>
        <v/>
      </c>
      <c r="H283" s="62">
        <f t="array" ref="H283">IFERROR(INDEX(PRODUCT!$F:$F,MATCH(C283,PRODUCT!$B:$B,0)),"")</f>
        <v/>
      </c>
      <c r="I283" s="62">
        <f>IF(C283="","",INPUT_SYSTEM!G297)</f>
        <v/>
      </c>
      <c r="J283" s="62">
        <f>IF(C283="","",INPUT_SYSTEM!H297)</f>
        <v/>
      </c>
      <c r="K283" s="60">
        <f>IF(C283="","",INPUT_SYSTEM!J297)</f>
        <v/>
      </c>
      <c r="L283" s="62">
        <f>IF(C283="","",INPUT_SYSTEM!K297)</f>
        <v/>
      </c>
      <c r="M283" s="62">
        <f>IF(C283="","",INPUT_SYSTEM!L297)</f>
        <v/>
      </c>
      <c r="N283" s="62">
        <f>IF(U283&lt;&gt;"SI","",IF(M283&lt;&gt;"",M283,IFERROR(I283*J283*(1+K283)*L283,"")))</f>
        <v/>
      </c>
      <c r="O283" s="62">
        <f>IF(N283="","",IF(OR(H283="",H283=0),N283,ROUNDUP(N283/H283,0)))</f>
        <v/>
      </c>
      <c r="P283" s="63">
        <f t="array" ref="P283">IFERROR(INDEX(PRODUCT!$I:$I,MATCH(C283,PRODUCT!$B:$B,0)),"")</f>
        <v/>
      </c>
      <c r="Q283" s="63">
        <f>IF(C283="","",INPUT_SYSTEM!M297)</f>
        <v/>
      </c>
      <c r="R283" s="63">
        <f>IF(P283="","",P283*(1+Q283))</f>
        <v/>
      </c>
      <c r="S283" s="63">
        <f>IF(O283="","",IF(OR(H283="",H283=0),O283*P283,O283*H283*P283))</f>
        <v/>
      </c>
      <c r="T283" s="63">
        <f>IF(O283="","",IF(OR(H283="",H283=0),O283*R283,O283*H283*R283))</f>
        <v/>
      </c>
      <c r="U283" s="62">
        <f>IF(C283="","",INPUT_SYSTEM!C297)</f>
        <v/>
      </c>
      <c r="V283" s="2" t="n"/>
    </row>
    <row r="284" ht="15.75" customHeight="1" s="125">
      <c r="A284" s="62">
        <f>IF(INPUT_SYSTEM!D298="","",INPUT_SYSTEM!A298)</f>
        <v/>
      </c>
      <c r="B284" s="62">
        <f>IF(INPUT_SYSTEM!D298="","",INPUT_SYSTEM!B298)</f>
        <v/>
      </c>
      <c r="C284" s="62">
        <f>IF(INPUT_SYSTEM!D298="","",INPUT_SYSTEM!D298)</f>
        <v/>
      </c>
      <c r="D284" s="62">
        <f>IF(C284="","",INPUT_SYSTEM!E298)</f>
        <v/>
      </c>
      <c r="E284" s="62">
        <f>IF(C284="","",INPUT_SYSTEM!F298)</f>
        <v/>
      </c>
      <c r="F284" s="62">
        <f t="array" ref="F284">IFERROR(INDEX(PRODUCT!$D:$D,MATCH(C284,PRODUCT!$B:$B,0)),"")</f>
        <v/>
      </c>
      <c r="G284" s="62">
        <f t="array" ref="G284">IFERROR(INDEX(PRODUCT!$E:$E,MATCH(C284,PRODUCT!$B:$B,0)),"")</f>
        <v/>
      </c>
      <c r="H284" s="62">
        <f t="array" ref="H284">IFERROR(INDEX(PRODUCT!$F:$F,MATCH(C284,PRODUCT!$B:$B,0)),"")</f>
        <v/>
      </c>
      <c r="I284" s="62">
        <f>IF(C284="","",INPUT_SYSTEM!G298)</f>
        <v/>
      </c>
      <c r="J284" s="62">
        <f>IF(C284="","",INPUT_SYSTEM!H298)</f>
        <v/>
      </c>
      <c r="K284" s="60">
        <f>IF(C284="","",INPUT_SYSTEM!J298)</f>
        <v/>
      </c>
      <c r="L284" s="62">
        <f>IF(C284="","",INPUT_SYSTEM!K298)</f>
        <v/>
      </c>
      <c r="M284" s="62">
        <f>IF(C284="","",INPUT_SYSTEM!L298)</f>
        <v/>
      </c>
      <c r="N284" s="62">
        <f>IF(U284&lt;&gt;"SI","",IF(M284&lt;&gt;"",M284,IFERROR(I284*J284*(1+K284)*L284,"")))</f>
        <v/>
      </c>
      <c r="O284" s="62">
        <f>IF(N284="","",IF(OR(H284="",H284=0),N284,ROUNDUP(N284/H284,0)))</f>
        <v/>
      </c>
      <c r="P284" s="63">
        <f t="array" ref="P284">IFERROR(INDEX(PRODUCT!$I:$I,MATCH(C284,PRODUCT!$B:$B,0)),"")</f>
        <v/>
      </c>
      <c r="Q284" s="63">
        <f>IF(C284="","",INPUT_SYSTEM!M298)</f>
        <v/>
      </c>
      <c r="R284" s="63">
        <f>IF(P284="","",P284*(1+Q284))</f>
        <v/>
      </c>
      <c r="S284" s="63">
        <f>IF(O284="","",IF(OR(H284="",H284=0),O284*P284,O284*H284*P284))</f>
        <v/>
      </c>
      <c r="T284" s="63">
        <f>IF(O284="","",IF(OR(H284="",H284=0),O284*R284,O284*H284*R284))</f>
        <v/>
      </c>
      <c r="U284" s="62">
        <f>IF(C284="","",INPUT_SYSTEM!C298)</f>
        <v/>
      </c>
      <c r="V284" s="2" t="n"/>
    </row>
    <row r="285" ht="15.75" customHeight="1" s="125">
      <c r="A285" s="62">
        <f>IF(INPUT_SYSTEM!D299="","",INPUT_SYSTEM!A299)</f>
        <v/>
      </c>
      <c r="B285" s="62">
        <f>IF(INPUT_SYSTEM!D299="","",INPUT_SYSTEM!B299)</f>
        <v/>
      </c>
      <c r="C285" s="62">
        <f>IF(INPUT_SYSTEM!D299="","",INPUT_SYSTEM!D299)</f>
        <v/>
      </c>
      <c r="D285" s="62">
        <f>IF(C285="","",INPUT_SYSTEM!E299)</f>
        <v/>
      </c>
      <c r="E285" s="62">
        <f>IF(C285="","",INPUT_SYSTEM!F299)</f>
        <v/>
      </c>
      <c r="F285" s="62">
        <f t="array" ref="F285">IFERROR(INDEX(PRODUCT!$D:$D,MATCH(C285,PRODUCT!$B:$B,0)),"")</f>
        <v/>
      </c>
      <c r="G285" s="62">
        <f t="array" ref="G285">IFERROR(INDEX(PRODUCT!$E:$E,MATCH(C285,PRODUCT!$B:$B,0)),"")</f>
        <v/>
      </c>
      <c r="H285" s="62">
        <f t="array" ref="H285">IFERROR(INDEX(PRODUCT!$F:$F,MATCH(C285,PRODUCT!$B:$B,0)),"")</f>
        <v/>
      </c>
      <c r="I285" s="62">
        <f>IF(C285="","",INPUT_SYSTEM!G299)</f>
        <v/>
      </c>
      <c r="J285" s="62">
        <f>IF(C285="","",INPUT_SYSTEM!H299)</f>
        <v/>
      </c>
      <c r="K285" s="60">
        <f>IF(C285="","",INPUT_SYSTEM!J299)</f>
        <v/>
      </c>
      <c r="L285" s="62">
        <f>IF(C285="","",INPUT_SYSTEM!K299)</f>
        <v/>
      </c>
      <c r="M285" s="62">
        <f>IF(C285="","",INPUT_SYSTEM!L299)</f>
        <v/>
      </c>
      <c r="N285" s="62">
        <f>IF(U285&lt;&gt;"SI","",IF(M285&lt;&gt;"",M285,IFERROR(I285*J285*(1+K285)*L285,"")))</f>
        <v/>
      </c>
      <c r="O285" s="62">
        <f>IF(N285="","",IF(OR(H285="",H285=0),N285,ROUNDUP(N285/H285,0)))</f>
        <v/>
      </c>
      <c r="P285" s="63">
        <f t="array" ref="P285">IFERROR(INDEX(PRODUCT!$I:$I,MATCH(C285,PRODUCT!$B:$B,0)),"")</f>
        <v/>
      </c>
      <c r="Q285" s="63">
        <f>IF(C285="","",INPUT_SYSTEM!M299)</f>
        <v/>
      </c>
      <c r="R285" s="63">
        <f>IF(P285="","",P285*(1+Q285))</f>
        <v/>
      </c>
      <c r="S285" s="63">
        <f>IF(O285="","",IF(OR(H285="",H285=0),O285*P285,O285*H285*P285))</f>
        <v/>
      </c>
      <c r="T285" s="63">
        <f>IF(O285="","",IF(OR(H285="",H285=0),O285*R285,O285*H285*R285))</f>
        <v/>
      </c>
      <c r="U285" s="62">
        <f>IF(C285="","",INPUT_SYSTEM!C299)</f>
        <v/>
      </c>
      <c r="V285" s="2" t="n"/>
    </row>
    <row r="286" ht="15.75" customHeight="1" s="125">
      <c r="A286" s="62">
        <f>IF(INPUT_SYSTEM!D300="","",INPUT_SYSTEM!A300)</f>
        <v/>
      </c>
      <c r="B286" s="62">
        <f>IF(INPUT_SYSTEM!D300="","",INPUT_SYSTEM!B300)</f>
        <v/>
      </c>
      <c r="C286" s="62">
        <f>IF(INPUT_SYSTEM!D300="","",INPUT_SYSTEM!D300)</f>
        <v/>
      </c>
      <c r="D286" s="62">
        <f>IF(C286="","",INPUT_SYSTEM!E300)</f>
        <v/>
      </c>
      <c r="E286" s="62">
        <f>IF(C286="","",INPUT_SYSTEM!F300)</f>
        <v/>
      </c>
      <c r="F286" s="62">
        <f t="array" ref="F286">IFERROR(INDEX(PRODUCT!$D:$D,MATCH(C286,PRODUCT!$B:$B,0)),"")</f>
        <v/>
      </c>
      <c r="G286" s="62">
        <f t="array" ref="G286">IFERROR(INDEX(PRODUCT!$E:$E,MATCH(C286,PRODUCT!$B:$B,0)),"")</f>
        <v/>
      </c>
      <c r="H286" s="62">
        <f t="array" ref="H286">IFERROR(INDEX(PRODUCT!$F:$F,MATCH(C286,PRODUCT!$B:$B,0)),"")</f>
        <v/>
      </c>
      <c r="I286" s="62">
        <f>IF(C286="","",INPUT_SYSTEM!G300)</f>
        <v/>
      </c>
      <c r="J286" s="62">
        <f>IF(C286="","",INPUT_SYSTEM!H300)</f>
        <v/>
      </c>
      <c r="K286" s="60">
        <f>IF(C286="","",INPUT_SYSTEM!J300)</f>
        <v/>
      </c>
      <c r="L286" s="62">
        <f>IF(C286="","",INPUT_SYSTEM!K300)</f>
        <v/>
      </c>
      <c r="M286" s="62">
        <f>IF(C286="","",INPUT_SYSTEM!L300)</f>
        <v/>
      </c>
      <c r="N286" s="62">
        <f>IF(U286&lt;&gt;"SI","",IF(M286&lt;&gt;"",M286,IFERROR(I286*J286*(1+K286)*L286,"")))</f>
        <v/>
      </c>
      <c r="O286" s="62">
        <f>IF(N286="","",IF(OR(H286="",H286=0),N286,ROUNDUP(N286/H286,0)))</f>
        <v/>
      </c>
      <c r="P286" s="63">
        <f t="array" ref="P286">IFERROR(INDEX(PRODUCT!$I:$I,MATCH(C286,PRODUCT!$B:$B,0)),"")</f>
        <v/>
      </c>
      <c r="Q286" s="63">
        <f>IF(C286="","",INPUT_SYSTEM!M300)</f>
        <v/>
      </c>
      <c r="R286" s="63">
        <f>IF(P286="","",P286*(1+Q286))</f>
        <v/>
      </c>
      <c r="S286" s="63">
        <f>IF(O286="","",IF(OR(H286="",H286=0),O286*P286,O286*H286*P286))</f>
        <v/>
      </c>
      <c r="T286" s="63">
        <f>IF(O286="","",IF(OR(H286="",H286=0),O286*R286,O286*H286*R286))</f>
        <v/>
      </c>
      <c r="U286" s="62">
        <f>IF(C286="","",INPUT_SYSTEM!C300)</f>
        <v/>
      </c>
      <c r="V286" s="2" t="n"/>
    </row>
    <row r="287" ht="15.75" customHeight="1" s="125">
      <c r="A287" s="62">
        <f>IF(INPUT_SYSTEM!D301="","",INPUT_SYSTEM!A301)</f>
        <v/>
      </c>
      <c r="B287" s="62">
        <f>IF(INPUT_SYSTEM!D301="","",INPUT_SYSTEM!B301)</f>
        <v/>
      </c>
      <c r="C287" s="62">
        <f>IF(INPUT_SYSTEM!D301="","",INPUT_SYSTEM!D301)</f>
        <v/>
      </c>
      <c r="D287" s="62">
        <f>IF(C287="","",INPUT_SYSTEM!E301)</f>
        <v/>
      </c>
      <c r="E287" s="62">
        <f>IF(C287="","",INPUT_SYSTEM!F301)</f>
        <v/>
      </c>
      <c r="F287" s="62">
        <f t="array" ref="F287">IFERROR(INDEX(PRODUCT!$D:$D,MATCH(C287,PRODUCT!$B:$B,0)),"")</f>
        <v/>
      </c>
      <c r="G287" s="62">
        <f t="array" ref="G287">IFERROR(INDEX(PRODUCT!$E:$E,MATCH(C287,PRODUCT!$B:$B,0)),"")</f>
        <v/>
      </c>
      <c r="H287" s="62">
        <f t="array" ref="H287">IFERROR(INDEX(PRODUCT!$F:$F,MATCH(C287,PRODUCT!$B:$B,0)),"")</f>
        <v/>
      </c>
      <c r="I287" s="62">
        <f>IF(C287="","",INPUT_SYSTEM!G301)</f>
        <v/>
      </c>
      <c r="J287" s="62">
        <f>IF(C287="","",INPUT_SYSTEM!H301)</f>
        <v/>
      </c>
      <c r="K287" s="60">
        <f>IF(C287="","",INPUT_SYSTEM!J301)</f>
        <v/>
      </c>
      <c r="L287" s="62">
        <f>IF(C287="","",INPUT_SYSTEM!K301)</f>
        <v/>
      </c>
      <c r="M287" s="62">
        <f>IF(C287="","",INPUT_SYSTEM!L301)</f>
        <v/>
      </c>
      <c r="N287" s="62">
        <f>IF(U287&lt;&gt;"SI","",IF(M287&lt;&gt;"",M287,IFERROR(I287*J287*(1+K287)*L287,"")))</f>
        <v/>
      </c>
      <c r="O287" s="62">
        <f>IF(N287="","",IF(OR(H287="",H287=0),N287,ROUNDUP(N287/H287,0)))</f>
        <v/>
      </c>
      <c r="P287" s="63">
        <f t="array" ref="P287">IFERROR(INDEX(PRODUCT!$I:$I,MATCH(C287,PRODUCT!$B:$B,0)),"")</f>
        <v/>
      </c>
      <c r="Q287" s="63">
        <f>IF(C287="","",INPUT_SYSTEM!M301)</f>
        <v/>
      </c>
      <c r="R287" s="63">
        <f>IF(P287="","",P287*(1+Q287))</f>
        <v/>
      </c>
      <c r="S287" s="63">
        <f>IF(O287="","",IF(OR(H287="",H287=0),O287*P287,O287*H287*P287))</f>
        <v/>
      </c>
      <c r="T287" s="63">
        <f>IF(O287="","",IF(OR(H287="",H287=0),O287*R287,O287*H287*R287))</f>
        <v/>
      </c>
      <c r="U287" s="62">
        <f>IF(C287="","",INPUT_SYSTEM!C301)</f>
        <v/>
      </c>
      <c r="V287" s="2" t="n"/>
    </row>
    <row r="288" ht="15.75" customHeight="1" s="125">
      <c r="A288" s="62">
        <f>IF(INPUT_SYSTEM!D302="","",INPUT_SYSTEM!A302)</f>
        <v/>
      </c>
      <c r="B288" s="62">
        <f>IF(INPUT_SYSTEM!D302="","",INPUT_SYSTEM!B302)</f>
        <v/>
      </c>
      <c r="C288" s="62">
        <f>IF(INPUT_SYSTEM!D302="","",INPUT_SYSTEM!D302)</f>
        <v/>
      </c>
      <c r="D288" s="62">
        <f>IF(C288="","",INPUT_SYSTEM!E302)</f>
        <v/>
      </c>
      <c r="E288" s="62">
        <f>IF(C288="","",INPUT_SYSTEM!F302)</f>
        <v/>
      </c>
      <c r="F288" s="62">
        <f t="array" ref="F288">IFERROR(INDEX(PRODUCT!$D:$D,MATCH(C288,PRODUCT!$B:$B,0)),"")</f>
        <v/>
      </c>
      <c r="G288" s="62">
        <f t="array" ref="G288">IFERROR(INDEX(PRODUCT!$E:$E,MATCH(C288,PRODUCT!$B:$B,0)),"")</f>
        <v/>
      </c>
      <c r="H288" s="62">
        <f t="array" ref="H288">IFERROR(INDEX(PRODUCT!$F:$F,MATCH(C288,PRODUCT!$B:$B,0)),"")</f>
        <v/>
      </c>
      <c r="I288" s="62">
        <f>IF(C288="","",INPUT_SYSTEM!G302)</f>
        <v/>
      </c>
      <c r="J288" s="62">
        <f>IF(C288="","",INPUT_SYSTEM!H302)</f>
        <v/>
      </c>
      <c r="K288" s="60">
        <f>IF(C288="","",INPUT_SYSTEM!J302)</f>
        <v/>
      </c>
      <c r="L288" s="62">
        <f>IF(C288="","",INPUT_SYSTEM!K302)</f>
        <v/>
      </c>
      <c r="M288" s="62">
        <f>IF(C288="","",INPUT_SYSTEM!L302)</f>
        <v/>
      </c>
      <c r="N288" s="62">
        <f>IF(U288&lt;&gt;"SI","",IF(M288&lt;&gt;"",M288,IFERROR(I288*J288*(1+K288)*L288,"")))</f>
        <v/>
      </c>
      <c r="O288" s="62">
        <f>IF(N288="","",IF(OR(H288="",H288=0),N288,ROUNDUP(N288/H288,0)))</f>
        <v/>
      </c>
      <c r="P288" s="63">
        <f t="array" ref="P288">IFERROR(INDEX(PRODUCT!$I:$I,MATCH(C288,PRODUCT!$B:$B,0)),"")</f>
        <v/>
      </c>
      <c r="Q288" s="63">
        <f>IF(C288="","",INPUT_SYSTEM!M302)</f>
        <v/>
      </c>
      <c r="R288" s="63">
        <f>IF(P288="","",P288*(1+Q288))</f>
        <v/>
      </c>
      <c r="S288" s="63">
        <f>IF(O288="","",IF(OR(H288="",H288=0),O288*P288,O288*H288*P288))</f>
        <v/>
      </c>
      <c r="T288" s="63">
        <f>IF(O288="","",IF(OR(H288="",H288=0),O288*R288,O288*H288*R288))</f>
        <v/>
      </c>
      <c r="U288" s="62">
        <f>IF(C288="","",INPUT_SYSTEM!C302)</f>
        <v/>
      </c>
      <c r="V288" s="2" t="n"/>
    </row>
    <row r="289" ht="15.75" customHeight="1" s="125">
      <c r="A289" s="62">
        <f>IF(INPUT_SYSTEM!D303="","",INPUT_SYSTEM!A303)</f>
        <v/>
      </c>
      <c r="B289" s="62">
        <f>IF(INPUT_SYSTEM!D303="","",INPUT_SYSTEM!B303)</f>
        <v/>
      </c>
      <c r="C289" s="62">
        <f>IF(INPUT_SYSTEM!D303="","",INPUT_SYSTEM!D303)</f>
        <v/>
      </c>
      <c r="D289" s="62">
        <f>IF(C289="","",INPUT_SYSTEM!E303)</f>
        <v/>
      </c>
      <c r="E289" s="62">
        <f>IF(C289="","",INPUT_SYSTEM!F303)</f>
        <v/>
      </c>
      <c r="F289" s="62">
        <f t="array" ref="F289">IFERROR(INDEX(PRODUCT!$D:$D,MATCH(C289,PRODUCT!$B:$B,0)),"")</f>
        <v/>
      </c>
      <c r="G289" s="62">
        <f t="array" ref="G289">IFERROR(INDEX(PRODUCT!$E:$E,MATCH(C289,PRODUCT!$B:$B,0)),"")</f>
        <v/>
      </c>
      <c r="H289" s="62">
        <f t="array" ref="H289">IFERROR(INDEX(PRODUCT!$F:$F,MATCH(C289,PRODUCT!$B:$B,0)),"")</f>
        <v/>
      </c>
      <c r="I289" s="62">
        <f>IF(C289="","",INPUT_SYSTEM!G303)</f>
        <v/>
      </c>
      <c r="J289" s="62">
        <f>IF(C289="","",INPUT_SYSTEM!H303)</f>
        <v/>
      </c>
      <c r="K289" s="60">
        <f>IF(C289="","",INPUT_SYSTEM!J303)</f>
        <v/>
      </c>
      <c r="L289" s="62">
        <f>IF(C289="","",INPUT_SYSTEM!K303)</f>
        <v/>
      </c>
      <c r="M289" s="62">
        <f>IF(C289="","",INPUT_SYSTEM!L303)</f>
        <v/>
      </c>
      <c r="N289" s="62">
        <f>IF(U289&lt;&gt;"SI","",IF(M289&lt;&gt;"",M289,IFERROR(I289*J289*(1+K289)*L289,"")))</f>
        <v/>
      </c>
      <c r="O289" s="62">
        <f>IF(N289="","",IF(OR(H289="",H289=0),N289,ROUNDUP(N289/H289,0)))</f>
        <v/>
      </c>
      <c r="P289" s="63">
        <f t="array" ref="P289">IFERROR(INDEX(PRODUCT!$I:$I,MATCH(C289,PRODUCT!$B:$B,0)),"")</f>
        <v/>
      </c>
      <c r="Q289" s="63">
        <f>IF(C289="","",INPUT_SYSTEM!M303)</f>
        <v/>
      </c>
      <c r="R289" s="63">
        <f>IF(P289="","",P289*(1+Q289))</f>
        <v/>
      </c>
      <c r="S289" s="63">
        <f>IF(O289="","",IF(OR(H289="",H289=0),O289*P289,O289*H289*P289))</f>
        <v/>
      </c>
      <c r="T289" s="63">
        <f>IF(O289="","",IF(OR(H289="",H289=0),O289*R289,O289*H289*R289))</f>
        <v/>
      </c>
      <c r="U289" s="62">
        <f>IF(C289="","",INPUT_SYSTEM!C303)</f>
        <v/>
      </c>
      <c r="V289" s="2" t="n"/>
    </row>
    <row r="290" ht="15.75" customHeight="1" s="125">
      <c r="A290" s="62">
        <f>IF(INPUT_SYSTEM!D304="","",INPUT_SYSTEM!A304)</f>
        <v/>
      </c>
      <c r="B290" s="62">
        <f>IF(INPUT_SYSTEM!D304="","",INPUT_SYSTEM!B304)</f>
        <v/>
      </c>
      <c r="C290" s="62">
        <f>IF(INPUT_SYSTEM!D304="","",INPUT_SYSTEM!D304)</f>
        <v/>
      </c>
      <c r="D290" s="62">
        <f>IF(C290="","",INPUT_SYSTEM!E304)</f>
        <v/>
      </c>
      <c r="E290" s="62">
        <f>IF(C290="","",INPUT_SYSTEM!F304)</f>
        <v/>
      </c>
      <c r="F290" s="62">
        <f t="array" ref="F290">IFERROR(INDEX(PRODUCT!$D:$D,MATCH(C290,PRODUCT!$B:$B,0)),"")</f>
        <v/>
      </c>
      <c r="G290" s="62">
        <f t="array" ref="G290">IFERROR(INDEX(PRODUCT!$E:$E,MATCH(C290,PRODUCT!$B:$B,0)),"")</f>
        <v/>
      </c>
      <c r="H290" s="62">
        <f t="array" ref="H290">IFERROR(INDEX(PRODUCT!$F:$F,MATCH(C290,PRODUCT!$B:$B,0)),"")</f>
        <v/>
      </c>
      <c r="I290" s="62">
        <f>IF(C290="","",INPUT_SYSTEM!G304)</f>
        <v/>
      </c>
      <c r="J290" s="62">
        <f>IF(C290="","",INPUT_SYSTEM!H304)</f>
        <v/>
      </c>
      <c r="K290" s="60">
        <f>IF(C290="","",INPUT_SYSTEM!J304)</f>
        <v/>
      </c>
      <c r="L290" s="62">
        <f>IF(C290="","",INPUT_SYSTEM!K304)</f>
        <v/>
      </c>
      <c r="M290" s="62">
        <f>IF(C290="","",INPUT_SYSTEM!L304)</f>
        <v/>
      </c>
      <c r="N290" s="62">
        <f>IF(U290&lt;&gt;"SI","",IF(M290&lt;&gt;"",M290,IFERROR(I290*J290*(1+K290)*L290,"")))</f>
        <v/>
      </c>
      <c r="O290" s="62">
        <f>IF(N290="","",IF(OR(H290="",H290=0),N290,ROUNDUP(N290/H290,0)))</f>
        <v/>
      </c>
      <c r="P290" s="63">
        <f t="array" ref="P290">IFERROR(INDEX(PRODUCT!$I:$I,MATCH(C290,PRODUCT!$B:$B,0)),"")</f>
        <v/>
      </c>
      <c r="Q290" s="63">
        <f>IF(C290="","",INPUT_SYSTEM!M304)</f>
        <v/>
      </c>
      <c r="R290" s="63">
        <f>IF(P290="","",P290*(1+Q290))</f>
        <v/>
      </c>
      <c r="S290" s="63">
        <f>IF(O290="","",IF(OR(H290="",H290=0),O290*P290,O290*H290*P290))</f>
        <v/>
      </c>
      <c r="T290" s="63">
        <f>IF(O290="","",IF(OR(H290="",H290=0),O290*R290,O290*H290*R290))</f>
        <v/>
      </c>
      <c r="U290" s="62">
        <f>IF(C290="","",INPUT_SYSTEM!C304)</f>
        <v/>
      </c>
      <c r="V290" s="2" t="n"/>
    </row>
    <row r="291" ht="15.75" customHeight="1" s="125">
      <c r="A291" s="62">
        <f>IF(INPUT_SYSTEM!D305="","",INPUT_SYSTEM!A305)</f>
        <v/>
      </c>
      <c r="B291" s="62">
        <f>IF(INPUT_SYSTEM!D305="","",INPUT_SYSTEM!B305)</f>
        <v/>
      </c>
      <c r="C291" s="62">
        <f>IF(INPUT_SYSTEM!D305="","",INPUT_SYSTEM!D305)</f>
        <v/>
      </c>
      <c r="D291" s="62">
        <f>IF(C291="","",INPUT_SYSTEM!E305)</f>
        <v/>
      </c>
      <c r="E291" s="62">
        <f>IF(C291="","",INPUT_SYSTEM!F305)</f>
        <v/>
      </c>
      <c r="F291" s="62">
        <f t="array" ref="F291">IFERROR(INDEX(PRODUCT!$D:$D,MATCH(C291,PRODUCT!$B:$B,0)),"")</f>
        <v/>
      </c>
      <c r="G291" s="62">
        <f t="array" ref="G291">IFERROR(INDEX(PRODUCT!$E:$E,MATCH(C291,PRODUCT!$B:$B,0)),"")</f>
        <v/>
      </c>
      <c r="H291" s="62">
        <f t="array" ref="H291">IFERROR(INDEX(PRODUCT!$F:$F,MATCH(C291,PRODUCT!$B:$B,0)),"")</f>
        <v/>
      </c>
      <c r="I291" s="62">
        <f>IF(C291="","",INPUT_SYSTEM!G305)</f>
        <v/>
      </c>
      <c r="J291" s="62">
        <f>IF(C291="","",INPUT_SYSTEM!H305)</f>
        <v/>
      </c>
      <c r="K291" s="60">
        <f>IF(C291="","",INPUT_SYSTEM!J305)</f>
        <v/>
      </c>
      <c r="L291" s="62">
        <f>IF(C291="","",INPUT_SYSTEM!K305)</f>
        <v/>
      </c>
      <c r="M291" s="62">
        <f>IF(C291="","",INPUT_SYSTEM!L305)</f>
        <v/>
      </c>
      <c r="N291" s="62">
        <f>IF(U291&lt;&gt;"SI","",IF(M291&lt;&gt;"",M291,IFERROR(I291*J291*(1+K291)*L291,"")))</f>
        <v/>
      </c>
      <c r="O291" s="62">
        <f>IF(N291="","",IF(OR(H291="",H291=0),N291,ROUNDUP(N291/H291,0)))</f>
        <v/>
      </c>
      <c r="P291" s="63">
        <f t="array" ref="P291">IFERROR(INDEX(PRODUCT!$I:$I,MATCH(C291,PRODUCT!$B:$B,0)),"")</f>
        <v/>
      </c>
      <c r="Q291" s="63">
        <f>IF(C291="","",INPUT_SYSTEM!M305)</f>
        <v/>
      </c>
      <c r="R291" s="63">
        <f>IF(P291="","",P291*(1+Q291))</f>
        <v/>
      </c>
      <c r="S291" s="63">
        <f>IF(O291="","",IF(OR(H291="",H291=0),O291*P291,O291*H291*P291))</f>
        <v/>
      </c>
      <c r="T291" s="63">
        <f>IF(O291="","",IF(OR(H291="",H291=0),O291*R291,O291*H291*R291))</f>
        <v/>
      </c>
      <c r="U291" s="62">
        <f>IF(C291="","",INPUT_SYSTEM!C305)</f>
        <v/>
      </c>
      <c r="V291" s="2" t="n"/>
    </row>
    <row r="292" ht="15.75" customHeight="1" s="125">
      <c r="A292" s="62">
        <f>IF(INPUT_SYSTEM!D306="","",INPUT_SYSTEM!A306)</f>
        <v/>
      </c>
      <c r="B292" s="62">
        <f>IF(INPUT_SYSTEM!D306="","",INPUT_SYSTEM!B306)</f>
        <v/>
      </c>
      <c r="C292" s="62">
        <f>IF(INPUT_SYSTEM!D306="","",INPUT_SYSTEM!D306)</f>
        <v/>
      </c>
      <c r="D292" s="62">
        <f>IF(C292="","",INPUT_SYSTEM!E306)</f>
        <v/>
      </c>
      <c r="E292" s="62">
        <f>IF(C292="","",INPUT_SYSTEM!F306)</f>
        <v/>
      </c>
      <c r="F292" s="62">
        <f t="array" ref="F292">IFERROR(INDEX(PRODUCT!$D:$D,MATCH(C292,PRODUCT!$B:$B,0)),"")</f>
        <v/>
      </c>
      <c r="G292" s="62">
        <f t="array" ref="G292">IFERROR(INDEX(PRODUCT!$E:$E,MATCH(C292,PRODUCT!$B:$B,0)),"")</f>
        <v/>
      </c>
      <c r="H292" s="62">
        <f t="array" ref="H292">IFERROR(INDEX(PRODUCT!$F:$F,MATCH(C292,PRODUCT!$B:$B,0)),"")</f>
        <v/>
      </c>
      <c r="I292" s="62">
        <f>IF(C292="","",INPUT_SYSTEM!G306)</f>
        <v/>
      </c>
      <c r="J292" s="62">
        <f>IF(C292="","",INPUT_SYSTEM!H306)</f>
        <v/>
      </c>
      <c r="K292" s="60">
        <f>IF(C292="","",INPUT_SYSTEM!J306)</f>
        <v/>
      </c>
      <c r="L292" s="62">
        <f>IF(C292="","",INPUT_SYSTEM!K306)</f>
        <v/>
      </c>
      <c r="M292" s="62">
        <f>IF(C292="","",INPUT_SYSTEM!L306)</f>
        <v/>
      </c>
      <c r="N292" s="62">
        <f>IF(U292&lt;&gt;"SI","",IF(M292&lt;&gt;"",M292,IFERROR(I292*J292*(1+K292)*L292,"")))</f>
        <v/>
      </c>
      <c r="O292" s="62">
        <f>IF(N292="","",IF(OR(H292="",H292=0),N292,ROUNDUP(N292/H292,0)))</f>
        <v/>
      </c>
      <c r="P292" s="63">
        <f t="array" ref="P292">IFERROR(INDEX(PRODUCT!$I:$I,MATCH(C292,PRODUCT!$B:$B,0)),"")</f>
        <v/>
      </c>
      <c r="Q292" s="63">
        <f>IF(C292="","",INPUT_SYSTEM!M306)</f>
        <v/>
      </c>
      <c r="R292" s="63">
        <f>IF(P292="","",P292*(1+Q292))</f>
        <v/>
      </c>
      <c r="S292" s="63">
        <f>IF(O292="","",IF(OR(H292="",H292=0),O292*P292,O292*H292*P292))</f>
        <v/>
      </c>
      <c r="T292" s="63">
        <f>IF(O292="","",IF(OR(H292="",H292=0),O292*R292,O292*H292*R292))</f>
        <v/>
      </c>
      <c r="U292" s="62">
        <f>IF(C292="","",INPUT_SYSTEM!C306)</f>
        <v/>
      </c>
      <c r="V292" s="2" t="n"/>
    </row>
    <row r="293" ht="15.75" customHeight="1" s="125">
      <c r="A293" s="62">
        <f>IF(INPUT_SYSTEM!D307="","",INPUT_SYSTEM!A307)</f>
        <v/>
      </c>
      <c r="B293" s="62">
        <f>IF(INPUT_SYSTEM!D307="","",INPUT_SYSTEM!B307)</f>
        <v/>
      </c>
      <c r="C293" s="62">
        <f>IF(INPUT_SYSTEM!D307="","",INPUT_SYSTEM!D307)</f>
        <v/>
      </c>
      <c r="D293" s="62">
        <f>IF(C293="","",INPUT_SYSTEM!E307)</f>
        <v/>
      </c>
      <c r="E293" s="62">
        <f>IF(C293="","",INPUT_SYSTEM!F307)</f>
        <v/>
      </c>
      <c r="F293" s="62">
        <f t="array" ref="F293">IFERROR(INDEX(PRODUCT!$D:$D,MATCH(C293,PRODUCT!$B:$B,0)),"")</f>
        <v/>
      </c>
      <c r="G293" s="62">
        <f t="array" ref="G293">IFERROR(INDEX(PRODUCT!$E:$E,MATCH(C293,PRODUCT!$B:$B,0)),"")</f>
        <v/>
      </c>
      <c r="H293" s="62">
        <f t="array" ref="H293">IFERROR(INDEX(PRODUCT!$F:$F,MATCH(C293,PRODUCT!$B:$B,0)),"")</f>
        <v/>
      </c>
      <c r="I293" s="62">
        <f>IF(C293="","",INPUT_SYSTEM!G307)</f>
        <v/>
      </c>
      <c r="J293" s="62">
        <f>IF(C293="","",INPUT_SYSTEM!H307)</f>
        <v/>
      </c>
      <c r="K293" s="60">
        <f>IF(C293="","",INPUT_SYSTEM!J307)</f>
        <v/>
      </c>
      <c r="L293" s="62">
        <f>IF(C293="","",INPUT_SYSTEM!K307)</f>
        <v/>
      </c>
      <c r="M293" s="62">
        <f>IF(C293="","",INPUT_SYSTEM!L307)</f>
        <v/>
      </c>
      <c r="N293" s="62">
        <f>IF(U293&lt;&gt;"SI","",IF(M293&lt;&gt;"",M293,IFERROR(I293*J293*(1+K293)*L293,"")))</f>
        <v/>
      </c>
      <c r="O293" s="62">
        <f>IF(N293="","",IF(OR(H293="",H293=0),N293,ROUNDUP(N293/H293,0)))</f>
        <v/>
      </c>
      <c r="P293" s="63">
        <f t="array" ref="P293">IFERROR(INDEX(PRODUCT!$I:$I,MATCH(C293,PRODUCT!$B:$B,0)),"")</f>
        <v/>
      </c>
      <c r="Q293" s="63">
        <f>IF(C293="","",INPUT_SYSTEM!M307)</f>
        <v/>
      </c>
      <c r="R293" s="63">
        <f>IF(P293="","",P293*(1+Q293))</f>
        <v/>
      </c>
      <c r="S293" s="63">
        <f>IF(O293="","",IF(OR(H293="",H293=0),O293*P293,O293*H293*P293))</f>
        <v/>
      </c>
      <c r="T293" s="63">
        <f>IF(O293="","",IF(OR(H293="",H293=0),O293*R293,O293*H293*R293))</f>
        <v/>
      </c>
      <c r="U293" s="62">
        <f>IF(C293="","",INPUT_SYSTEM!C307)</f>
        <v/>
      </c>
      <c r="V293" s="2" t="n"/>
    </row>
    <row r="294" ht="15.75" customHeight="1" s="125">
      <c r="A294" s="62">
        <f>IF(INPUT_SYSTEM!D308="","",INPUT_SYSTEM!A308)</f>
        <v/>
      </c>
      <c r="B294" s="62">
        <f>IF(INPUT_SYSTEM!D308="","",INPUT_SYSTEM!B308)</f>
        <v/>
      </c>
      <c r="C294" s="62">
        <f>IF(INPUT_SYSTEM!D308="","",INPUT_SYSTEM!D308)</f>
        <v/>
      </c>
      <c r="D294" s="62">
        <f>IF(C294="","",INPUT_SYSTEM!E308)</f>
        <v/>
      </c>
      <c r="E294" s="62">
        <f>IF(C294="","",INPUT_SYSTEM!F308)</f>
        <v/>
      </c>
      <c r="F294" s="62">
        <f t="array" ref="F294">IFERROR(INDEX(PRODUCT!$D:$D,MATCH(C294,PRODUCT!$B:$B,0)),"")</f>
        <v/>
      </c>
      <c r="G294" s="62">
        <f t="array" ref="G294">IFERROR(INDEX(PRODUCT!$E:$E,MATCH(C294,PRODUCT!$B:$B,0)),"")</f>
        <v/>
      </c>
      <c r="H294" s="62">
        <f t="array" ref="H294">IFERROR(INDEX(PRODUCT!$F:$F,MATCH(C294,PRODUCT!$B:$B,0)),"")</f>
        <v/>
      </c>
      <c r="I294" s="62">
        <f>IF(C294="","",INPUT_SYSTEM!G308)</f>
        <v/>
      </c>
      <c r="J294" s="62">
        <f>IF(C294="","",INPUT_SYSTEM!H308)</f>
        <v/>
      </c>
      <c r="K294" s="60">
        <f>IF(C294="","",INPUT_SYSTEM!J308)</f>
        <v/>
      </c>
      <c r="L294" s="62">
        <f>IF(C294="","",INPUT_SYSTEM!K308)</f>
        <v/>
      </c>
      <c r="M294" s="62">
        <f>IF(C294="","",INPUT_SYSTEM!L308)</f>
        <v/>
      </c>
      <c r="N294" s="62">
        <f>IF(U294&lt;&gt;"SI","",IF(M294&lt;&gt;"",M294,IFERROR(I294*J294*(1+K294)*L294,"")))</f>
        <v/>
      </c>
      <c r="O294" s="62">
        <f>IF(N294="","",IF(OR(H294="",H294=0),N294,ROUNDUP(N294/H294,0)))</f>
        <v/>
      </c>
      <c r="P294" s="63">
        <f t="array" ref="P294">IFERROR(INDEX(PRODUCT!$I:$I,MATCH(C294,PRODUCT!$B:$B,0)),"")</f>
        <v/>
      </c>
      <c r="Q294" s="63">
        <f>IF(C294="","",INPUT_SYSTEM!M308)</f>
        <v/>
      </c>
      <c r="R294" s="63">
        <f>IF(P294="","",P294*(1+Q294))</f>
        <v/>
      </c>
      <c r="S294" s="63">
        <f>IF(O294="","",IF(OR(H294="",H294=0),O294*P294,O294*H294*P294))</f>
        <v/>
      </c>
      <c r="T294" s="63">
        <f>IF(O294="","",IF(OR(H294="",H294=0),O294*R294,O294*H294*R294))</f>
        <v/>
      </c>
      <c r="U294" s="62">
        <f>IF(C294="","",INPUT_SYSTEM!C308)</f>
        <v/>
      </c>
      <c r="V294" s="2" t="n"/>
    </row>
    <row r="295" ht="15.75" customHeight="1" s="125">
      <c r="A295" s="62">
        <f>IF(INPUT_SYSTEM!D309="","",INPUT_SYSTEM!A309)</f>
        <v/>
      </c>
      <c r="B295" s="62">
        <f>IF(INPUT_SYSTEM!D309="","",INPUT_SYSTEM!B309)</f>
        <v/>
      </c>
      <c r="C295" s="62">
        <f>IF(INPUT_SYSTEM!D309="","",INPUT_SYSTEM!D309)</f>
        <v/>
      </c>
      <c r="D295" s="62">
        <f>IF(C295="","",INPUT_SYSTEM!E309)</f>
        <v/>
      </c>
      <c r="E295" s="62">
        <f>IF(C295="","",INPUT_SYSTEM!F309)</f>
        <v/>
      </c>
      <c r="F295" s="62">
        <f t="array" ref="F295">IFERROR(INDEX(PRODUCT!$D:$D,MATCH(C295,PRODUCT!$B:$B,0)),"")</f>
        <v/>
      </c>
      <c r="G295" s="62">
        <f t="array" ref="G295">IFERROR(INDEX(PRODUCT!$E:$E,MATCH(C295,PRODUCT!$B:$B,0)),"")</f>
        <v/>
      </c>
      <c r="H295" s="62">
        <f t="array" ref="H295">IFERROR(INDEX(PRODUCT!$F:$F,MATCH(C295,PRODUCT!$B:$B,0)),"")</f>
        <v/>
      </c>
      <c r="I295" s="62">
        <f>IF(C295="","",INPUT_SYSTEM!G309)</f>
        <v/>
      </c>
      <c r="J295" s="62">
        <f>IF(C295="","",INPUT_SYSTEM!H309)</f>
        <v/>
      </c>
      <c r="K295" s="60">
        <f>IF(C295="","",INPUT_SYSTEM!J309)</f>
        <v/>
      </c>
      <c r="L295" s="62">
        <f>IF(C295="","",INPUT_SYSTEM!K309)</f>
        <v/>
      </c>
      <c r="M295" s="62">
        <f>IF(C295="","",INPUT_SYSTEM!L309)</f>
        <v/>
      </c>
      <c r="N295" s="62">
        <f>IF(U295&lt;&gt;"SI","",IF(M295&lt;&gt;"",M295,IFERROR(I295*J295*(1+K295)*L295,"")))</f>
        <v/>
      </c>
      <c r="O295" s="62">
        <f>IF(N295="","",IF(OR(H295="",H295=0),N295,ROUNDUP(N295/H295,0)))</f>
        <v/>
      </c>
      <c r="P295" s="63">
        <f t="array" ref="P295">IFERROR(INDEX(PRODUCT!$I:$I,MATCH(C295,PRODUCT!$B:$B,0)),"")</f>
        <v/>
      </c>
      <c r="Q295" s="63">
        <f>IF(C295="","",INPUT_SYSTEM!M309)</f>
        <v/>
      </c>
      <c r="R295" s="63">
        <f>IF(P295="","",P295*(1+Q295))</f>
        <v/>
      </c>
      <c r="S295" s="63">
        <f>IF(O295="","",IF(OR(H295="",H295=0),O295*P295,O295*H295*P295))</f>
        <v/>
      </c>
      <c r="T295" s="63">
        <f>IF(O295="","",IF(OR(H295="",H295=0),O295*R295,O295*H295*R295))</f>
        <v/>
      </c>
      <c r="U295" s="62">
        <f>IF(C295="","",INPUT_SYSTEM!C309)</f>
        <v/>
      </c>
      <c r="V295" s="2" t="n"/>
    </row>
    <row r="296" ht="15.75" customHeight="1" s="125">
      <c r="A296" s="62">
        <f>IF(INPUT_SYSTEM!D310="","",INPUT_SYSTEM!A310)</f>
        <v/>
      </c>
      <c r="B296" s="62">
        <f>IF(INPUT_SYSTEM!D310="","",INPUT_SYSTEM!B310)</f>
        <v/>
      </c>
      <c r="C296" s="62">
        <f>IF(INPUT_SYSTEM!D310="","",INPUT_SYSTEM!D310)</f>
        <v/>
      </c>
      <c r="D296" s="62">
        <f>IF(C296="","",INPUT_SYSTEM!E310)</f>
        <v/>
      </c>
      <c r="E296" s="62">
        <f>IF(C296="","",INPUT_SYSTEM!F310)</f>
        <v/>
      </c>
      <c r="F296" s="62">
        <f t="array" ref="F296">IFERROR(INDEX(PRODUCT!$D:$D,MATCH(C296,PRODUCT!$B:$B,0)),"")</f>
        <v/>
      </c>
      <c r="G296" s="62">
        <f t="array" ref="G296">IFERROR(INDEX(PRODUCT!$E:$E,MATCH(C296,PRODUCT!$B:$B,0)),"")</f>
        <v/>
      </c>
      <c r="H296" s="62">
        <f t="array" ref="H296">IFERROR(INDEX(PRODUCT!$F:$F,MATCH(C296,PRODUCT!$B:$B,0)),"")</f>
        <v/>
      </c>
      <c r="I296" s="62">
        <f>IF(C296="","",INPUT_SYSTEM!G310)</f>
        <v/>
      </c>
      <c r="J296" s="62">
        <f>IF(C296="","",INPUT_SYSTEM!H310)</f>
        <v/>
      </c>
      <c r="K296" s="60">
        <f>IF(C296="","",INPUT_SYSTEM!J310)</f>
        <v/>
      </c>
      <c r="L296" s="62">
        <f>IF(C296="","",INPUT_SYSTEM!K310)</f>
        <v/>
      </c>
      <c r="M296" s="62">
        <f>IF(C296="","",INPUT_SYSTEM!L310)</f>
        <v/>
      </c>
      <c r="N296" s="62">
        <f>IF(U296&lt;&gt;"SI","",IF(M296&lt;&gt;"",M296,IFERROR(I296*J296*(1+K296)*L296,"")))</f>
        <v/>
      </c>
      <c r="O296" s="62">
        <f>IF(N296="","",IF(OR(H296="",H296=0),N296,ROUNDUP(N296/H296,0)))</f>
        <v/>
      </c>
      <c r="P296" s="63">
        <f t="array" ref="P296">IFERROR(INDEX(PRODUCT!$I:$I,MATCH(C296,PRODUCT!$B:$B,0)),"")</f>
        <v/>
      </c>
      <c r="Q296" s="63">
        <f>IF(C296="","",INPUT_SYSTEM!M310)</f>
        <v/>
      </c>
      <c r="R296" s="63">
        <f>IF(P296="","",P296*(1+Q296))</f>
        <v/>
      </c>
      <c r="S296" s="63">
        <f>IF(O296="","",IF(OR(H296="",H296=0),O296*P296,O296*H296*P296))</f>
        <v/>
      </c>
      <c r="T296" s="63">
        <f>IF(O296="","",IF(OR(H296="",H296=0),O296*R296,O296*H296*R296))</f>
        <v/>
      </c>
      <c r="U296" s="62">
        <f>IF(C296="","",INPUT_SYSTEM!C310)</f>
        <v/>
      </c>
      <c r="V296" s="2" t="n"/>
    </row>
    <row r="297" ht="15.75" customHeight="1" s="125">
      <c r="A297" s="62">
        <f>IF(INPUT_SYSTEM!D311="","",INPUT_SYSTEM!A311)</f>
        <v/>
      </c>
      <c r="B297" s="62">
        <f>IF(INPUT_SYSTEM!D311="","",INPUT_SYSTEM!B311)</f>
        <v/>
      </c>
      <c r="C297" s="62">
        <f>IF(INPUT_SYSTEM!D311="","",INPUT_SYSTEM!D311)</f>
        <v/>
      </c>
      <c r="D297" s="62">
        <f>IF(C297="","",INPUT_SYSTEM!E311)</f>
        <v/>
      </c>
      <c r="E297" s="62">
        <f>IF(C297="","",INPUT_SYSTEM!F311)</f>
        <v/>
      </c>
      <c r="F297" s="62">
        <f t="array" ref="F297">IFERROR(INDEX(PRODUCT!$D:$D,MATCH(C297,PRODUCT!$B:$B,0)),"")</f>
        <v/>
      </c>
      <c r="G297" s="62">
        <f t="array" ref="G297">IFERROR(INDEX(PRODUCT!$E:$E,MATCH(C297,PRODUCT!$B:$B,0)),"")</f>
        <v/>
      </c>
      <c r="H297" s="62">
        <f t="array" ref="H297">IFERROR(INDEX(PRODUCT!$F:$F,MATCH(C297,PRODUCT!$B:$B,0)),"")</f>
        <v/>
      </c>
      <c r="I297" s="62">
        <f>IF(C297="","",INPUT_SYSTEM!G311)</f>
        <v/>
      </c>
      <c r="J297" s="62">
        <f>IF(C297="","",INPUT_SYSTEM!H311)</f>
        <v/>
      </c>
      <c r="K297" s="60">
        <f>IF(C297="","",INPUT_SYSTEM!J311)</f>
        <v/>
      </c>
      <c r="L297" s="62">
        <f>IF(C297="","",INPUT_SYSTEM!K311)</f>
        <v/>
      </c>
      <c r="M297" s="62">
        <f>IF(C297="","",INPUT_SYSTEM!L311)</f>
        <v/>
      </c>
      <c r="N297" s="62">
        <f>IF(U297&lt;&gt;"SI","",IF(M297&lt;&gt;"",M297,IFERROR(I297*J297*(1+K297)*L297,"")))</f>
        <v/>
      </c>
      <c r="O297" s="62">
        <f>IF(N297="","",IF(OR(H297="",H297=0),N297,ROUNDUP(N297/H297,0)))</f>
        <v/>
      </c>
      <c r="P297" s="63">
        <f t="array" ref="P297">IFERROR(INDEX(PRODUCT!$I:$I,MATCH(C297,PRODUCT!$B:$B,0)),"")</f>
        <v/>
      </c>
      <c r="Q297" s="63">
        <f>IF(C297="","",INPUT_SYSTEM!M311)</f>
        <v/>
      </c>
      <c r="R297" s="63">
        <f>IF(P297="","",P297*(1+Q297))</f>
        <v/>
      </c>
      <c r="S297" s="63">
        <f>IF(O297="","",IF(OR(H297="",H297=0),O297*P297,O297*H297*P297))</f>
        <v/>
      </c>
      <c r="T297" s="63">
        <f>IF(O297="","",IF(OR(H297="",H297=0),O297*R297,O297*H297*R297))</f>
        <v/>
      </c>
      <c r="U297" s="62">
        <f>IF(C297="","",INPUT_SYSTEM!C311)</f>
        <v/>
      </c>
      <c r="V297" s="2" t="n"/>
    </row>
    <row r="298" ht="15.75" customHeight="1" s="125">
      <c r="A298" s="62">
        <f>IF(INPUT_SYSTEM!D312="","",INPUT_SYSTEM!A312)</f>
        <v/>
      </c>
      <c r="B298" s="62">
        <f>IF(INPUT_SYSTEM!D312="","",INPUT_SYSTEM!B312)</f>
        <v/>
      </c>
      <c r="C298" s="62">
        <f>IF(INPUT_SYSTEM!D312="","",INPUT_SYSTEM!D312)</f>
        <v/>
      </c>
      <c r="D298" s="62">
        <f>IF(C298="","",INPUT_SYSTEM!E312)</f>
        <v/>
      </c>
      <c r="E298" s="62">
        <f>IF(C298="","",INPUT_SYSTEM!F312)</f>
        <v/>
      </c>
      <c r="F298" s="62">
        <f t="array" ref="F298">IFERROR(INDEX(PRODUCT!$D:$D,MATCH(C298,PRODUCT!$B:$B,0)),"")</f>
        <v/>
      </c>
      <c r="G298" s="62">
        <f t="array" ref="G298">IFERROR(INDEX(PRODUCT!$E:$E,MATCH(C298,PRODUCT!$B:$B,0)),"")</f>
        <v/>
      </c>
      <c r="H298" s="62">
        <f t="array" ref="H298">IFERROR(INDEX(PRODUCT!$F:$F,MATCH(C298,PRODUCT!$B:$B,0)),"")</f>
        <v/>
      </c>
      <c r="I298" s="62">
        <f>IF(C298="","",INPUT_SYSTEM!G312)</f>
        <v/>
      </c>
      <c r="J298" s="62">
        <f>IF(C298="","",INPUT_SYSTEM!H312)</f>
        <v/>
      </c>
      <c r="K298" s="60">
        <f>IF(C298="","",INPUT_SYSTEM!J312)</f>
        <v/>
      </c>
      <c r="L298" s="62">
        <f>IF(C298="","",INPUT_SYSTEM!K312)</f>
        <v/>
      </c>
      <c r="M298" s="62">
        <f>IF(C298="","",INPUT_SYSTEM!L312)</f>
        <v/>
      </c>
      <c r="N298" s="62">
        <f>IF(U298&lt;&gt;"SI","",IF(M298&lt;&gt;"",M298,IFERROR(I298*J298*(1+K298)*L298,"")))</f>
        <v/>
      </c>
      <c r="O298" s="62">
        <f>IF(N298="","",IF(OR(H298="",H298=0),N298,ROUNDUP(N298/H298,0)))</f>
        <v/>
      </c>
      <c r="P298" s="63">
        <f t="array" ref="P298">IFERROR(INDEX(PRODUCT!$I:$I,MATCH(C298,PRODUCT!$B:$B,0)),"")</f>
        <v/>
      </c>
      <c r="Q298" s="63">
        <f>IF(C298="","",INPUT_SYSTEM!M312)</f>
        <v/>
      </c>
      <c r="R298" s="63">
        <f>IF(P298="","",P298*(1+Q298))</f>
        <v/>
      </c>
      <c r="S298" s="63">
        <f>IF(O298="","",IF(OR(H298="",H298=0),O298*P298,O298*H298*P298))</f>
        <v/>
      </c>
      <c r="T298" s="63">
        <f>IF(O298="","",IF(OR(H298="",H298=0),O298*R298,O298*H298*R298))</f>
        <v/>
      </c>
      <c r="U298" s="62">
        <f>IF(C298="","",INPUT_SYSTEM!C312)</f>
        <v/>
      </c>
      <c r="V298" s="2" t="n"/>
    </row>
    <row r="299" ht="15.75" customHeight="1" s="125">
      <c r="A299" s="62">
        <f>IF(INPUT_SYSTEM!D313="","",INPUT_SYSTEM!A313)</f>
        <v/>
      </c>
      <c r="B299" s="62">
        <f>IF(INPUT_SYSTEM!D313="","",INPUT_SYSTEM!B313)</f>
        <v/>
      </c>
      <c r="C299" s="62">
        <f>IF(INPUT_SYSTEM!D313="","",INPUT_SYSTEM!D313)</f>
        <v/>
      </c>
      <c r="D299" s="62">
        <f>IF(C299="","",INPUT_SYSTEM!E313)</f>
        <v/>
      </c>
      <c r="E299" s="62">
        <f>IF(C299="","",INPUT_SYSTEM!F313)</f>
        <v/>
      </c>
      <c r="F299" s="62">
        <f t="array" ref="F299">IFERROR(INDEX(PRODUCT!$D:$D,MATCH(C299,PRODUCT!$B:$B,0)),"")</f>
        <v/>
      </c>
      <c r="G299" s="62">
        <f t="array" ref="G299">IFERROR(INDEX(PRODUCT!$E:$E,MATCH(C299,PRODUCT!$B:$B,0)),"")</f>
        <v/>
      </c>
      <c r="H299" s="62">
        <f t="array" ref="H299">IFERROR(INDEX(PRODUCT!$F:$F,MATCH(C299,PRODUCT!$B:$B,0)),"")</f>
        <v/>
      </c>
      <c r="I299" s="62">
        <f>IF(C299="","",INPUT_SYSTEM!G313)</f>
        <v/>
      </c>
      <c r="J299" s="62">
        <f>IF(C299="","",INPUT_SYSTEM!H313)</f>
        <v/>
      </c>
      <c r="K299" s="60">
        <f>IF(C299="","",INPUT_SYSTEM!J313)</f>
        <v/>
      </c>
      <c r="L299" s="62">
        <f>IF(C299="","",INPUT_SYSTEM!K313)</f>
        <v/>
      </c>
      <c r="M299" s="62">
        <f>IF(C299="","",INPUT_SYSTEM!L313)</f>
        <v/>
      </c>
      <c r="N299" s="62">
        <f>IF(U299&lt;&gt;"SI","",IF(M299&lt;&gt;"",M299,IFERROR(I299*J299*(1+K299)*L299,"")))</f>
        <v/>
      </c>
      <c r="O299" s="62">
        <f>IF(N299="","",IF(OR(H299="",H299=0),N299,ROUNDUP(N299/H299,0)))</f>
        <v/>
      </c>
      <c r="P299" s="63">
        <f t="array" ref="P299">IFERROR(INDEX(PRODUCT!$I:$I,MATCH(C299,PRODUCT!$B:$B,0)),"")</f>
        <v/>
      </c>
      <c r="Q299" s="63">
        <f>IF(C299="","",INPUT_SYSTEM!M313)</f>
        <v/>
      </c>
      <c r="R299" s="63">
        <f>IF(P299="","",P299*(1+Q299))</f>
        <v/>
      </c>
      <c r="S299" s="63">
        <f>IF(O299="","",IF(OR(H299="",H299=0),O299*P299,O299*H299*P299))</f>
        <v/>
      </c>
      <c r="T299" s="63">
        <f>IF(O299="","",IF(OR(H299="",H299=0),O299*R299,O299*H299*R299))</f>
        <v/>
      </c>
      <c r="U299" s="62">
        <f>IF(C299="","",INPUT_SYSTEM!C313)</f>
        <v/>
      </c>
      <c r="V299" s="2" t="n"/>
    </row>
    <row r="300" ht="15.75" customHeight="1" s="125">
      <c r="A300" s="62">
        <f>IF(INPUT_SYSTEM!D314="","",INPUT_SYSTEM!A314)</f>
        <v/>
      </c>
      <c r="B300" s="62">
        <f>IF(INPUT_SYSTEM!D314="","",INPUT_SYSTEM!B314)</f>
        <v/>
      </c>
      <c r="C300" s="62">
        <f>IF(INPUT_SYSTEM!D314="","",INPUT_SYSTEM!D314)</f>
        <v/>
      </c>
      <c r="D300" s="62">
        <f>IF(C300="","",INPUT_SYSTEM!E314)</f>
        <v/>
      </c>
      <c r="E300" s="62">
        <f>IF(C300="","",INPUT_SYSTEM!F314)</f>
        <v/>
      </c>
      <c r="F300" s="62">
        <f t="array" ref="F300">IFERROR(INDEX(PRODUCT!$D:$D,MATCH(C300,PRODUCT!$B:$B,0)),"")</f>
        <v/>
      </c>
      <c r="G300" s="62">
        <f t="array" ref="G300">IFERROR(INDEX(PRODUCT!$E:$E,MATCH(C300,PRODUCT!$B:$B,0)),"")</f>
        <v/>
      </c>
      <c r="H300" s="62">
        <f t="array" ref="H300">IFERROR(INDEX(PRODUCT!$F:$F,MATCH(C300,PRODUCT!$B:$B,0)),"")</f>
        <v/>
      </c>
      <c r="I300" s="62">
        <f>IF(C300="","",INPUT_SYSTEM!G314)</f>
        <v/>
      </c>
      <c r="J300" s="62">
        <f>IF(C300="","",INPUT_SYSTEM!H314)</f>
        <v/>
      </c>
      <c r="K300" s="60">
        <f>IF(C300="","",INPUT_SYSTEM!J314)</f>
        <v/>
      </c>
      <c r="L300" s="62">
        <f>IF(C300="","",INPUT_SYSTEM!K314)</f>
        <v/>
      </c>
      <c r="M300" s="62">
        <f>IF(C300="","",INPUT_SYSTEM!L314)</f>
        <v/>
      </c>
      <c r="N300" s="62">
        <f>IF(U300&lt;&gt;"SI","",IF(M300&lt;&gt;"",M300,IFERROR(I300*J300*(1+K300)*L300,"")))</f>
        <v/>
      </c>
      <c r="O300" s="62">
        <f>IF(N300="","",IF(OR(H300="",H300=0),N300,ROUNDUP(N300/H300,0)))</f>
        <v/>
      </c>
      <c r="P300" s="63">
        <f t="array" ref="P300">IFERROR(INDEX(PRODUCT!$I:$I,MATCH(C300,PRODUCT!$B:$B,0)),"")</f>
        <v/>
      </c>
      <c r="Q300" s="63">
        <f>IF(C300="","",INPUT_SYSTEM!M314)</f>
        <v/>
      </c>
      <c r="R300" s="63">
        <f>IF(P300="","",P300*(1+Q300))</f>
        <v/>
      </c>
      <c r="S300" s="63">
        <f>IF(O300="","",IF(OR(H300="",H300=0),O300*P300,O300*H300*P300))</f>
        <v/>
      </c>
      <c r="T300" s="63">
        <f>IF(O300="","",IF(OR(H300="",H300=0),O300*R300,O300*H300*R300))</f>
        <v/>
      </c>
      <c r="U300" s="62">
        <f>IF(C300="","",INPUT_SYSTEM!C314)</f>
        <v/>
      </c>
      <c r="V300" s="2" t="n"/>
    </row>
    <row r="301" ht="15.75" customHeight="1" s="125">
      <c r="A301" s="62">
        <f>IF(INPUT_SYSTEM!D315="","",INPUT_SYSTEM!A315)</f>
        <v/>
      </c>
      <c r="B301" s="62">
        <f>IF(INPUT_SYSTEM!D315="","",INPUT_SYSTEM!B315)</f>
        <v/>
      </c>
      <c r="C301" s="62">
        <f>IF(INPUT_SYSTEM!D315="","",INPUT_SYSTEM!D315)</f>
        <v/>
      </c>
      <c r="D301" s="62">
        <f>IF(C301="","",INPUT_SYSTEM!E315)</f>
        <v/>
      </c>
      <c r="E301" s="62">
        <f>IF(C301="","",INPUT_SYSTEM!F315)</f>
        <v/>
      </c>
      <c r="F301" s="62">
        <f t="array" ref="F301">IFERROR(INDEX(PRODUCT!$D:$D,MATCH(C301,PRODUCT!$B:$B,0)),"")</f>
        <v/>
      </c>
      <c r="G301" s="62">
        <f t="array" ref="G301">IFERROR(INDEX(PRODUCT!$E:$E,MATCH(C301,PRODUCT!$B:$B,0)),"")</f>
        <v/>
      </c>
      <c r="H301" s="62">
        <f t="array" ref="H301">IFERROR(INDEX(PRODUCT!$F:$F,MATCH(C301,PRODUCT!$B:$B,0)),"")</f>
        <v/>
      </c>
      <c r="I301" s="62">
        <f>IF(C301="","",INPUT_SYSTEM!G315)</f>
        <v/>
      </c>
      <c r="J301" s="62">
        <f>IF(C301="","",INPUT_SYSTEM!H315)</f>
        <v/>
      </c>
      <c r="K301" s="60">
        <f>IF(C301="","",INPUT_SYSTEM!J315)</f>
        <v/>
      </c>
      <c r="L301" s="62">
        <f>IF(C301="","",INPUT_SYSTEM!K315)</f>
        <v/>
      </c>
      <c r="M301" s="62">
        <f>IF(C301="","",INPUT_SYSTEM!L315)</f>
        <v/>
      </c>
      <c r="N301" s="62">
        <f>IF(U301&lt;&gt;"SI","",IF(M301&lt;&gt;"",M301,IFERROR(I301*J301*(1+K301)*L301,"")))</f>
        <v/>
      </c>
      <c r="O301" s="62">
        <f>IF(N301="","",IF(OR(H301="",H301=0),N301,ROUNDUP(N301/H301,0)))</f>
        <v/>
      </c>
      <c r="P301" s="63">
        <f t="array" ref="P301">IFERROR(INDEX(PRODUCT!$I:$I,MATCH(C301,PRODUCT!$B:$B,0)),"")</f>
        <v/>
      </c>
      <c r="Q301" s="63">
        <f>IF(C301="","",INPUT_SYSTEM!M315)</f>
        <v/>
      </c>
      <c r="R301" s="63">
        <f>IF(P301="","",P301*(1+Q301))</f>
        <v/>
      </c>
      <c r="S301" s="63">
        <f>IF(O301="","",IF(OR(H301="",H301=0),O301*P301,O301*H301*P301))</f>
        <v/>
      </c>
      <c r="T301" s="63">
        <f>IF(O301="","",IF(OR(H301="",H301=0),O301*R301,O301*H301*R301))</f>
        <v/>
      </c>
      <c r="U301" s="62">
        <f>IF(C301="","",INPUT_SYSTEM!C315)</f>
        <v/>
      </c>
      <c r="V301" s="2" t="n"/>
    </row>
    <row r="302" ht="15.75" customHeight="1" s="125">
      <c r="A302" s="62">
        <f>IF(INPUT_SYSTEM!D316="","",INPUT_SYSTEM!A316)</f>
        <v/>
      </c>
      <c r="B302" s="62">
        <f>IF(INPUT_SYSTEM!D316="","",INPUT_SYSTEM!B316)</f>
        <v/>
      </c>
      <c r="C302" s="62">
        <f>IF(INPUT_SYSTEM!D316="","",INPUT_SYSTEM!D316)</f>
        <v/>
      </c>
      <c r="D302" s="62">
        <f>IF(C302="","",INPUT_SYSTEM!E316)</f>
        <v/>
      </c>
      <c r="E302" s="62">
        <f>IF(C302="","",INPUT_SYSTEM!F316)</f>
        <v/>
      </c>
      <c r="F302" s="62">
        <f t="array" ref="F302">IFERROR(INDEX(PRODUCT!$D:$D,MATCH(C302,PRODUCT!$B:$B,0)),"")</f>
        <v/>
      </c>
      <c r="G302" s="62">
        <f t="array" ref="G302">IFERROR(INDEX(PRODUCT!$E:$E,MATCH(C302,PRODUCT!$B:$B,0)),"")</f>
        <v/>
      </c>
      <c r="H302" s="62">
        <f t="array" ref="H302">IFERROR(INDEX(PRODUCT!$F:$F,MATCH(C302,PRODUCT!$B:$B,0)),"")</f>
        <v/>
      </c>
      <c r="I302" s="62">
        <f>IF(C302="","",INPUT_SYSTEM!G316)</f>
        <v/>
      </c>
      <c r="J302" s="62">
        <f>IF(C302="","",INPUT_SYSTEM!H316)</f>
        <v/>
      </c>
      <c r="K302" s="60">
        <f>IF(C302="","",INPUT_SYSTEM!J316)</f>
        <v/>
      </c>
      <c r="L302" s="62">
        <f>IF(C302="","",INPUT_SYSTEM!K316)</f>
        <v/>
      </c>
      <c r="M302" s="62">
        <f>IF(C302="","",INPUT_SYSTEM!L316)</f>
        <v/>
      </c>
      <c r="N302" s="62">
        <f>IF(U302&lt;&gt;"SI","",IF(M302&lt;&gt;"",M302,IFERROR(I302*J302*(1+K302)*L302,"")))</f>
        <v/>
      </c>
      <c r="O302" s="62">
        <f>IF(N302="","",IF(OR(H302="",H302=0),N302,ROUNDUP(N302/H302,0)))</f>
        <v/>
      </c>
      <c r="P302" s="63">
        <f t="array" ref="P302">IFERROR(INDEX(PRODUCT!$I:$I,MATCH(C302,PRODUCT!$B:$B,0)),"")</f>
        <v/>
      </c>
      <c r="Q302" s="63">
        <f>IF(C302="","",INPUT_SYSTEM!M316)</f>
        <v/>
      </c>
      <c r="R302" s="63">
        <f>IF(P302="","",P302*(1+Q302))</f>
        <v/>
      </c>
      <c r="S302" s="63">
        <f>IF(O302="","",IF(OR(H302="",H302=0),O302*P302,O302*H302*P302))</f>
        <v/>
      </c>
      <c r="T302" s="63">
        <f>IF(O302="","",IF(OR(H302="",H302=0),O302*R302,O302*H302*R302))</f>
        <v/>
      </c>
      <c r="U302" s="62">
        <f>IF(C302="","",INPUT_SYSTEM!C316)</f>
        <v/>
      </c>
      <c r="V302" s="2" t="n"/>
    </row>
    <row r="303" ht="15.75" customHeight="1" s="125">
      <c r="A303" s="62">
        <f>IF(INPUT_SYSTEM!D317="","",INPUT_SYSTEM!A317)</f>
        <v/>
      </c>
      <c r="B303" s="62">
        <f>IF(INPUT_SYSTEM!D317="","",INPUT_SYSTEM!B317)</f>
        <v/>
      </c>
      <c r="C303" s="62">
        <f>IF(INPUT_SYSTEM!D317="","",INPUT_SYSTEM!D317)</f>
        <v/>
      </c>
      <c r="D303" s="62">
        <f>IF(C303="","",INPUT_SYSTEM!E317)</f>
        <v/>
      </c>
      <c r="E303" s="62">
        <f>IF(C303="","",INPUT_SYSTEM!F317)</f>
        <v/>
      </c>
      <c r="F303" s="62">
        <f t="array" ref="F303">IFERROR(INDEX(PRODUCT!$D:$D,MATCH(C303,PRODUCT!$B:$B,0)),"")</f>
        <v/>
      </c>
      <c r="G303" s="62">
        <f t="array" ref="G303">IFERROR(INDEX(PRODUCT!$E:$E,MATCH(C303,PRODUCT!$B:$B,0)),"")</f>
        <v/>
      </c>
      <c r="H303" s="62">
        <f t="array" ref="H303">IFERROR(INDEX(PRODUCT!$F:$F,MATCH(C303,PRODUCT!$B:$B,0)),"")</f>
        <v/>
      </c>
      <c r="I303" s="62">
        <f>IF(C303="","",INPUT_SYSTEM!G317)</f>
        <v/>
      </c>
      <c r="J303" s="62">
        <f>IF(C303="","",INPUT_SYSTEM!H317)</f>
        <v/>
      </c>
      <c r="K303" s="60">
        <f>IF(C303="","",INPUT_SYSTEM!J317)</f>
        <v/>
      </c>
      <c r="L303" s="62">
        <f>IF(C303="","",INPUT_SYSTEM!K317)</f>
        <v/>
      </c>
      <c r="M303" s="62">
        <f>IF(C303="","",INPUT_SYSTEM!L317)</f>
        <v/>
      </c>
      <c r="N303" s="62">
        <f>IF(U303&lt;&gt;"SI","",IF(M303&lt;&gt;"",M303,IFERROR(I303*J303*(1+K303)*L303,"")))</f>
        <v/>
      </c>
      <c r="O303" s="62">
        <f>IF(N303="","",IF(OR(H303="",H303=0),N303,ROUNDUP(N303/H303,0)))</f>
        <v/>
      </c>
      <c r="P303" s="63">
        <f t="array" ref="P303">IFERROR(INDEX(PRODUCT!$I:$I,MATCH(C303,PRODUCT!$B:$B,0)),"")</f>
        <v/>
      </c>
      <c r="Q303" s="63">
        <f>IF(C303="","",INPUT_SYSTEM!M317)</f>
        <v/>
      </c>
      <c r="R303" s="63">
        <f>IF(P303="","",P303*(1+Q303))</f>
        <v/>
      </c>
      <c r="S303" s="63">
        <f>IF(O303="","",IF(OR(H303="",H303=0),O303*P303,O303*H303*P303))</f>
        <v/>
      </c>
      <c r="T303" s="63">
        <f>IF(O303="","",IF(OR(H303="",H303=0),O303*R303,O303*H303*R303))</f>
        <v/>
      </c>
      <c r="U303" s="62">
        <f>IF(C303="","",INPUT_SYSTEM!C317)</f>
        <v/>
      </c>
      <c r="V303" s="2" t="n"/>
    </row>
    <row r="304" ht="15.75" customHeight="1" s="125">
      <c r="A304" s="62">
        <f>IF(INPUT_SYSTEM!D318="","",INPUT_SYSTEM!A318)</f>
        <v/>
      </c>
      <c r="B304" s="62">
        <f>IF(INPUT_SYSTEM!D318="","",INPUT_SYSTEM!B318)</f>
        <v/>
      </c>
      <c r="C304" s="62">
        <f>IF(INPUT_SYSTEM!D318="","",INPUT_SYSTEM!D318)</f>
        <v/>
      </c>
      <c r="D304" s="62">
        <f>IF(C304="","",INPUT_SYSTEM!E318)</f>
        <v/>
      </c>
      <c r="E304" s="62">
        <f>IF(C304="","",INPUT_SYSTEM!F318)</f>
        <v/>
      </c>
      <c r="F304" s="62">
        <f t="array" ref="F304">IFERROR(INDEX(PRODUCT!$D:$D,MATCH(C304,PRODUCT!$B:$B,0)),"")</f>
        <v/>
      </c>
      <c r="G304" s="62">
        <f t="array" ref="G304">IFERROR(INDEX(PRODUCT!$E:$E,MATCH(C304,PRODUCT!$B:$B,0)),"")</f>
        <v/>
      </c>
      <c r="H304" s="62">
        <f t="array" ref="H304">IFERROR(INDEX(PRODUCT!$F:$F,MATCH(C304,PRODUCT!$B:$B,0)),"")</f>
        <v/>
      </c>
      <c r="I304" s="62">
        <f>IF(C304="","",INPUT_SYSTEM!G318)</f>
        <v/>
      </c>
      <c r="J304" s="62">
        <f>IF(C304="","",INPUT_SYSTEM!H318)</f>
        <v/>
      </c>
      <c r="K304" s="60">
        <f>IF(C304="","",INPUT_SYSTEM!J318)</f>
        <v/>
      </c>
      <c r="L304" s="62">
        <f>IF(C304="","",INPUT_SYSTEM!K318)</f>
        <v/>
      </c>
      <c r="M304" s="62">
        <f>IF(C304="","",INPUT_SYSTEM!L318)</f>
        <v/>
      </c>
      <c r="N304" s="62">
        <f>IF(U304&lt;&gt;"SI","",IF(M304&lt;&gt;"",M304,IFERROR(I304*J304*(1+K304)*L304,"")))</f>
        <v/>
      </c>
      <c r="O304" s="62">
        <f>IF(N304="","",IF(OR(H304="",H304=0),N304,ROUNDUP(N304/H304,0)))</f>
        <v/>
      </c>
      <c r="P304" s="63">
        <f t="array" ref="P304">IFERROR(INDEX(PRODUCT!$I:$I,MATCH(C304,PRODUCT!$B:$B,0)),"")</f>
        <v/>
      </c>
      <c r="Q304" s="63">
        <f>IF(C304="","",INPUT_SYSTEM!M318)</f>
        <v/>
      </c>
      <c r="R304" s="63">
        <f>IF(P304="","",P304*(1+Q304))</f>
        <v/>
      </c>
      <c r="S304" s="63">
        <f>IF(O304="","",IF(OR(H304="",H304=0),O304*P304,O304*H304*P304))</f>
        <v/>
      </c>
      <c r="T304" s="63">
        <f>IF(O304="","",IF(OR(H304="",H304=0),O304*R304,O304*H304*R304))</f>
        <v/>
      </c>
      <c r="U304" s="62">
        <f>IF(C304="","",INPUT_SYSTEM!C318)</f>
        <v/>
      </c>
      <c r="V304" s="2" t="n"/>
    </row>
    <row r="305" ht="15.75" customHeight="1" s="125">
      <c r="A305" s="62">
        <f>IF(INPUT_SYSTEM!D319="","",INPUT_SYSTEM!A319)</f>
        <v/>
      </c>
      <c r="B305" s="62">
        <f>IF(INPUT_SYSTEM!D319="","",INPUT_SYSTEM!B319)</f>
        <v/>
      </c>
      <c r="C305" s="62">
        <f>IF(INPUT_SYSTEM!D319="","",INPUT_SYSTEM!D319)</f>
        <v/>
      </c>
      <c r="D305" s="62">
        <f>IF(C305="","",INPUT_SYSTEM!E319)</f>
        <v/>
      </c>
      <c r="E305" s="62">
        <f>IF(C305="","",INPUT_SYSTEM!F319)</f>
        <v/>
      </c>
      <c r="F305" s="62">
        <f t="array" ref="F305">IFERROR(INDEX(PRODUCT!$D:$D,MATCH(C305,PRODUCT!$B:$B,0)),"")</f>
        <v/>
      </c>
      <c r="G305" s="62">
        <f t="array" ref="G305">IFERROR(INDEX(PRODUCT!$E:$E,MATCH(C305,PRODUCT!$B:$B,0)),"")</f>
        <v/>
      </c>
      <c r="H305" s="62">
        <f t="array" ref="H305">IFERROR(INDEX(PRODUCT!$F:$F,MATCH(C305,PRODUCT!$B:$B,0)),"")</f>
        <v/>
      </c>
      <c r="I305" s="62">
        <f>IF(C305="","",INPUT_SYSTEM!G319)</f>
        <v/>
      </c>
      <c r="J305" s="62">
        <f>IF(C305="","",INPUT_SYSTEM!H319)</f>
        <v/>
      </c>
      <c r="K305" s="60">
        <f>IF(C305="","",INPUT_SYSTEM!J319)</f>
        <v/>
      </c>
      <c r="L305" s="62">
        <f>IF(C305="","",INPUT_SYSTEM!K319)</f>
        <v/>
      </c>
      <c r="M305" s="62">
        <f>IF(C305="","",INPUT_SYSTEM!L319)</f>
        <v/>
      </c>
      <c r="N305" s="62">
        <f>IF(U305&lt;&gt;"SI","",IF(M305&lt;&gt;"",M305,IFERROR(I305*J305*(1+K305)*L305,"")))</f>
        <v/>
      </c>
      <c r="O305" s="62">
        <f>IF(N305="","",IF(OR(H305="",H305=0),N305,ROUNDUP(N305/H305,0)))</f>
        <v/>
      </c>
      <c r="P305" s="63">
        <f t="array" ref="P305">IFERROR(INDEX(PRODUCT!$I:$I,MATCH(C305,PRODUCT!$B:$B,0)),"")</f>
        <v/>
      </c>
      <c r="Q305" s="63">
        <f>IF(C305="","",INPUT_SYSTEM!M319)</f>
        <v/>
      </c>
      <c r="R305" s="63">
        <f>IF(P305="","",P305*(1+Q305))</f>
        <v/>
      </c>
      <c r="S305" s="63">
        <f>IF(O305="","",IF(OR(H305="",H305=0),O305*P305,O305*H305*P305))</f>
        <v/>
      </c>
      <c r="T305" s="63">
        <f>IF(O305="","",IF(OR(H305="",H305=0),O305*R305,O305*H305*R305))</f>
        <v/>
      </c>
      <c r="U305" s="62">
        <f>IF(C305="","",INPUT_SYSTEM!C319)</f>
        <v/>
      </c>
      <c r="V305" s="2" t="n"/>
    </row>
    <row r="306" ht="15.75" customHeight="1" s="125">
      <c r="A306" s="62">
        <f>IF(INPUT_SYSTEM!D320="","",INPUT_SYSTEM!A320)</f>
        <v/>
      </c>
      <c r="B306" s="62">
        <f>IF(INPUT_SYSTEM!D320="","",INPUT_SYSTEM!B320)</f>
        <v/>
      </c>
      <c r="C306" s="62">
        <f>IF(INPUT_SYSTEM!D320="","",INPUT_SYSTEM!D320)</f>
        <v/>
      </c>
      <c r="D306" s="62">
        <f>IF(C306="","",INPUT_SYSTEM!E320)</f>
        <v/>
      </c>
      <c r="E306" s="62">
        <f>IF(C306="","",INPUT_SYSTEM!F320)</f>
        <v/>
      </c>
      <c r="F306" s="62">
        <f t="array" ref="F306">IFERROR(INDEX(PRODUCT!$D:$D,MATCH(C306,PRODUCT!$B:$B,0)),"")</f>
        <v/>
      </c>
      <c r="G306" s="62">
        <f t="array" ref="G306">IFERROR(INDEX(PRODUCT!$E:$E,MATCH(C306,PRODUCT!$B:$B,0)),"")</f>
        <v/>
      </c>
      <c r="H306" s="62">
        <f t="array" ref="H306">IFERROR(INDEX(PRODUCT!$F:$F,MATCH(C306,PRODUCT!$B:$B,0)),"")</f>
        <v/>
      </c>
      <c r="I306" s="62">
        <f>IF(C306="","",INPUT_SYSTEM!G320)</f>
        <v/>
      </c>
      <c r="J306" s="62">
        <f>IF(C306="","",INPUT_SYSTEM!H320)</f>
        <v/>
      </c>
      <c r="K306" s="60">
        <f>IF(C306="","",INPUT_SYSTEM!J320)</f>
        <v/>
      </c>
      <c r="L306" s="62">
        <f>IF(C306="","",INPUT_SYSTEM!K320)</f>
        <v/>
      </c>
      <c r="M306" s="62">
        <f>IF(C306="","",INPUT_SYSTEM!L320)</f>
        <v/>
      </c>
      <c r="N306" s="62">
        <f>IF(U306&lt;&gt;"SI","",IF(M306&lt;&gt;"",M306,IFERROR(I306*J306*(1+K306)*L306,"")))</f>
        <v/>
      </c>
      <c r="O306" s="62">
        <f>IF(N306="","",IF(OR(H306="",H306=0),N306,ROUNDUP(N306/H306,0)))</f>
        <v/>
      </c>
      <c r="P306" s="63">
        <f t="array" ref="P306">IFERROR(INDEX(PRODUCT!$I:$I,MATCH(C306,PRODUCT!$B:$B,0)),"")</f>
        <v/>
      </c>
      <c r="Q306" s="63">
        <f>IF(C306="","",INPUT_SYSTEM!M320)</f>
        <v/>
      </c>
      <c r="R306" s="63">
        <f>IF(P306="","",P306*(1+Q306))</f>
        <v/>
      </c>
      <c r="S306" s="63">
        <f>IF(O306="","",IF(OR(H306="",H306=0),O306*P306,O306*H306*P306))</f>
        <v/>
      </c>
      <c r="T306" s="63">
        <f>IF(O306="","",IF(OR(H306="",H306=0),O306*R306,O306*H306*R306))</f>
        <v/>
      </c>
      <c r="U306" s="62">
        <f>IF(C306="","",INPUT_SYSTEM!C320)</f>
        <v/>
      </c>
      <c r="V306" s="2" t="n"/>
    </row>
    <row r="307" ht="15.75" customHeight="1" s="125">
      <c r="A307" s="62">
        <f>IF(INPUT_SYSTEM!D321="","",INPUT_SYSTEM!A321)</f>
        <v/>
      </c>
      <c r="B307" s="62">
        <f>IF(INPUT_SYSTEM!D321="","",INPUT_SYSTEM!B321)</f>
        <v/>
      </c>
      <c r="C307" s="62">
        <f>IF(INPUT_SYSTEM!D321="","",INPUT_SYSTEM!D321)</f>
        <v/>
      </c>
      <c r="D307" s="62">
        <f>IF(C307="","",INPUT_SYSTEM!E321)</f>
        <v/>
      </c>
      <c r="E307" s="62">
        <f>IF(C307="","",INPUT_SYSTEM!F321)</f>
        <v/>
      </c>
      <c r="F307" s="62">
        <f t="array" ref="F307">IFERROR(INDEX(PRODUCT!$D:$D,MATCH(C307,PRODUCT!$B:$B,0)),"")</f>
        <v/>
      </c>
      <c r="G307" s="62">
        <f t="array" ref="G307">IFERROR(INDEX(PRODUCT!$E:$E,MATCH(C307,PRODUCT!$B:$B,0)),"")</f>
        <v/>
      </c>
      <c r="H307" s="62">
        <f t="array" ref="H307">IFERROR(INDEX(PRODUCT!$F:$F,MATCH(C307,PRODUCT!$B:$B,0)),"")</f>
        <v/>
      </c>
      <c r="I307" s="62">
        <f>IF(C307="","",INPUT_SYSTEM!G321)</f>
        <v/>
      </c>
      <c r="J307" s="62">
        <f>IF(C307="","",INPUT_SYSTEM!H321)</f>
        <v/>
      </c>
      <c r="K307" s="60">
        <f>IF(C307="","",INPUT_SYSTEM!J321)</f>
        <v/>
      </c>
      <c r="L307" s="62">
        <f>IF(C307="","",INPUT_SYSTEM!K321)</f>
        <v/>
      </c>
      <c r="M307" s="62">
        <f>IF(C307="","",INPUT_SYSTEM!L321)</f>
        <v/>
      </c>
      <c r="N307" s="62">
        <f>IF(U307&lt;&gt;"SI","",IF(M307&lt;&gt;"",M307,IFERROR(I307*J307*(1+K307)*L307,"")))</f>
        <v/>
      </c>
      <c r="O307" s="62">
        <f>IF(N307="","",IF(OR(H307="",H307=0),N307,ROUNDUP(N307/H307,0)))</f>
        <v/>
      </c>
      <c r="P307" s="63">
        <f t="array" ref="P307">IFERROR(INDEX(PRODUCT!$I:$I,MATCH(C307,PRODUCT!$B:$B,0)),"")</f>
        <v/>
      </c>
      <c r="Q307" s="63">
        <f>IF(C307="","",INPUT_SYSTEM!M321)</f>
        <v/>
      </c>
      <c r="R307" s="63">
        <f>IF(P307="","",P307*(1+Q307))</f>
        <v/>
      </c>
      <c r="S307" s="63">
        <f>IF(O307="","",IF(OR(H307="",H307=0),O307*P307,O307*H307*P307))</f>
        <v/>
      </c>
      <c r="T307" s="63">
        <f>IF(O307="","",IF(OR(H307="",H307=0),O307*R307,O307*H307*R307))</f>
        <v/>
      </c>
      <c r="U307" s="62">
        <f>IF(C307="","",INPUT_SYSTEM!C321)</f>
        <v/>
      </c>
      <c r="V307" s="2" t="n"/>
    </row>
    <row r="308" ht="15.75" customHeight="1" s="125">
      <c r="A308" s="62">
        <f>IF(INPUT_SYSTEM!D322="","",INPUT_SYSTEM!A322)</f>
        <v/>
      </c>
      <c r="B308" s="62">
        <f>IF(INPUT_SYSTEM!D322="","",INPUT_SYSTEM!B322)</f>
        <v/>
      </c>
      <c r="C308" s="62">
        <f>IF(INPUT_SYSTEM!D322="","",INPUT_SYSTEM!D322)</f>
        <v/>
      </c>
      <c r="D308" s="62">
        <f>IF(C308="","",INPUT_SYSTEM!E322)</f>
        <v/>
      </c>
      <c r="E308" s="62">
        <f>IF(C308="","",INPUT_SYSTEM!F322)</f>
        <v/>
      </c>
      <c r="F308" s="62">
        <f t="array" ref="F308">IFERROR(INDEX(PRODUCT!$D:$D,MATCH(C308,PRODUCT!$B:$B,0)),"")</f>
        <v/>
      </c>
      <c r="G308" s="62">
        <f t="array" ref="G308">IFERROR(INDEX(PRODUCT!$E:$E,MATCH(C308,PRODUCT!$B:$B,0)),"")</f>
        <v/>
      </c>
      <c r="H308" s="62">
        <f t="array" ref="H308">IFERROR(INDEX(PRODUCT!$F:$F,MATCH(C308,PRODUCT!$B:$B,0)),"")</f>
        <v/>
      </c>
      <c r="I308" s="62">
        <f>IF(C308="","",INPUT_SYSTEM!G322)</f>
        <v/>
      </c>
      <c r="J308" s="62">
        <f>IF(C308="","",INPUT_SYSTEM!H322)</f>
        <v/>
      </c>
      <c r="K308" s="60">
        <f>IF(C308="","",INPUT_SYSTEM!J322)</f>
        <v/>
      </c>
      <c r="L308" s="62">
        <f>IF(C308="","",INPUT_SYSTEM!K322)</f>
        <v/>
      </c>
      <c r="M308" s="62">
        <f>IF(C308="","",INPUT_SYSTEM!L322)</f>
        <v/>
      </c>
      <c r="N308" s="62">
        <f>IF(U308&lt;&gt;"SI","",IF(M308&lt;&gt;"",M308,IFERROR(I308*J308*(1+K308)*L308,"")))</f>
        <v/>
      </c>
      <c r="O308" s="62">
        <f>IF(N308="","",IF(OR(H308="",H308=0),N308,ROUNDUP(N308/H308,0)))</f>
        <v/>
      </c>
      <c r="P308" s="63">
        <f t="array" ref="P308">IFERROR(INDEX(PRODUCT!$I:$I,MATCH(C308,PRODUCT!$B:$B,0)),"")</f>
        <v/>
      </c>
      <c r="Q308" s="63">
        <f>IF(C308="","",INPUT_SYSTEM!M322)</f>
        <v/>
      </c>
      <c r="R308" s="63">
        <f>IF(P308="","",P308*(1+Q308))</f>
        <v/>
      </c>
      <c r="S308" s="63">
        <f>IF(O308="","",IF(OR(H308="",H308=0),O308*P308,O308*H308*P308))</f>
        <v/>
      </c>
      <c r="T308" s="63">
        <f>IF(O308="","",IF(OR(H308="",H308=0),O308*R308,O308*H308*R308))</f>
        <v/>
      </c>
      <c r="U308" s="62">
        <f>IF(C308="","",INPUT_SYSTEM!C322)</f>
        <v/>
      </c>
      <c r="V308" s="2" t="n"/>
    </row>
    <row r="309" ht="15.75" customHeight="1" s="125">
      <c r="A309" s="62">
        <f>IF(INPUT_SYSTEM!D323="","",INPUT_SYSTEM!A323)</f>
        <v/>
      </c>
      <c r="B309" s="62">
        <f>IF(INPUT_SYSTEM!D323="","",INPUT_SYSTEM!B323)</f>
        <v/>
      </c>
      <c r="C309" s="62">
        <f>IF(INPUT_SYSTEM!D323="","",INPUT_SYSTEM!D323)</f>
        <v/>
      </c>
      <c r="D309" s="62">
        <f>IF(C309="","",INPUT_SYSTEM!E323)</f>
        <v/>
      </c>
      <c r="E309" s="62">
        <f>IF(C309="","",INPUT_SYSTEM!F323)</f>
        <v/>
      </c>
      <c r="F309" s="62">
        <f t="array" ref="F309">IFERROR(INDEX(PRODUCT!$D:$D,MATCH(C309,PRODUCT!$B:$B,0)),"")</f>
        <v/>
      </c>
      <c r="G309" s="62">
        <f t="array" ref="G309">IFERROR(INDEX(PRODUCT!$E:$E,MATCH(C309,PRODUCT!$B:$B,0)),"")</f>
        <v/>
      </c>
      <c r="H309" s="62">
        <f t="array" ref="H309">IFERROR(INDEX(PRODUCT!$F:$F,MATCH(C309,PRODUCT!$B:$B,0)),"")</f>
        <v/>
      </c>
      <c r="I309" s="62">
        <f>IF(C309="","",INPUT_SYSTEM!G323)</f>
        <v/>
      </c>
      <c r="J309" s="62">
        <f>IF(C309="","",INPUT_SYSTEM!H323)</f>
        <v/>
      </c>
      <c r="K309" s="60">
        <f>IF(C309="","",INPUT_SYSTEM!J323)</f>
        <v/>
      </c>
      <c r="L309" s="62">
        <f>IF(C309="","",INPUT_SYSTEM!K323)</f>
        <v/>
      </c>
      <c r="M309" s="62">
        <f>IF(C309="","",INPUT_SYSTEM!L323)</f>
        <v/>
      </c>
      <c r="N309" s="62">
        <f>IF(U309&lt;&gt;"SI","",IF(M309&lt;&gt;"",M309,IFERROR(I309*J309*(1+K309)*L309,"")))</f>
        <v/>
      </c>
      <c r="O309" s="62">
        <f>IF(N309="","",IF(OR(H309="",H309=0),N309,ROUNDUP(N309/H309,0)))</f>
        <v/>
      </c>
      <c r="P309" s="63">
        <f t="array" ref="P309">IFERROR(INDEX(PRODUCT!$I:$I,MATCH(C309,PRODUCT!$B:$B,0)),"")</f>
        <v/>
      </c>
      <c r="Q309" s="63">
        <f>IF(C309="","",INPUT_SYSTEM!M323)</f>
        <v/>
      </c>
      <c r="R309" s="63">
        <f>IF(P309="","",P309*(1+Q309))</f>
        <v/>
      </c>
      <c r="S309" s="63">
        <f>IF(O309="","",IF(OR(H309="",H309=0),O309*P309,O309*H309*P309))</f>
        <v/>
      </c>
      <c r="T309" s="63">
        <f>IF(O309="","",IF(OR(H309="",H309=0),O309*R309,O309*H309*R309))</f>
        <v/>
      </c>
      <c r="U309" s="62">
        <f>IF(C309="","",INPUT_SYSTEM!C323)</f>
        <v/>
      </c>
      <c r="V309" s="2" t="n"/>
    </row>
    <row r="310" ht="15.75" customHeight="1" s="125">
      <c r="A310" s="62">
        <f>IF(INPUT_SYSTEM!D324="","",INPUT_SYSTEM!A324)</f>
        <v/>
      </c>
      <c r="B310" s="62">
        <f>IF(INPUT_SYSTEM!D324="","",INPUT_SYSTEM!B324)</f>
        <v/>
      </c>
      <c r="C310" s="62">
        <f>IF(INPUT_SYSTEM!D324="","",INPUT_SYSTEM!D324)</f>
        <v/>
      </c>
      <c r="D310" s="62">
        <f>IF(C310="","",INPUT_SYSTEM!E324)</f>
        <v/>
      </c>
      <c r="E310" s="62">
        <f>IF(C310="","",INPUT_SYSTEM!F324)</f>
        <v/>
      </c>
      <c r="F310" s="62">
        <f t="array" ref="F310">IFERROR(INDEX(PRODUCT!$D:$D,MATCH(C310,PRODUCT!$B:$B,0)),"")</f>
        <v/>
      </c>
      <c r="G310" s="62">
        <f t="array" ref="G310">IFERROR(INDEX(PRODUCT!$E:$E,MATCH(C310,PRODUCT!$B:$B,0)),"")</f>
        <v/>
      </c>
      <c r="H310" s="62">
        <f t="array" ref="H310">IFERROR(INDEX(PRODUCT!$F:$F,MATCH(C310,PRODUCT!$B:$B,0)),"")</f>
        <v/>
      </c>
      <c r="I310" s="62">
        <f>IF(C310="","",INPUT_SYSTEM!G324)</f>
        <v/>
      </c>
      <c r="J310" s="62">
        <f>IF(C310="","",INPUT_SYSTEM!H324)</f>
        <v/>
      </c>
      <c r="K310" s="60">
        <f>IF(C310="","",INPUT_SYSTEM!J324)</f>
        <v/>
      </c>
      <c r="L310" s="62">
        <f>IF(C310="","",INPUT_SYSTEM!K324)</f>
        <v/>
      </c>
      <c r="M310" s="62">
        <f>IF(C310="","",INPUT_SYSTEM!L324)</f>
        <v/>
      </c>
      <c r="N310" s="62">
        <f>IF(U310&lt;&gt;"SI","",IF(M310&lt;&gt;"",M310,IFERROR(I310*J310*(1+K310)*L310,"")))</f>
        <v/>
      </c>
      <c r="O310" s="62">
        <f>IF(N310="","",IF(OR(H310="",H310=0),N310,ROUNDUP(N310/H310,0)))</f>
        <v/>
      </c>
      <c r="P310" s="63">
        <f t="array" ref="P310">IFERROR(INDEX(PRODUCT!$I:$I,MATCH(C310,PRODUCT!$B:$B,0)),"")</f>
        <v/>
      </c>
      <c r="Q310" s="63">
        <f>IF(C310="","",INPUT_SYSTEM!M324)</f>
        <v/>
      </c>
      <c r="R310" s="63">
        <f>IF(P310="","",P310*(1+Q310))</f>
        <v/>
      </c>
      <c r="S310" s="63">
        <f>IF(O310="","",IF(OR(H310="",H310=0),O310*P310,O310*H310*P310))</f>
        <v/>
      </c>
      <c r="T310" s="63">
        <f>IF(O310="","",IF(OR(H310="",H310=0),O310*R310,O310*H310*R310))</f>
        <v/>
      </c>
      <c r="U310" s="62">
        <f>IF(C310="","",INPUT_SYSTEM!C324)</f>
        <v/>
      </c>
      <c r="V310" s="2" t="n"/>
    </row>
    <row r="311" ht="15.75" customHeight="1" s="125">
      <c r="A311" s="62">
        <f>IF(INPUT_SYSTEM!D325="","",INPUT_SYSTEM!A325)</f>
        <v/>
      </c>
      <c r="B311" s="62">
        <f>IF(INPUT_SYSTEM!D325="","",INPUT_SYSTEM!B325)</f>
        <v/>
      </c>
      <c r="C311" s="62">
        <f>IF(INPUT_SYSTEM!D325="","",INPUT_SYSTEM!D325)</f>
        <v/>
      </c>
      <c r="D311" s="62">
        <f>IF(C311="","",INPUT_SYSTEM!E325)</f>
        <v/>
      </c>
      <c r="E311" s="62">
        <f>IF(C311="","",INPUT_SYSTEM!F325)</f>
        <v/>
      </c>
      <c r="F311" s="62">
        <f t="array" ref="F311">IFERROR(INDEX(PRODUCT!$D:$D,MATCH(C311,PRODUCT!$B:$B,0)),"")</f>
        <v/>
      </c>
      <c r="G311" s="62">
        <f t="array" ref="G311">IFERROR(INDEX(PRODUCT!$E:$E,MATCH(C311,PRODUCT!$B:$B,0)),"")</f>
        <v/>
      </c>
      <c r="H311" s="62">
        <f t="array" ref="H311">IFERROR(INDEX(PRODUCT!$F:$F,MATCH(C311,PRODUCT!$B:$B,0)),"")</f>
        <v/>
      </c>
      <c r="I311" s="62">
        <f>IF(C311="","",INPUT_SYSTEM!G325)</f>
        <v/>
      </c>
      <c r="J311" s="62">
        <f>IF(C311="","",INPUT_SYSTEM!H325)</f>
        <v/>
      </c>
      <c r="K311" s="60">
        <f>IF(C311="","",INPUT_SYSTEM!J325)</f>
        <v/>
      </c>
      <c r="L311" s="62">
        <f>IF(C311="","",INPUT_SYSTEM!K325)</f>
        <v/>
      </c>
      <c r="M311" s="62">
        <f>IF(C311="","",INPUT_SYSTEM!L325)</f>
        <v/>
      </c>
      <c r="N311" s="62">
        <f>IF(U311&lt;&gt;"SI","",IF(M311&lt;&gt;"",M311,IFERROR(I311*J311*(1+K311)*L311,"")))</f>
        <v/>
      </c>
      <c r="O311" s="62">
        <f>IF(N311="","",IF(OR(H311="",H311=0),N311,ROUNDUP(N311/H311,0)))</f>
        <v/>
      </c>
      <c r="P311" s="63">
        <f t="array" ref="P311">IFERROR(INDEX(PRODUCT!$I:$I,MATCH(C311,PRODUCT!$B:$B,0)),"")</f>
        <v/>
      </c>
      <c r="Q311" s="63">
        <f>IF(C311="","",INPUT_SYSTEM!M325)</f>
        <v/>
      </c>
      <c r="R311" s="63">
        <f>IF(P311="","",P311*(1+Q311))</f>
        <v/>
      </c>
      <c r="S311" s="63">
        <f>IF(O311="","",IF(OR(H311="",H311=0),O311*P311,O311*H311*P311))</f>
        <v/>
      </c>
      <c r="T311" s="63">
        <f>IF(O311="","",IF(OR(H311="",H311=0),O311*R311,O311*H311*R311))</f>
        <v/>
      </c>
      <c r="U311" s="62">
        <f>IF(C311="","",INPUT_SYSTEM!C325)</f>
        <v/>
      </c>
      <c r="V311" s="2" t="n"/>
    </row>
    <row r="312" ht="15.75" customHeight="1" s="125">
      <c r="A312" s="62">
        <f>IF(INPUT_SYSTEM!D326="","",INPUT_SYSTEM!A326)</f>
        <v/>
      </c>
      <c r="B312" s="62">
        <f>IF(INPUT_SYSTEM!D326="","",INPUT_SYSTEM!B326)</f>
        <v/>
      </c>
      <c r="C312" s="62">
        <f>IF(INPUT_SYSTEM!D326="","",INPUT_SYSTEM!D326)</f>
        <v/>
      </c>
      <c r="D312" s="62">
        <f>IF(C312="","",INPUT_SYSTEM!E326)</f>
        <v/>
      </c>
      <c r="E312" s="62">
        <f>IF(C312="","",INPUT_SYSTEM!F326)</f>
        <v/>
      </c>
      <c r="F312" s="62">
        <f t="array" ref="F312">IFERROR(INDEX(PRODUCT!$D:$D,MATCH(C312,PRODUCT!$B:$B,0)),"")</f>
        <v/>
      </c>
      <c r="G312" s="62">
        <f t="array" ref="G312">IFERROR(INDEX(PRODUCT!$E:$E,MATCH(C312,PRODUCT!$B:$B,0)),"")</f>
        <v/>
      </c>
      <c r="H312" s="62">
        <f t="array" ref="H312">IFERROR(INDEX(PRODUCT!$F:$F,MATCH(C312,PRODUCT!$B:$B,0)),"")</f>
        <v/>
      </c>
      <c r="I312" s="62">
        <f>IF(C312="","",INPUT_SYSTEM!G326)</f>
        <v/>
      </c>
      <c r="J312" s="62">
        <f>IF(C312="","",INPUT_SYSTEM!H326)</f>
        <v/>
      </c>
      <c r="K312" s="60">
        <f>IF(C312="","",INPUT_SYSTEM!J326)</f>
        <v/>
      </c>
      <c r="L312" s="62">
        <f>IF(C312="","",INPUT_SYSTEM!K326)</f>
        <v/>
      </c>
      <c r="M312" s="62">
        <f>IF(C312="","",INPUT_SYSTEM!L326)</f>
        <v/>
      </c>
      <c r="N312" s="62">
        <f>IF(U312&lt;&gt;"SI","",IF(M312&lt;&gt;"",M312,IFERROR(I312*J312*(1+K312)*L312,"")))</f>
        <v/>
      </c>
      <c r="O312" s="62">
        <f>IF(N312="","",IF(OR(H312="",H312=0),N312,ROUNDUP(N312/H312,0)))</f>
        <v/>
      </c>
      <c r="P312" s="63">
        <f t="array" ref="P312">IFERROR(INDEX(PRODUCT!$I:$I,MATCH(C312,PRODUCT!$B:$B,0)),"")</f>
        <v/>
      </c>
      <c r="Q312" s="63">
        <f>IF(C312="","",INPUT_SYSTEM!M326)</f>
        <v/>
      </c>
      <c r="R312" s="63">
        <f>IF(P312="","",P312*(1+Q312))</f>
        <v/>
      </c>
      <c r="S312" s="63">
        <f>IF(O312="","",IF(OR(H312="",H312=0),O312*P312,O312*H312*P312))</f>
        <v/>
      </c>
      <c r="T312" s="63">
        <f>IF(O312="","",IF(OR(H312="",H312=0),O312*R312,O312*H312*R312))</f>
        <v/>
      </c>
      <c r="U312" s="62">
        <f>IF(C312="","",INPUT_SYSTEM!C326)</f>
        <v/>
      </c>
      <c r="V312" s="2" t="n"/>
    </row>
    <row r="313" ht="15.75" customHeight="1" s="125">
      <c r="A313" s="62">
        <f>IF(INPUT_SYSTEM!D327="","",INPUT_SYSTEM!A327)</f>
        <v/>
      </c>
      <c r="B313" s="62">
        <f>IF(INPUT_SYSTEM!D327="","",INPUT_SYSTEM!B327)</f>
        <v/>
      </c>
      <c r="C313" s="62">
        <f>IF(INPUT_SYSTEM!D327="","",INPUT_SYSTEM!D327)</f>
        <v/>
      </c>
      <c r="D313" s="62">
        <f>IF(C313="","",INPUT_SYSTEM!E327)</f>
        <v/>
      </c>
      <c r="E313" s="62">
        <f>IF(C313="","",INPUT_SYSTEM!F327)</f>
        <v/>
      </c>
      <c r="F313" s="62">
        <f t="array" ref="F313">IFERROR(INDEX(PRODUCT!$D:$D,MATCH(C313,PRODUCT!$B:$B,0)),"")</f>
        <v/>
      </c>
      <c r="G313" s="62">
        <f t="array" ref="G313">IFERROR(INDEX(PRODUCT!$E:$E,MATCH(C313,PRODUCT!$B:$B,0)),"")</f>
        <v/>
      </c>
      <c r="H313" s="62">
        <f t="array" ref="H313">IFERROR(INDEX(PRODUCT!$F:$F,MATCH(C313,PRODUCT!$B:$B,0)),"")</f>
        <v/>
      </c>
      <c r="I313" s="62">
        <f>IF(C313="","",INPUT_SYSTEM!G327)</f>
        <v/>
      </c>
      <c r="J313" s="62">
        <f>IF(C313="","",INPUT_SYSTEM!H327)</f>
        <v/>
      </c>
      <c r="K313" s="60">
        <f>IF(C313="","",INPUT_SYSTEM!J327)</f>
        <v/>
      </c>
      <c r="L313" s="62">
        <f>IF(C313="","",INPUT_SYSTEM!K327)</f>
        <v/>
      </c>
      <c r="M313" s="62">
        <f>IF(C313="","",INPUT_SYSTEM!L327)</f>
        <v/>
      </c>
      <c r="N313" s="62">
        <f>IF(U313&lt;&gt;"SI","",IF(M313&lt;&gt;"",M313,IFERROR(I313*J313*(1+K313)*L313,"")))</f>
        <v/>
      </c>
      <c r="O313" s="62">
        <f>IF(N313="","",IF(OR(H313="",H313=0),N313,ROUNDUP(N313/H313,0)))</f>
        <v/>
      </c>
      <c r="P313" s="63">
        <f t="array" ref="P313">IFERROR(INDEX(PRODUCT!$I:$I,MATCH(C313,PRODUCT!$B:$B,0)),"")</f>
        <v/>
      </c>
      <c r="Q313" s="63">
        <f>IF(C313="","",INPUT_SYSTEM!M327)</f>
        <v/>
      </c>
      <c r="R313" s="63">
        <f>IF(P313="","",P313*(1+Q313))</f>
        <v/>
      </c>
      <c r="S313" s="63">
        <f>IF(O313="","",IF(OR(H313="",H313=0),O313*P313,O313*H313*P313))</f>
        <v/>
      </c>
      <c r="T313" s="63">
        <f>IF(O313="","",IF(OR(H313="",H313=0),O313*R313,O313*H313*R313))</f>
        <v/>
      </c>
      <c r="U313" s="62">
        <f>IF(C313="","",INPUT_SYSTEM!C327)</f>
        <v/>
      </c>
      <c r="V313" s="2" t="n"/>
    </row>
    <row r="314" ht="15.75" customHeight="1" s="125">
      <c r="A314" s="62">
        <f>IF(INPUT_SYSTEM!D328="","",INPUT_SYSTEM!A328)</f>
        <v/>
      </c>
      <c r="B314" s="62">
        <f>IF(INPUT_SYSTEM!D328="","",INPUT_SYSTEM!B328)</f>
        <v/>
      </c>
      <c r="C314" s="62">
        <f>IF(INPUT_SYSTEM!D328="","",INPUT_SYSTEM!D328)</f>
        <v/>
      </c>
      <c r="D314" s="62">
        <f>IF(C314="","",INPUT_SYSTEM!E328)</f>
        <v/>
      </c>
      <c r="E314" s="62">
        <f>IF(C314="","",INPUT_SYSTEM!F328)</f>
        <v/>
      </c>
      <c r="F314" s="62">
        <f t="array" ref="F314">IFERROR(INDEX(PRODUCT!$D:$D,MATCH(C314,PRODUCT!$B:$B,0)),"")</f>
        <v/>
      </c>
      <c r="G314" s="62">
        <f t="array" ref="G314">IFERROR(INDEX(PRODUCT!$E:$E,MATCH(C314,PRODUCT!$B:$B,0)),"")</f>
        <v/>
      </c>
      <c r="H314" s="62">
        <f t="array" ref="H314">IFERROR(INDEX(PRODUCT!$F:$F,MATCH(C314,PRODUCT!$B:$B,0)),"")</f>
        <v/>
      </c>
      <c r="I314" s="62">
        <f>IF(C314="","",INPUT_SYSTEM!G328)</f>
        <v/>
      </c>
      <c r="J314" s="62">
        <f>IF(C314="","",INPUT_SYSTEM!H328)</f>
        <v/>
      </c>
      <c r="K314" s="60">
        <f>IF(C314="","",INPUT_SYSTEM!J328)</f>
        <v/>
      </c>
      <c r="L314" s="62">
        <f>IF(C314="","",INPUT_SYSTEM!K328)</f>
        <v/>
      </c>
      <c r="M314" s="62">
        <f>IF(C314="","",INPUT_SYSTEM!L328)</f>
        <v/>
      </c>
      <c r="N314" s="62">
        <f>IF(U314&lt;&gt;"SI","",IF(M314&lt;&gt;"",M314,IFERROR(I314*J314*(1+K314)*L314,"")))</f>
        <v/>
      </c>
      <c r="O314" s="62">
        <f>IF(N314="","",IF(OR(H314="",H314=0),N314,ROUNDUP(N314/H314,0)))</f>
        <v/>
      </c>
      <c r="P314" s="63">
        <f t="array" ref="P314">IFERROR(INDEX(PRODUCT!$I:$I,MATCH(C314,PRODUCT!$B:$B,0)),"")</f>
        <v/>
      </c>
      <c r="Q314" s="63">
        <f>IF(C314="","",INPUT_SYSTEM!M328)</f>
        <v/>
      </c>
      <c r="R314" s="63">
        <f>IF(P314="","",P314*(1+Q314))</f>
        <v/>
      </c>
      <c r="S314" s="63">
        <f>IF(O314="","",IF(OR(H314="",H314=0),O314*P314,O314*H314*P314))</f>
        <v/>
      </c>
      <c r="T314" s="63">
        <f>IF(O314="","",IF(OR(H314="",H314=0),O314*R314,O314*H314*R314))</f>
        <v/>
      </c>
      <c r="U314" s="62">
        <f>IF(C314="","",INPUT_SYSTEM!C328)</f>
        <v/>
      </c>
      <c r="V314" s="2" t="n"/>
    </row>
    <row r="315" ht="15.75" customHeight="1" s="125">
      <c r="A315" s="62">
        <f>IF(INPUT_SYSTEM!D329="","",INPUT_SYSTEM!A329)</f>
        <v/>
      </c>
      <c r="B315" s="62">
        <f>IF(INPUT_SYSTEM!D329="","",INPUT_SYSTEM!B329)</f>
        <v/>
      </c>
      <c r="C315" s="62">
        <f>IF(INPUT_SYSTEM!D329="","",INPUT_SYSTEM!D329)</f>
        <v/>
      </c>
      <c r="D315" s="62">
        <f>IF(C315="","",INPUT_SYSTEM!E329)</f>
        <v/>
      </c>
      <c r="E315" s="62">
        <f>IF(C315="","",INPUT_SYSTEM!F329)</f>
        <v/>
      </c>
      <c r="F315" s="62">
        <f t="array" ref="F315">IFERROR(INDEX(PRODUCT!$D:$D,MATCH(C315,PRODUCT!$B:$B,0)),"")</f>
        <v/>
      </c>
      <c r="G315" s="62">
        <f t="array" ref="G315">IFERROR(INDEX(PRODUCT!$E:$E,MATCH(C315,PRODUCT!$B:$B,0)),"")</f>
        <v/>
      </c>
      <c r="H315" s="62">
        <f t="array" ref="H315">IFERROR(INDEX(PRODUCT!$F:$F,MATCH(C315,PRODUCT!$B:$B,0)),"")</f>
        <v/>
      </c>
      <c r="I315" s="62">
        <f>IF(C315="","",INPUT_SYSTEM!G329)</f>
        <v/>
      </c>
      <c r="J315" s="62">
        <f>IF(C315="","",INPUT_SYSTEM!H329)</f>
        <v/>
      </c>
      <c r="K315" s="60">
        <f>IF(C315="","",INPUT_SYSTEM!J329)</f>
        <v/>
      </c>
      <c r="L315" s="62">
        <f>IF(C315="","",INPUT_SYSTEM!K329)</f>
        <v/>
      </c>
      <c r="M315" s="62">
        <f>IF(C315="","",INPUT_SYSTEM!L329)</f>
        <v/>
      </c>
      <c r="N315" s="62">
        <f>IF(U315&lt;&gt;"SI","",IF(M315&lt;&gt;"",M315,IFERROR(I315*J315*(1+K315)*L315,"")))</f>
        <v/>
      </c>
      <c r="O315" s="62">
        <f>IF(N315="","",IF(OR(H315="",H315=0),N315,ROUNDUP(N315/H315,0)))</f>
        <v/>
      </c>
      <c r="P315" s="63">
        <f t="array" ref="P315">IFERROR(INDEX(PRODUCT!$I:$I,MATCH(C315,PRODUCT!$B:$B,0)),"")</f>
        <v/>
      </c>
      <c r="Q315" s="63">
        <f>IF(C315="","",INPUT_SYSTEM!M329)</f>
        <v/>
      </c>
      <c r="R315" s="63">
        <f>IF(P315="","",P315*(1+Q315))</f>
        <v/>
      </c>
      <c r="S315" s="63">
        <f>IF(O315="","",IF(OR(H315="",H315=0),O315*P315,O315*H315*P315))</f>
        <v/>
      </c>
      <c r="T315" s="63">
        <f>IF(O315="","",IF(OR(H315="",H315=0),O315*R315,O315*H315*R315))</f>
        <v/>
      </c>
      <c r="U315" s="62">
        <f>IF(C315="","",INPUT_SYSTEM!C329)</f>
        <v/>
      </c>
      <c r="V315" s="2" t="n"/>
    </row>
    <row r="316" ht="15.75" customHeight="1" s="125">
      <c r="A316" s="62">
        <f>IF(INPUT_SYSTEM!D330="","",INPUT_SYSTEM!A330)</f>
        <v/>
      </c>
      <c r="B316" s="62">
        <f>IF(INPUT_SYSTEM!D330="","",INPUT_SYSTEM!B330)</f>
        <v/>
      </c>
      <c r="C316" s="62">
        <f>IF(INPUT_SYSTEM!D330="","",INPUT_SYSTEM!D330)</f>
        <v/>
      </c>
      <c r="D316" s="62">
        <f>IF(C316="","",INPUT_SYSTEM!E330)</f>
        <v/>
      </c>
      <c r="E316" s="62">
        <f>IF(C316="","",INPUT_SYSTEM!F330)</f>
        <v/>
      </c>
      <c r="F316" s="62">
        <f t="array" ref="F316">IFERROR(INDEX(PRODUCT!$D:$D,MATCH(C316,PRODUCT!$B:$B,0)),"")</f>
        <v/>
      </c>
      <c r="G316" s="62">
        <f t="array" ref="G316">IFERROR(INDEX(PRODUCT!$E:$E,MATCH(C316,PRODUCT!$B:$B,0)),"")</f>
        <v/>
      </c>
      <c r="H316" s="62">
        <f t="array" ref="H316">IFERROR(INDEX(PRODUCT!$F:$F,MATCH(C316,PRODUCT!$B:$B,0)),"")</f>
        <v/>
      </c>
      <c r="I316" s="62">
        <f>IF(C316="","",INPUT_SYSTEM!G330)</f>
        <v/>
      </c>
      <c r="J316" s="62">
        <f>IF(C316="","",INPUT_SYSTEM!H330)</f>
        <v/>
      </c>
      <c r="K316" s="60">
        <f>IF(C316="","",INPUT_SYSTEM!J330)</f>
        <v/>
      </c>
      <c r="L316" s="62">
        <f>IF(C316="","",INPUT_SYSTEM!K330)</f>
        <v/>
      </c>
      <c r="M316" s="62">
        <f>IF(C316="","",INPUT_SYSTEM!L330)</f>
        <v/>
      </c>
      <c r="N316" s="62">
        <f>IF(U316&lt;&gt;"SI","",IF(M316&lt;&gt;"",M316,IFERROR(I316*J316*(1+K316)*L316,"")))</f>
        <v/>
      </c>
      <c r="O316" s="62">
        <f>IF(N316="","",IF(OR(H316="",H316=0),N316,ROUNDUP(N316/H316,0)))</f>
        <v/>
      </c>
      <c r="P316" s="63">
        <f t="array" ref="P316">IFERROR(INDEX(PRODUCT!$I:$I,MATCH(C316,PRODUCT!$B:$B,0)),"")</f>
        <v/>
      </c>
      <c r="Q316" s="63">
        <f>IF(C316="","",INPUT_SYSTEM!M330)</f>
        <v/>
      </c>
      <c r="R316" s="63">
        <f>IF(P316="","",P316*(1+Q316))</f>
        <v/>
      </c>
      <c r="S316" s="63">
        <f>IF(O316="","",IF(OR(H316="",H316=0),O316*P316,O316*H316*P316))</f>
        <v/>
      </c>
      <c r="T316" s="63">
        <f>IF(O316="","",IF(OR(H316="",H316=0),O316*R316,O316*H316*R316))</f>
        <v/>
      </c>
      <c r="U316" s="62">
        <f>IF(C316="","",INPUT_SYSTEM!C330)</f>
        <v/>
      </c>
      <c r="V316" s="2" t="n"/>
    </row>
    <row r="317" ht="15.75" customHeight="1" s="125">
      <c r="A317" s="62">
        <f>IF(INPUT_SYSTEM!D331="","",INPUT_SYSTEM!A331)</f>
        <v/>
      </c>
      <c r="B317" s="62">
        <f>IF(INPUT_SYSTEM!D331="","",INPUT_SYSTEM!B331)</f>
        <v/>
      </c>
      <c r="C317" s="62">
        <f>IF(INPUT_SYSTEM!D331="","",INPUT_SYSTEM!D331)</f>
        <v/>
      </c>
      <c r="D317" s="62">
        <f>IF(C317="","",INPUT_SYSTEM!E331)</f>
        <v/>
      </c>
      <c r="E317" s="62">
        <f>IF(C317="","",INPUT_SYSTEM!F331)</f>
        <v/>
      </c>
      <c r="F317" s="62">
        <f t="array" ref="F317">IFERROR(INDEX(PRODUCT!$D:$D,MATCH(C317,PRODUCT!$B:$B,0)),"")</f>
        <v/>
      </c>
      <c r="G317" s="62">
        <f t="array" ref="G317">IFERROR(INDEX(PRODUCT!$E:$E,MATCH(C317,PRODUCT!$B:$B,0)),"")</f>
        <v/>
      </c>
      <c r="H317" s="62">
        <f t="array" ref="H317">IFERROR(INDEX(PRODUCT!$F:$F,MATCH(C317,PRODUCT!$B:$B,0)),"")</f>
        <v/>
      </c>
      <c r="I317" s="62">
        <f>IF(C317="","",INPUT_SYSTEM!G331)</f>
        <v/>
      </c>
      <c r="J317" s="62">
        <f>IF(C317="","",INPUT_SYSTEM!H331)</f>
        <v/>
      </c>
      <c r="K317" s="60">
        <f>IF(C317="","",INPUT_SYSTEM!J331)</f>
        <v/>
      </c>
      <c r="L317" s="62">
        <f>IF(C317="","",INPUT_SYSTEM!K331)</f>
        <v/>
      </c>
      <c r="M317" s="62">
        <f>IF(C317="","",INPUT_SYSTEM!L331)</f>
        <v/>
      </c>
      <c r="N317" s="62">
        <f>IF(U317&lt;&gt;"SI","",IF(M317&lt;&gt;"",M317,IFERROR(I317*J317*(1+K317)*L317,"")))</f>
        <v/>
      </c>
      <c r="O317" s="62">
        <f>IF(N317="","",IF(OR(H317="",H317=0),N317,ROUNDUP(N317/H317,0)))</f>
        <v/>
      </c>
      <c r="P317" s="63">
        <f t="array" ref="P317">IFERROR(INDEX(PRODUCT!$I:$I,MATCH(C317,PRODUCT!$B:$B,0)),"")</f>
        <v/>
      </c>
      <c r="Q317" s="63">
        <f>IF(C317="","",INPUT_SYSTEM!M331)</f>
        <v/>
      </c>
      <c r="R317" s="63">
        <f>IF(P317="","",P317*(1+Q317))</f>
        <v/>
      </c>
      <c r="S317" s="63">
        <f>IF(O317="","",IF(OR(H317="",H317=0),O317*P317,O317*H317*P317))</f>
        <v/>
      </c>
      <c r="T317" s="63">
        <f>IF(O317="","",IF(OR(H317="",H317=0),O317*R317,O317*H317*R317))</f>
        <v/>
      </c>
      <c r="U317" s="62">
        <f>IF(C317="","",INPUT_SYSTEM!C331)</f>
        <v/>
      </c>
      <c r="V317" s="2" t="n"/>
    </row>
    <row r="318" ht="15.75" customHeight="1" s="125">
      <c r="A318" s="62">
        <f>IF(INPUT_SYSTEM!D332="","",INPUT_SYSTEM!A332)</f>
        <v/>
      </c>
      <c r="B318" s="62">
        <f>IF(INPUT_SYSTEM!D332="","",INPUT_SYSTEM!B332)</f>
        <v/>
      </c>
      <c r="C318" s="62">
        <f>IF(INPUT_SYSTEM!D332="","",INPUT_SYSTEM!D332)</f>
        <v/>
      </c>
      <c r="D318" s="62">
        <f>IF(C318="","",INPUT_SYSTEM!E332)</f>
        <v/>
      </c>
      <c r="E318" s="62">
        <f>IF(C318="","",INPUT_SYSTEM!F332)</f>
        <v/>
      </c>
      <c r="F318" s="62">
        <f t="array" ref="F318">IFERROR(INDEX(PRODUCT!$D:$D,MATCH(C318,PRODUCT!$B:$B,0)),"")</f>
        <v/>
      </c>
      <c r="G318" s="62">
        <f t="array" ref="G318">IFERROR(INDEX(PRODUCT!$E:$E,MATCH(C318,PRODUCT!$B:$B,0)),"")</f>
        <v/>
      </c>
      <c r="H318" s="62">
        <f t="array" ref="H318">IFERROR(INDEX(PRODUCT!$F:$F,MATCH(C318,PRODUCT!$B:$B,0)),"")</f>
        <v/>
      </c>
      <c r="I318" s="62">
        <f>IF(C318="","",INPUT_SYSTEM!G332)</f>
        <v/>
      </c>
      <c r="J318" s="62">
        <f>IF(C318="","",INPUT_SYSTEM!H332)</f>
        <v/>
      </c>
      <c r="K318" s="60">
        <f>IF(C318="","",INPUT_SYSTEM!J332)</f>
        <v/>
      </c>
      <c r="L318" s="62">
        <f>IF(C318="","",INPUT_SYSTEM!K332)</f>
        <v/>
      </c>
      <c r="M318" s="62">
        <f>IF(C318="","",INPUT_SYSTEM!L332)</f>
        <v/>
      </c>
      <c r="N318" s="62">
        <f>IF(U318&lt;&gt;"SI","",IF(M318&lt;&gt;"",M318,IFERROR(I318*J318*(1+K318)*L318,"")))</f>
        <v/>
      </c>
      <c r="O318" s="62">
        <f>IF(N318="","",IF(OR(H318="",H318=0),N318,ROUNDUP(N318/H318,0)))</f>
        <v/>
      </c>
      <c r="P318" s="63">
        <f t="array" ref="P318">IFERROR(INDEX(PRODUCT!$I:$I,MATCH(C318,PRODUCT!$B:$B,0)),"")</f>
        <v/>
      </c>
      <c r="Q318" s="63">
        <f>IF(C318="","",INPUT_SYSTEM!M332)</f>
        <v/>
      </c>
      <c r="R318" s="63">
        <f>IF(P318="","",P318*(1+Q318))</f>
        <v/>
      </c>
      <c r="S318" s="63">
        <f>IF(O318="","",IF(OR(H318="",H318=0),O318*P318,O318*H318*P318))</f>
        <v/>
      </c>
      <c r="T318" s="63">
        <f>IF(O318="","",IF(OR(H318="",H318=0),O318*R318,O318*H318*R318))</f>
        <v/>
      </c>
      <c r="U318" s="62">
        <f>IF(C318="","",INPUT_SYSTEM!C332)</f>
        <v/>
      </c>
      <c r="V318" s="2" t="n"/>
    </row>
    <row r="319" ht="15.75" customHeight="1" s="125">
      <c r="A319" s="62">
        <f>IF(INPUT_SYSTEM!D333="","",INPUT_SYSTEM!A333)</f>
        <v/>
      </c>
      <c r="B319" s="62">
        <f>IF(INPUT_SYSTEM!D333="","",INPUT_SYSTEM!B333)</f>
        <v/>
      </c>
      <c r="C319" s="62">
        <f>IF(INPUT_SYSTEM!D333="","",INPUT_SYSTEM!D333)</f>
        <v/>
      </c>
      <c r="D319" s="62">
        <f>IF(C319="","",INPUT_SYSTEM!E333)</f>
        <v/>
      </c>
      <c r="E319" s="62">
        <f>IF(C319="","",INPUT_SYSTEM!F333)</f>
        <v/>
      </c>
      <c r="F319" s="62">
        <f t="array" ref="F319">IFERROR(INDEX(PRODUCT!$D:$D,MATCH(C319,PRODUCT!$B:$B,0)),"")</f>
        <v/>
      </c>
      <c r="G319" s="62">
        <f t="array" ref="G319">IFERROR(INDEX(PRODUCT!$E:$E,MATCH(C319,PRODUCT!$B:$B,0)),"")</f>
        <v/>
      </c>
      <c r="H319" s="62">
        <f t="array" ref="H319">IFERROR(INDEX(PRODUCT!$F:$F,MATCH(C319,PRODUCT!$B:$B,0)),"")</f>
        <v/>
      </c>
      <c r="I319" s="62">
        <f>IF(C319="","",INPUT_SYSTEM!G333)</f>
        <v/>
      </c>
      <c r="J319" s="62">
        <f>IF(C319="","",INPUT_SYSTEM!H333)</f>
        <v/>
      </c>
      <c r="K319" s="60">
        <f>IF(C319="","",INPUT_SYSTEM!J333)</f>
        <v/>
      </c>
      <c r="L319" s="62">
        <f>IF(C319="","",INPUT_SYSTEM!K333)</f>
        <v/>
      </c>
      <c r="M319" s="62">
        <f>IF(C319="","",INPUT_SYSTEM!L333)</f>
        <v/>
      </c>
      <c r="N319" s="62">
        <f>IF(U319&lt;&gt;"SI","",IF(M319&lt;&gt;"",M319,IFERROR(I319*J319*(1+K319)*L319,"")))</f>
        <v/>
      </c>
      <c r="O319" s="62">
        <f>IF(N319="","",IF(OR(H319="",H319=0),N319,ROUNDUP(N319/H319,0)))</f>
        <v/>
      </c>
      <c r="P319" s="63">
        <f t="array" ref="P319">IFERROR(INDEX(PRODUCT!$I:$I,MATCH(C319,PRODUCT!$B:$B,0)),"")</f>
        <v/>
      </c>
      <c r="Q319" s="63">
        <f>IF(C319="","",INPUT_SYSTEM!M333)</f>
        <v/>
      </c>
      <c r="R319" s="63">
        <f>IF(P319="","",P319*(1+Q319))</f>
        <v/>
      </c>
      <c r="S319" s="63">
        <f>IF(O319="","",IF(OR(H319="",H319=0),O319*P319,O319*H319*P319))</f>
        <v/>
      </c>
      <c r="T319" s="63">
        <f>IF(O319="","",IF(OR(H319="",H319=0),O319*R319,O319*H319*R319))</f>
        <v/>
      </c>
      <c r="U319" s="62">
        <f>IF(C319="","",INPUT_SYSTEM!C333)</f>
        <v/>
      </c>
      <c r="V319" s="2" t="n"/>
    </row>
    <row r="320" ht="15.75" customHeight="1" s="125">
      <c r="A320" s="62">
        <f>IF(INPUT_SYSTEM!D334="","",INPUT_SYSTEM!A334)</f>
        <v/>
      </c>
      <c r="B320" s="62">
        <f>IF(INPUT_SYSTEM!D334="","",INPUT_SYSTEM!B334)</f>
        <v/>
      </c>
      <c r="C320" s="62">
        <f>IF(INPUT_SYSTEM!D334="","",INPUT_SYSTEM!D334)</f>
        <v/>
      </c>
      <c r="D320" s="62">
        <f>IF(C320="","",INPUT_SYSTEM!E334)</f>
        <v/>
      </c>
      <c r="E320" s="62">
        <f>IF(C320="","",INPUT_SYSTEM!F334)</f>
        <v/>
      </c>
      <c r="F320" s="62">
        <f t="array" ref="F320">IFERROR(INDEX(PRODUCT!$D:$D,MATCH(C320,PRODUCT!$B:$B,0)),"")</f>
        <v/>
      </c>
      <c r="G320" s="62">
        <f t="array" ref="G320">IFERROR(INDEX(PRODUCT!$E:$E,MATCH(C320,PRODUCT!$B:$B,0)),"")</f>
        <v/>
      </c>
      <c r="H320" s="62">
        <f t="array" ref="H320">IFERROR(INDEX(PRODUCT!$F:$F,MATCH(C320,PRODUCT!$B:$B,0)),"")</f>
        <v/>
      </c>
      <c r="I320" s="62">
        <f>IF(C320="","",INPUT_SYSTEM!G334)</f>
        <v/>
      </c>
      <c r="J320" s="62">
        <f>IF(C320="","",INPUT_SYSTEM!H334)</f>
        <v/>
      </c>
      <c r="K320" s="60">
        <f>IF(C320="","",INPUT_SYSTEM!J334)</f>
        <v/>
      </c>
      <c r="L320" s="62">
        <f>IF(C320="","",INPUT_SYSTEM!K334)</f>
        <v/>
      </c>
      <c r="M320" s="62">
        <f>IF(C320="","",INPUT_SYSTEM!L334)</f>
        <v/>
      </c>
      <c r="N320" s="62">
        <f>IF(U320&lt;&gt;"SI","",IF(M320&lt;&gt;"",M320,IFERROR(I320*J320*(1+K320)*L320,"")))</f>
        <v/>
      </c>
      <c r="O320" s="62">
        <f>IF(N320="","",IF(OR(H320="",H320=0),N320,ROUNDUP(N320/H320,0)))</f>
        <v/>
      </c>
      <c r="P320" s="63">
        <f t="array" ref="P320">IFERROR(INDEX(PRODUCT!$I:$I,MATCH(C320,PRODUCT!$B:$B,0)),"")</f>
        <v/>
      </c>
      <c r="Q320" s="63">
        <f>IF(C320="","",INPUT_SYSTEM!M334)</f>
        <v/>
      </c>
      <c r="R320" s="63">
        <f>IF(P320="","",P320*(1+Q320))</f>
        <v/>
      </c>
      <c r="S320" s="63">
        <f>IF(O320="","",IF(OR(H320="",H320=0),O320*P320,O320*H320*P320))</f>
        <v/>
      </c>
      <c r="T320" s="63">
        <f>IF(O320="","",IF(OR(H320="",H320=0),O320*R320,O320*H320*R320))</f>
        <v/>
      </c>
      <c r="U320" s="62">
        <f>IF(C320="","",INPUT_SYSTEM!C334)</f>
        <v/>
      </c>
      <c r="V320" s="2" t="n"/>
    </row>
    <row r="321" ht="15.75" customHeight="1" s="125">
      <c r="A321" s="62">
        <f>IF(INPUT_SYSTEM!D335="","",INPUT_SYSTEM!A335)</f>
        <v/>
      </c>
      <c r="B321" s="62">
        <f>IF(INPUT_SYSTEM!D335="","",INPUT_SYSTEM!B335)</f>
        <v/>
      </c>
      <c r="C321" s="62">
        <f>IF(INPUT_SYSTEM!D335="","",INPUT_SYSTEM!D335)</f>
        <v/>
      </c>
      <c r="D321" s="62">
        <f>IF(C321="","",INPUT_SYSTEM!E335)</f>
        <v/>
      </c>
      <c r="E321" s="62">
        <f>IF(C321="","",INPUT_SYSTEM!F335)</f>
        <v/>
      </c>
      <c r="F321" s="62">
        <f t="array" ref="F321">IFERROR(INDEX(PRODUCT!$D:$D,MATCH(C321,PRODUCT!$B:$B,0)),"")</f>
        <v/>
      </c>
      <c r="G321" s="62">
        <f t="array" ref="G321">IFERROR(INDEX(PRODUCT!$E:$E,MATCH(C321,PRODUCT!$B:$B,0)),"")</f>
        <v/>
      </c>
      <c r="H321" s="62">
        <f t="array" ref="H321">IFERROR(INDEX(PRODUCT!$F:$F,MATCH(C321,PRODUCT!$B:$B,0)),"")</f>
        <v/>
      </c>
      <c r="I321" s="62">
        <f>IF(C321="","",INPUT_SYSTEM!G335)</f>
        <v/>
      </c>
      <c r="J321" s="62">
        <f>IF(C321="","",INPUT_SYSTEM!H335)</f>
        <v/>
      </c>
      <c r="K321" s="60">
        <f>IF(C321="","",INPUT_SYSTEM!J335)</f>
        <v/>
      </c>
      <c r="L321" s="62">
        <f>IF(C321="","",INPUT_SYSTEM!K335)</f>
        <v/>
      </c>
      <c r="M321" s="62">
        <f>IF(C321="","",INPUT_SYSTEM!L335)</f>
        <v/>
      </c>
      <c r="N321" s="62">
        <f>IF(U321&lt;&gt;"SI","",IF(M321&lt;&gt;"",M321,IFERROR(I321*J321*(1+K321)*L321,"")))</f>
        <v/>
      </c>
      <c r="O321" s="62">
        <f>IF(N321="","",IF(OR(H321="",H321=0),N321,ROUNDUP(N321/H321,0)))</f>
        <v/>
      </c>
      <c r="P321" s="63">
        <f t="array" ref="P321">IFERROR(INDEX(PRODUCT!$I:$I,MATCH(C321,PRODUCT!$B:$B,0)),"")</f>
        <v/>
      </c>
      <c r="Q321" s="63">
        <f>IF(C321="","",INPUT_SYSTEM!M335)</f>
        <v/>
      </c>
      <c r="R321" s="63">
        <f>IF(P321="","",P321*(1+Q321))</f>
        <v/>
      </c>
      <c r="S321" s="63">
        <f>IF(O321="","",IF(OR(H321="",H321=0),O321*P321,O321*H321*P321))</f>
        <v/>
      </c>
      <c r="T321" s="63">
        <f>IF(O321="","",IF(OR(H321="",H321=0),O321*R321,O321*H321*R321))</f>
        <v/>
      </c>
      <c r="U321" s="62">
        <f>IF(C321="","",INPUT_SYSTEM!C335)</f>
        <v/>
      </c>
      <c r="V321" s="2" t="n"/>
    </row>
    <row r="322" ht="15.75" customHeight="1" s="125">
      <c r="A322" s="62">
        <f>IF(INPUT_SYSTEM!D336="","",INPUT_SYSTEM!A336)</f>
        <v/>
      </c>
      <c r="B322" s="62">
        <f>IF(INPUT_SYSTEM!D336="","",INPUT_SYSTEM!B336)</f>
        <v/>
      </c>
      <c r="C322" s="62">
        <f>IF(INPUT_SYSTEM!D336="","",INPUT_SYSTEM!D336)</f>
        <v/>
      </c>
      <c r="D322" s="62">
        <f>IF(C322="","",INPUT_SYSTEM!E336)</f>
        <v/>
      </c>
      <c r="E322" s="62">
        <f>IF(C322="","",INPUT_SYSTEM!F336)</f>
        <v/>
      </c>
      <c r="F322" s="62">
        <f t="array" ref="F322">IFERROR(INDEX(PRODUCT!$D:$D,MATCH(C322,PRODUCT!$B:$B,0)),"")</f>
        <v/>
      </c>
      <c r="G322" s="62">
        <f t="array" ref="G322">IFERROR(INDEX(PRODUCT!$E:$E,MATCH(C322,PRODUCT!$B:$B,0)),"")</f>
        <v/>
      </c>
      <c r="H322" s="62">
        <f t="array" ref="H322">IFERROR(INDEX(PRODUCT!$F:$F,MATCH(C322,PRODUCT!$B:$B,0)),"")</f>
        <v/>
      </c>
      <c r="I322" s="62">
        <f>IF(C322="","",INPUT_SYSTEM!G336)</f>
        <v/>
      </c>
      <c r="J322" s="62">
        <f>IF(C322="","",INPUT_SYSTEM!H336)</f>
        <v/>
      </c>
      <c r="K322" s="60">
        <f>IF(C322="","",INPUT_SYSTEM!J336)</f>
        <v/>
      </c>
      <c r="L322" s="62">
        <f>IF(C322="","",INPUT_SYSTEM!K336)</f>
        <v/>
      </c>
      <c r="M322" s="62">
        <f>IF(C322="","",INPUT_SYSTEM!L336)</f>
        <v/>
      </c>
      <c r="N322" s="62">
        <f>IF(U322&lt;&gt;"SI","",IF(M322&lt;&gt;"",M322,IFERROR(I322*J322*(1+K322)*L322,"")))</f>
        <v/>
      </c>
      <c r="O322" s="62">
        <f>IF(N322="","",IF(OR(H322="",H322=0),N322,ROUNDUP(N322/H322,0)))</f>
        <v/>
      </c>
      <c r="P322" s="63">
        <f t="array" ref="P322">IFERROR(INDEX(PRODUCT!$I:$I,MATCH(C322,PRODUCT!$B:$B,0)),"")</f>
        <v/>
      </c>
      <c r="Q322" s="63">
        <f>IF(C322="","",INPUT_SYSTEM!M336)</f>
        <v/>
      </c>
      <c r="R322" s="63">
        <f>IF(P322="","",P322*(1+Q322))</f>
        <v/>
      </c>
      <c r="S322" s="63">
        <f>IF(O322="","",IF(OR(H322="",H322=0),O322*P322,O322*H322*P322))</f>
        <v/>
      </c>
      <c r="T322" s="63">
        <f>IF(O322="","",IF(OR(H322="",H322=0),O322*R322,O322*H322*R322))</f>
        <v/>
      </c>
      <c r="U322" s="62">
        <f>IF(C322="","",INPUT_SYSTEM!C336)</f>
        <v/>
      </c>
      <c r="V322" s="2" t="n"/>
    </row>
    <row r="323" ht="15.75" customHeight="1" s="125">
      <c r="A323" s="62">
        <f>IF(INPUT_SYSTEM!D337="","",INPUT_SYSTEM!A337)</f>
        <v/>
      </c>
      <c r="B323" s="62">
        <f>IF(INPUT_SYSTEM!D337="","",INPUT_SYSTEM!B337)</f>
        <v/>
      </c>
      <c r="C323" s="62">
        <f>IF(INPUT_SYSTEM!D337="","",INPUT_SYSTEM!D337)</f>
        <v/>
      </c>
      <c r="D323" s="62">
        <f>IF(C323="","",INPUT_SYSTEM!E337)</f>
        <v/>
      </c>
      <c r="E323" s="62">
        <f>IF(C323="","",INPUT_SYSTEM!F337)</f>
        <v/>
      </c>
      <c r="F323" s="62">
        <f t="array" ref="F323">IFERROR(INDEX(PRODUCT!$D:$D,MATCH(C323,PRODUCT!$B:$B,0)),"")</f>
        <v/>
      </c>
      <c r="G323" s="62">
        <f t="array" ref="G323">IFERROR(INDEX(PRODUCT!$E:$E,MATCH(C323,PRODUCT!$B:$B,0)),"")</f>
        <v/>
      </c>
      <c r="H323" s="62">
        <f t="array" ref="H323">IFERROR(INDEX(PRODUCT!$F:$F,MATCH(C323,PRODUCT!$B:$B,0)),"")</f>
        <v/>
      </c>
      <c r="I323" s="62">
        <f>IF(C323="","",INPUT_SYSTEM!G337)</f>
        <v/>
      </c>
      <c r="J323" s="62">
        <f>IF(C323="","",INPUT_SYSTEM!H337)</f>
        <v/>
      </c>
      <c r="K323" s="60">
        <f>IF(C323="","",INPUT_SYSTEM!J337)</f>
        <v/>
      </c>
      <c r="L323" s="62">
        <f>IF(C323="","",INPUT_SYSTEM!K337)</f>
        <v/>
      </c>
      <c r="M323" s="62">
        <f>IF(C323="","",INPUT_SYSTEM!L337)</f>
        <v/>
      </c>
      <c r="N323" s="62">
        <f>IF(U323&lt;&gt;"SI","",IF(M323&lt;&gt;"",M323,IFERROR(I323*J323*(1+K323)*L323,"")))</f>
        <v/>
      </c>
      <c r="O323" s="62">
        <f>IF(N323="","",IF(OR(H323="",H323=0),N323,ROUNDUP(N323/H323,0)))</f>
        <v/>
      </c>
      <c r="P323" s="63">
        <f t="array" ref="P323">IFERROR(INDEX(PRODUCT!$I:$I,MATCH(C323,PRODUCT!$B:$B,0)),"")</f>
        <v/>
      </c>
      <c r="Q323" s="63">
        <f>IF(C323="","",INPUT_SYSTEM!M337)</f>
        <v/>
      </c>
      <c r="R323" s="63">
        <f>IF(P323="","",P323*(1+Q323))</f>
        <v/>
      </c>
      <c r="S323" s="63">
        <f>IF(O323="","",IF(OR(H323="",H323=0),O323*P323,O323*H323*P323))</f>
        <v/>
      </c>
      <c r="T323" s="63">
        <f>IF(O323="","",IF(OR(H323="",H323=0),O323*R323,O323*H323*R323))</f>
        <v/>
      </c>
      <c r="U323" s="62">
        <f>IF(C323="","",INPUT_SYSTEM!C337)</f>
        <v/>
      </c>
      <c r="V323" s="2" t="n"/>
    </row>
    <row r="324" ht="15.75" customHeight="1" s="125">
      <c r="A324" s="62">
        <f>IF(INPUT_SYSTEM!D338="","",INPUT_SYSTEM!A338)</f>
        <v/>
      </c>
      <c r="B324" s="62">
        <f>IF(INPUT_SYSTEM!D338="","",INPUT_SYSTEM!B338)</f>
        <v/>
      </c>
      <c r="C324" s="62">
        <f>IF(INPUT_SYSTEM!D338="","",INPUT_SYSTEM!D338)</f>
        <v/>
      </c>
      <c r="D324" s="62">
        <f>IF(C324="","",INPUT_SYSTEM!E338)</f>
        <v/>
      </c>
      <c r="E324" s="62">
        <f>IF(C324="","",INPUT_SYSTEM!F338)</f>
        <v/>
      </c>
      <c r="F324" s="62">
        <f t="array" ref="F324">IFERROR(INDEX(PRODUCT!$D:$D,MATCH(C324,PRODUCT!$B:$B,0)),"")</f>
        <v/>
      </c>
      <c r="G324" s="62">
        <f t="array" ref="G324">IFERROR(INDEX(PRODUCT!$E:$E,MATCH(C324,PRODUCT!$B:$B,0)),"")</f>
        <v/>
      </c>
      <c r="H324" s="62">
        <f t="array" ref="H324">IFERROR(INDEX(PRODUCT!$F:$F,MATCH(C324,PRODUCT!$B:$B,0)),"")</f>
        <v/>
      </c>
      <c r="I324" s="62">
        <f>IF(C324="","",INPUT_SYSTEM!G338)</f>
        <v/>
      </c>
      <c r="J324" s="62">
        <f>IF(C324="","",INPUT_SYSTEM!H338)</f>
        <v/>
      </c>
      <c r="K324" s="60">
        <f>IF(C324="","",INPUT_SYSTEM!J338)</f>
        <v/>
      </c>
      <c r="L324" s="62">
        <f>IF(C324="","",INPUT_SYSTEM!K338)</f>
        <v/>
      </c>
      <c r="M324" s="62">
        <f>IF(C324="","",INPUT_SYSTEM!L338)</f>
        <v/>
      </c>
      <c r="N324" s="62">
        <f>IF(U324&lt;&gt;"SI","",IF(M324&lt;&gt;"",M324,IFERROR(I324*J324*(1+K324)*L324,"")))</f>
        <v/>
      </c>
      <c r="O324" s="62">
        <f>IF(N324="","",IF(OR(H324="",H324=0),N324,ROUNDUP(N324/H324,0)))</f>
        <v/>
      </c>
      <c r="P324" s="63">
        <f t="array" ref="P324">IFERROR(INDEX(PRODUCT!$I:$I,MATCH(C324,PRODUCT!$B:$B,0)),"")</f>
        <v/>
      </c>
      <c r="Q324" s="63">
        <f>IF(C324="","",INPUT_SYSTEM!M338)</f>
        <v/>
      </c>
      <c r="R324" s="63">
        <f>IF(P324="","",P324*(1+Q324))</f>
        <v/>
      </c>
      <c r="S324" s="63">
        <f>IF(O324="","",IF(OR(H324="",H324=0),O324*P324,O324*H324*P324))</f>
        <v/>
      </c>
      <c r="T324" s="63">
        <f>IF(O324="","",IF(OR(H324="",H324=0),O324*R324,O324*H324*R324))</f>
        <v/>
      </c>
      <c r="U324" s="62">
        <f>IF(C324="","",INPUT_SYSTEM!C338)</f>
        <v/>
      </c>
      <c r="V324" s="2" t="n"/>
    </row>
    <row r="325" ht="15.75" customHeight="1" s="125">
      <c r="A325" s="62">
        <f>IF(INPUT_SYSTEM!D339="","",INPUT_SYSTEM!A339)</f>
        <v/>
      </c>
      <c r="B325" s="62">
        <f>IF(INPUT_SYSTEM!D339="","",INPUT_SYSTEM!B339)</f>
        <v/>
      </c>
      <c r="C325" s="62">
        <f>IF(INPUT_SYSTEM!D339="","",INPUT_SYSTEM!D339)</f>
        <v/>
      </c>
      <c r="D325" s="62">
        <f>IF(C325="","",INPUT_SYSTEM!E339)</f>
        <v/>
      </c>
      <c r="E325" s="62">
        <f>IF(C325="","",INPUT_SYSTEM!F339)</f>
        <v/>
      </c>
      <c r="F325" s="62">
        <f t="array" ref="F325">IFERROR(INDEX(PRODUCT!$D:$D,MATCH(C325,PRODUCT!$B:$B,0)),"")</f>
        <v/>
      </c>
      <c r="G325" s="62">
        <f t="array" ref="G325">IFERROR(INDEX(PRODUCT!$E:$E,MATCH(C325,PRODUCT!$B:$B,0)),"")</f>
        <v/>
      </c>
      <c r="H325" s="62">
        <f t="array" ref="H325">IFERROR(INDEX(PRODUCT!$F:$F,MATCH(C325,PRODUCT!$B:$B,0)),"")</f>
        <v/>
      </c>
      <c r="I325" s="62">
        <f>IF(C325="","",INPUT_SYSTEM!G339)</f>
        <v/>
      </c>
      <c r="J325" s="62">
        <f>IF(C325="","",INPUT_SYSTEM!H339)</f>
        <v/>
      </c>
      <c r="K325" s="60">
        <f>IF(C325="","",INPUT_SYSTEM!J339)</f>
        <v/>
      </c>
      <c r="L325" s="62">
        <f>IF(C325="","",INPUT_SYSTEM!K339)</f>
        <v/>
      </c>
      <c r="M325" s="62">
        <f>IF(C325="","",INPUT_SYSTEM!L339)</f>
        <v/>
      </c>
      <c r="N325" s="62">
        <f>IF(U325&lt;&gt;"SI","",IF(M325&lt;&gt;"",M325,IFERROR(I325*J325*(1+K325)*L325,"")))</f>
        <v/>
      </c>
      <c r="O325" s="62">
        <f>IF(N325="","",IF(OR(H325="",H325=0),N325,ROUNDUP(N325/H325,0)))</f>
        <v/>
      </c>
      <c r="P325" s="63">
        <f t="array" ref="P325">IFERROR(INDEX(PRODUCT!$I:$I,MATCH(C325,PRODUCT!$B:$B,0)),"")</f>
        <v/>
      </c>
      <c r="Q325" s="63">
        <f>IF(C325="","",INPUT_SYSTEM!M339)</f>
        <v/>
      </c>
      <c r="R325" s="63">
        <f>IF(P325="","",P325*(1+Q325))</f>
        <v/>
      </c>
      <c r="S325" s="63">
        <f>IF(O325="","",IF(OR(H325="",H325=0),O325*P325,O325*H325*P325))</f>
        <v/>
      </c>
      <c r="T325" s="63">
        <f>IF(O325="","",IF(OR(H325="",H325=0),O325*R325,O325*H325*R325))</f>
        <v/>
      </c>
      <c r="U325" s="62">
        <f>IF(C325="","",INPUT_SYSTEM!C339)</f>
        <v/>
      </c>
      <c r="V325" s="2" t="n"/>
    </row>
    <row r="326" ht="15.75" customHeight="1" s="125">
      <c r="A326" s="62">
        <f>IF(INPUT_SYSTEM!D340="","",INPUT_SYSTEM!A340)</f>
        <v/>
      </c>
      <c r="B326" s="62">
        <f>IF(INPUT_SYSTEM!D340="","",INPUT_SYSTEM!B340)</f>
        <v/>
      </c>
      <c r="C326" s="62">
        <f>IF(INPUT_SYSTEM!D340="","",INPUT_SYSTEM!D340)</f>
        <v/>
      </c>
      <c r="D326" s="62">
        <f>IF(C326="","",INPUT_SYSTEM!E340)</f>
        <v/>
      </c>
      <c r="E326" s="62">
        <f>IF(C326="","",INPUT_SYSTEM!F340)</f>
        <v/>
      </c>
      <c r="F326" s="62">
        <f t="array" ref="F326">IFERROR(INDEX(PRODUCT!$D:$D,MATCH(C326,PRODUCT!$B:$B,0)),"")</f>
        <v/>
      </c>
      <c r="G326" s="62">
        <f t="array" ref="G326">IFERROR(INDEX(PRODUCT!$E:$E,MATCH(C326,PRODUCT!$B:$B,0)),"")</f>
        <v/>
      </c>
      <c r="H326" s="62">
        <f t="array" ref="H326">IFERROR(INDEX(PRODUCT!$F:$F,MATCH(C326,PRODUCT!$B:$B,0)),"")</f>
        <v/>
      </c>
      <c r="I326" s="62">
        <f>IF(C326="","",INPUT_SYSTEM!G340)</f>
        <v/>
      </c>
      <c r="J326" s="62">
        <f>IF(C326="","",INPUT_SYSTEM!H340)</f>
        <v/>
      </c>
      <c r="K326" s="60">
        <f>IF(C326="","",INPUT_SYSTEM!J340)</f>
        <v/>
      </c>
      <c r="L326" s="62">
        <f>IF(C326="","",INPUT_SYSTEM!K340)</f>
        <v/>
      </c>
      <c r="M326" s="62">
        <f>IF(C326="","",INPUT_SYSTEM!L340)</f>
        <v/>
      </c>
      <c r="N326" s="62">
        <f>IF(U326&lt;&gt;"SI","",IF(M326&lt;&gt;"",M326,IFERROR(I326*J326*(1+K326)*L326,"")))</f>
        <v/>
      </c>
      <c r="O326" s="62">
        <f>IF(N326="","",IF(OR(H326="",H326=0),N326,ROUNDUP(N326/H326,0)))</f>
        <v/>
      </c>
      <c r="P326" s="63">
        <f t="array" ref="P326">IFERROR(INDEX(PRODUCT!$I:$I,MATCH(C326,PRODUCT!$B:$B,0)),"")</f>
        <v/>
      </c>
      <c r="Q326" s="63">
        <f>IF(C326="","",INPUT_SYSTEM!M340)</f>
        <v/>
      </c>
      <c r="R326" s="63">
        <f>IF(P326="","",P326*(1+Q326))</f>
        <v/>
      </c>
      <c r="S326" s="63">
        <f>IF(O326="","",IF(OR(H326="",H326=0),O326*P326,O326*H326*P326))</f>
        <v/>
      </c>
      <c r="T326" s="63">
        <f>IF(O326="","",IF(OR(H326="",H326=0),O326*R326,O326*H326*R326))</f>
        <v/>
      </c>
      <c r="U326" s="62">
        <f>IF(C326="","",INPUT_SYSTEM!C340)</f>
        <v/>
      </c>
      <c r="V326" s="2" t="n"/>
    </row>
    <row r="327" ht="15.75" customHeight="1" s="125">
      <c r="A327" s="62">
        <f>IF(INPUT_SYSTEM!D341="","",INPUT_SYSTEM!A341)</f>
        <v/>
      </c>
      <c r="B327" s="62">
        <f>IF(INPUT_SYSTEM!D341="","",INPUT_SYSTEM!B341)</f>
        <v/>
      </c>
      <c r="C327" s="62">
        <f>IF(INPUT_SYSTEM!D341="","",INPUT_SYSTEM!D341)</f>
        <v/>
      </c>
      <c r="D327" s="62">
        <f>IF(C327="","",INPUT_SYSTEM!E341)</f>
        <v/>
      </c>
      <c r="E327" s="62">
        <f>IF(C327="","",INPUT_SYSTEM!F341)</f>
        <v/>
      </c>
      <c r="F327" s="62">
        <f t="array" ref="F327">IFERROR(INDEX(PRODUCT!$D:$D,MATCH(C327,PRODUCT!$B:$B,0)),"")</f>
        <v/>
      </c>
      <c r="G327" s="62">
        <f t="array" ref="G327">IFERROR(INDEX(PRODUCT!$E:$E,MATCH(C327,PRODUCT!$B:$B,0)),"")</f>
        <v/>
      </c>
      <c r="H327" s="62">
        <f t="array" ref="H327">IFERROR(INDEX(PRODUCT!$F:$F,MATCH(C327,PRODUCT!$B:$B,0)),"")</f>
        <v/>
      </c>
      <c r="I327" s="62">
        <f>IF(C327="","",INPUT_SYSTEM!G341)</f>
        <v/>
      </c>
      <c r="J327" s="62">
        <f>IF(C327="","",INPUT_SYSTEM!H341)</f>
        <v/>
      </c>
      <c r="K327" s="60">
        <f>IF(C327="","",INPUT_SYSTEM!J341)</f>
        <v/>
      </c>
      <c r="L327" s="62">
        <f>IF(C327="","",INPUT_SYSTEM!K341)</f>
        <v/>
      </c>
      <c r="M327" s="62">
        <f>IF(C327="","",INPUT_SYSTEM!L341)</f>
        <v/>
      </c>
      <c r="N327" s="62">
        <f>IF(U327&lt;&gt;"SI","",IF(M327&lt;&gt;"",M327,IFERROR(I327*J327*(1+K327)*L327,"")))</f>
        <v/>
      </c>
      <c r="O327" s="62">
        <f>IF(N327="","",IF(OR(H327="",H327=0),N327,ROUNDUP(N327/H327,0)))</f>
        <v/>
      </c>
      <c r="P327" s="63">
        <f t="array" ref="P327">IFERROR(INDEX(PRODUCT!$I:$I,MATCH(C327,PRODUCT!$B:$B,0)),"")</f>
        <v/>
      </c>
      <c r="Q327" s="63">
        <f>IF(C327="","",INPUT_SYSTEM!M341)</f>
        <v/>
      </c>
      <c r="R327" s="63">
        <f>IF(P327="","",P327*(1+Q327))</f>
        <v/>
      </c>
      <c r="S327" s="63">
        <f>IF(O327="","",IF(OR(H327="",H327=0),O327*P327,O327*H327*P327))</f>
        <v/>
      </c>
      <c r="T327" s="63">
        <f>IF(O327="","",IF(OR(H327="",H327=0),O327*R327,O327*H327*R327))</f>
        <v/>
      </c>
      <c r="U327" s="62">
        <f>IF(C327="","",INPUT_SYSTEM!C341)</f>
        <v/>
      </c>
      <c r="V327" s="2" t="n"/>
    </row>
    <row r="328" ht="15.75" customHeight="1" s="125">
      <c r="A328" s="62">
        <f>IF(INPUT_SYSTEM!D342="","",INPUT_SYSTEM!A342)</f>
        <v/>
      </c>
      <c r="B328" s="62">
        <f>IF(INPUT_SYSTEM!D342="","",INPUT_SYSTEM!B342)</f>
        <v/>
      </c>
      <c r="C328" s="62">
        <f>IF(INPUT_SYSTEM!D342="","",INPUT_SYSTEM!D342)</f>
        <v/>
      </c>
      <c r="D328" s="62">
        <f>IF(C328="","",INPUT_SYSTEM!E342)</f>
        <v/>
      </c>
      <c r="E328" s="62">
        <f>IF(C328="","",INPUT_SYSTEM!F342)</f>
        <v/>
      </c>
      <c r="F328" s="62">
        <f t="array" ref="F328">IFERROR(INDEX(PRODUCT!$D:$D,MATCH(C328,PRODUCT!$B:$B,0)),"")</f>
        <v/>
      </c>
      <c r="G328" s="62">
        <f t="array" ref="G328">IFERROR(INDEX(PRODUCT!$E:$E,MATCH(C328,PRODUCT!$B:$B,0)),"")</f>
        <v/>
      </c>
      <c r="H328" s="62">
        <f t="array" ref="H328">IFERROR(INDEX(PRODUCT!$F:$F,MATCH(C328,PRODUCT!$B:$B,0)),"")</f>
        <v/>
      </c>
      <c r="I328" s="62">
        <f>IF(C328="","",INPUT_SYSTEM!G342)</f>
        <v/>
      </c>
      <c r="J328" s="62">
        <f>IF(C328="","",INPUT_SYSTEM!H342)</f>
        <v/>
      </c>
      <c r="K328" s="60">
        <f>IF(C328="","",INPUT_SYSTEM!J342)</f>
        <v/>
      </c>
      <c r="L328" s="62">
        <f>IF(C328="","",INPUT_SYSTEM!K342)</f>
        <v/>
      </c>
      <c r="M328" s="62">
        <f>IF(C328="","",INPUT_SYSTEM!L342)</f>
        <v/>
      </c>
      <c r="N328" s="62">
        <f>IF(U328&lt;&gt;"SI","",IF(M328&lt;&gt;"",M328,IFERROR(I328*J328*(1+K328)*L328,"")))</f>
        <v/>
      </c>
      <c r="O328" s="62">
        <f>IF(N328="","",IF(OR(H328="",H328=0),N328,ROUNDUP(N328/H328,0)))</f>
        <v/>
      </c>
      <c r="P328" s="63">
        <f t="array" ref="P328">IFERROR(INDEX(PRODUCT!$I:$I,MATCH(C328,PRODUCT!$B:$B,0)),"")</f>
        <v/>
      </c>
      <c r="Q328" s="63">
        <f>IF(C328="","",INPUT_SYSTEM!M342)</f>
        <v/>
      </c>
      <c r="R328" s="63">
        <f>IF(P328="","",P328*(1+Q328))</f>
        <v/>
      </c>
      <c r="S328" s="63">
        <f>IF(O328="","",IF(OR(H328="",H328=0),O328*P328,O328*H328*P328))</f>
        <v/>
      </c>
      <c r="T328" s="63">
        <f>IF(O328="","",IF(OR(H328="",H328=0),O328*R328,O328*H328*R328))</f>
        <v/>
      </c>
      <c r="U328" s="62">
        <f>IF(C328="","",INPUT_SYSTEM!C342)</f>
        <v/>
      </c>
      <c r="V328" s="2" t="n"/>
    </row>
    <row r="329" ht="15.75" customHeight="1" s="125">
      <c r="A329" s="62">
        <f>IF(INPUT_SYSTEM!D343="","",INPUT_SYSTEM!A343)</f>
        <v/>
      </c>
      <c r="B329" s="62">
        <f>IF(INPUT_SYSTEM!D343="","",INPUT_SYSTEM!B343)</f>
        <v/>
      </c>
      <c r="C329" s="62">
        <f>IF(INPUT_SYSTEM!D343="","",INPUT_SYSTEM!D343)</f>
        <v/>
      </c>
      <c r="D329" s="62">
        <f>IF(C329="","",INPUT_SYSTEM!E343)</f>
        <v/>
      </c>
      <c r="E329" s="62">
        <f>IF(C329="","",INPUT_SYSTEM!F343)</f>
        <v/>
      </c>
      <c r="F329" s="62">
        <f t="array" ref="F329">IFERROR(INDEX(PRODUCT!$D:$D,MATCH(C329,PRODUCT!$B:$B,0)),"")</f>
        <v/>
      </c>
      <c r="G329" s="62">
        <f t="array" ref="G329">IFERROR(INDEX(PRODUCT!$E:$E,MATCH(C329,PRODUCT!$B:$B,0)),"")</f>
        <v/>
      </c>
      <c r="H329" s="62">
        <f t="array" ref="H329">IFERROR(INDEX(PRODUCT!$F:$F,MATCH(C329,PRODUCT!$B:$B,0)),"")</f>
        <v/>
      </c>
      <c r="I329" s="62">
        <f>IF(C329="","",INPUT_SYSTEM!G343)</f>
        <v/>
      </c>
      <c r="J329" s="62">
        <f>IF(C329="","",INPUT_SYSTEM!H343)</f>
        <v/>
      </c>
      <c r="K329" s="60">
        <f>IF(C329="","",INPUT_SYSTEM!J343)</f>
        <v/>
      </c>
      <c r="L329" s="62">
        <f>IF(C329="","",INPUT_SYSTEM!K343)</f>
        <v/>
      </c>
      <c r="M329" s="62">
        <f>IF(C329="","",INPUT_SYSTEM!L343)</f>
        <v/>
      </c>
      <c r="N329" s="62">
        <f>IF(U329&lt;&gt;"SI","",IF(M329&lt;&gt;"",M329,IFERROR(I329*J329*(1+K329)*L329,"")))</f>
        <v/>
      </c>
      <c r="O329" s="62">
        <f>IF(N329="","",IF(OR(H329="",H329=0),N329,ROUNDUP(N329/H329,0)))</f>
        <v/>
      </c>
      <c r="P329" s="63">
        <f t="array" ref="P329">IFERROR(INDEX(PRODUCT!$I:$I,MATCH(C329,PRODUCT!$B:$B,0)),"")</f>
        <v/>
      </c>
      <c r="Q329" s="63">
        <f>IF(C329="","",INPUT_SYSTEM!M343)</f>
        <v/>
      </c>
      <c r="R329" s="63">
        <f>IF(P329="","",P329*(1+Q329))</f>
        <v/>
      </c>
      <c r="S329" s="63">
        <f>IF(O329="","",IF(OR(H329="",H329=0),O329*P329,O329*H329*P329))</f>
        <v/>
      </c>
      <c r="T329" s="63">
        <f>IF(O329="","",IF(OR(H329="",H329=0),O329*R329,O329*H329*R329))</f>
        <v/>
      </c>
      <c r="U329" s="62">
        <f>IF(C329="","",INPUT_SYSTEM!C343)</f>
        <v/>
      </c>
      <c r="V329" s="2" t="n"/>
    </row>
    <row r="330" ht="15.75" customHeight="1" s="125">
      <c r="A330" s="62">
        <f>IF(INPUT_SYSTEM!D344="","",INPUT_SYSTEM!A344)</f>
        <v/>
      </c>
      <c r="B330" s="62">
        <f>IF(INPUT_SYSTEM!D344="","",INPUT_SYSTEM!B344)</f>
        <v/>
      </c>
      <c r="C330" s="62">
        <f>IF(INPUT_SYSTEM!D344="","",INPUT_SYSTEM!D344)</f>
        <v/>
      </c>
      <c r="D330" s="62">
        <f>IF(C330="","",INPUT_SYSTEM!E344)</f>
        <v/>
      </c>
      <c r="E330" s="62">
        <f>IF(C330="","",INPUT_SYSTEM!F344)</f>
        <v/>
      </c>
      <c r="F330" s="62">
        <f t="array" ref="F330">IFERROR(INDEX(PRODUCT!$D:$D,MATCH(C330,PRODUCT!$B:$B,0)),"")</f>
        <v/>
      </c>
      <c r="G330" s="62">
        <f t="array" ref="G330">IFERROR(INDEX(PRODUCT!$E:$E,MATCH(C330,PRODUCT!$B:$B,0)),"")</f>
        <v/>
      </c>
      <c r="H330" s="62">
        <f t="array" ref="H330">IFERROR(INDEX(PRODUCT!$F:$F,MATCH(C330,PRODUCT!$B:$B,0)),"")</f>
        <v/>
      </c>
      <c r="I330" s="62">
        <f>IF(C330="","",INPUT_SYSTEM!G344)</f>
        <v/>
      </c>
      <c r="J330" s="62">
        <f>IF(C330="","",INPUT_SYSTEM!H344)</f>
        <v/>
      </c>
      <c r="K330" s="60">
        <f>IF(C330="","",INPUT_SYSTEM!J344)</f>
        <v/>
      </c>
      <c r="L330" s="62">
        <f>IF(C330="","",INPUT_SYSTEM!K344)</f>
        <v/>
      </c>
      <c r="M330" s="62">
        <f>IF(C330="","",INPUT_SYSTEM!L344)</f>
        <v/>
      </c>
      <c r="N330" s="62">
        <f>IF(U330&lt;&gt;"SI","",IF(M330&lt;&gt;"",M330,IFERROR(I330*J330*(1+K330)*L330,"")))</f>
        <v/>
      </c>
      <c r="O330" s="62">
        <f>IF(N330="","",IF(OR(H330="",H330=0),N330,ROUNDUP(N330/H330,0)))</f>
        <v/>
      </c>
      <c r="P330" s="63">
        <f t="array" ref="P330">IFERROR(INDEX(PRODUCT!$I:$I,MATCH(C330,PRODUCT!$B:$B,0)),"")</f>
        <v/>
      </c>
      <c r="Q330" s="63">
        <f>IF(C330="","",INPUT_SYSTEM!M344)</f>
        <v/>
      </c>
      <c r="R330" s="63">
        <f>IF(P330="","",P330*(1+Q330))</f>
        <v/>
      </c>
      <c r="S330" s="63">
        <f>IF(O330="","",IF(OR(H330="",H330=0),O330*P330,O330*H330*P330))</f>
        <v/>
      </c>
      <c r="T330" s="63">
        <f>IF(O330="","",IF(OR(H330="",H330=0),O330*R330,O330*H330*R330))</f>
        <v/>
      </c>
      <c r="U330" s="62">
        <f>IF(C330="","",INPUT_SYSTEM!C344)</f>
        <v/>
      </c>
      <c r="V330" s="2" t="n"/>
    </row>
    <row r="331" ht="15.75" customHeight="1" s="125">
      <c r="A331" s="62">
        <f>IF(INPUT_SYSTEM!D345="","",INPUT_SYSTEM!A345)</f>
        <v/>
      </c>
      <c r="B331" s="62">
        <f>IF(INPUT_SYSTEM!D345="","",INPUT_SYSTEM!B345)</f>
        <v/>
      </c>
      <c r="C331" s="62">
        <f>IF(INPUT_SYSTEM!D345="","",INPUT_SYSTEM!D345)</f>
        <v/>
      </c>
      <c r="D331" s="62">
        <f>IF(C331="","",INPUT_SYSTEM!E345)</f>
        <v/>
      </c>
      <c r="E331" s="62">
        <f>IF(C331="","",INPUT_SYSTEM!F345)</f>
        <v/>
      </c>
      <c r="F331" s="62">
        <f t="array" ref="F331">IFERROR(INDEX(PRODUCT!$D:$D,MATCH(C331,PRODUCT!$B:$B,0)),"")</f>
        <v/>
      </c>
      <c r="G331" s="62">
        <f t="array" ref="G331">IFERROR(INDEX(PRODUCT!$E:$E,MATCH(C331,PRODUCT!$B:$B,0)),"")</f>
        <v/>
      </c>
      <c r="H331" s="62">
        <f t="array" ref="H331">IFERROR(INDEX(PRODUCT!$F:$F,MATCH(C331,PRODUCT!$B:$B,0)),"")</f>
        <v/>
      </c>
      <c r="I331" s="62">
        <f>IF(C331="","",INPUT_SYSTEM!G345)</f>
        <v/>
      </c>
      <c r="J331" s="62">
        <f>IF(C331="","",INPUT_SYSTEM!H345)</f>
        <v/>
      </c>
      <c r="K331" s="60">
        <f>IF(C331="","",INPUT_SYSTEM!J345)</f>
        <v/>
      </c>
      <c r="L331" s="62">
        <f>IF(C331="","",INPUT_SYSTEM!K345)</f>
        <v/>
      </c>
      <c r="M331" s="62">
        <f>IF(C331="","",INPUT_SYSTEM!L345)</f>
        <v/>
      </c>
      <c r="N331" s="62">
        <f>IF(U331&lt;&gt;"SI","",IF(M331&lt;&gt;"",M331,IFERROR(I331*J331*(1+K331)*L331,"")))</f>
        <v/>
      </c>
      <c r="O331" s="62">
        <f>IF(N331="","",IF(OR(H331="",H331=0),N331,ROUNDUP(N331/H331,0)))</f>
        <v/>
      </c>
      <c r="P331" s="63">
        <f t="array" ref="P331">IFERROR(INDEX(PRODUCT!$I:$I,MATCH(C331,PRODUCT!$B:$B,0)),"")</f>
        <v/>
      </c>
      <c r="Q331" s="63">
        <f>IF(C331="","",INPUT_SYSTEM!M345)</f>
        <v/>
      </c>
      <c r="R331" s="63">
        <f>IF(P331="","",P331*(1+Q331))</f>
        <v/>
      </c>
      <c r="S331" s="63">
        <f>IF(O331="","",IF(OR(H331="",H331=0),O331*P331,O331*H331*P331))</f>
        <v/>
      </c>
      <c r="T331" s="63">
        <f>IF(O331="","",IF(OR(H331="",H331=0),O331*R331,O331*H331*R331))</f>
        <v/>
      </c>
      <c r="U331" s="62">
        <f>IF(C331="","",INPUT_SYSTEM!C345)</f>
        <v/>
      </c>
      <c r="V331" s="2" t="n"/>
    </row>
    <row r="332" ht="15.75" customHeight="1" s="125">
      <c r="A332" s="62">
        <f>IF(INPUT_SYSTEM!D346="","",INPUT_SYSTEM!A346)</f>
        <v/>
      </c>
      <c r="B332" s="62">
        <f>IF(INPUT_SYSTEM!D346="","",INPUT_SYSTEM!B346)</f>
        <v/>
      </c>
      <c r="C332" s="62">
        <f>IF(INPUT_SYSTEM!D346="","",INPUT_SYSTEM!D346)</f>
        <v/>
      </c>
      <c r="D332" s="62">
        <f>IF(C332="","",INPUT_SYSTEM!E346)</f>
        <v/>
      </c>
      <c r="E332" s="62">
        <f>IF(C332="","",INPUT_SYSTEM!F346)</f>
        <v/>
      </c>
      <c r="F332" s="62">
        <f t="array" ref="F332">IFERROR(INDEX(PRODUCT!$D:$D,MATCH(C332,PRODUCT!$B:$B,0)),"")</f>
        <v/>
      </c>
      <c r="G332" s="62">
        <f t="array" ref="G332">IFERROR(INDEX(PRODUCT!$E:$E,MATCH(C332,PRODUCT!$B:$B,0)),"")</f>
        <v/>
      </c>
      <c r="H332" s="62">
        <f t="array" ref="H332">IFERROR(INDEX(PRODUCT!$F:$F,MATCH(C332,PRODUCT!$B:$B,0)),"")</f>
        <v/>
      </c>
      <c r="I332" s="62">
        <f>IF(C332="","",INPUT_SYSTEM!G346)</f>
        <v/>
      </c>
      <c r="J332" s="62">
        <f>IF(C332="","",INPUT_SYSTEM!H346)</f>
        <v/>
      </c>
      <c r="K332" s="60">
        <f>IF(C332="","",INPUT_SYSTEM!J346)</f>
        <v/>
      </c>
      <c r="L332" s="62">
        <f>IF(C332="","",INPUT_SYSTEM!K346)</f>
        <v/>
      </c>
      <c r="M332" s="62">
        <f>IF(C332="","",INPUT_SYSTEM!L346)</f>
        <v/>
      </c>
      <c r="N332" s="62">
        <f>IF(U332&lt;&gt;"SI","",IF(M332&lt;&gt;"",M332,IFERROR(I332*J332*(1+K332)*L332,"")))</f>
        <v/>
      </c>
      <c r="O332" s="62">
        <f>IF(N332="","",IF(OR(H332="",H332=0),N332,ROUNDUP(N332/H332,0)))</f>
        <v/>
      </c>
      <c r="P332" s="63">
        <f t="array" ref="P332">IFERROR(INDEX(PRODUCT!$I:$I,MATCH(C332,PRODUCT!$B:$B,0)),"")</f>
        <v/>
      </c>
      <c r="Q332" s="63">
        <f>IF(C332="","",INPUT_SYSTEM!M346)</f>
        <v/>
      </c>
      <c r="R332" s="63">
        <f>IF(P332="","",P332*(1+Q332))</f>
        <v/>
      </c>
      <c r="S332" s="63">
        <f>IF(O332="","",IF(OR(H332="",H332=0),O332*P332,O332*H332*P332))</f>
        <v/>
      </c>
      <c r="T332" s="63">
        <f>IF(O332="","",IF(OR(H332="",H332=0),O332*R332,O332*H332*R332))</f>
        <v/>
      </c>
      <c r="U332" s="62">
        <f>IF(C332="","",INPUT_SYSTEM!C346)</f>
        <v/>
      </c>
      <c r="V332" s="2" t="n"/>
    </row>
    <row r="333" ht="15.75" customHeight="1" s="125">
      <c r="A333" s="62">
        <f>IF(INPUT_SYSTEM!D347="","",INPUT_SYSTEM!A347)</f>
        <v/>
      </c>
      <c r="B333" s="62">
        <f>IF(INPUT_SYSTEM!D347="","",INPUT_SYSTEM!B347)</f>
        <v/>
      </c>
      <c r="C333" s="62">
        <f>IF(INPUT_SYSTEM!D347="","",INPUT_SYSTEM!D347)</f>
        <v/>
      </c>
      <c r="D333" s="62">
        <f>IF(C333="","",INPUT_SYSTEM!E347)</f>
        <v/>
      </c>
      <c r="E333" s="62">
        <f>IF(C333="","",INPUT_SYSTEM!F347)</f>
        <v/>
      </c>
      <c r="F333" s="62">
        <f t="array" ref="F333">IFERROR(INDEX(PRODUCT!$D:$D,MATCH(C333,PRODUCT!$B:$B,0)),"")</f>
        <v/>
      </c>
      <c r="G333" s="62">
        <f t="array" ref="G333">IFERROR(INDEX(PRODUCT!$E:$E,MATCH(C333,PRODUCT!$B:$B,0)),"")</f>
        <v/>
      </c>
      <c r="H333" s="62">
        <f t="array" ref="H333">IFERROR(INDEX(PRODUCT!$F:$F,MATCH(C333,PRODUCT!$B:$B,0)),"")</f>
        <v/>
      </c>
      <c r="I333" s="62">
        <f>IF(C333="","",INPUT_SYSTEM!G347)</f>
        <v/>
      </c>
      <c r="J333" s="62">
        <f>IF(C333="","",INPUT_SYSTEM!H347)</f>
        <v/>
      </c>
      <c r="K333" s="60">
        <f>IF(C333="","",INPUT_SYSTEM!J347)</f>
        <v/>
      </c>
      <c r="L333" s="62">
        <f>IF(C333="","",INPUT_SYSTEM!K347)</f>
        <v/>
      </c>
      <c r="M333" s="62">
        <f>IF(C333="","",INPUT_SYSTEM!L347)</f>
        <v/>
      </c>
      <c r="N333" s="62">
        <f>IF(U333&lt;&gt;"SI","",IF(M333&lt;&gt;"",M333,IFERROR(I333*J333*(1+K333)*L333,"")))</f>
        <v/>
      </c>
      <c r="O333" s="62">
        <f>IF(N333="","",IF(OR(H333="",H333=0),N333,ROUNDUP(N333/H333,0)))</f>
        <v/>
      </c>
      <c r="P333" s="63">
        <f t="array" ref="P333">IFERROR(INDEX(PRODUCT!$I:$I,MATCH(C333,PRODUCT!$B:$B,0)),"")</f>
        <v/>
      </c>
      <c r="Q333" s="63">
        <f>IF(C333="","",INPUT_SYSTEM!M347)</f>
        <v/>
      </c>
      <c r="R333" s="63">
        <f>IF(P333="","",P333*(1+Q333))</f>
        <v/>
      </c>
      <c r="S333" s="63">
        <f>IF(O333="","",IF(OR(H333="",H333=0),O333*P333,O333*H333*P333))</f>
        <v/>
      </c>
      <c r="T333" s="63">
        <f>IF(O333="","",IF(OR(H333="",H333=0),O333*R333,O333*H333*R333))</f>
        <v/>
      </c>
      <c r="U333" s="62">
        <f>IF(C333="","",INPUT_SYSTEM!C347)</f>
        <v/>
      </c>
      <c r="V333" s="2" t="n"/>
    </row>
    <row r="334" ht="15.75" customHeight="1" s="125">
      <c r="A334" s="62">
        <f>IF(INPUT_SYSTEM!D348="","",INPUT_SYSTEM!A348)</f>
        <v/>
      </c>
      <c r="B334" s="62">
        <f>IF(INPUT_SYSTEM!D348="","",INPUT_SYSTEM!B348)</f>
        <v/>
      </c>
      <c r="C334" s="62">
        <f>IF(INPUT_SYSTEM!D348="","",INPUT_SYSTEM!D348)</f>
        <v/>
      </c>
      <c r="D334" s="62">
        <f>IF(C334="","",INPUT_SYSTEM!E348)</f>
        <v/>
      </c>
      <c r="E334" s="62">
        <f>IF(C334="","",INPUT_SYSTEM!F348)</f>
        <v/>
      </c>
      <c r="F334" s="62">
        <f t="array" ref="F334">IFERROR(INDEX(PRODUCT!$D:$D,MATCH(C334,PRODUCT!$B:$B,0)),"")</f>
        <v/>
      </c>
      <c r="G334" s="62">
        <f t="array" ref="G334">IFERROR(INDEX(PRODUCT!$E:$E,MATCH(C334,PRODUCT!$B:$B,0)),"")</f>
        <v/>
      </c>
      <c r="H334" s="62">
        <f t="array" ref="H334">IFERROR(INDEX(PRODUCT!$F:$F,MATCH(C334,PRODUCT!$B:$B,0)),"")</f>
        <v/>
      </c>
      <c r="I334" s="62">
        <f>IF(C334="","",INPUT_SYSTEM!G348)</f>
        <v/>
      </c>
      <c r="J334" s="62">
        <f>IF(C334="","",INPUT_SYSTEM!H348)</f>
        <v/>
      </c>
      <c r="K334" s="60">
        <f>IF(C334="","",INPUT_SYSTEM!J348)</f>
        <v/>
      </c>
      <c r="L334" s="62">
        <f>IF(C334="","",INPUT_SYSTEM!K348)</f>
        <v/>
      </c>
      <c r="M334" s="62">
        <f>IF(C334="","",INPUT_SYSTEM!L348)</f>
        <v/>
      </c>
      <c r="N334" s="62">
        <f>IF(U334&lt;&gt;"SI","",IF(M334&lt;&gt;"",M334,IFERROR(I334*J334*(1+K334)*L334,"")))</f>
        <v/>
      </c>
      <c r="O334" s="62">
        <f>IF(N334="","",IF(OR(H334="",H334=0),N334,ROUNDUP(N334/H334,0)))</f>
        <v/>
      </c>
      <c r="P334" s="63">
        <f t="array" ref="P334">IFERROR(INDEX(PRODUCT!$I:$I,MATCH(C334,PRODUCT!$B:$B,0)),"")</f>
        <v/>
      </c>
      <c r="Q334" s="63">
        <f>IF(C334="","",INPUT_SYSTEM!M348)</f>
        <v/>
      </c>
      <c r="R334" s="63">
        <f>IF(P334="","",P334*(1+Q334))</f>
        <v/>
      </c>
      <c r="S334" s="63">
        <f>IF(O334="","",IF(OR(H334="",H334=0),O334*P334,O334*H334*P334))</f>
        <v/>
      </c>
      <c r="T334" s="63">
        <f>IF(O334="","",IF(OR(H334="",H334=0),O334*R334,O334*H334*R334))</f>
        <v/>
      </c>
      <c r="U334" s="62">
        <f>IF(C334="","",INPUT_SYSTEM!C348)</f>
        <v/>
      </c>
      <c r="V334" s="2" t="n"/>
    </row>
    <row r="335" ht="15.75" customHeight="1" s="125">
      <c r="A335" s="62">
        <f>IF(INPUT_SYSTEM!D349="","",INPUT_SYSTEM!A349)</f>
        <v/>
      </c>
      <c r="B335" s="62">
        <f>IF(INPUT_SYSTEM!D349="","",INPUT_SYSTEM!B349)</f>
        <v/>
      </c>
      <c r="C335" s="62">
        <f>IF(INPUT_SYSTEM!D349="","",INPUT_SYSTEM!D349)</f>
        <v/>
      </c>
      <c r="D335" s="62">
        <f>IF(C335="","",INPUT_SYSTEM!E349)</f>
        <v/>
      </c>
      <c r="E335" s="62">
        <f>IF(C335="","",INPUT_SYSTEM!F349)</f>
        <v/>
      </c>
      <c r="F335" s="62">
        <f t="array" ref="F335">IFERROR(INDEX(PRODUCT!$D:$D,MATCH(C335,PRODUCT!$B:$B,0)),"")</f>
        <v/>
      </c>
      <c r="G335" s="62">
        <f t="array" ref="G335">IFERROR(INDEX(PRODUCT!$E:$E,MATCH(C335,PRODUCT!$B:$B,0)),"")</f>
        <v/>
      </c>
      <c r="H335" s="62">
        <f t="array" ref="H335">IFERROR(INDEX(PRODUCT!$F:$F,MATCH(C335,PRODUCT!$B:$B,0)),"")</f>
        <v/>
      </c>
      <c r="I335" s="62">
        <f>IF(C335="","",INPUT_SYSTEM!G349)</f>
        <v/>
      </c>
      <c r="J335" s="62">
        <f>IF(C335="","",INPUT_SYSTEM!H349)</f>
        <v/>
      </c>
      <c r="K335" s="60">
        <f>IF(C335="","",INPUT_SYSTEM!J349)</f>
        <v/>
      </c>
      <c r="L335" s="62">
        <f>IF(C335="","",INPUT_SYSTEM!K349)</f>
        <v/>
      </c>
      <c r="M335" s="62">
        <f>IF(C335="","",INPUT_SYSTEM!L349)</f>
        <v/>
      </c>
      <c r="N335" s="62">
        <f>IF(U335&lt;&gt;"SI","",IF(M335&lt;&gt;"",M335,IFERROR(I335*J335*(1+K335)*L335,"")))</f>
        <v/>
      </c>
      <c r="O335" s="62">
        <f>IF(N335="","",IF(OR(H335="",H335=0),N335,ROUNDUP(N335/H335,0)))</f>
        <v/>
      </c>
      <c r="P335" s="63">
        <f t="array" ref="P335">IFERROR(INDEX(PRODUCT!$I:$I,MATCH(C335,PRODUCT!$B:$B,0)),"")</f>
        <v/>
      </c>
      <c r="Q335" s="63">
        <f>IF(C335="","",INPUT_SYSTEM!M349)</f>
        <v/>
      </c>
      <c r="R335" s="63">
        <f>IF(P335="","",P335*(1+Q335))</f>
        <v/>
      </c>
      <c r="S335" s="63">
        <f>IF(O335="","",IF(OR(H335="",H335=0),O335*P335,O335*H335*P335))</f>
        <v/>
      </c>
      <c r="T335" s="63">
        <f>IF(O335="","",IF(OR(H335="",H335=0),O335*R335,O335*H335*R335))</f>
        <v/>
      </c>
      <c r="U335" s="62">
        <f>IF(C335="","",INPUT_SYSTEM!C349)</f>
        <v/>
      </c>
      <c r="V335" s="2" t="n"/>
    </row>
    <row r="336" ht="15.75" customHeight="1" s="125">
      <c r="A336" s="62">
        <f>IF(INPUT_SYSTEM!D350="","",INPUT_SYSTEM!A350)</f>
        <v/>
      </c>
      <c r="B336" s="62">
        <f>IF(INPUT_SYSTEM!D350="","",INPUT_SYSTEM!B350)</f>
        <v/>
      </c>
      <c r="C336" s="62">
        <f>IF(INPUT_SYSTEM!D350="","",INPUT_SYSTEM!D350)</f>
        <v/>
      </c>
      <c r="D336" s="62">
        <f>IF(C336="","",INPUT_SYSTEM!E350)</f>
        <v/>
      </c>
      <c r="E336" s="62">
        <f>IF(C336="","",INPUT_SYSTEM!F350)</f>
        <v/>
      </c>
      <c r="F336" s="62">
        <f t="array" ref="F336">IFERROR(INDEX(PRODUCT!$D:$D,MATCH(C336,PRODUCT!$B:$B,0)),"")</f>
        <v/>
      </c>
      <c r="G336" s="62">
        <f t="array" ref="G336">IFERROR(INDEX(PRODUCT!$E:$E,MATCH(C336,PRODUCT!$B:$B,0)),"")</f>
        <v/>
      </c>
      <c r="H336" s="62">
        <f t="array" ref="H336">IFERROR(INDEX(PRODUCT!$F:$F,MATCH(C336,PRODUCT!$B:$B,0)),"")</f>
        <v/>
      </c>
      <c r="I336" s="62">
        <f>IF(C336="","",INPUT_SYSTEM!G350)</f>
        <v/>
      </c>
      <c r="J336" s="62">
        <f>IF(C336="","",INPUT_SYSTEM!H350)</f>
        <v/>
      </c>
      <c r="K336" s="60">
        <f>IF(C336="","",INPUT_SYSTEM!J350)</f>
        <v/>
      </c>
      <c r="L336" s="62">
        <f>IF(C336="","",INPUT_SYSTEM!K350)</f>
        <v/>
      </c>
      <c r="M336" s="62">
        <f>IF(C336="","",INPUT_SYSTEM!L350)</f>
        <v/>
      </c>
      <c r="N336" s="62">
        <f>IF(U336&lt;&gt;"SI","",IF(M336&lt;&gt;"",M336,IFERROR(I336*J336*(1+K336)*L336,"")))</f>
        <v/>
      </c>
      <c r="O336" s="62">
        <f>IF(N336="","",IF(OR(H336="",H336=0),N336,ROUNDUP(N336/H336,0)))</f>
        <v/>
      </c>
      <c r="P336" s="63">
        <f t="array" ref="P336">IFERROR(INDEX(PRODUCT!$I:$I,MATCH(C336,PRODUCT!$B:$B,0)),"")</f>
        <v/>
      </c>
      <c r="Q336" s="63">
        <f>IF(C336="","",INPUT_SYSTEM!M350)</f>
        <v/>
      </c>
      <c r="R336" s="63">
        <f>IF(P336="","",P336*(1+Q336))</f>
        <v/>
      </c>
      <c r="S336" s="63">
        <f>IF(O336="","",IF(OR(H336="",H336=0),O336*P336,O336*H336*P336))</f>
        <v/>
      </c>
      <c r="T336" s="63">
        <f>IF(O336="","",IF(OR(H336="",H336=0),O336*R336,O336*H336*R336))</f>
        <v/>
      </c>
      <c r="U336" s="62">
        <f>IF(C336="","",INPUT_SYSTEM!C350)</f>
        <v/>
      </c>
      <c r="V336" s="2" t="n"/>
    </row>
    <row r="337" ht="15.75" customHeight="1" s="125">
      <c r="A337" s="62">
        <f>IF(INPUT_SYSTEM!D351="","",INPUT_SYSTEM!A351)</f>
        <v/>
      </c>
      <c r="B337" s="62">
        <f>IF(INPUT_SYSTEM!D351="","",INPUT_SYSTEM!B351)</f>
        <v/>
      </c>
      <c r="C337" s="62">
        <f>IF(INPUT_SYSTEM!D351="","",INPUT_SYSTEM!D351)</f>
        <v/>
      </c>
      <c r="D337" s="62">
        <f>IF(C337="","",INPUT_SYSTEM!E351)</f>
        <v/>
      </c>
      <c r="E337" s="62">
        <f>IF(C337="","",INPUT_SYSTEM!F351)</f>
        <v/>
      </c>
      <c r="F337" s="62">
        <f t="array" ref="F337">IFERROR(INDEX(PRODUCT!$D:$D,MATCH(C337,PRODUCT!$B:$B,0)),"")</f>
        <v/>
      </c>
      <c r="G337" s="62">
        <f t="array" ref="G337">IFERROR(INDEX(PRODUCT!$E:$E,MATCH(C337,PRODUCT!$B:$B,0)),"")</f>
        <v/>
      </c>
      <c r="H337" s="62">
        <f t="array" ref="H337">IFERROR(INDEX(PRODUCT!$F:$F,MATCH(C337,PRODUCT!$B:$B,0)),"")</f>
        <v/>
      </c>
      <c r="I337" s="62">
        <f>IF(C337="","",INPUT_SYSTEM!G351)</f>
        <v/>
      </c>
      <c r="J337" s="62">
        <f>IF(C337="","",INPUT_SYSTEM!H351)</f>
        <v/>
      </c>
      <c r="K337" s="60">
        <f>IF(C337="","",INPUT_SYSTEM!J351)</f>
        <v/>
      </c>
      <c r="L337" s="62">
        <f>IF(C337="","",INPUT_SYSTEM!K351)</f>
        <v/>
      </c>
      <c r="M337" s="62">
        <f>IF(C337="","",INPUT_SYSTEM!L351)</f>
        <v/>
      </c>
      <c r="N337" s="62">
        <f>IF(U337&lt;&gt;"SI","",IF(M337&lt;&gt;"",M337,IFERROR(I337*J337*(1+K337)*L337,"")))</f>
        <v/>
      </c>
      <c r="O337" s="62">
        <f>IF(N337="","",IF(OR(H337="",H337=0),N337,ROUNDUP(N337/H337,0)))</f>
        <v/>
      </c>
      <c r="P337" s="63">
        <f t="array" ref="P337">IFERROR(INDEX(PRODUCT!$I:$I,MATCH(C337,PRODUCT!$B:$B,0)),"")</f>
        <v/>
      </c>
      <c r="Q337" s="63">
        <f>IF(C337="","",INPUT_SYSTEM!M351)</f>
        <v/>
      </c>
      <c r="R337" s="63">
        <f>IF(P337="","",P337*(1+Q337))</f>
        <v/>
      </c>
      <c r="S337" s="63">
        <f>IF(O337="","",IF(OR(H337="",H337=0),O337*P337,O337*H337*P337))</f>
        <v/>
      </c>
      <c r="T337" s="63">
        <f>IF(O337="","",IF(OR(H337="",H337=0),O337*R337,O337*H337*R337))</f>
        <v/>
      </c>
      <c r="U337" s="62">
        <f>IF(C337="","",INPUT_SYSTEM!C351)</f>
        <v/>
      </c>
      <c r="V337" s="2" t="n"/>
    </row>
    <row r="338" ht="15.75" customHeight="1" s="125">
      <c r="A338" s="62">
        <f>IF(INPUT_SYSTEM!D352="","",INPUT_SYSTEM!A352)</f>
        <v/>
      </c>
      <c r="B338" s="62">
        <f>IF(INPUT_SYSTEM!D352="","",INPUT_SYSTEM!B352)</f>
        <v/>
      </c>
      <c r="C338" s="62">
        <f>IF(INPUT_SYSTEM!D352="","",INPUT_SYSTEM!D352)</f>
        <v/>
      </c>
      <c r="D338" s="62">
        <f>IF(C338="","",INPUT_SYSTEM!E352)</f>
        <v/>
      </c>
      <c r="E338" s="62">
        <f>IF(C338="","",INPUT_SYSTEM!F352)</f>
        <v/>
      </c>
      <c r="F338" s="62">
        <f t="array" ref="F338">IFERROR(INDEX(PRODUCT!$D:$D,MATCH(C338,PRODUCT!$B:$B,0)),"")</f>
        <v/>
      </c>
      <c r="G338" s="62">
        <f t="array" ref="G338">IFERROR(INDEX(PRODUCT!$E:$E,MATCH(C338,PRODUCT!$B:$B,0)),"")</f>
        <v/>
      </c>
      <c r="H338" s="62">
        <f t="array" ref="H338">IFERROR(INDEX(PRODUCT!$F:$F,MATCH(C338,PRODUCT!$B:$B,0)),"")</f>
        <v/>
      </c>
      <c r="I338" s="62">
        <f>IF(C338="","",INPUT_SYSTEM!G352)</f>
        <v/>
      </c>
      <c r="J338" s="62">
        <f>IF(C338="","",INPUT_SYSTEM!H352)</f>
        <v/>
      </c>
      <c r="K338" s="60">
        <f>IF(C338="","",INPUT_SYSTEM!J352)</f>
        <v/>
      </c>
      <c r="L338" s="62">
        <f>IF(C338="","",INPUT_SYSTEM!K352)</f>
        <v/>
      </c>
      <c r="M338" s="62">
        <f>IF(C338="","",INPUT_SYSTEM!L352)</f>
        <v/>
      </c>
      <c r="N338" s="62">
        <f>IF(U338&lt;&gt;"SI","",IF(M338&lt;&gt;"",M338,IFERROR(I338*J338*(1+K338)*L338,"")))</f>
        <v/>
      </c>
      <c r="O338" s="62">
        <f>IF(N338="","",IF(OR(H338="",H338=0),N338,ROUNDUP(N338/H338,0)))</f>
        <v/>
      </c>
      <c r="P338" s="63">
        <f t="array" ref="P338">IFERROR(INDEX(PRODUCT!$I:$I,MATCH(C338,PRODUCT!$B:$B,0)),"")</f>
        <v/>
      </c>
      <c r="Q338" s="63">
        <f>IF(C338="","",INPUT_SYSTEM!M352)</f>
        <v/>
      </c>
      <c r="R338" s="63">
        <f>IF(P338="","",P338*(1+Q338))</f>
        <v/>
      </c>
      <c r="S338" s="63">
        <f>IF(O338="","",IF(OR(H338="",H338=0),O338*P338,O338*H338*P338))</f>
        <v/>
      </c>
      <c r="T338" s="63">
        <f>IF(O338="","",IF(OR(H338="",H338=0),O338*R338,O338*H338*R338))</f>
        <v/>
      </c>
      <c r="U338" s="62">
        <f>IF(C338="","",INPUT_SYSTEM!C352)</f>
        <v/>
      </c>
      <c r="V338" s="2" t="n"/>
    </row>
    <row r="339" ht="15.75" customHeight="1" s="125">
      <c r="A339" s="62">
        <f>IF(INPUT_SYSTEM!D353="","",INPUT_SYSTEM!A353)</f>
        <v/>
      </c>
      <c r="B339" s="62">
        <f>IF(INPUT_SYSTEM!D353="","",INPUT_SYSTEM!B353)</f>
        <v/>
      </c>
      <c r="C339" s="62">
        <f>IF(INPUT_SYSTEM!D353="","",INPUT_SYSTEM!D353)</f>
        <v/>
      </c>
      <c r="D339" s="62">
        <f>IF(C339="","",INPUT_SYSTEM!E353)</f>
        <v/>
      </c>
      <c r="E339" s="62">
        <f>IF(C339="","",INPUT_SYSTEM!F353)</f>
        <v/>
      </c>
      <c r="F339" s="62">
        <f t="array" ref="F339">IFERROR(INDEX(PRODUCT!$D:$D,MATCH(C339,PRODUCT!$B:$B,0)),"")</f>
        <v/>
      </c>
      <c r="G339" s="62">
        <f t="array" ref="G339">IFERROR(INDEX(PRODUCT!$E:$E,MATCH(C339,PRODUCT!$B:$B,0)),"")</f>
        <v/>
      </c>
      <c r="H339" s="62">
        <f t="array" ref="H339">IFERROR(INDEX(PRODUCT!$F:$F,MATCH(C339,PRODUCT!$B:$B,0)),"")</f>
        <v/>
      </c>
      <c r="I339" s="62">
        <f>IF(C339="","",INPUT_SYSTEM!G353)</f>
        <v/>
      </c>
      <c r="J339" s="62">
        <f>IF(C339="","",INPUT_SYSTEM!H353)</f>
        <v/>
      </c>
      <c r="K339" s="60">
        <f>IF(C339="","",INPUT_SYSTEM!J353)</f>
        <v/>
      </c>
      <c r="L339" s="62">
        <f>IF(C339="","",INPUT_SYSTEM!K353)</f>
        <v/>
      </c>
      <c r="M339" s="62">
        <f>IF(C339="","",INPUT_SYSTEM!L353)</f>
        <v/>
      </c>
      <c r="N339" s="62">
        <f>IF(U339&lt;&gt;"SI","",IF(M339&lt;&gt;"",M339,IFERROR(I339*J339*(1+K339)*L339,"")))</f>
        <v/>
      </c>
      <c r="O339" s="62">
        <f>IF(N339="","",IF(OR(H339="",H339=0),N339,ROUNDUP(N339/H339,0)))</f>
        <v/>
      </c>
      <c r="P339" s="63">
        <f t="array" ref="P339">IFERROR(INDEX(PRODUCT!$I:$I,MATCH(C339,PRODUCT!$B:$B,0)),"")</f>
        <v/>
      </c>
      <c r="Q339" s="63">
        <f>IF(C339="","",INPUT_SYSTEM!M353)</f>
        <v/>
      </c>
      <c r="R339" s="63">
        <f>IF(P339="","",P339*(1+Q339))</f>
        <v/>
      </c>
      <c r="S339" s="63">
        <f>IF(O339="","",IF(OR(H339="",H339=0),O339*P339,O339*H339*P339))</f>
        <v/>
      </c>
      <c r="T339" s="63">
        <f>IF(O339="","",IF(OR(H339="",H339=0),O339*R339,O339*H339*R339))</f>
        <v/>
      </c>
      <c r="U339" s="62">
        <f>IF(C339="","",INPUT_SYSTEM!C353)</f>
        <v/>
      </c>
      <c r="V339" s="2" t="n"/>
    </row>
    <row r="340" ht="15.75" customHeight="1" s="125">
      <c r="A340" s="62">
        <f>IF(INPUT_SYSTEM!D354="","",INPUT_SYSTEM!A354)</f>
        <v/>
      </c>
      <c r="B340" s="62">
        <f>IF(INPUT_SYSTEM!D354="","",INPUT_SYSTEM!B354)</f>
        <v/>
      </c>
      <c r="C340" s="62">
        <f>IF(INPUT_SYSTEM!D354="","",INPUT_SYSTEM!D354)</f>
        <v/>
      </c>
      <c r="D340" s="62">
        <f>IF(C340="","",INPUT_SYSTEM!E354)</f>
        <v/>
      </c>
      <c r="E340" s="62">
        <f>IF(C340="","",INPUT_SYSTEM!F354)</f>
        <v/>
      </c>
      <c r="F340" s="62">
        <f t="array" ref="F340">IFERROR(INDEX(PRODUCT!$D:$D,MATCH(C340,PRODUCT!$B:$B,0)),"")</f>
        <v/>
      </c>
      <c r="G340" s="62">
        <f t="array" ref="G340">IFERROR(INDEX(PRODUCT!$E:$E,MATCH(C340,PRODUCT!$B:$B,0)),"")</f>
        <v/>
      </c>
      <c r="H340" s="62">
        <f t="array" ref="H340">IFERROR(INDEX(PRODUCT!$F:$F,MATCH(C340,PRODUCT!$B:$B,0)),"")</f>
        <v/>
      </c>
      <c r="I340" s="62">
        <f>IF(C340="","",INPUT_SYSTEM!G354)</f>
        <v/>
      </c>
      <c r="J340" s="62">
        <f>IF(C340="","",INPUT_SYSTEM!H354)</f>
        <v/>
      </c>
      <c r="K340" s="60">
        <f>IF(C340="","",INPUT_SYSTEM!J354)</f>
        <v/>
      </c>
      <c r="L340" s="62">
        <f>IF(C340="","",INPUT_SYSTEM!K354)</f>
        <v/>
      </c>
      <c r="M340" s="62">
        <f>IF(C340="","",INPUT_SYSTEM!L354)</f>
        <v/>
      </c>
      <c r="N340" s="62">
        <f>IF(U340&lt;&gt;"SI","",IF(M340&lt;&gt;"",M340,IFERROR(I340*J340*(1+K340)*L340,"")))</f>
        <v/>
      </c>
      <c r="O340" s="62">
        <f>IF(N340="","",IF(OR(H340="",H340=0),N340,ROUNDUP(N340/H340,0)))</f>
        <v/>
      </c>
      <c r="P340" s="63">
        <f t="array" ref="P340">IFERROR(INDEX(PRODUCT!$I:$I,MATCH(C340,PRODUCT!$B:$B,0)),"")</f>
        <v/>
      </c>
      <c r="Q340" s="63">
        <f>IF(C340="","",INPUT_SYSTEM!M354)</f>
        <v/>
      </c>
      <c r="R340" s="63">
        <f>IF(P340="","",P340*(1+Q340))</f>
        <v/>
      </c>
      <c r="S340" s="63">
        <f>IF(O340="","",IF(OR(H340="",H340=0),O340*P340,O340*H340*P340))</f>
        <v/>
      </c>
      <c r="T340" s="63">
        <f>IF(O340="","",IF(OR(H340="",H340=0),O340*R340,O340*H340*R340))</f>
        <v/>
      </c>
      <c r="U340" s="62">
        <f>IF(C340="","",INPUT_SYSTEM!C354)</f>
        <v/>
      </c>
      <c r="V340" s="2" t="n"/>
    </row>
    <row r="341" ht="15.75" customHeight="1" s="125">
      <c r="A341" s="62">
        <f>IF(INPUT_SYSTEM!D355="","",INPUT_SYSTEM!A355)</f>
        <v/>
      </c>
      <c r="B341" s="62">
        <f>IF(INPUT_SYSTEM!D355="","",INPUT_SYSTEM!B355)</f>
        <v/>
      </c>
      <c r="C341" s="62">
        <f>IF(INPUT_SYSTEM!D355="","",INPUT_SYSTEM!D355)</f>
        <v/>
      </c>
      <c r="D341" s="62">
        <f>IF(C341="","",INPUT_SYSTEM!E355)</f>
        <v/>
      </c>
      <c r="E341" s="62">
        <f>IF(C341="","",INPUT_SYSTEM!F355)</f>
        <v/>
      </c>
      <c r="F341" s="62">
        <f t="array" ref="F341">IFERROR(INDEX(PRODUCT!$D:$D,MATCH(C341,PRODUCT!$B:$B,0)),"")</f>
        <v/>
      </c>
      <c r="G341" s="62">
        <f t="array" ref="G341">IFERROR(INDEX(PRODUCT!$E:$E,MATCH(C341,PRODUCT!$B:$B,0)),"")</f>
        <v/>
      </c>
      <c r="H341" s="62">
        <f t="array" ref="H341">IFERROR(INDEX(PRODUCT!$F:$F,MATCH(C341,PRODUCT!$B:$B,0)),"")</f>
        <v/>
      </c>
      <c r="I341" s="62">
        <f>IF(C341="","",INPUT_SYSTEM!G355)</f>
        <v/>
      </c>
      <c r="J341" s="62">
        <f>IF(C341="","",INPUT_SYSTEM!H355)</f>
        <v/>
      </c>
      <c r="K341" s="60">
        <f>IF(C341="","",INPUT_SYSTEM!J355)</f>
        <v/>
      </c>
      <c r="L341" s="62">
        <f>IF(C341="","",INPUT_SYSTEM!K355)</f>
        <v/>
      </c>
      <c r="M341" s="62">
        <f>IF(C341="","",INPUT_SYSTEM!L355)</f>
        <v/>
      </c>
      <c r="N341" s="62">
        <f>IF(U341&lt;&gt;"SI","",IF(M341&lt;&gt;"",M341,IFERROR(I341*J341*(1+K341)*L341,"")))</f>
        <v/>
      </c>
      <c r="O341" s="62">
        <f>IF(N341="","",IF(OR(H341="",H341=0),N341,ROUNDUP(N341/H341,0)))</f>
        <v/>
      </c>
      <c r="P341" s="63">
        <f t="array" ref="P341">IFERROR(INDEX(PRODUCT!$I:$I,MATCH(C341,PRODUCT!$B:$B,0)),"")</f>
        <v/>
      </c>
      <c r="Q341" s="63">
        <f>IF(C341="","",INPUT_SYSTEM!M355)</f>
        <v/>
      </c>
      <c r="R341" s="63">
        <f>IF(P341="","",P341*(1+Q341))</f>
        <v/>
      </c>
      <c r="S341" s="63">
        <f>IF(O341="","",IF(OR(H341="",H341=0),O341*P341,O341*H341*P341))</f>
        <v/>
      </c>
      <c r="T341" s="63">
        <f>IF(O341="","",IF(OR(H341="",H341=0),O341*R341,O341*H341*R341))</f>
        <v/>
      </c>
      <c r="U341" s="62">
        <f>IF(C341="","",INPUT_SYSTEM!C355)</f>
        <v/>
      </c>
      <c r="V341" s="2" t="n"/>
    </row>
    <row r="342" ht="15.75" customHeight="1" s="125">
      <c r="A342" s="62">
        <f>IF(INPUT_SYSTEM!D356="","",INPUT_SYSTEM!A356)</f>
        <v/>
      </c>
      <c r="B342" s="62">
        <f>IF(INPUT_SYSTEM!D356="","",INPUT_SYSTEM!B356)</f>
        <v/>
      </c>
      <c r="C342" s="62">
        <f>IF(INPUT_SYSTEM!D356="","",INPUT_SYSTEM!D356)</f>
        <v/>
      </c>
      <c r="D342" s="62">
        <f>IF(C342="","",INPUT_SYSTEM!E356)</f>
        <v/>
      </c>
      <c r="E342" s="62">
        <f>IF(C342="","",INPUT_SYSTEM!F356)</f>
        <v/>
      </c>
      <c r="F342" s="62">
        <f t="array" ref="F342">IFERROR(INDEX(PRODUCT!$D:$D,MATCH(C342,PRODUCT!$B:$B,0)),"")</f>
        <v/>
      </c>
      <c r="G342" s="62">
        <f t="array" ref="G342">IFERROR(INDEX(PRODUCT!$E:$E,MATCH(C342,PRODUCT!$B:$B,0)),"")</f>
        <v/>
      </c>
      <c r="H342" s="62">
        <f t="array" ref="H342">IFERROR(INDEX(PRODUCT!$F:$F,MATCH(C342,PRODUCT!$B:$B,0)),"")</f>
        <v/>
      </c>
      <c r="I342" s="62">
        <f>IF(C342="","",INPUT_SYSTEM!G356)</f>
        <v/>
      </c>
      <c r="J342" s="62">
        <f>IF(C342="","",INPUT_SYSTEM!H356)</f>
        <v/>
      </c>
      <c r="K342" s="60">
        <f>IF(C342="","",INPUT_SYSTEM!J356)</f>
        <v/>
      </c>
      <c r="L342" s="62">
        <f>IF(C342="","",INPUT_SYSTEM!K356)</f>
        <v/>
      </c>
      <c r="M342" s="62">
        <f>IF(C342="","",INPUT_SYSTEM!L356)</f>
        <v/>
      </c>
      <c r="N342" s="62">
        <f>IF(U342&lt;&gt;"SI","",IF(M342&lt;&gt;"",M342,IFERROR(I342*J342*(1+K342)*L342,"")))</f>
        <v/>
      </c>
      <c r="O342" s="62">
        <f>IF(N342="","",IF(OR(H342="",H342=0),N342,ROUNDUP(N342/H342,0)))</f>
        <v/>
      </c>
      <c r="P342" s="63">
        <f t="array" ref="P342">IFERROR(INDEX(PRODUCT!$I:$I,MATCH(C342,PRODUCT!$B:$B,0)),"")</f>
        <v/>
      </c>
      <c r="Q342" s="63">
        <f>IF(C342="","",INPUT_SYSTEM!M356)</f>
        <v/>
      </c>
      <c r="R342" s="63">
        <f>IF(P342="","",P342*(1+Q342))</f>
        <v/>
      </c>
      <c r="S342" s="63">
        <f>IF(O342="","",IF(OR(H342="",H342=0),O342*P342,O342*H342*P342))</f>
        <v/>
      </c>
      <c r="T342" s="63">
        <f>IF(O342="","",IF(OR(H342="",H342=0),O342*R342,O342*H342*R342))</f>
        <v/>
      </c>
      <c r="U342" s="62">
        <f>IF(C342="","",INPUT_SYSTEM!C356)</f>
        <v/>
      </c>
      <c r="V342" s="2" t="n"/>
    </row>
    <row r="343" ht="15.75" customHeight="1" s="125">
      <c r="A343" s="62">
        <f>IF(INPUT_SYSTEM!D357="","",INPUT_SYSTEM!A357)</f>
        <v/>
      </c>
      <c r="B343" s="62">
        <f>IF(INPUT_SYSTEM!D357="","",INPUT_SYSTEM!B357)</f>
        <v/>
      </c>
      <c r="C343" s="62">
        <f>IF(INPUT_SYSTEM!D357="","",INPUT_SYSTEM!D357)</f>
        <v/>
      </c>
      <c r="D343" s="62">
        <f>IF(C343="","",INPUT_SYSTEM!E357)</f>
        <v/>
      </c>
      <c r="E343" s="62">
        <f>IF(C343="","",INPUT_SYSTEM!F357)</f>
        <v/>
      </c>
      <c r="F343" s="62">
        <f t="array" ref="F343">IFERROR(INDEX(PRODUCT!$D:$D,MATCH(C343,PRODUCT!$B:$B,0)),"")</f>
        <v/>
      </c>
      <c r="G343" s="62">
        <f t="array" ref="G343">IFERROR(INDEX(PRODUCT!$E:$E,MATCH(C343,PRODUCT!$B:$B,0)),"")</f>
        <v/>
      </c>
      <c r="H343" s="62">
        <f t="array" ref="H343">IFERROR(INDEX(PRODUCT!$F:$F,MATCH(C343,PRODUCT!$B:$B,0)),"")</f>
        <v/>
      </c>
      <c r="I343" s="62">
        <f>IF(C343="","",INPUT_SYSTEM!G357)</f>
        <v/>
      </c>
      <c r="J343" s="62">
        <f>IF(C343="","",INPUT_SYSTEM!H357)</f>
        <v/>
      </c>
      <c r="K343" s="60">
        <f>IF(C343="","",INPUT_SYSTEM!J357)</f>
        <v/>
      </c>
      <c r="L343" s="62">
        <f>IF(C343="","",INPUT_SYSTEM!K357)</f>
        <v/>
      </c>
      <c r="M343" s="62">
        <f>IF(C343="","",INPUT_SYSTEM!L357)</f>
        <v/>
      </c>
      <c r="N343" s="62">
        <f>IF(U343&lt;&gt;"SI","",IF(M343&lt;&gt;"",M343,IFERROR(I343*J343*(1+K343)*L343,"")))</f>
        <v/>
      </c>
      <c r="O343" s="62">
        <f>IF(N343="","",IF(OR(H343="",H343=0),N343,ROUNDUP(N343/H343,0)))</f>
        <v/>
      </c>
      <c r="P343" s="63">
        <f t="array" ref="P343">IFERROR(INDEX(PRODUCT!$I:$I,MATCH(C343,PRODUCT!$B:$B,0)),"")</f>
        <v/>
      </c>
      <c r="Q343" s="63">
        <f>IF(C343="","",INPUT_SYSTEM!M357)</f>
        <v/>
      </c>
      <c r="R343" s="63">
        <f>IF(P343="","",P343*(1+Q343))</f>
        <v/>
      </c>
      <c r="S343" s="63">
        <f>IF(O343="","",IF(OR(H343="",H343=0),O343*P343,O343*H343*P343))</f>
        <v/>
      </c>
      <c r="T343" s="63">
        <f>IF(O343="","",IF(OR(H343="",H343=0),O343*R343,O343*H343*R343))</f>
        <v/>
      </c>
      <c r="U343" s="62">
        <f>IF(C343="","",INPUT_SYSTEM!C357)</f>
        <v/>
      </c>
      <c r="V343" s="2" t="n"/>
    </row>
    <row r="344" ht="15.75" customHeight="1" s="125">
      <c r="A344" s="62">
        <f>IF(INPUT_SYSTEM!D358="","",INPUT_SYSTEM!A358)</f>
        <v/>
      </c>
      <c r="B344" s="62">
        <f>IF(INPUT_SYSTEM!D358="","",INPUT_SYSTEM!B358)</f>
        <v/>
      </c>
      <c r="C344" s="62">
        <f>IF(INPUT_SYSTEM!D358="","",INPUT_SYSTEM!D358)</f>
        <v/>
      </c>
      <c r="D344" s="62">
        <f>IF(C344="","",INPUT_SYSTEM!E358)</f>
        <v/>
      </c>
      <c r="E344" s="62">
        <f>IF(C344="","",INPUT_SYSTEM!F358)</f>
        <v/>
      </c>
      <c r="F344" s="62">
        <f t="array" ref="F344">IFERROR(INDEX(PRODUCT!$D:$D,MATCH(C344,PRODUCT!$B:$B,0)),"")</f>
        <v/>
      </c>
      <c r="G344" s="62">
        <f t="array" ref="G344">IFERROR(INDEX(PRODUCT!$E:$E,MATCH(C344,PRODUCT!$B:$B,0)),"")</f>
        <v/>
      </c>
      <c r="H344" s="62">
        <f t="array" ref="H344">IFERROR(INDEX(PRODUCT!$F:$F,MATCH(C344,PRODUCT!$B:$B,0)),"")</f>
        <v/>
      </c>
      <c r="I344" s="62">
        <f>IF(C344="","",INPUT_SYSTEM!G358)</f>
        <v/>
      </c>
      <c r="J344" s="62">
        <f>IF(C344="","",INPUT_SYSTEM!H358)</f>
        <v/>
      </c>
      <c r="K344" s="60">
        <f>IF(C344="","",INPUT_SYSTEM!J358)</f>
        <v/>
      </c>
      <c r="L344" s="62">
        <f>IF(C344="","",INPUT_SYSTEM!K358)</f>
        <v/>
      </c>
      <c r="M344" s="62">
        <f>IF(C344="","",INPUT_SYSTEM!L358)</f>
        <v/>
      </c>
      <c r="N344" s="62">
        <f>IF(U344&lt;&gt;"SI","",IF(M344&lt;&gt;"",M344,IFERROR(I344*J344*(1+K344)*L344,"")))</f>
        <v/>
      </c>
      <c r="O344" s="62">
        <f>IF(N344="","",IF(OR(H344="",H344=0),N344,ROUNDUP(N344/H344,0)))</f>
        <v/>
      </c>
      <c r="P344" s="63">
        <f t="array" ref="P344">IFERROR(INDEX(PRODUCT!$I:$I,MATCH(C344,PRODUCT!$B:$B,0)),"")</f>
        <v/>
      </c>
      <c r="Q344" s="63">
        <f>IF(C344="","",INPUT_SYSTEM!M358)</f>
        <v/>
      </c>
      <c r="R344" s="63">
        <f>IF(P344="","",P344*(1+Q344))</f>
        <v/>
      </c>
      <c r="S344" s="63">
        <f>IF(O344="","",IF(OR(H344="",H344=0),O344*P344,O344*H344*P344))</f>
        <v/>
      </c>
      <c r="T344" s="63">
        <f>IF(O344="","",IF(OR(H344="",H344=0),O344*R344,O344*H344*R344))</f>
        <v/>
      </c>
      <c r="U344" s="62">
        <f>IF(C344="","",INPUT_SYSTEM!C358)</f>
        <v/>
      </c>
      <c r="V344" s="2" t="n"/>
    </row>
    <row r="345" ht="15.75" customHeight="1" s="125">
      <c r="A345" s="62">
        <f>IF(INPUT_SYSTEM!D359="","",INPUT_SYSTEM!A359)</f>
        <v/>
      </c>
      <c r="B345" s="62">
        <f>IF(INPUT_SYSTEM!D359="","",INPUT_SYSTEM!B359)</f>
        <v/>
      </c>
      <c r="C345" s="62">
        <f>IF(INPUT_SYSTEM!D359="","",INPUT_SYSTEM!D359)</f>
        <v/>
      </c>
      <c r="D345" s="62">
        <f>IF(C345="","",INPUT_SYSTEM!E359)</f>
        <v/>
      </c>
      <c r="E345" s="62">
        <f>IF(C345="","",INPUT_SYSTEM!F359)</f>
        <v/>
      </c>
      <c r="F345" s="62">
        <f t="array" ref="F345">IFERROR(INDEX(PRODUCT!$D:$D,MATCH(C345,PRODUCT!$B:$B,0)),"")</f>
        <v/>
      </c>
      <c r="G345" s="62">
        <f t="array" ref="G345">IFERROR(INDEX(PRODUCT!$E:$E,MATCH(C345,PRODUCT!$B:$B,0)),"")</f>
        <v/>
      </c>
      <c r="H345" s="62">
        <f t="array" ref="H345">IFERROR(INDEX(PRODUCT!$F:$F,MATCH(C345,PRODUCT!$B:$B,0)),"")</f>
        <v/>
      </c>
      <c r="I345" s="62">
        <f>IF(C345="","",INPUT_SYSTEM!G359)</f>
        <v/>
      </c>
      <c r="J345" s="62">
        <f>IF(C345="","",INPUT_SYSTEM!H359)</f>
        <v/>
      </c>
      <c r="K345" s="60">
        <f>IF(C345="","",INPUT_SYSTEM!J359)</f>
        <v/>
      </c>
      <c r="L345" s="62">
        <f>IF(C345="","",INPUT_SYSTEM!K359)</f>
        <v/>
      </c>
      <c r="M345" s="62">
        <f>IF(C345="","",INPUT_SYSTEM!L359)</f>
        <v/>
      </c>
      <c r="N345" s="62">
        <f>IF(U345&lt;&gt;"SI","",IF(M345&lt;&gt;"",M345,IFERROR(I345*J345*(1+K345)*L345,"")))</f>
        <v/>
      </c>
      <c r="O345" s="62">
        <f>IF(N345="","",IF(OR(H345="",H345=0),N345,ROUNDUP(N345/H345,0)))</f>
        <v/>
      </c>
      <c r="P345" s="63">
        <f t="array" ref="P345">IFERROR(INDEX(PRODUCT!$I:$I,MATCH(C345,PRODUCT!$B:$B,0)),"")</f>
        <v/>
      </c>
      <c r="Q345" s="63">
        <f>IF(C345="","",INPUT_SYSTEM!M359)</f>
        <v/>
      </c>
      <c r="R345" s="63">
        <f>IF(P345="","",P345*(1+Q345))</f>
        <v/>
      </c>
      <c r="S345" s="63">
        <f>IF(O345="","",IF(OR(H345="",H345=0),O345*P345,O345*H345*P345))</f>
        <v/>
      </c>
      <c r="T345" s="63">
        <f>IF(O345="","",IF(OR(H345="",H345=0),O345*R345,O345*H345*R345))</f>
        <v/>
      </c>
      <c r="U345" s="62">
        <f>IF(C345="","",INPUT_SYSTEM!C359)</f>
        <v/>
      </c>
      <c r="V345" s="2" t="n"/>
    </row>
    <row r="346" ht="15.75" customHeight="1" s="125">
      <c r="A346" s="62">
        <f>IF(INPUT_SYSTEM!D360="","",INPUT_SYSTEM!A360)</f>
        <v/>
      </c>
      <c r="B346" s="62">
        <f>IF(INPUT_SYSTEM!D360="","",INPUT_SYSTEM!B360)</f>
        <v/>
      </c>
      <c r="C346" s="62">
        <f>IF(INPUT_SYSTEM!D360="","",INPUT_SYSTEM!D360)</f>
        <v/>
      </c>
      <c r="D346" s="62">
        <f>IF(C346="","",INPUT_SYSTEM!E360)</f>
        <v/>
      </c>
      <c r="E346" s="62">
        <f>IF(C346="","",INPUT_SYSTEM!F360)</f>
        <v/>
      </c>
      <c r="F346" s="62">
        <f t="array" ref="F346">IFERROR(INDEX(PRODUCT!$D:$D,MATCH(C346,PRODUCT!$B:$B,0)),"")</f>
        <v/>
      </c>
      <c r="G346" s="62">
        <f t="array" ref="G346">IFERROR(INDEX(PRODUCT!$E:$E,MATCH(C346,PRODUCT!$B:$B,0)),"")</f>
        <v/>
      </c>
      <c r="H346" s="62">
        <f t="array" ref="H346">IFERROR(INDEX(PRODUCT!$F:$F,MATCH(C346,PRODUCT!$B:$B,0)),"")</f>
        <v/>
      </c>
      <c r="I346" s="62">
        <f>IF(C346="","",INPUT_SYSTEM!G360)</f>
        <v/>
      </c>
      <c r="J346" s="62">
        <f>IF(C346="","",INPUT_SYSTEM!H360)</f>
        <v/>
      </c>
      <c r="K346" s="60">
        <f>IF(C346="","",INPUT_SYSTEM!J360)</f>
        <v/>
      </c>
      <c r="L346" s="62">
        <f>IF(C346="","",INPUT_SYSTEM!K360)</f>
        <v/>
      </c>
      <c r="M346" s="62">
        <f>IF(C346="","",INPUT_SYSTEM!L360)</f>
        <v/>
      </c>
      <c r="N346" s="62">
        <f>IF(U346&lt;&gt;"SI","",IF(M346&lt;&gt;"",M346,IFERROR(I346*J346*(1+K346)*L346,"")))</f>
        <v/>
      </c>
      <c r="O346" s="62">
        <f>IF(N346="","",IF(OR(H346="",H346=0),N346,ROUNDUP(N346/H346,0)))</f>
        <v/>
      </c>
      <c r="P346" s="63">
        <f t="array" ref="P346">IFERROR(INDEX(PRODUCT!$I:$I,MATCH(C346,PRODUCT!$B:$B,0)),"")</f>
        <v/>
      </c>
      <c r="Q346" s="63">
        <f>IF(C346="","",INPUT_SYSTEM!M360)</f>
        <v/>
      </c>
      <c r="R346" s="63">
        <f>IF(P346="","",P346*(1+Q346))</f>
        <v/>
      </c>
      <c r="S346" s="63">
        <f>IF(O346="","",IF(OR(H346="",H346=0),O346*P346,O346*H346*P346))</f>
        <v/>
      </c>
      <c r="T346" s="63">
        <f>IF(O346="","",IF(OR(H346="",H346=0),O346*R346,O346*H346*R346))</f>
        <v/>
      </c>
      <c r="U346" s="62">
        <f>IF(C346="","",INPUT_SYSTEM!C360)</f>
        <v/>
      </c>
      <c r="V346" s="2" t="n"/>
    </row>
    <row r="347" ht="15.75" customHeight="1" s="125">
      <c r="A347" s="62">
        <f>IF(INPUT_SYSTEM!D361="","",INPUT_SYSTEM!A361)</f>
        <v/>
      </c>
      <c r="B347" s="62">
        <f>IF(INPUT_SYSTEM!D361="","",INPUT_SYSTEM!B361)</f>
        <v/>
      </c>
      <c r="C347" s="62">
        <f>IF(INPUT_SYSTEM!D361="","",INPUT_SYSTEM!D361)</f>
        <v/>
      </c>
      <c r="D347" s="62">
        <f>IF(C347="","",INPUT_SYSTEM!E361)</f>
        <v/>
      </c>
      <c r="E347" s="62">
        <f>IF(C347="","",INPUT_SYSTEM!F361)</f>
        <v/>
      </c>
      <c r="F347" s="62">
        <f t="array" ref="F347">IFERROR(INDEX(PRODUCT!$D:$D,MATCH(C347,PRODUCT!$B:$B,0)),"")</f>
        <v/>
      </c>
      <c r="G347" s="62">
        <f t="array" ref="G347">IFERROR(INDEX(PRODUCT!$E:$E,MATCH(C347,PRODUCT!$B:$B,0)),"")</f>
        <v/>
      </c>
      <c r="H347" s="62">
        <f t="array" ref="H347">IFERROR(INDEX(PRODUCT!$F:$F,MATCH(C347,PRODUCT!$B:$B,0)),"")</f>
        <v/>
      </c>
      <c r="I347" s="62">
        <f>IF(C347="","",INPUT_SYSTEM!G361)</f>
        <v/>
      </c>
      <c r="J347" s="62">
        <f>IF(C347="","",INPUT_SYSTEM!H361)</f>
        <v/>
      </c>
      <c r="K347" s="60">
        <f>IF(C347="","",INPUT_SYSTEM!J361)</f>
        <v/>
      </c>
      <c r="L347" s="62">
        <f>IF(C347="","",INPUT_SYSTEM!K361)</f>
        <v/>
      </c>
      <c r="M347" s="62">
        <f>IF(C347="","",INPUT_SYSTEM!L361)</f>
        <v/>
      </c>
      <c r="N347" s="62">
        <f>IF(U347&lt;&gt;"SI","",IF(M347&lt;&gt;"",M347,IFERROR(I347*J347*(1+K347)*L347,"")))</f>
        <v/>
      </c>
      <c r="O347" s="62">
        <f>IF(N347="","",IF(OR(H347="",H347=0),N347,ROUNDUP(N347/H347,0)))</f>
        <v/>
      </c>
      <c r="P347" s="63">
        <f t="array" ref="P347">IFERROR(INDEX(PRODUCT!$I:$I,MATCH(C347,PRODUCT!$B:$B,0)),"")</f>
        <v/>
      </c>
      <c r="Q347" s="63">
        <f>IF(C347="","",INPUT_SYSTEM!M361)</f>
        <v/>
      </c>
      <c r="R347" s="63">
        <f>IF(P347="","",P347*(1+Q347))</f>
        <v/>
      </c>
      <c r="S347" s="63">
        <f>IF(O347="","",IF(OR(H347="",H347=0),O347*P347,O347*H347*P347))</f>
        <v/>
      </c>
      <c r="T347" s="63">
        <f>IF(O347="","",IF(OR(H347="",H347=0),O347*R347,O347*H347*R347))</f>
        <v/>
      </c>
      <c r="U347" s="62">
        <f>IF(C347="","",INPUT_SYSTEM!C361)</f>
        <v/>
      </c>
      <c r="V347" s="2" t="n"/>
    </row>
    <row r="348" ht="15.75" customHeight="1" s="125">
      <c r="A348" s="62">
        <f>IF(INPUT_SYSTEM!D362="","",INPUT_SYSTEM!A362)</f>
        <v/>
      </c>
      <c r="B348" s="62">
        <f>IF(INPUT_SYSTEM!D362="","",INPUT_SYSTEM!B362)</f>
        <v/>
      </c>
      <c r="C348" s="62">
        <f>IF(INPUT_SYSTEM!D362="","",INPUT_SYSTEM!D362)</f>
        <v/>
      </c>
      <c r="D348" s="62">
        <f>IF(C348="","",INPUT_SYSTEM!E362)</f>
        <v/>
      </c>
      <c r="E348" s="62">
        <f>IF(C348="","",INPUT_SYSTEM!F362)</f>
        <v/>
      </c>
      <c r="F348" s="62">
        <f t="array" ref="F348">IFERROR(INDEX(PRODUCT!$D:$D,MATCH(C348,PRODUCT!$B:$B,0)),"")</f>
        <v/>
      </c>
      <c r="G348" s="62">
        <f t="array" ref="G348">IFERROR(INDEX(PRODUCT!$E:$E,MATCH(C348,PRODUCT!$B:$B,0)),"")</f>
        <v/>
      </c>
      <c r="H348" s="62">
        <f t="array" ref="H348">IFERROR(INDEX(PRODUCT!$F:$F,MATCH(C348,PRODUCT!$B:$B,0)),"")</f>
        <v/>
      </c>
      <c r="I348" s="62">
        <f>IF(C348="","",INPUT_SYSTEM!G362)</f>
        <v/>
      </c>
      <c r="J348" s="62">
        <f>IF(C348="","",INPUT_SYSTEM!H362)</f>
        <v/>
      </c>
      <c r="K348" s="60">
        <f>IF(C348="","",INPUT_SYSTEM!J362)</f>
        <v/>
      </c>
      <c r="L348" s="62">
        <f>IF(C348="","",INPUT_SYSTEM!K362)</f>
        <v/>
      </c>
      <c r="M348" s="62">
        <f>IF(C348="","",INPUT_SYSTEM!L362)</f>
        <v/>
      </c>
      <c r="N348" s="62">
        <f>IF(U348&lt;&gt;"SI","",IF(M348&lt;&gt;"",M348,IFERROR(I348*J348*(1+K348)*L348,"")))</f>
        <v/>
      </c>
      <c r="O348" s="62">
        <f>IF(N348="","",IF(OR(H348="",H348=0),N348,ROUNDUP(N348/H348,0)))</f>
        <v/>
      </c>
      <c r="P348" s="63">
        <f t="array" ref="P348">IFERROR(INDEX(PRODUCT!$I:$I,MATCH(C348,PRODUCT!$B:$B,0)),"")</f>
        <v/>
      </c>
      <c r="Q348" s="63">
        <f>IF(C348="","",INPUT_SYSTEM!M362)</f>
        <v/>
      </c>
      <c r="R348" s="63">
        <f>IF(P348="","",P348*(1+Q348))</f>
        <v/>
      </c>
      <c r="S348" s="63">
        <f>IF(O348="","",IF(OR(H348="",H348=0),O348*P348,O348*H348*P348))</f>
        <v/>
      </c>
      <c r="T348" s="63">
        <f>IF(O348="","",IF(OR(H348="",H348=0),O348*R348,O348*H348*R348))</f>
        <v/>
      </c>
      <c r="U348" s="62">
        <f>IF(C348="","",INPUT_SYSTEM!C362)</f>
        <v/>
      </c>
      <c r="V348" s="2" t="n"/>
    </row>
    <row r="349" ht="15.75" customHeight="1" s="125">
      <c r="A349" s="62">
        <f>IF(INPUT_SYSTEM!D363="","",INPUT_SYSTEM!A363)</f>
        <v/>
      </c>
      <c r="B349" s="62">
        <f>IF(INPUT_SYSTEM!D363="","",INPUT_SYSTEM!B363)</f>
        <v/>
      </c>
      <c r="C349" s="62">
        <f>IF(INPUT_SYSTEM!D363="","",INPUT_SYSTEM!D363)</f>
        <v/>
      </c>
      <c r="D349" s="62">
        <f>IF(C349="","",INPUT_SYSTEM!E363)</f>
        <v/>
      </c>
      <c r="E349" s="62">
        <f>IF(C349="","",INPUT_SYSTEM!F363)</f>
        <v/>
      </c>
      <c r="F349" s="62">
        <f t="array" ref="F349">IFERROR(INDEX(PRODUCT!$D:$D,MATCH(C349,PRODUCT!$B:$B,0)),"")</f>
        <v/>
      </c>
      <c r="G349" s="62">
        <f t="array" ref="G349">IFERROR(INDEX(PRODUCT!$E:$E,MATCH(C349,PRODUCT!$B:$B,0)),"")</f>
        <v/>
      </c>
      <c r="H349" s="62">
        <f t="array" ref="H349">IFERROR(INDEX(PRODUCT!$F:$F,MATCH(C349,PRODUCT!$B:$B,0)),"")</f>
        <v/>
      </c>
      <c r="I349" s="62">
        <f>IF(C349="","",INPUT_SYSTEM!G363)</f>
        <v/>
      </c>
      <c r="J349" s="62">
        <f>IF(C349="","",INPUT_SYSTEM!H363)</f>
        <v/>
      </c>
      <c r="K349" s="60">
        <f>IF(C349="","",INPUT_SYSTEM!J363)</f>
        <v/>
      </c>
      <c r="L349" s="62">
        <f>IF(C349="","",INPUT_SYSTEM!K363)</f>
        <v/>
      </c>
      <c r="M349" s="62">
        <f>IF(C349="","",INPUT_SYSTEM!L363)</f>
        <v/>
      </c>
      <c r="N349" s="62">
        <f>IF(U349&lt;&gt;"SI","",IF(M349&lt;&gt;"",M349,IFERROR(I349*J349*(1+K349)*L349,"")))</f>
        <v/>
      </c>
      <c r="O349" s="62">
        <f>IF(N349="","",IF(OR(H349="",H349=0),N349,ROUNDUP(N349/H349,0)))</f>
        <v/>
      </c>
      <c r="P349" s="63">
        <f t="array" ref="P349">IFERROR(INDEX(PRODUCT!$I:$I,MATCH(C349,PRODUCT!$B:$B,0)),"")</f>
        <v/>
      </c>
      <c r="Q349" s="63">
        <f>IF(C349="","",INPUT_SYSTEM!M363)</f>
        <v/>
      </c>
      <c r="R349" s="63">
        <f>IF(P349="","",P349*(1+Q349))</f>
        <v/>
      </c>
      <c r="S349" s="63">
        <f>IF(O349="","",IF(OR(H349="",H349=0),O349*P349,O349*H349*P349))</f>
        <v/>
      </c>
      <c r="T349" s="63">
        <f>IF(O349="","",IF(OR(H349="",H349=0),O349*R349,O349*H349*R349))</f>
        <v/>
      </c>
      <c r="U349" s="62">
        <f>IF(C349="","",INPUT_SYSTEM!C363)</f>
        <v/>
      </c>
      <c r="V349" s="2" t="n"/>
    </row>
    <row r="350" ht="15.75" customHeight="1" s="125">
      <c r="A350" s="62">
        <f>IF(INPUT_SYSTEM!D364="","",INPUT_SYSTEM!A364)</f>
        <v/>
      </c>
      <c r="B350" s="62">
        <f>IF(INPUT_SYSTEM!D364="","",INPUT_SYSTEM!B364)</f>
        <v/>
      </c>
      <c r="C350" s="62">
        <f>IF(INPUT_SYSTEM!D364="","",INPUT_SYSTEM!D364)</f>
        <v/>
      </c>
      <c r="D350" s="62">
        <f>IF(C350="","",INPUT_SYSTEM!E364)</f>
        <v/>
      </c>
      <c r="E350" s="62">
        <f>IF(C350="","",INPUT_SYSTEM!F364)</f>
        <v/>
      </c>
      <c r="F350" s="62">
        <f t="array" ref="F350">IFERROR(INDEX(PRODUCT!$D:$D,MATCH(C350,PRODUCT!$B:$B,0)),"")</f>
        <v/>
      </c>
      <c r="G350" s="62">
        <f t="array" ref="G350">IFERROR(INDEX(PRODUCT!$E:$E,MATCH(C350,PRODUCT!$B:$B,0)),"")</f>
        <v/>
      </c>
      <c r="H350" s="62">
        <f t="array" ref="H350">IFERROR(INDEX(PRODUCT!$F:$F,MATCH(C350,PRODUCT!$B:$B,0)),"")</f>
        <v/>
      </c>
      <c r="I350" s="62">
        <f>IF(C350="","",INPUT_SYSTEM!G364)</f>
        <v/>
      </c>
      <c r="J350" s="62">
        <f>IF(C350="","",INPUT_SYSTEM!H364)</f>
        <v/>
      </c>
      <c r="K350" s="60">
        <f>IF(C350="","",INPUT_SYSTEM!J364)</f>
        <v/>
      </c>
      <c r="L350" s="62">
        <f>IF(C350="","",INPUT_SYSTEM!K364)</f>
        <v/>
      </c>
      <c r="M350" s="62">
        <f>IF(C350="","",INPUT_SYSTEM!L364)</f>
        <v/>
      </c>
      <c r="N350" s="62">
        <f>IF(U350&lt;&gt;"SI","",IF(M350&lt;&gt;"",M350,IFERROR(I350*J350*(1+K350)*L350,"")))</f>
        <v/>
      </c>
      <c r="O350" s="62">
        <f>IF(N350="","",IF(OR(H350="",H350=0),N350,ROUNDUP(N350/H350,0)))</f>
        <v/>
      </c>
      <c r="P350" s="63">
        <f t="array" ref="P350">IFERROR(INDEX(PRODUCT!$I:$I,MATCH(C350,PRODUCT!$B:$B,0)),"")</f>
        <v/>
      </c>
      <c r="Q350" s="63">
        <f>IF(C350="","",INPUT_SYSTEM!M364)</f>
        <v/>
      </c>
      <c r="R350" s="63">
        <f>IF(P350="","",P350*(1+Q350))</f>
        <v/>
      </c>
      <c r="S350" s="63">
        <f>IF(O350="","",IF(OR(H350="",H350=0),O350*P350,O350*H350*P350))</f>
        <v/>
      </c>
      <c r="T350" s="63">
        <f>IF(O350="","",IF(OR(H350="",H350=0),O350*R350,O350*H350*R350))</f>
        <v/>
      </c>
      <c r="U350" s="62">
        <f>IF(C350="","",INPUT_SYSTEM!C364)</f>
        <v/>
      </c>
      <c r="V350" s="2" t="n"/>
    </row>
    <row r="351" ht="15.75" customHeight="1" s="125">
      <c r="A351" s="62">
        <f>IF(INPUT_SYSTEM!D365="","",INPUT_SYSTEM!A365)</f>
        <v/>
      </c>
      <c r="B351" s="62">
        <f>IF(INPUT_SYSTEM!D365="","",INPUT_SYSTEM!B365)</f>
        <v/>
      </c>
      <c r="C351" s="62">
        <f>IF(INPUT_SYSTEM!D365="","",INPUT_SYSTEM!D365)</f>
        <v/>
      </c>
      <c r="D351" s="62">
        <f>IF(C351="","",INPUT_SYSTEM!E365)</f>
        <v/>
      </c>
      <c r="E351" s="62">
        <f>IF(C351="","",INPUT_SYSTEM!F365)</f>
        <v/>
      </c>
      <c r="F351" s="62">
        <f t="array" ref="F351">IFERROR(INDEX(PRODUCT!$D:$D,MATCH(C351,PRODUCT!$B:$B,0)),"")</f>
        <v/>
      </c>
      <c r="G351" s="62">
        <f t="array" ref="G351">IFERROR(INDEX(PRODUCT!$E:$E,MATCH(C351,PRODUCT!$B:$B,0)),"")</f>
        <v/>
      </c>
      <c r="H351" s="62">
        <f t="array" ref="H351">IFERROR(INDEX(PRODUCT!$F:$F,MATCH(C351,PRODUCT!$B:$B,0)),"")</f>
        <v/>
      </c>
      <c r="I351" s="62">
        <f>IF(C351="","",INPUT_SYSTEM!G365)</f>
        <v/>
      </c>
      <c r="J351" s="62">
        <f>IF(C351="","",INPUT_SYSTEM!H365)</f>
        <v/>
      </c>
      <c r="K351" s="60">
        <f>IF(C351="","",INPUT_SYSTEM!J365)</f>
        <v/>
      </c>
      <c r="L351" s="62">
        <f>IF(C351="","",INPUT_SYSTEM!K365)</f>
        <v/>
      </c>
      <c r="M351" s="62">
        <f>IF(C351="","",INPUT_SYSTEM!L365)</f>
        <v/>
      </c>
      <c r="N351" s="62">
        <f>IF(U351&lt;&gt;"SI","",IF(M351&lt;&gt;"",M351,IFERROR(I351*J351*(1+K351)*L351,"")))</f>
        <v/>
      </c>
      <c r="O351" s="62">
        <f>IF(N351="","",IF(OR(H351="",H351=0),N351,ROUNDUP(N351/H351,0)))</f>
        <v/>
      </c>
      <c r="P351" s="63">
        <f t="array" ref="P351">IFERROR(INDEX(PRODUCT!$I:$I,MATCH(C351,PRODUCT!$B:$B,0)),"")</f>
        <v/>
      </c>
      <c r="Q351" s="63">
        <f>IF(C351="","",INPUT_SYSTEM!M365)</f>
        <v/>
      </c>
      <c r="R351" s="63">
        <f>IF(P351="","",P351*(1+Q351))</f>
        <v/>
      </c>
      <c r="S351" s="63">
        <f>IF(O351="","",IF(OR(H351="",H351=0),O351*P351,O351*H351*P351))</f>
        <v/>
      </c>
      <c r="T351" s="63">
        <f>IF(O351="","",IF(OR(H351="",H351=0),O351*R351,O351*H351*R351))</f>
        <v/>
      </c>
      <c r="U351" s="62">
        <f>IF(C351="","",INPUT_SYSTEM!C365)</f>
        <v/>
      </c>
      <c r="V351" s="2" t="n"/>
    </row>
    <row r="352" ht="15.75" customHeight="1" s="125">
      <c r="A352" s="62">
        <f>IF(INPUT_SYSTEM!D366="","",INPUT_SYSTEM!A366)</f>
        <v/>
      </c>
      <c r="B352" s="62">
        <f>IF(INPUT_SYSTEM!D366="","",INPUT_SYSTEM!B366)</f>
        <v/>
      </c>
      <c r="C352" s="62">
        <f>IF(INPUT_SYSTEM!D366="","",INPUT_SYSTEM!D366)</f>
        <v/>
      </c>
      <c r="D352" s="62">
        <f>IF(C352="","",INPUT_SYSTEM!E366)</f>
        <v/>
      </c>
      <c r="E352" s="62">
        <f>IF(C352="","",INPUT_SYSTEM!F366)</f>
        <v/>
      </c>
      <c r="F352" s="62">
        <f t="array" ref="F352">IFERROR(INDEX(PRODUCT!$D:$D,MATCH(C352,PRODUCT!$B:$B,0)),"")</f>
        <v/>
      </c>
      <c r="G352" s="62">
        <f t="array" ref="G352">IFERROR(INDEX(PRODUCT!$E:$E,MATCH(C352,PRODUCT!$B:$B,0)),"")</f>
        <v/>
      </c>
      <c r="H352" s="62">
        <f t="array" ref="H352">IFERROR(INDEX(PRODUCT!$F:$F,MATCH(C352,PRODUCT!$B:$B,0)),"")</f>
        <v/>
      </c>
      <c r="I352" s="62">
        <f>IF(C352="","",INPUT_SYSTEM!G366)</f>
        <v/>
      </c>
      <c r="J352" s="62">
        <f>IF(C352="","",INPUT_SYSTEM!H366)</f>
        <v/>
      </c>
      <c r="K352" s="60">
        <f>IF(C352="","",INPUT_SYSTEM!J366)</f>
        <v/>
      </c>
      <c r="L352" s="62">
        <f>IF(C352="","",INPUT_SYSTEM!K366)</f>
        <v/>
      </c>
      <c r="M352" s="62">
        <f>IF(C352="","",INPUT_SYSTEM!L366)</f>
        <v/>
      </c>
      <c r="N352" s="62">
        <f>IF(U352&lt;&gt;"SI","",IF(M352&lt;&gt;"",M352,IFERROR(I352*J352*(1+K352)*L352,"")))</f>
        <v/>
      </c>
      <c r="O352" s="62">
        <f>IF(N352="","",IF(OR(H352="",H352=0),N352,ROUNDUP(N352/H352,0)))</f>
        <v/>
      </c>
      <c r="P352" s="63">
        <f t="array" ref="P352">IFERROR(INDEX(PRODUCT!$I:$I,MATCH(C352,PRODUCT!$B:$B,0)),"")</f>
        <v/>
      </c>
      <c r="Q352" s="63">
        <f>IF(C352="","",INPUT_SYSTEM!M366)</f>
        <v/>
      </c>
      <c r="R352" s="63">
        <f>IF(P352="","",P352*(1+Q352))</f>
        <v/>
      </c>
      <c r="S352" s="63">
        <f>IF(O352="","",IF(OR(H352="",H352=0),O352*P352,O352*H352*P352))</f>
        <v/>
      </c>
      <c r="T352" s="63">
        <f>IF(O352="","",IF(OR(H352="",H352=0),O352*R352,O352*H352*R352))</f>
        <v/>
      </c>
      <c r="U352" s="62">
        <f>IF(C352="","",INPUT_SYSTEM!C366)</f>
        <v/>
      </c>
      <c r="V352" s="2" t="n"/>
    </row>
    <row r="353" ht="15.75" customHeight="1" s="125">
      <c r="A353" s="62">
        <f>IF(INPUT_SYSTEM!D367="","",INPUT_SYSTEM!A367)</f>
        <v/>
      </c>
      <c r="B353" s="62">
        <f>IF(INPUT_SYSTEM!D367="","",INPUT_SYSTEM!B367)</f>
        <v/>
      </c>
      <c r="C353" s="62">
        <f>IF(INPUT_SYSTEM!D367="","",INPUT_SYSTEM!D367)</f>
        <v/>
      </c>
      <c r="D353" s="62">
        <f>IF(C353="","",INPUT_SYSTEM!E367)</f>
        <v/>
      </c>
      <c r="E353" s="62">
        <f>IF(C353="","",INPUT_SYSTEM!F367)</f>
        <v/>
      </c>
      <c r="F353" s="62">
        <f t="array" ref="F353">IFERROR(INDEX(PRODUCT!$D:$D,MATCH(C353,PRODUCT!$B:$B,0)),"")</f>
        <v/>
      </c>
      <c r="G353" s="62">
        <f t="array" ref="G353">IFERROR(INDEX(PRODUCT!$E:$E,MATCH(C353,PRODUCT!$B:$B,0)),"")</f>
        <v/>
      </c>
      <c r="H353" s="62">
        <f t="array" ref="H353">IFERROR(INDEX(PRODUCT!$F:$F,MATCH(C353,PRODUCT!$B:$B,0)),"")</f>
        <v/>
      </c>
      <c r="I353" s="62">
        <f>IF(C353="","",INPUT_SYSTEM!G367)</f>
        <v/>
      </c>
      <c r="J353" s="62">
        <f>IF(C353="","",INPUT_SYSTEM!H367)</f>
        <v/>
      </c>
      <c r="K353" s="60">
        <f>IF(C353="","",INPUT_SYSTEM!J367)</f>
        <v/>
      </c>
      <c r="L353" s="62">
        <f>IF(C353="","",INPUT_SYSTEM!K367)</f>
        <v/>
      </c>
      <c r="M353" s="62">
        <f>IF(C353="","",INPUT_SYSTEM!L367)</f>
        <v/>
      </c>
      <c r="N353" s="62">
        <f>IF(U353&lt;&gt;"SI","",IF(M353&lt;&gt;"",M353,IFERROR(I353*J353*(1+K353)*L353,"")))</f>
        <v/>
      </c>
      <c r="O353" s="62">
        <f>IF(N353="","",IF(OR(H353="",H353=0),N353,ROUNDUP(N353/H353,0)))</f>
        <v/>
      </c>
      <c r="P353" s="63">
        <f t="array" ref="P353">IFERROR(INDEX(PRODUCT!$I:$I,MATCH(C353,PRODUCT!$B:$B,0)),"")</f>
        <v/>
      </c>
      <c r="Q353" s="63">
        <f>IF(C353="","",INPUT_SYSTEM!M367)</f>
        <v/>
      </c>
      <c r="R353" s="63">
        <f>IF(P353="","",P353*(1+Q353))</f>
        <v/>
      </c>
      <c r="S353" s="63">
        <f>IF(O353="","",IF(OR(H353="",H353=0),O353*P353,O353*H353*P353))</f>
        <v/>
      </c>
      <c r="T353" s="63">
        <f>IF(O353="","",IF(OR(H353="",H353=0),O353*R353,O353*H353*R353))</f>
        <v/>
      </c>
      <c r="U353" s="62">
        <f>IF(C353="","",INPUT_SYSTEM!C367)</f>
        <v/>
      </c>
      <c r="V353" s="2" t="n"/>
    </row>
    <row r="354" ht="15.75" customHeight="1" s="125">
      <c r="A354" s="62">
        <f>IF(INPUT_SYSTEM!D368="","",INPUT_SYSTEM!A368)</f>
        <v/>
      </c>
      <c r="B354" s="62">
        <f>IF(INPUT_SYSTEM!D368="","",INPUT_SYSTEM!B368)</f>
        <v/>
      </c>
      <c r="C354" s="62">
        <f>IF(INPUT_SYSTEM!D368="","",INPUT_SYSTEM!D368)</f>
        <v/>
      </c>
      <c r="D354" s="62">
        <f>IF(C354="","",INPUT_SYSTEM!E368)</f>
        <v/>
      </c>
      <c r="E354" s="62">
        <f>IF(C354="","",INPUT_SYSTEM!F368)</f>
        <v/>
      </c>
      <c r="F354" s="62">
        <f t="array" ref="F354">IFERROR(INDEX(PRODUCT!$D:$D,MATCH(C354,PRODUCT!$B:$B,0)),"")</f>
        <v/>
      </c>
      <c r="G354" s="62">
        <f t="array" ref="G354">IFERROR(INDEX(PRODUCT!$E:$E,MATCH(C354,PRODUCT!$B:$B,0)),"")</f>
        <v/>
      </c>
      <c r="H354" s="62">
        <f t="array" ref="H354">IFERROR(INDEX(PRODUCT!$F:$F,MATCH(C354,PRODUCT!$B:$B,0)),"")</f>
        <v/>
      </c>
      <c r="I354" s="62">
        <f>IF(C354="","",INPUT_SYSTEM!G368)</f>
        <v/>
      </c>
      <c r="J354" s="62">
        <f>IF(C354="","",INPUT_SYSTEM!H368)</f>
        <v/>
      </c>
      <c r="K354" s="60">
        <f>IF(C354="","",INPUT_SYSTEM!J368)</f>
        <v/>
      </c>
      <c r="L354" s="62">
        <f>IF(C354="","",INPUT_SYSTEM!K368)</f>
        <v/>
      </c>
      <c r="M354" s="62">
        <f>IF(C354="","",INPUT_SYSTEM!L368)</f>
        <v/>
      </c>
      <c r="N354" s="62">
        <f>IF(U354&lt;&gt;"SI","",IF(M354&lt;&gt;"",M354,IFERROR(I354*J354*(1+K354)*L354,"")))</f>
        <v/>
      </c>
      <c r="O354" s="62">
        <f>IF(N354="","",IF(OR(H354="",H354=0),N354,ROUNDUP(N354/H354,0)))</f>
        <v/>
      </c>
      <c r="P354" s="63">
        <f t="array" ref="P354">IFERROR(INDEX(PRODUCT!$I:$I,MATCH(C354,PRODUCT!$B:$B,0)),"")</f>
        <v/>
      </c>
      <c r="Q354" s="63">
        <f>IF(C354="","",INPUT_SYSTEM!M368)</f>
        <v/>
      </c>
      <c r="R354" s="63">
        <f>IF(P354="","",P354*(1+Q354))</f>
        <v/>
      </c>
      <c r="S354" s="63">
        <f>IF(O354="","",IF(OR(H354="",H354=0),O354*P354,O354*H354*P354))</f>
        <v/>
      </c>
      <c r="T354" s="63">
        <f>IF(O354="","",IF(OR(H354="",H354=0),O354*R354,O354*H354*R354))</f>
        <v/>
      </c>
      <c r="U354" s="62">
        <f>IF(C354="","",INPUT_SYSTEM!C368)</f>
        <v/>
      </c>
      <c r="V354" s="2" t="n"/>
    </row>
    <row r="355" ht="15.75" customHeight="1" s="125">
      <c r="A355" s="62">
        <f>IF(INPUT_SYSTEM!D369="","",INPUT_SYSTEM!A369)</f>
        <v/>
      </c>
      <c r="B355" s="62">
        <f>IF(INPUT_SYSTEM!D369="","",INPUT_SYSTEM!B369)</f>
        <v/>
      </c>
      <c r="C355" s="62">
        <f>IF(INPUT_SYSTEM!D369="","",INPUT_SYSTEM!D369)</f>
        <v/>
      </c>
      <c r="D355" s="62">
        <f>IF(C355="","",INPUT_SYSTEM!E369)</f>
        <v/>
      </c>
      <c r="E355" s="62">
        <f>IF(C355="","",INPUT_SYSTEM!F369)</f>
        <v/>
      </c>
      <c r="F355" s="62">
        <f t="array" ref="F355">IFERROR(INDEX(PRODUCT!$D:$D,MATCH(C355,PRODUCT!$B:$B,0)),"")</f>
        <v/>
      </c>
      <c r="G355" s="62">
        <f t="array" ref="G355">IFERROR(INDEX(PRODUCT!$E:$E,MATCH(C355,PRODUCT!$B:$B,0)),"")</f>
        <v/>
      </c>
      <c r="H355" s="62">
        <f t="array" ref="H355">IFERROR(INDEX(PRODUCT!$F:$F,MATCH(C355,PRODUCT!$B:$B,0)),"")</f>
        <v/>
      </c>
      <c r="I355" s="62">
        <f>IF(C355="","",INPUT_SYSTEM!G369)</f>
        <v/>
      </c>
      <c r="J355" s="62">
        <f>IF(C355="","",INPUT_SYSTEM!H369)</f>
        <v/>
      </c>
      <c r="K355" s="60">
        <f>IF(C355="","",INPUT_SYSTEM!J369)</f>
        <v/>
      </c>
      <c r="L355" s="62">
        <f>IF(C355="","",INPUT_SYSTEM!K369)</f>
        <v/>
      </c>
      <c r="M355" s="62">
        <f>IF(C355="","",INPUT_SYSTEM!L369)</f>
        <v/>
      </c>
      <c r="N355" s="62">
        <f>IF(U355&lt;&gt;"SI","",IF(M355&lt;&gt;"",M355,IFERROR(I355*J355*(1+K355)*L355,"")))</f>
        <v/>
      </c>
      <c r="O355" s="62">
        <f>IF(N355="","",IF(OR(H355="",H355=0),N355,ROUNDUP(N355/H355,0)))</f>
        <v/>
      </c>
      <c r="P355" s="63">
        <f t="array" ref="P355">IFERROR(INDEX(PRODUCT!$I:$I,MATCH(C355,PRODUCT!$B:$B,0)),"")</f>
        <v/>
      </c>
      <c r="Q355" s="63">
        <f>IF(C355="","",INPUT_SYSTEM!M369)</f>
        <v/>
      </c>
      <c r="R355" s="63">
        <f>IF(P355="","",P355*(1+Q355))</f>
        <v/>
      </c>
      <c r="S355" s="63">
        <f>IF(O355="","",IF(OR(H355="",H355=0),O355*P355,O355*H355*P355))</f>
        <v/>
      </c>
      <c r="T355" s="63">
        <f>IF(O355="","",IF(OR(H355="",H355=0),O355*R355,O355*H355*R355))</f>
        <v/>
      </c>
      <c r="U355" s="62">
        <f>IF(C355="","",INPUT_SYSTEM!C369)</f>
        <v/>
      </c>
      <c r="V355" s="2" t="n"/>
    </row>
    <row r="356" ht="15.75" customHeight="1" s="125">
      <c r="A356" s="62">
        <f>IF(INPUT_SYSTEM!D370="","",INPUT_SYSTEM!A370)</f>
        <v/>
      </c>
      <c r="B356" s="62">
        <f>IF(INPUT_SYSTEM!D370="","",INPUT_SYSTEM!B370)</f>
        <v/>
      </c>
      <c r="C356" s="62">
        <f>IF(INPUT_SYSTEM!D370="","",INPUT_SYSTEM!D370)</f>
        <v/>
      </c>
      <c r="D356" s="62">
        <f>IF(C356="","",INPUT_SYSTEM!E370)</f>
        <v/>
      </c>
      <c r="E356" s="62">
        <f>IF(C356="","",INPUT_SYSTEM!F370)</f>
        <v/>
      </c>
      <c r="F356" s="62">
        <f t="array" ref="F356">IFERROR(INDEX(PRODUCT!$D:$D,MATCH(C356,PRODUCT!$B:$B,0)),"")</f>
        <v/>
      </c>
      <c r="G356" s="62">
        <f t="array" ref="G356">IFERROR(INDEX(PRODUCT!$E:$E,MATCH(C356,PRODUCT!$B:$B,0)),"")</f>
        <v/>
      </c>
      <c r="H356" s="62">
        <f t="array" ref="H356">IFERROR(INDEX(PRODUCT!$F:$F,MATCH(C356,PRODUCT!$B:$B,0)),"")</f>
        <v/>
      </c>
      <c r="I356" s="62">
        <f>IF(C356="","",INPUT_SYSTEM!G370)</f>
        <v/>
      </c>
      <c r="J356" s="62">
        <f>IF(C356="","",INPUT_SYSTEM!H370)</f>
        <v/>
      </c>
      <c r="K356" s="60">
        <f>IF(C356="","",INPUT_SYSTEM!J370)</f>
        <v/>
      </c>
      <c r="L356" s="62">
        <f>IF(C356="","",INPUT_SYSTEM!K370)</f>
        <v/>
      </c>
      <c r="M356" s="62">
        <f>IF(C356="","",INPUT_SYSTEM!L370)</f>
        <v/>
      </c>
      <c r="N356" s="62">
        <f>IF(U356&lt;&gt;"SI","",IF(M356&lt;&gt;"",M356,IFERROR(I356*J356*(1+K356)*L356,"")))</f>
        <v/>
      </c>
      <c r="O356" s="62">
        <f>IF(N356="","",IF(OR(H356="",H356=0),N356,ROUNDUP(N356/H356,0)))</f>
        <v/>
      </c>
      <c r="P356" s="63">
        <f t="array" ref="P356">IFERROR(INDEX(PRODUCT!$I:$I,MATCH(C356,PRODUCT!$B:$B,0)),"")</f>
        <v/>
      </c>
      <c r="Q356" s="63">
        <f>IF(C356="","",INPUT_SYSTEM!M370)</f>
        <v/>
      </c>
      <c r="R356" s="63">
        <f>IF(P356="","",P356*(1+Q356))</f>
        <v/>
      </c>
      <c r="S356" s="63">
        <f>IF(O356="","",IF(OR(H356="",H356=0),O356*P356,O356*H356*P356))</f>
        <v/>
      </c>
      <c r="T356" s="63">
        <f>IF(O356="","",IF(OR(H356="",H356=0),O356*R356,O356*H356*R356))</f>
        <v/>
      </c>
      <c r="U356" s="62">
        <f>IF(C356="","",INPUT_SYSTEM!C370)</f>
        <v/>
      </c>
      <c r="V356" s="2" t="n"/>
    </row>
    <row r="357" ht="15.75" customHeight="1" s="125">
      <c r="A357" s="62">
        <f>IF(INPUT_SYSTEM!D371="","",INPUT_SYSTEM!A371)</f>
        <v/>
      </c>
      <c r="B357" s="62">
        <f>IF(INPUT_SYSTEM!D371="","",INPUT_SYSTEM!B371)</f>
        <v/>
      </c>
      <c r="C357" s="62">
        <f>IF(INPUT_SYSTEM!D371="","",INPUT_SYSTEM!D371)</f>
        <v/>
      </c>
      <c r="D357" s="62">
        <f>IF(C357="","",INPUT_SYSTEM!E371)</f>
        <v/>
      </c>
      <c r="E357" s="62">
        <f>IF(C357="","",INPUT_SYSTEM!F371)</f>
        <v/>
      </c>
      <c r="F357" s="62">
        <f t="array" ref="F357">IFERROR(INDEX(PRODUCT!$D:$D,MATCH(C357,PRODUCT!$B:$B,0)),"")</f>
        <v/>
      </c>
      <c r="G357" s="62">
        <f t="array" ref="G357">IFERROR(INDEX(PRODUCT!$E:$E,MATCH(C357,PRODUCT!$B:$B,0)),"")</f>
        <v/>
      </c>
      <c r="H357" s="62">
        <f t="array" ref="H357">IFERROR(INDEX(PRODUCT!$F:$F,MATCH(C357,PRODUCT!$B:$B,0)),"")</f>
        <v/>
      </c>
      <c r="I357" s="62">
        <f>IF(C357="","",INPUT_SYSTEM!G371)</f>
        <v/>
      </c>
      <c r="J357" s="62">
        <f>IF(C357="","",INPUT_SYSTEM!H371)</f>
        <v/>
      </c>
      <c r="K357" s="60">
        <f>IF(C357="","",INPUT_SYSTEM!J371)</f>
        <v/>
      </c>
      <c r="L357" s="62">
        <f>IF(C357="","",INPUT_SYSTEM!K371)</f>
        <v/>
      </c>
      <c r="M357" s="62">
        <f>IF(C357="","",INPUT_SYSTEM!L371)</f>
        <v/>
      </c>
      <c r="N357" s="62">
        <f>IF(U357&lt;&gt;"SI","",IF(M357&lt;&gt;"",M357,IFERROR(I357*J357*(1+K357)*L357,"")))</f>
        <v/>
      </c>
      <c r="O357" s="62">
        <f>IF(N357="","",IF(OR(H357="",H357=0),N357,ROUNDUP(N357/H357,0)))</f>
        <v/>
      </c>
      <c r="P357" s="63">
        <f t="array" ref="P357">IFERROR(INDEX(PRODUCT!$I:$I,MATCH(C357,PRODUCT!$B:$B,0)),"")</f>
        <v/>
      </c>
      <c r="Q357" s="63">
        <f>IF(C357="","",INPUT_SYSTEM!M371)</f>
        <v/>
      </c>
      <c r="R357" s="63">
        <f>IF(P357="","",P357*(1+Q357))</f>
        <v/>
      </c>
      <c r="S357" s="63">
        <f>IF(O357="","",IF(OR(H357="",H357=0),O357*P357,O357*H357*P357))</f>
        <v/>
      </c>
      <c r="T357" s="63">
        <f>IF(O357="","",IF(OR(H357="",H357=0),O357*R357,O357*H357*R357))</f>
        <v/>
      </c>
      <c r="U357" s="62">
        <f>IF(C357="","",INPUT_SYSTEM!C371)</f>
        <v/>
      </c>
      <c r="V357" s="2" t="n"/>
    </row>
    <row r="358" ht="15.75" customHeight="1" s="125">
      <c r="A358" s="62">
        <f>IF(INPUT_SYSTEM!D372="","",INPUT_SYSTEM!A372)</f>
        <v/>
      </c>
      <c r="B358" s="62">
        <f>IF(INPUT_SYSTEM!D372="","",INPUT_SYSTEM!B372)</f>
        <v/>
      </c>
      <c r="C358" s="62">
        <f>IF(INPUT_SYSTEM!D372="","",INPUT_SYSTEM!D372)</f>
        <v/>
      </c>
      <c r="D358" s="62">
        <f>IF(C358="","",INPUT_SYSTEM!E372)</f>
        <v/>
      </c>
      <c r="E358" s="62">
        <f>IF(C358="","",INPUT_SYSTEM!F372)</f>
        <v/>
      </c>
      <c r="F358" s="62">
        <f t="array" ref="F358">IFERROR(INDEX(PRODUCT!$D:$D,MATCH(C358,PRODUCT!$B:$B,0)),"")</f>
        <v/>
      </c>
      <c r="G358" s="62">
        <f t="array" ref="G358">IFERROR(INDEX(PRODUCT!$E:$E,MATCH(C358,PRODUCT!$B:$B,0)),"")</f>
        <v/>
      </c>
      <c r="H358" s="62">
        <f t="array" ref="H358">IFERROR(INDEX(PRODUCT!$F:$F,MATCH(C358,PRODUCT!$B:$B,0)),"")</f>
        <v/>
      </c>
      <c r="I358" s="62">
        <f>IF(C358="","",INPUT_SYSTEM!G372)</f>
        <v/>
      </c>
      <c r="J358" s="62">
        <f>IF(C358="","",INPUT_SYSTEM!H372)</f>
        <v/>
      </c>
      <c r="K358" s="60">
        <f>IF(C358="","",INPUT_SYSTEM!J372)</f>
        <v/>
      </c>
      <c r="L358" s="62">
        <f>IF(C358="","",INPUT_SYSTEM!K372)</f>
        <v/>
      </c>
      <c r="M358" s="62">
        <f>IF(C358="","",INPUT_SYSTEM!L372)</f>
        <v/>
      </c>
      <c r="N358" s="62">
        <f>IF(U358&lt;&gt;"SI","",IF(M358&lt;&gt;"",M358,IFERROR(I358*J358*(1+K358)*L358,"")))</f>
        <v/>
      </c>
      <c r="O358" s="62">
        <f>IF(N358="","",IF(OR(H358="",H358=0),N358,ROUNDUP(N358/H358,0)))</f>
        <v/>
      </c>
      <c r="P358" s="63">
        <f t="array" ref="P358">IFERROR(INDEX(PRODUCT!$I:$I,MATCH(C358,PRODUCT!$B:$B,0)),"")</f>
        <v/>
      </c>
      <c r="Q358" s="63">
        <f>IF(C358="","",INPUT_SYSTEM!M372)</f>
        <v/>
      </c>
      <c r="R358" s="63">
        <f>IF(P358="","",P358*(1+Q358))</f>
        <v/>
      </c>
      <c r="S358" s="63">
        <f>IF(O358="","",IF(OR(H358="",H358=0),O358*P358,O358*H358*P358))</f>
        <v/>
      </c>
      <c r="T358" s="63">
        <f>IF(O358="","",IF(OR(H358="",H358=0),O358*R358,O358*H358*R358))</f>
        <v/>
      </c>
      <c r="U358" s="62">
        <f>IF(C358="","",INPUT_SYSTEM!C372)</f>
        <v/>
      </c>
      <c r="V358" s="2" t="n"/>
    </row>
    <row r="359" ht="15.75" customHeight="1" s="125">
      <c r="A359" s="62">
        <f>IF(INPUT_SYSTEM!D373="","",INPUT_SYSTEM!A373)</f>
        <v/>
      </c>
      <c r="B359" s="62">
        <f>IF(INPUT_SYSTEM!D373="","",INPUT_SYSTEM!B373)</f>
        <v/>
      </c>
      <c r="C359" s="62">
        <f>IF(INPUT_SYSTEM!D373="","",INPUT_SYSTEM!D373)</f>
        <v/>
      </c>
      <c r="D359" s="62">
        <f>IF(C359="","",INPUT_SYSTEM!E373)</f>
        <v/>
      </c>
      <c r="E359" s="62">
        <f>IF(C359="","",INPUT_SYSTEM!F373)</f>
        <v/>
      </c>
      <c r="F359" s="62">
        <f t="array" ref="F359">IFERROR(INDEX(PRODUCT!$D:$D,MATCH(C359,PRODUCT!$B:$B,0)),"")</f>
        <v/>
      </c>
      <c r="G359" s="62">
        <f t="array" ref="G359">IFERROR(INDEX(PRODUCT!$E:$E,MATCH(C359,PRODUCT!$B:$B,0)),"")</f>
        <v/>
      </c>
      <c r="H359" s="62">
        <f t="array" ref="H359">IFERROR(INDEX(PRODUCT!$F:$F,MATCH(C359,PRODUCT!$B:$B,0)),"")</f>
        <v/>
      </c>
      <c r="I359" s="62">
        <f>IF(C359="","",INPUT_SYSTEM!G373)</f>
        <v/>
      </c>
      <c r="J359" s="62">
        <f>IF(C359="","",INPUT_SYSTEM!H373)</f>
        <v/>
      </c>
      <c r="K359" s="60">
        <f>IF(C359="","",INPUT_SYSTEM!J373)</f>
        <v/>
      </c>
      <c r="L359" s="62">
        <f>IF(C359="","",INPUT_SYSTEM!K373)</f>
        <v/>
      </c>
      <c r="M359" s="62">
        <f>IF(C359="","",INPUT_SYSTEM!L373)</f>
        <v/>
      </c>
      <c r="N359" s="62">
        <f>IF(U359&lt;&gt;"SI","",IF(M359&lt;&gt;"",M359,IFERROR(I359*J359*(1+K359)*L359,"")))</f>
        <v/>
      </c>
      <c r="O359" s="62">
        <f>IF(N359="","",IF(OR(H359="",H359=0),N359,ROUNDUP(N359/H359,0)))</f>
        <v/>
      </c>
      <c r="P359" s="63">
        <f t="array" ref="P359">IFERROR(INDEX(PRODUCT!$I:$I,MATCH(C359,PRODUCT!$B:$B,0)),"")</f>
        <v/>
      </c>
      <c r="Q359" s="63">
        <f>IF(C359="","",INPUT_SYSTEM!M373)</f>
        <v/>
      </c>
      <c r="R359" s="63">
        <f>IF(P359="","",P359*(1+Q359))</f>
        <v/>
      </c>
      <c r="S359" s="63">
        <f>IF(O359="","",IF(OR(H359="",H359=0),O359*P359,O359*H359*P359))</f>
        <v/>
      </c>
      <c r="T359" s="63">
        <f>IF(O359="","",IF(OR(H359="",H359=0),O359*R359,O359*H359*R359))</f>
        <v/>
      </c>
      <c r="U359" s="62">
        <f>IF(C359="","",INPUT_SYSTEM!C373)</f>
        <v/>
      </c>
      <c r="V359" s="2" t="n"/>
    </row>
    <row r="360" ht="15.75" customHeight="1" s="125">
      <c r="A360" s="62">
        <f>IF(INPUT_SYSTEM!D374="","",INPUT_SYSTEM!A374)</f>
        <v/>
      </c>
      <c r="B360" s="62">
        <f>IF(INPUT_SYSTEM!D374="","",INPUT_SYSTEM!B374)</f>
        <v/>
      </c>
      <c r="C360" s="62">
        <f>IF(INPUT_SYSTEM!D374="","",INPUT_SYSTEM!D374)</f>
        <v/>
      </c>
      <c r="D360" s="62">
        <f>IF(C360="","",INPUT_SYSTEM!E374)</f>
        <v/>
      </c>
      <c r="E360" s="62">
        <f>IF(C360="","",INPUT_SYSTEM!F374)</f>
        <v/>
      </c>
      <c r="F360" s="62">
        <f t="array" ref="F360">IFERROR(INDEX(PRODUCT!$D:$D,MATCH(C360,PRODUCT!$B:$B,0)),"")</f>
        <v/>
      </c>
      <c r="G360" s="62">
        <f t="array" ref="G360">IFERROR(INDEX(PRODUCT!$E:$E,MATCH(C360,PRODUCT!$B:$B,0)),"")</f>
        <v/>
      </c>
      <c r="H360" s="62">
        <f t="array" ref="H360">IFERROR(INDEX(PRODUCT!$F:$F,MATCH(C360,PRODUCT!$B:$B,0)),"")</f>
        <v/>
      </c>
      <c r="I360" s="62">
        <f>IF(C360="","",INPUT_SYSTEM!G374)</f>
        <v/>
      </c>
      <c r="J360" s="62">
        <f>IF(C360="","",INPUT_SYSTEM!H374)</f>
        <v/>
      </c>
      <c r="K360" s="60">
        <f>IF(C360="","",INPUT_SYSTEM!J374)</f>
        <v/>
      </c>
      <c r="L360" s="62">
        <f>IF(C360="","",INPUT_SYSTEM!K374)</f>
        <v/>
      </c>
      <c r="M360" s="62">
        <f>IF(C360="","",INPUT_SYSTEM!L374)</f>
        <v/>
      </c>
      <c r="N360" s="62">
        <f>IF(U360&lt;&gt;"SI","",IF(M360&lt;&gt;"",M360,IFERROR(I360*J360*(1+K360)*L360,"")))</f>
        <v/>
      </c>
      <c r="O360" s="62">
        <f>IF(N360="","",IF(OR(H360="",H360=0),N360,ROUNDUP(N360/H360,0)))</f>
        <v/>
      </c>
      <c r="P360" s="63">
        <f t="array" ref="P360">IFERROR(INDEX(PRODUCT!$I:$I,MATCH(C360,PRODUCT!$B:$B,0)),"")</f>
        <v/>
      </c>
      <c r="Q360" s="63">
        <f>IF(C360="","",INPUT_SYSTEM!M374)</f>
        <v/>
      </c>
      <c r="R360" s="63">
        <f>IF(P360="","",P360*(1+Q360))</f>
        <v/>
      </c>
      <c r="S360" s="63">
        <f>IF(O360="","",IF(OR(H360="",H360=0),O360*P360,O360*H360*P360))</f>
        <v/>
      </c>
      <c r="T360" s="63">
        <f>IF(O360="","",IF(OR(H360="",H360=0),O360*R360,O360*H360*R360))</f>
        <v/>
      </c>
      <c r="U360" s="62">
        <f>IF(C360="","",INPUT_SYSTEM!C374)</f>
        <v/>
      </c>
      <c r="V360" s="2" t="n"/>
    </row>
    <row r="361" ht="15.75" customHeight="1" s="125">
      <c r="A361" s="62">
        <f>IF(INPUT_SYSTEM!D375="","",INPUT_SYSTEM!A375)</f>
        <v/>
      </c>
      <c r="B361" s="62">
        <f>IF(INPUT_SYSTEM!D375="","",INPUT_SYSTEM!B375)</f>
        <v/>
      </c>
      <c r="C361" s="62">
        <f>IF(INPUT_SYSTEM!D375="","",INPUT_SYSTEM!D375)</f>
        <v/>
      </c>
      <c r="D361" s="62">
        <f>IF(C361="","",INPUT_SYSTEM!E375)</f>
        <v/>
      </c>
      <c r="E361" s="62">
        <f>IF(C361="","",INPUT_SYSTEM!F375)</f>
        <v/>
      </c>
      <c r="F361" s="62">
        <f t="array" ref="F361">IFERROR(INDEX(PRODUCT!$D:$D,MATCH(C361,PRODUCT!$B:$B,0)),"")</f>
        <v/>
      </c>
      <c r="G361" s="62">
        <f t="array" ref="G361">IFERROR(INDEX(PRODUCT!$E:$E,MATCH(C361,PRODUCT!$B:$B,0)),"")</f>
        <v/>
      </c>
      <c r="H361" s="62">
        <f t="array" ref="H361">IFERROR(INDEX(PRODUCT!$F:$F,MATCH(C361,PRODUCT!$B:$B,0)),"")</f>
        <v/>
      </c>
      <c r="I361" s="62">
        <f>IF(C361="","",INPUT_SYSTEM!G375)</f>
        <v/>
      </c>
      <c r="J361" s="62">
        <f>IF(C361="","",INPUT_SYSTEM!H375)</f>
        <v/>
      </c>
      <c r="K361" s="60">
        <f>IF(C361="","",INPUT_SYSTEM!J375)</f>
        <v/>
      </c>
      <c r="L361" s="62">
        <f>IF(C361="","",INPUT_SYSTEM!K375)</f>
        <v/>
      </c>
      <c r="M361" s="62">
        <f>IF(C361="","",INPUT_SYSTEM!L375)</f>
        <v/>
      </c>
      <c r="N361" s="62">
        <f>IF(U361&lt;&gt;"SI","",IF(M361&lt;&gt;"",M361,IFERROR(I361*J361*(1+K361)*L361,"")))</f>
        <v/>
      </c>
      <c r="O361" s="62">
        <f>IF(N361="","",IF(OR(H361="",H361=0),N361,ROUNDUP(N361/H361,0)))</f>
        <v/>
      </c>
      <c r="P361" s="63">
        <f t="array" ref="P361">IFERROR(INDEX(PRODUCT!$I:$I,MATCH(C361,PRODUCT!$B:$B,0)),"")</f>
        <v/>
      </c>
      <c r="Q361" s="63">
        <f>IF(C361="","",INPUT_SYSTEM!M375)</f>
        <v/>
      </c>
      <c r="R361" s="63">
        <f>IF(P361="","",P361*(1+Q361))</f>
        <v/>
      </c>
      <c r="S361" s="63">
        <f>IF(O361="","",IF(OR(H361="",H361=0),O361*P361,O361*H361*P361))</f>
        <v/>
      </c>
      <c r="T361" s="63">
        <f>IF(O361="","",IF(OR(H361="",H361=0),O361*R361,O361*H361*R361))</f>
        <v/>
      </c>
      <c r="U361" s="62">
        <f>IF(C361="","",INPUT_SYSTEM!C375)</f>
        <v/>
      </c>
      <c r="V361" s="2" t="n"/>
    </row>
    <row r="362" ht="15.75" customHeight="1" s="125">
      <c r="A362" s="62">
        <f>IF(INPUT_SYSTEM!D376="","",INPUT_SYSTEM!A376)</f>
        <v/>
      </c>
      <c r="B362" s="62">
        <f>IF(INPUT_SYSTEM!D376="","",INPUT_SYSTEM!B376)</f>
        <v/>
      </c>
      <c r="C362" s="62">
        <f>IF(INPUT_SYSTEM!D376="","",INPUT_SYSTEM!D376)</f>
        <v/>
      </c>
      <c r="D362" s="62">
        <f>IF(C362="","",INPUT_SYSTEM!E376)</f>
        <v/>
      </c>
      <c r="E362" s="62">
        <f>IF(C362="","",INPUT_SYSTEM!F376)</f>
        <v/>
      </c>
      <c r="F362" s="62">
        <f t="array" ref="F362">IFERROR(INDEX(PRODUCT!$D:$D,MATCH(C362,PRODUCT!$B:$B,0)),"")</f>
        <v/>
      </c>
      <c r="G362" s="62">
        <f t="array" ref="G362">IFERROR(INDEX(PRODUCT!$E:$E,MATCH(C362,PRODUCT!$B:$B,0)),"")</f>
        <v/>
      </c>
      <c r="H362" s="62">
        <f t="array" ref="H362">IFERROR(INDEX(PRODUCT!$F:$F,MATCH(C362,PRODUCT!$B:$B,0)),"")</f>
        <v/>
      </c>
      <c r="I362" s="62">
        <f>IF(C362="","",INPUT_SYSTEM!G376)</f>
        <v/>
      </c>
      <c r="J362" s="62">
        <f>IF(C362="","",INPUT_SYSTEM!H376)</f>
        <v/>
      </c>
      <c r="K362" s="60">
        <f>IF(C362="","",INPUT_SYSTEM!J376)</f>
        <v/>
      </c>
      <c r="L362" s="62">
        <f>IF(C362="","",INPUT_SYSTEM!K376)</f>
        <v/>
      </c>
      <c r="M362" s="62">
        <f>IF(C362="","",INPUT_SYSTEM!L376)</f>
        <v/>
      </c>
      <c r="N362" s="62">
        <f>IF(U362&lt;&gt;"SI","",IF(M362&lt;&gt;"",M362,IFERROR(I362*J362*(1+K362)*L362,"")))</f>
        <v/>
      </c>
      <c r="O362" s="62">
        <f>IF(N362="","",IF(OR(H362="",H362=0),N362,ROUNDUP(N362/H362,0)))</f>
        <v/>
      </c>
      <c r="P362" s="63">
        <f t="array" ref="P362">IFERROR(INDEX(PRODUCT!$I:$I,MATCH(C362,PRODUCT!$B:$B,0)),"")</f>
        <v/>
      </c>
      <c r="Q362" s="63">
        <f>IF(C362="","",INPUT_SYSTEM!M376)</f>
        <v/>
      </c>
      <c r="R362" s="63">
        <f>IF(P362="","",P362*(1+Q362))</f>
        <v/>
      </c>
      <c r="S362" s="63">
        <f>IF(O362="","",IF(OR(H362="",H362=0),O362*P362,O362*H362*P362))</f>
        <v/>
      </c>
      <c r="T362" s="63">
        <f>IF(O362="","",IF(OR(H362="",H362=0),O362*R362,O362*H362*R362))</f>
        <v/>
      </c>
      <c r="U362" s="62">
        <f>IF(C362="","",INPUT_SYSTEM!C376)</f>
        <v/>
      </c>
      <c r="V362" s="2" t="n"/>
    </row>
    <row r="363" ht="15.75" customHeight="1" s="125">
      <c r="A363" s="62">
        <f>IF(INPUT_SYSTEM!D377="","",INPUT_SYSTEM!A377)</f>
        <v/>
      </c>
      <c r="B363" s="62">
        <f>IF(INPUT_SYSTEM!D377="","",INPUT_SYSTEM!B377)</f>
        <v/>
      </c>
      <c r="C363" s="62">
        <f>IF(INPUT_SYSTEM!D377="","",INPUT_SYSTEM!D377)</f>
        <v/>
      </c>
      <c r="D363" s="62">
        <f>IF(C363="","",INPUT_SYSTEM!E377)</f>
        <v/>
      </c>
      <c r="E363" s="62">
        <f>IF(C363="","",INPUT_SYSTEM!F377)</f>
        <v/>
      </c>
      <c r="F363" s="62">
        <f t="array" ref="F363">IFERROR(INDEX(PRODUCT!$D:$D,MATCH(C363,PRODUCT!$B:$B,0)),"")</f>
        <v/>
      </c>
      <c r="G363" s="62">
        <f t="array" ref="G363">IFERROR(INDEX(PRODUCT!$E:$E,MATCH(C363,PRODUCT!$B:$B,0)),"")</f>
        <v/>
      </c>
      <c r="H363" s="62">
        <f t="array" ref="H363">IFERROR(INDEX(PRODUCT!$F:$F,MATCH(C363,PRODUCT!$B:$B,0)),"")</f>
        <v/>
      </c>
      <c r="I363" s="62">
        <f>IF(C363="","",INPUT_SYSTEM!G377)</f>
        <v/>
      </c>
      <c r="J363" s="62">
        <f>IF(C363="","",INPUT_SYSTEM!H377)</f>
        <v/>
      </c>
      <c r="K363" s="60">
        <f>IF(C363="","",INPUT_SYSTEM!J377)</f>
        <v/>
      </c>
      <c r="L363" s="62">
        <f>IF(C363="","",INPUT_SYSTEM!K377)</f>
        <v/>
      </c>
      <c r="M363" s="62">
        <f>IF(C363="","",INPUT_SYSTEM!L377)</f>
        <v/>
      </c>
      <c r="N363" s="62">
        <f>IF(U363&lt;&gt;"SI","",IF(M363&lt;&gt;"",M363,IFERROR(I363*J363*(1+K363)*L363,"")))</f>
        <v/>
      </c>
      <c r="O363" s="62">
        <f>IF(N363="","",IF(OR(H363="",H363=0),N363,ROUNDUP(N363/H363,0)))</f>
        <v/>
      </c>
      <c r="P363" s="63">
        <f t="array" ref="P363">IFERROR(INDEX(PRODUCT!$I:$I,MATCH(C363,PRODUCT!$B:$B,0)),"")</f>
        <v/>
      </c>
      <c r="Q363" s="63">
        <f>IF(C363="","",INPUT_SYSTEM!M377)</f>
        <v/>
      </c>
      <c r="R363" s="63">
        <f>IF(P363="","",P363*(1+Q363))</f>
        <v/>
      </c>
      <c r="S363" s="63">
        <f>IF(O363="","",IF(OR(H363="",H363=0),O363*P363,O363*H363*P363))</f>
        <v/>
      </c>
      <c r="T363" s="63">
        <f>IF(O363="","",IF(OR(H363="",H363=0),O363*R363,O363*H363*R363))</f>
        <v/>
      </c>
      <c r="U363" s="62">
        <f>IF(C363="","",INPUT_SYSTEM!C377)</f>
        <v/>
      </c>
      <c r="V363" s="2" t="n"/>
    </row>
    <row r="364" ht="15.75" customHeight="1" s="125">
      <c r="A364" s="62">
        <f>IF(INPUT_SYSTEM!D378="","",INPUT_SYSTEM!A378)</f>
        <v/>
      </c>
      <c r="B364" s="62">
        <f>IF(INPUT_SYSTEM!D378="","",INPUT_SYSTEM!B378)</f>
        <v/>
      </c>
      <c r="C364" s="62">
        <f>IF(INPUT_SYSTEM!D378="","",INPUT_SYSTEM!D378)</f>
        <v/>
      </c>
      <c r="D364" s="62">
        <f>IF(C364="","",INPUT_SYSTEM!E378)</f>
        <v/>
      </c>
      <c r="E364" s="62">
        <f>IF(C364="","",INPUT_SYSTEM!F378)</f>
        <v/>
      </c>
      <c r="F364" s="62">
        <f t="array" ref="F364">IFERROR(INDEX(PRODUCT!$D:$D,MATCH(C364,PRODUCT!$B:$B,0)),"")</f>
        <v/>
      </c>
      <c r="G364" s="62">
        <f t="array" ref="G364">IFERROR(INDEX(PRODUCT!$E:$E,MATCH(C364,PRODUCT!$B:$B,0)),"")</f>
        <v/>
      </c>
      <c r="H364" s="62">
        <f t="array" ref="H364">IFERROR(INDEX(PRODUCT!$F:$F,MATCH(C364,PRODUCT!$B:$B,0)),"")</f>
        <v/>
      </c>
      <c r="I364" s="62">
        <f>IF(C364="","",INPUT_SYSTEM!G378)</f>
        <v/>
      </c>
      <c r="J364" s="62">
        <f>IF(C364="","",INPUT_SYSTEM!H378)</f>
        <v/>
      </c>
      <c r="K364" s="60">
        <f>IF(C364="","",INPUT_SYSTEM!J378)</f>
        <v/>
      </c>
      <c r="L364" s="62">
        <f>IF(C364="","",INPUT_SYSTEM!K378)</f>
        <v/>
      </c>
      <c r="M364" s="62">
        <f>IF(C364="","",INPUT_SYSTEM!L378)</f>
        <v/>
      </c>
      <c r="N364" s="62">
        <f>IF(U364&lt;&gt;"SI","",IF(M364&lt;&gt;"",M364,IFERROR(I364*J364*(1+K364)*L364,"")))</f>
        <v/>
      </c>
      <c r="O364" s="62">
        <f>IF(N364="","",IF(OR(H364="",H364=0),N364,ROUNDUP(N364/H364,0)))</f>
        <v/>
      </c>
      <c r="P364" s="63">
        <f t="array" ref="P364">IFERROR(INDEX(PRODUCT!$I:$I,MATCH(C364,PRODUCT!$B:$B,0)),"")</f>
        <v/>
      </c>
      <c r="Q364" s="63">
        <f>IF(C364="","",INPUT_SYSTEM!M378)</f>
        <v/>
      </c>
      <c r="R364" s="63">
        <f>IF(P364="","",P364*(1+Q364))</f>
        <v/>
      </c>
      <c r="S364" s="63">
        <f>IF(O364="","",IF(OR(H364="",H364=0),O364*P364,O364*H364*P364))</f>
        <v/>
      </c>
      <c r="T364" s="63">
        <f>IF(O364="","",IF(OR(H364="",H364=0),O364*R364,O364*H364*R364))</f>
        <v/>
      </c>
      <c r="U364" s="62">
        <f>IF(C364="","",INPUT_SYSTEM!C378)</f>
        <v/>
      </c>
      <c r="V364" s="2" t="n"/>
    </row>
    <row r="365" ht="15.75" customHeight="1" s="125">
      <c r="A365" s="62">
        <f>IF(INPUT_SYSTEM!D379="","",INPUT_SYSTEM!A379)</f>
        <v/>
      </c>
      <c r="B365" s="62">
        <f>IF(INPUT_SYSTEM!D379="","",INPUT_SYSTEM!B379)</f>
        <v/>
      </c>
      <c r="C365" s="62">
        <f>IF(INPUT_SYSTEM!D379="","",INPUT_SYSTEM!D379)</f>
        <v/>
      </c>
      <c r="D365" s="62">
        <f>IF(C365="","",INPUT_SYSTEM!E379)</f>
        <v/>
      </c>
      <c r="E365" s="62">
        <f>IF(C365="","",INPUT_SYSTEM!F379)</f>
        <v/>
      </c>
      <c r="F365" s="62">
        <f t="array" ref="F365">IFERROR(INDEX(PRODUCT!$D:$D,MATCH(C365,PRODUCT!$B:$B,0)),"")</f>
        <v/>
      </c>
      <c r="G365" s="62">
        <f t="array" ref="G365">IFERROR(INDEX(PRODUCT!$E:$E,MATCH(C365,PRODUCT!$B:$B,0)),"")</f>
        <v/>
      </c>
      <c r="H365" s="62">
        <f t="array" ref="H365">IFERROR(INDEX(PRODUCT!$F:$F,MATCH(C365,PRODUCT!$B:$B,0)),"")</f>
        <v/>
      </c>
      <c r="I365" s="62">
        <f>IF(C365="","",INPUT_SYSTEM!G379)</f>
        <v/>
      </c>
      <c r="J365" s="62">
        <f>IF(C365="","",INPUT_SYSTEM!H379)</f>
        <v/>
      </c>
      <c r="K365" s="60">
        <f>IF(C365="","",INPUT_SYSTEM!J379)</f>
        <v/>
      </c>
      <c r="L365" s="62">
        <f>IF(C365="","",INPUT_SYSTEM!K379)</f>
        <v/>
      </c>
      <c r="M365" s="62">
        <f>IF(C365="","",INPUT_SYSTEM!L379)</f>
        <v/>
      </c>
      <c r="N365" s="62">
        <f>IF(U365&lt;&gt;"SI","",IF(M365&lt;&gt;"",M365,IFERROR(I365*J365*(1+K365)*L365,"")))</f>
        <v/>
      </c>
      <c r="O365" s="62">
        <f>IF(N365="","",IF(OR(H365="",H365=0),N365,ROUNDUP(N365/H365,0)))</f>
        <v/>
      </c>
      <c r="P365" s="63">
        <f t="array" ref="P365">IFERROR(INDEX(PRODUCT!$I:$I,MATCH(C365,PRODUCT!$B:$B,0)),"")</f>
        <v/>
      </c>
      <c r="Q365" s="63">
        <f>IF(C365="","",INPUT_SYSTEM!M379)</f>
        <v/>
      </c>
      <c r="R365" s="63">
        <f>IF(P365="","",P365*(1+Q365))</f>
        <v/>
      </c>
      <c r="S365" s="63">
        <f>IF(O365="","",IF(OR(H365="",H365=0),O365*P365,O365*H365*P365))</f>
        <v/>
      </c>
      <c r="T365" s="63">
        <f>IF(O365="","",IF(OR(H365="",H365=0),O365*R365,O365*H365*R365))</f>
        <v/>
      </c>
      <c r="U365" s="62">
        <f>IF(C365="","",INPUT_SYSTEM!C379)</f>
        <v/>
      </c>
      <c r="V365" s="2" t="n"/>
    </row>
    <row r="366" ht="15.75" customHeight="1" s="125">
      <c r="A366" s="62">
        <f>IF(INPUT_SYSTEM!D380="","",INPUT_SYSTEM!A380)</f>
        <v/>
      </c>
      <c r="B366" s="62">
        <f>IF(INPUT_SYSTEM!D380="","",INPUT_SYSTEM!B380)</f>
        <v/>
      </c>
      <c r="C366" s="62">
        <f>IF(INPUT_SYSTEM!D380="","",INPUT_SYSTEM!D380)</f>
        <v/>
      </c>
      <c r="D366" s="62">
        <f>IF(C366="","",INPUT_SYSTEM!E380)</f>
        <v/>
      </c>
      <c r="E366" s="62">
        <f>IF(C366="","",INPUT_SYSTEM!F380)</f>
        <v/>
      </c>
      <c r="F366" s="62">
        <f t="array" ref="F366">IFERROR(INDEX(PRODUCT!$D:$D,MATCH(C366,PRODUCT!$B:$B,0)),"")</f>
        <v/>
      </c>
      <c r="G366" s="62">
        <f t="array" ref="G366">IFERROR(INDEX(PRODUCT!$E:$E,MATCH(C366,PRODUCT!$B:$B,0)),"")</f>
        <v/>
      </c>
      <c r="H366" s="62">
        <f t="array" ref="H366">IFERROR(INDEX(PRODUCT!$F:$F,MATCH(C366,PRODUCT!$B:$B,0)),"")</f>
        <v/>
      </c>
      <c r="I366" s="62">
        <f>IF(C366="","",INPUT_SYSTEM!G380)</f>
        <v/>
      </c>
      <c r="J366" s="62">
        <f>IF(C366="","",INPUT_SYSTEM!H380)</f>
        <v/>
      </c>
      <c r="K366" s="60">
        <f>IF(C366="","",INPUT_SYSTEM!J380)</f>
        <v/>
      </c>
      <c r="L366" s="62">
        <f>IF(C366="","",INPUT_SYSTEM!K380)</f>
        <v/>
      </c>
      <c r="M366" s="62">
        <f>IF(C366="","",INPUT_SYSTEM!L380)</f>
        <v/>
      </c>
      <c r="N366" s="62">
        <f>IF(U366&lt;&gt;"SI","",IF(M366&lt;&gt;"",M366,IFERROR(I366*J366*(1+K366)*L366,"")))</f>
        <v/>
      </c>
      <c r="O366" s="62">
        <f>IF(N366="","",IF(OR(H366="",H366=0),N366,ROUNDUP(N366/H366,0)))</f>
        <v/>
      </c>
      <c r="P366" s="63">
        <f t="array" ref="P366">IFERROR(INDEX(PRODUCT!$I:$I,MATCH(C366,PRODUCT!$B:$B,0)),"")</f>
        <v/>
      </c>
      <c r="Q366" s="63">
        <f>IF(C366="","",INPUT_SYSTEM!M380)</f>
        <v/>
      </c>
      <c r="R366" s="63">
        <f>IF(P366="","",P366*(1+Q366))</f>
        <v/>
      </c>
      <c r="S366" s="63">
        <f>IF(O366="","",IF(OR(H366="",H366=0),O366*P366,O366*H366*P366))</f>
        <v/>
      </c>
      <c r="T366" s="63">
        <f>IF(O366="","",IF(OR(H366="",H366=0),O366*R366,O366*H366*R366))</f>
        <v/>
      </c>
      <c r="U366" s="62">
        <f>IF(C366="","",INPUT_SYSTEM!C380)</f>
        <v/>
      </c>
      <c r="V366" s="2" t="n"/>
    </row>
    <row r="367" ht="15.75" customHeight="1" s="125">
      <c r="A367" s="62">
        <f>IF(INPUT_SYSTEM!D381="","",INPUT_SYSTEM!A381)</f>
        <v/>
      </c>
      <c r="B367" s="62">
        <f>IF(INPUT_SYSTEM!D381="","",INPUT_SYSTEM!B381)</f>
        <v/>
      </c>
      <c r="C367" s="62">
        <f>IF(INPUT_SYSTEM!D381="","",INPUT_SYSTEM!D381)</f>
        <v/>
      </c>
      <c r="D367" s="62">
        <f>IF(C367="","",INPUT_SYSTEM!E381)</f>
        <v/>
      </c>
      <c r="E367" s="62">
        <f>IF(C367="","",INPUT_SYSTEM!F381)</f>
        <v/>
      </c>
      <c r="F367" s="62">
        <f t="array" ref="F367">IFERROR(INDEX(PRODUCT!$D:$D,MATCH(C367,PRODUCT!$B:$B,0)),"")</f>
        <v/>
      </c>
      <c r="G367" s="62">
        <f t="array" ref="G367">IFERROR(INDEX(PRODUCT!$E:$E,MATCH(C367,PRODUCT!$B:$B,0)),"")</f>
        <v/>
      </c>
      <c r="H367" s="62">
        <f t="array" ref="H367">IFERROR(INDEX(PRODUCT!$F:$F,MATCH(C367,PRODUCT!$B:$B,0)),"")</f>
        <v/>
      </c>
      <c r="I367" s="62">
        <f>IF(C367="","",INPUT_SYSTEM!G381)</f>
        <v/>
      </c>
      <c r="J367" s="62">
        <f>IF(C367="","",INPUT_SYSTEM!H381)</f>
        <v/>
      </c>
      <c r="K367" s="60">
        <f>IF(C367="","",INPUT_SYSTEM!J381)</f>
        <v/>
      </c>
      <c r="L367" s="62">
        <f>IF(C367="","",INPUT_SYSTEM!K381)</f>
        <v/>
      </c>
      <c r="M367" s="62">
        <f>IF(C367="","",INPUT_SYSTEM!L381)</f>
        <v/>
      </c>
      <c r="N367" s="62">
        <f>IF(U367&lt;&gt;"SI","",IF(M367&lt;&gt;"",M367,IFERROR(I367*J367*(1+K367)*L367,"")))</f>
        <v/>
      </c>
      <c r="O367" s="62">
        <f>IF(N367="","",IF(OR(H367="",H367=0),N367,ROUNDUP(N367/H367,0)))</f>
        <v/>
      </c>
      <c r="P367" s="63">
        <f t="array" ref="P367">IFERROR(INDEX(PRODUCT!$I:$I,MATCH(C367,PRODUCT!$B:$B,0)),"")</f>
        <v/>
      </c>
      <c r="Q367" s="63">
        <f>IF(C367="","",INPUT_SYSTEM!M381)</f>
        <v/>
      </c>
      <c r="R367" s="63">
        <f>IF(P367="","",P367*(1+Q367))</f>
        <v/>
      </c>
      <c r="S367" s="63">
        <f>IF(O367="","",IF(OR(H367="",H367=0),O367*P367,O367*H367*P367))</f>
        <v/>
      </c>
      <c r="T367" s="63">
        <f>IF(O367="","",IF(OR(H367="",H367=0),O367*R367,O367*H367*R367))</f>
        <v/>
      </c>
      <c r="U367" s="62">
        <f>IF(C367="","",INPUT_SYSTEM!C381)</f>
        <v/>
      </c>
      <c r="V367" s="2" t="n"/>
    </row>
    <row r="368" ht="15.75" customHeight="1" s="125">
      <c r="A368" s="62">
        <f>IF(INPUT_SYSTEM!D382="","",INPUT_SYSTEM!A382)</f>
        <v/>
      </c>
      <c r="B368" s="62">
        <f>IF(INPUT_SYSTEM!D382="","",INPUT_SYSTEM!B382)</f>
        <v/>
      </c>
      <c r="C368" s="62">
        <f>IF(INPUT_SYSTEM!D382="","",INPUT_SYSTEM!D382)</f>
        <v/>
      </c>
      <c r="D368" s="62">
        <f>IF(C368="","",INPUT_SYSTEM!E382)</f>
        <v/>
      </c>
      <c r="E368" s="62">
        <f>IF(C368="","",INPUT_SYSTEM!F382)</f>
        <v/>
      </c>
      <c r="F368" s="62">
        <f t="array" ref="F368">IFERROR(INDEX(PRODUCT!$D:$D,MATCH(C368,PRODUCT!$B:$B,0)),"")</f>
        <v/>
      </c>
      <c r="G368" s="62">
        <f t="array" ref="G368">IFERROR(INDEX(PRODUCT!$E:$E,MATCH(C368,PRODUCT!$B:$B,0)),"")</f>
        <v/>
      </c>
      <c r="H368" s="62">
        <f t="array" ref="H368">IFERROR(INDEX(PRODUCT!$F:$F,MATCH(C368,PRODUCT!$B:$B,0)),"")</f>
        <v/>
      </c>
      <c r="I368" s="62">
        <f>IF(C368="","",INPUT_SYSTEM!G382)</f>
        <v/>
      </c>
      <c r="J368" s="62">
        <f>IF(C368="","",INPUT_SYSTEM!H382)</f>
        <v/>
      </c>
      <c r="K368" s="60">
        <f>IF(C368="","",INPUT_SYSTEM!J382)</f>
        <v/>
      </c>
      <c r="L368" s="62">
        <f>IF(C368="","",INPUT_SYSTEM!K382)</f>
        <v/>
      </c>
      <c r="M368" s="62">
        <f>IF(C368="","",INPUT_SYSTEM!L382)</f>
        <v/>
      </c>
      <c r="N368" s="62">
        <f>IF(U368&lt;&gt;"SI","",IF(M368&lt;&gt;"",M368,IFERROR(I368*J368*(1+K368)*L368,"")))</f>
        <v/>
      </c>
      <c r="O368" s="62">
        <f>IF(N368="","",IF(OR(H368="",H368=0),N368,ROUNDUP(N368/H368,0)))</f>
        <v/>
      </c>
      <c r="P368" s="63">
        <f t="array" ref="P368">IFERROR(INDEX(PRODUCT!$I:$I,MATCH(C368,PRODUCT!$B:$B,0)),"")</f>
        <v/>
      </c>
      <c r="Q368" s="63">
        <f>IF(C368="","",INPUT_SYSTEM!M382)</f>
        <v/>
      </c>
      <c r="R368" s="63">
        <f>IF(P368="","",P368*(1+Q368))</f>
        <v/>
      </c>
      <c r="S368" s="63">
        <f>IF(O368="","",IF(OR(H368="",H368=0),O368*P368,O368*H368*P368))</f>
        <v/>
      </c>
      <c r="T368" s="63">
        <f>IF(O368="","",IF(OR(H368="",H368=0),O368*R368,O368*H368*R368))</f>
        <v/>
      </c>
      <c r="U368" s="62">
        <f>IF(C368="","",INPUT_SYSTEM!C382)</f>
        <v/>
      </c>
      <c r="V368" s="2" t="n"/>
    </row>
    <row r="369" ht="15.75" customHeight="1" s="125">
      <c r="A369" s="62">
        <f>IF(INPUT_SYSTEM!D383="","",INPUT_SYSTEM!A383)</f>
        <v/>
      </c>
      <c r="B369" s="62">
        <f>IF(INPUT_SYSTEM!D383="","",INPUT_SYSTEM!B383)</f>
        <v/>
      </c>
      <c r="C369" s="62">
        <f>IF(INPUT_SYSTEM!D383="","",INPUT_SYSTEM!D383)</f>
        <v/>
      </c>
      <c r="D369" s="62">
        <f>IF(C369="","",INPUT_SYSTEM!E383)</f>
        <v/>
      </c>
      <c r="E369" s="62">
        <f>IF(C369="","",INPUT_SYSTEM!F383)</f>
        <v/>
      </c>
      <c r="F369" s="62">
        <f t="array" ref="F369">IFERROR(INDEX(PRODUCT!$D:$D,MATCH(C369,PRODUCT!$B:$B,0)),"")</f>
        <v/>
      </c>
      <c r="G369" s="62">
        <f t="array" ref="G369">IFERROR(INDEX(PRODUCT!$E:$E,MATCH(C369,PRODUCT!$B:$B,0)),"")</f>
        <v/>
      </c>
      <c r="H369" s="62">
        <f t="array" ref="H369">IFERROR(INDEX(PRODUCT!$F:$F,MATCH(C369,PRODUCT!$B:$B,0)),"")</f>
        <v/>
      </c>
      <c r="I369" s="62">
        <f>IF(C369="","",INPUT_SYSTEM!G383)</f>
        <v/>
      </c>
      <c r="J369" s="62">
        <f>IF(C369="","",INPUT_SYSTEM!H383)</f>
        <v/>
      </c>
      <c r="K369" s="60">
        <f>IF(C369="","",INPUT_SYSTEM!J383)</f>
        <v/>
      </c>
      <c r="L369" s="62">
        <f>IF(C369="","",INPUT_SYSTEM!K383)</f>
        <v/>
      </c>
      <c r="M369" s="62">
        <f>IF(C369="","",INPUT_SYSTEM!L383)</f>
        <v/>
      </c>
      <c r="N369" s="62">
        <f>IF(U369&lt;&gt;"SI","",IF(M369&lt;&gt;"",M369,IFERROR(I369*J369*(1+K369)*L369,"")))</f>
        <v/>
      </c>
      <c r="O369" s="62">
        <f>IF(N369="","",IF(OR(H369="",H369=0),N369,ROUNDUP(N369/H369,0)))</f>
        <v/>
      </c>
      <c r="P369" s="63">
        <f t="array" ref="P369">IFERROR(INDEX(PRODUCT!$I:$I,MATCH(C369,PRODUCT!$B:$B,0)),"")</f>
        <v/>
      </c>
      <c r="Q369" s="63">
        <f>IF(C369="","",INPUT_SYSTEM!M383)</f>
        <v/>
      </c>
      <c r="R369" s="63">
        <f>IF(P369="","",P369*(1+Q369))</f>
        <v/>
      </c>
      <c r="S369" s="63">
        <f>IF(O369="","",IF(OR(H369="",H369=0),O369*P369,O369*H369*P369))</f>
        <v/>
      </c>
      <c r="T369" s="63">
        <f>IF(O369="","",IF(OR(H369="",H369=0),O369*R369,O369*H369*R369))</f>
        <v/>
      </c>
      <c r="U369" s="62">
        <f>IF(C369="","",INPUT_SYSTEM!C383)</f>
        <v/>
      </c>
      <c r="V369" s="2" t="n"/>
    </row>
    <row r="370" ht="15.75" customHeight="1" s="125">
      <c r="A370" s="62">
        <f>IF(INPUT_SYSTEM!D384="","",INPUT_SYSTEM!A384)</f>
        <v/>
      </c>
      <c r="B370" s="62">
        <f>IF(INPUT_SYSTEM!D384="","",INPUT_SYSTEM!B384)</f>
        <v/>
      </c>
      <c r="C370" s="62">
        <f>IF(INPUT_SYSTEM!D384="","",INPUT_SYSTEM!D384)</f>
        <v/>
      </c>
      <c r="D370" s="62">
        <f>IF(C370="","",INPUT_SYSTEM!E384)</f>
        <v/>
      </c>
      <c r="E370" s="62">
        <f>IF(C370="","",INPUT_SYSTEM!F384)</f>
        <v/>
      </c>
      <c r="F370" s="62">
        <f t="array" ref="F370">IFERROR(INDEX(PRODUCT!$D:$D,MATCH(C370,PRODUCT!$B:$B,0)),"")</f>
        <v/>
      </c>
      <c r="G370" s="62">
        <f t="array" ref="G370">IFERROR(INDEX(PRODUCT!$E:$E,MATCH(C370,PRODUCT!$B:$B,0)),"")</f>
        <v/>
      </c>
      <c r="H370" s="62">
        <f t="array" ref="H370">IFERROR(INDEX(PRODUCT!$F:$F,MATCH(C370,PRODUCT!$B:$B,0)),"")</f>
        <v/>
      </c>
      <c r="I370" s="62">
        <f>IF(C370="","",INPUT_SYSTEM!G384)</f>
        <v/>
      </c>
      <c r="J370" s="62">
        <f>IF(C370="","",INPUT_SYSTEM!H384)</f>
        <v/>
      </c>
      <c r="K370" s="60">
        <f>IF(C370="","",INPUT_SYSTEM!J384)</f>
        <v/>
      </c>
      <c r="L370" s="62">
        <f>IF(C370="","",INPUT_SYSTEM!K384)</f>
        <v/>
      </c>
      <c r="M370" s="62">
        <f>IF(C370="","",INPUT_SYSTEM!L384)</f>
        <v/>
      </c>
      <c r="N370" s="62">
        <f>IF(U370&lt;&gt;"SI","",IF(M370&lt;&gt;"",M370,IFERROR(I370*J370*(1+K370)*L370,"")))</f>
        <v/>
      </c>
      <c r="O370" s="62">
        <f>IF(N370="","",IF(OR(H370="",H370=0),N370,ROUNDUP(N370/H370,0)))</f>
        <v/>
      </c>
      <c r="P370" s="63">
        <f t="array" ref="P370">IFERROR(INDEX(PRODUCT!$I:$I,MATCH(C370,PRODUCT!$B:$B,0)),"")</f>
        <v/>
      </c>
      <c r="Q370" s="63">
        <f>IF(C370="","",INPUT_SYSTEM!M384)</f>
        <v/>
      </c>
      <c r="R370" s="63">
        <f>IF(P370="","",P370*(1+Q370))</f>
        <v/>
      </c>
      <c r="S370" s="63">
        <f>IF(O370="","",IF(OR(H370="",H370=0),O370*P370,O370*H370*P370))</f>
        <v/>
      </c>
      <c r="T370" s="63">
        <f>IF(O370="","",IF(OR(H370="",H370=0),O370*R370,O370*H370*R370))</f>
        <v/>
      </c>
      <c r="U370" s="62">
        <f>IF(C370="","",INPUT_SYSTEM!C384)</f>
        <v/>
      </c>
      <c r="V370" s="2" t="n"/>
    </row>
    <row r="371" ht="15.75" customHeight="1" s="125">
      <c r="A371" s="62">
        <f>IF(INPUT_SYSTEM!D385="","",INPUT_SYSTEM!A385)</f>
        <v/>
      </c>
      <c r="B371" s="62">
        <f>IF(INPUT_SYSTEM!D385="","",INPUT_SYSTEM!B385)</f>
        <v/>
      </c>
      <c r="C371" s="62">
        <f>IF(INPUT_SYSTEM!D385="","",INPUT_SYSTEM!D385)</f>
        <v/>
      </c>
      <c r="D371" s="62">
        <f>IF(C371="","",INPUT_SYSTEM!E385)</f>
        <v/>
      </c>
      <c r="E371" s="62">
        <f>IF(C371="","",INPUT_SYSTEM!F385)</f>
        <v/>
      </c>
      <c r="F371" s="62">
        <f t="array" ref="F371">IFERROR(INDEX(PRODUCT!$D:$D,MATCH(C371,PRODUCT!$B:$B,0)),"")</f>
        <v/>
      </c>
      <c r="G371" s="62">
        <f t="array" ref="G371">IFERROR(INDEX(PRODUCT!$E:$E,MATCH(C371,PRODUCT!$B:$B,0)),"")</f>
        <v/>
      </c>
      <c r="H371" s="62">
        <f t="array" ref="H371">IFERROR(INDEX(PRODUCT!$F:$F,MATCH(C371,PRODUCT!$B:$B,0)),"")</f>
        <v/>
      </c>
      <c r="I371" s="62">
        <f>IF(C371="","",INPUT_SYSTEM!G385)</f>
        <v/>
      </c>
      <c r="J371" s="62">
        <f>IF(C371="","",INPUT_SYSTEM!H385)</f>
        <v/>
      </c>
      <c r="K371" s="60">
        <f>IF(C371="","",INPUT_SYSTEM!J385)</f>
        <v/>
      </c>
      <c r="L371" s="62">
        <f>IF(C371="","",INPUT_SYSTEM!K385)</f>
        <v/>
      </c>
      <c r="M371" s="62">
        <f>IF(C371="","",INPUT_SYSTEM!L385)</f>
        <v/>
      </c>
      <c r="N371" s="62">
        <f>IF(U371&lt;&gt;"SI","",IF(M371&lt;&gt;"",M371,IFERROR(I371*J371*(1+K371)*L371,"")))</f>
        <v/>
      </c>
      <c r="O371" s="62">
        <f>IF(N371="","",IF(OR(H371="",H371=0),N371,ROUNDUP(N371/H371,0)))</f>
        <v/>
      </c>
      <c r="P371" s="63">
        <f t="array" ref="P371">IFERROR(INDEX(PRODUCT!$I:$I,MATCH(C371,PRODUCT!$B:$B,0)),"")</f>
        <v/>
      </c>
      <c r="Q371" s="63">
        <f>IF(C371="","",INPUT_SYSTEM!M385)</f>
        <v/>
      </c>
      <c r="R371" s="63">
        <f>IF(P371="","",P371*(1+Q371))</f>
        <v/>
      </c>
      <c r="S371" s="63">
        <f>IF(O371="","",IF(OR(H371="",H371=0),O371*P371,O371*H371*P371))</f>
        <v/>
      </c>
      <c r="T371" s="63">
        <f>IF(O371="","",IF(OR(H371="",H371=0),O371*R371,O371*H371*R371))</f>
        <v/>
      </c>
      <c r="U371" s="62">
        <f>IF(C371="","",INPUT_SYSTEM!C385)</f>
        <v/>
      </c>
      <c r="V371" s="2" t="n"/>
    </row>
    <row r="372" ht="15.75" customHeight="1" s="125">
      <c r="A372" s="62">
        <f>IF(INPUT_SYSTEM!D386="","",INPUT_SYSTEM!A386)</f>
        <v/>
      </c>
      <c r="B372" s="62">
        <f>IF(INPUT_SYSTEM!D386="","",INPUT_SYSTEM!B386)</f>
        <v/>
      </c>
      <c r="C372" s="62">
        <f>IF(INPUT_SYSTEM!D386="","",INPUT_SYSTEM!D386)</f>
        <v/>
      </c>
      <c r="D372" s="62">
        <f>IF(C372="","",INPUT_SYSTEM!E386)</f>
        <v/>
      </c>
      <c r="E372" s="62">
        <f>IF(C372="","",INPUT_SYSTEM!F386)</f>
        <v/>
      </c>
      <c r="F372" s="62">
        <f t="array" ref="F372">IFERROR(INDEX(PRODUCT!$D:$D,MATCH(C372,PRODUCT!$B:$B,0)),"")</f>
        <v/>
      </c>
      <c r="G372" s="62">
        <f t="array" ref="G372">IFERROR(INDEX(PRODUCT!$E:$E,MATCH(C372,PRODUCT!$B:$B,0)),"")</f>
        <v/>
      </c>
      <c r="H372" s="62">
        <f t="array" ref="H372">IFERROR(INDEX(PRODUCT!$F:$F,MATCH(C372,PRODUCT!$B:$B,0)),"")</f>
        <v/>
      </c>
      <c r="I372" s="62">
        <f>IF(C372="","",INPUT_SYSTEM!G386)</f>
        <v/>
      </c>
      <c r="J372" s="62">
        <f>IF(C372="","",INPUT_SYSTEM!H386)</f>
        <v/>
      </c>
      <c r="K372" s="60">
        <f>IF(C372="","",INPUT_SYSTEM!J386)</f>
        <v/>
      </c>
      <c r="L372" s="62">
        <f>IF(C372="","",INPUT_SYSTEM!K386)</f>
        <v/>
      </c>
      <c r="M372" s="62">
        <f>IF(C372="","",INPUT_SYSTEM!L386)</f>
        <v/>
      </c>
      <c r="N372" s="62">
        <f>IF(U372&lt;&gt;"SI","",IF(M372&lt;&gt;"",M372,IFERROR(I372*J372*(1+K372)*L372,"")))</f>
        <v/>
      </c>
      <c r="O372" s="62">
        <f>IF(N372="","",IF(OR(H372="",H372=0),N372,ROUNDUP(N372/H372,0)))</f>
        <v/>
      </c>
      <c r="P372" s="63">
        <f t="array" ref="P372">IFERROR(INDEX(PRODUCT!$I:$I,MATCH(C372,PRODUCT!$B:$B,0)),"")</f>
        <v/>
      </c>
      <c r="Q372" s="63">
        <f>IF(C372="","",INPUT_SYSTEM!M386)</f>
        <v/>
      </c>
      <c r="R372" s="63">
        <f>IF(P372="","",P372*(1+Q372))</f>
        <v/>
      </c>
      <c r="S372" s="63">
        <f>IF(O372="","",IF(OR(H372="",H372=0),O372*P372,O372*H372*P372))</f>
        <v/>
      </c>
      <c r="T372" s="63">
        <f>IF(O372="","",IF(OR(H372="",H372=0),O372*R372,O372*H372*R372))</f>
        <v/>
      </c>
      <c r="U372" s="62">
        <f>IF(C372="","",INPUT_SYSTEM!C386)</f>
        <v/>
      </c>
      <c r="V372" s="2" t="n"/>
    </row>
    <row r="373" ht="15.75" customHeight="1" s="125">
      <c r="A373" s="62">
        <f>IF(INPUT_SYSTEM!D387="","",INPUT_SYSTEM!A387)</f>
        <v/>
      </c>
      <c r="B373" s="62">
        <f>IF(INPUT_SYSTEM!D387="","",INPUT_SYSTEM!B387)</f>
        <v/>
      </c>
      <c r="C373" s="62">
        <f>IF(INPUT_SYSTEM!D387="","",INPUT_SYSTEM!D387)</f>
        <v/>
      </c>
      <c r="D373" s="62">
        <f>IF(C373="","",INPUT_SYSTEM!E387)</f>
        <v/>
      </c>
      <c r="E373" s="62">
        <f>IF(C373="","",INPUT_SYSTEM!F387)</f>
        <v/>
      </c>
      <c r="F373" s="62">
        <f t="array" ref="F373">IFERROR(INDEX(PRODUCT!$D:$D,MATCH(C373,PRODUCT!$B:$B,0)),"")</f>
        <v/>
      </c>
      <c r="G373" s="62">
        <f t="array" ref="G373">IFERROR(INDEX(PRODUCT!$E:$E,MATCH(C373,PRODUCT!$B:$B,0)),"")</f>
        <v/>
      </c>
      <c r="H373" s="62">
        <f t="array" ref="H373">IFERROR(INDEX(PRODUCT!$F:$F,MATCH(C373,PRODUCT!$B:$B,0)),"")</f>
        <v/>
      </c>
      <c r="I373" s="62">
        <f>IF(C373="","",INPUT_SYSTEM!G387)</f>
        <v/>
      </c>
      <c r="J373" s="62">
        <f>IF(C373="","",INPUT_SYSTEM!H387)</f>
        <v/>
      </c>
      <c r="K373" s="60">
        <f>IF(C373="","",INPUT_SYSTEM!J387)</f>
        <v/>
      </c>
      <c r="L373" s="62">
        <f>IF(C373="","",INPUT_SYSTEM!K387)</f>
        <v/>
      </c>
      <c r="M373" s="62">
        <f>IF(C373="","",INPUT_SYSTEM!L387)</f>
        <v/>
      </c>
      <c r="N373" s="62">
        <f>IF(U373&lt;&gt;"SI","",IF(M373&lt;&gt;"",M373,IFERROR(I373*J373*(1+K373)*L373,"")))</f>
        <v/>
      </c>
      <c r="O373" s="62">
        <f>IF(N373="","",IF(OR(H373="",H373=0),N373,ROUNDUP(N373/H373,0)))</f>
        <v/>
      </c>
      <c r="P373" s="63">
        <f t="array" ref="P373">IFERROR(INDEX(PRODUCT!$I:$I,MATCH(C373,PRODUCT!$B:$B,0)),"")</f>
        <v/>
      </c>
      <c r="Q373" s="63">
        <f>IF(C373="","",INPUT_SYSTEM!M387)</f>
        <v/>
      </c>
      <c r="R373" s="63">
        <f>IF(P373="","",P373*(1+Q373))</f>
        <v/>
      </c>
      <c r="S373" s="63">
        <f>IF(O373="","",IF(OR(H373="",H373=0),O373*P373,O373*H373*P373))</f>
        <v/>
      </c>
      <c r="T373" s="63">
        <f>IF(O373="","",IF(OR(H373="",H373=0),O373*R373,O373*H373*R373))</f>
        <v/>
      </c>
      <c r="U373" s="62">
        <f>IF(C373="","",INPUT_SYSTEM!C387)</f>
        <v/>
      </c>
      <c r="V373" s="2" t="n"/>
    </row>
    <row r="374" ht="15.75" customHeight="1" s="125">
      <c r="A374" s="62">
        <f>IF(INPUT_SYSTEM!D388="","",INPUT_SYSTEM!A388)</f>
        <v/>
      </c>
      <c r="B374" s="62">
        <f>IF(INPUT_SYSTEM!D388="","",INPUT_SYSTEM!B388)</f>
        <v/>
      </c>
      <c r="C374" s="62">
        <f>IF(INPUT_SYSTEM!D388="","",INPUT_SYSTEM!D388)</f>
        <v/>
      </c>
      <c r="D374" s="62">
        <f>IF(C374="","",INPUT_SYSTEM!E388)</f>
        <v/>
      </c>
      <c r="E374" s="62">
        <f>IF(C374="","",INPUT_SYSTEM!F388)</f>
        <v/>
      </c>
      <c r="F374" s="62">
        <f t="array" ref="F374">IFERROR(INDEX(PRODUCT!$D:$D,MATCH(C374,PRODUCT!$B:$B,0)),"")</f>
        <v/>
      </c>
      <c r="G374" s="62">
        <f t="array" ref="G374">IFERROR(INDEX(PRODUCT!$E:$E,MATCH(C374,PRODUCT!$B:$B,0)),"")</f>
        <v/>
      </c>
      <c r="H374" s="62">
        <f t="array" ref="H374">IFERROR(INDEX(PRODUCT!$F:$F,MATCH(C374,PRODUCT!$B:$B,0)),"")</f>
        <v/>
      </c>
      <c r="I374" s="62">
        <f>IF(C374="","",INPUT_SYSTEM!G388)</f>
        <v/>
      </c>
      <c r="J374" s="62">
        <f>IF(C374="","",INPUT_SYSTEM!H388)</f>
        <v/>
      </c>
      <c r="K374" s="60">
        <f>IF(C374="","",INPUT_SYSTEM!J388)</f>
        <v/>
      </c>
      <c r="L374" s="62">
        <f>IF(C374="","",INPUT_SYSTEM!K388)</f>
        <v/>
      </c>
      <c r="M374" s="62">
        <f>IF(C374="","",INPUT_SYSTEM!L388)</f>
        <v/>
      </c>
      <c r="N374" s="62">
        <f>IF(U374&lt;&gt;"SI","",IF(M374&lt;&gt;"",M374,IFERROR(I374*J374*(1+K374)*L374,"")))</f>
        <v/>
      </c>
      <c r="O374" s="62">
        <f>IF(N374="","",IF(OR(H374="",H374=0),N374,ROUNDUP(N374/H374,0)))</f>
        <v/>
      </c>
      <c r="P374" s="63">
        <f t="array" ref="P374">IFERROR(INDEX(PRODUCT!$I:$I,MATCH(C374,PRODUCT!$B:$B,0)),"")</f>
        <v/>
      </c>
      <c r="Q374" s="63">
        <f>IF(C374="","",INPUT_SYSTEM!M388)</f>
        <v/>
      </c>
      <c r="R374" s="63">
        <f>IF(P374="","",P374*(1+Q374))</f>
        <v/>
      </c>
      <c r="S374" s="63">
        <f>IF(O374="","",IF(OR(H374="",H374=0),O374*P374,O374*H374*P374))</f>
        <v/>
      </c>
      <c r="T374" s="63">
        <f>IF(O374="","",IF(OR(H374="",H374=0),O374*R374,O374*H374*R374))</f>
        <v/>
      </c>
      <c r="U374" s="62">
        <f>IF(C374="","",INPUT_SYSTEM!C388)</f>
        <v/>
      </c>
      <c r="V374" s="2" t="n"/>
    </row>
    <row r="375" ht="15.75" customHeight="1" s="125">
      <c r="A375" s="62">
        <f>IF(INPUT_SYSTEM!D389="","",INPUT_SYSTEM!A389)</f>
        <v/>
      </c>
      <c r="B375" s="62">
        <f>IF(INPUT_SYSTEM!D389="","",INPUT_SYSTEM!B389)</f>
        <v/>
      </c>
      <c r="C375" s="62">
        <f>IF(INPUT_SYSTEM!D389="","",INPUT_SYSTEM!D389)</f>
        <v/>
      </c>
      <c r="D375" s="62">
        <f>IF(C375="","",INPUT_SYSTEM!E389)</f>
        <v/>
      </c>
      <c r="E375" s="62">
        <f>IF(C375="","",INPUT_SYSTEM!F389)</f>
        <v/>
      </c>
      <c r="F375" s="62">
        <f t="array" ref="F375">IFERROR(INDEX(PRODUCT!$D:$D,MATCH(C375,PRODUCT!$B:$B,0)),"")</f>
        <v/>
      </c>
      <c r="G375" s="62">
        <f t="array" ref="G375">IFERROR(INDEX(PRODUCT!$E:$E,MATCH(C375,PRODUCT!$B:$B,0)),"")</f>
        <v/>
      </c>
      <c r="H375" s="62">
        <f t="array" ref="H375">IFERROR(INDEX(PRODUCT!$F:$F,MATCH(C375,PRODUCT!$B:$B,0)),"")</f>
        <v/>
      </c>
      <c r="I375" s="62">
        <f>IF(C375="","",INPUT_SYSTEM!G389)</f>
        <v/>
      </c>
      <c r="J375" s="62">
        <f>IF(C375="","",INPUT_SYSTEM!H389)</f>
        <v/>
      </c>
      <c r="K375" s="60">
        <f>IF(C375="","",INPUT_SYSTEM!J389)</f>
        <v/>
      </c>
      <c r="L375" s="62">
        <f>IF(C375="","",INPUT_SYSTEM!K389)</f>
        <v/>
      </c>
      <c r="M375" s="62">
        <f>IF(C375="","",INPUT_SYSTEM!L389)</f>
        <v/>
      </c>
      <c r="N375" s="62">
        <f>IF(U375&lt;&gt;"SI","",IF(M375&lt;&gt;"",M375,IFERROR(I375*J375*(1+K375)*L375,"")))</f>
        <v/>
      </c>
      <c r="O375" s="62">
        <f>IF(N375="","",IF(OR(H375="",H375=0),N375,ROUNDUP(N375/H375,0)))</f>
        <v/>
      </c>
      <c r="P375" s="63">
        <f t="array" ref="P375">IFERROR(INDEX(PRODUCT!$I:$I,MATCH(C375,PRODUCT!$B:$B,0)),"")</f>
        <v/>
      </c>
      <c r="Q375" s="63">
        <f>IF(C375="","",INPUT_SYSTEM!M389)</f>
        <v/>
      </c>
      <c r="R375" s="63">
        <f>IF(P375="","",P375*(1+Q375))</f>
        <v/>
      </c>
      <c r="S375" s="63">
        <f>IF(O375="","",IF(OR(H375="",H375=0),O375*P375,O375*H375*P375))</f>
        <v/>
      </c>
      <c r="T375" s="63">
        <f>IF(O375="","",IF(OR(H375="",H375=0),O375*R375,O375*H375*R375))</f>
        <v/>
      </c>
      <c r="U375" s="62">
        <f>IF(C375="","",INPUT_SYSTEM!C389)</f>
        <v/>
      </c>
      <c r="V375" s="2" t="n"/>
    </row>
    <row r="376" ht="15.75" customHeight="1" s="125">
      <c r="A376" s="62">
        <f>IF(INPUT_SYSTEM!D390="","",INPUT_SYSTEM!A390)</f>
        <v/>
      </c>
      <c r="B376" s="62">
        <f>IF(INPUT_SYSTEM!D390="","",INPUT_SYSTEM!B390)</f>
        <v/>
      </c>
      <c r="C376" s="62">
        <f>IF(INPUT_SYSTEM!D390="","",INPUT_SYSTEM!D390)</f>
        <v/>
      </c>
      <c r="D376" s="62">
        <f>IF(C376="","",INPUT_SYSTEM!E390)</f>
        <v/>
      </c>
      <c r="E376" s="62">
        <f>IF(C376="","",INPUT_SYSTEM!F390)</f>
        <v/>
      </c>
      <c r="F376" s="62">
        <f t="array" ref="F376">IFERROR(INDEX(PRODUCT!$D:$D,MATCH(C376,PRODUCT!$B:$B,0)),"")</f>
        <v/>
      </c>
      <c r="G376" s="62">
        <f t="array" ref="G376">IFERROR(INDEX(PRODUCT!$E:$E,MATCH(C376,PRODUCT!$B:$B,0)),"")</f>
        <v/>
      </c>
      <c r="H376" s="62">
        <f t="array" ref="H376">IFERROR(INDEX(PRODUCT!$F:$F,MATCH(C376,PRODUCT!$B:$B,0)),"")</f>
        <v/>
      </c>
      <c r="I376" s="62">
        <f>IF(C376="","",INPUT_SYSTEM!G390)</f>
        <v/>
      </c>
      <c r="J376" s="62">
        <f>IF(C376="","",INPUT_SYSTEM!H390)</f>
        <v/>
      </c>
      <c r="K376" s="60">
        <f>IF(C376="","",INPUT_SYSTEM!J390)</f>
        <v/>
      </c>
      <c r="L376" s="62">
        <f>IF(C376="","",INPUT_SYSTEM!K390)</f>
        <v/>
      </c>
      <c r="M376" s="62">
        <f>IF(C376="","",INPUT_SYSTEM!L390)</f>
        <v/>
      </c>
      <c r="N376" s="62">
        <f>IF(U376&lt;&gt;"SI","",IF(M376&lt;&gt;"",M376,IFERROR(I376*J376*(1+K376)*L376,"")))</f>
        <v/>
      </c>
      <c r="O376" s="62">
        <f>IF(N376="","",IF(OR(H376="",H376=0),N376,ROUNDUP(N376/H376,0)))</f>
        <v/>
      </c>
      <c r="P376" s="63">
        <f t="array" ref="P376">IFERROR(INDEX(PRODUCT!$I:$I,MATCH(C376,PRODUCT!$B:$B,0)),"")</f>
        <v/>
      </c>
      <c r="Q376" s="63">
        <f>IF(C376="","",INPUT_SYSTEM!M390)</f>
        <v/>
      </c>
      <c r="R376" s="63">
        <f>IF(P376="","",P376*(1+Q376))</f>
        <v/>
      </c>
      <c r="S376" s="63">
        <f>IF(O376="","",IF(OR(H376="",H376=0),O376*P376,O376*H376*P376))</f>
        <v/>
      </c>
      <c r="T376" s="63">
        <f>IF(O376="","",IF(OR(H376="",H376=0),O376*R376,O376*H376*R376))</f>
        <v/>
      </c>
      <c r="U376" s="62">
        <f>IF(C376="","",INPUT_SYSTEM!C390)</f>
        <v/>
      </c>
      <c r="V376" s="2" t="n"/>
    </row>
    <row r="377" ht="15.75" customHeight="1" s="125">
      <c r="A377" s="62">
        <f>IF(INPUT_SYSTEM!D391="","",INPUT_SYSTEM!A391)</f>
        <v/>
      </c>
      <c r="B377" s="62">
        <f>IF(INPUT_SYSTEM!D391="","",INPUT_SYSTEM!B391)</f>
        <v/>
      </c>
      <c r="C377" s="62">
        <f>IF(INPUT_SYSTEM!D391="","",INPUT_SYSTEM!D391)</f>
        <v/>
      </c>
      <c r="D377" s="62">
        <f>IF(C377="","",INPUT_SYSTEM!E391)</f>
        <v/>
      </c>
      <c r="E377" s="62">
        <f>IF(C377="","",INPUT_SYSTEM!F391)</f>
        <v/>
      </c>
      <c r="F377" s="62">
        <f t="array" ref="F377">IFERROR(INDEX(PRODUCT!$D:$D,MATCH(C377,PRODUCT!$B:$B,0)),"")</f>
        <v/>
      </c>
      <c r="G377" s="62">
        <f t="array" ref="G377">IFERROR(INDEX(PRODUCT!$E:$E,MATCH(C377,PRODUCT!$B:$B,0)),"")</f>
        <v/>
      </c>
      <c r="H377" s="62">
        <f t="array" ref="H377">IFERROR(INDEX(PRODUCT!$F:$F,MATCH(C377,PRODUCT!$B:$B,0)),"")</f>
        <v/>
      </c>
      <c r="I377" s="62">
        <f>IF(C377="","",INPUT_SYSTEM!G391)</f>
        <v/>
      </c>
      <c r="J377" s="62">
        <f>IF(C377="","",INPUT_SYSTEM!H391)</f>
        <v/>
      </c>
      <c r="K377" s="60">
        <f>IF(C377="","",INPUT_SYSTEM!J391)</f>
        <v/>
      </c>
      <c r="L377" s="62">
        <f>IF(C377="","",INPUT_SYSTEM!K391)</f>
        <v/>
      </c>
      <c r="M377" s="62">
        <f>IF(C377="","",INPUT_SYSTEM!L391)</f>
        <v/>
      </c>
      <c r="N377" s="62">
        <f>IF(U377&lt;&gt;"SI","",IF(M377&lt;&gt;"",M377,IFERROR(I377*J377*(1+K377)*L377,"")))</f>
        <v/>
      </c>
      <c r="O377" s="62">
        <f>IF(N377="","",IF(OR(H377="",H377=0),N377,ROUNDUP(N377/H377,0)))</f>
        <v/>
      </c>
      <c r="P377" s="63">
        <f t="array" ref="P377">IFERROR(INDEX(PRODUCT!$I:$I,MATCH(C377,PRODUCT!$B:$B,0)),"")</f>
        <v/>
      </c>
      <c r="Q377" s="63">
        <f>IF(C377="","",INPUT_SYSTEM!M391)</f>
        <v/>
      </c>
      <c r="R377" s="63">
        <f>IF(P377="","",P377*(1+Q377))</f>
        <v/>
      </c>
      <c r="S377" s="63">
        <f>IF(O377="","",IF(OR(H377="",H377=0),O377*P377,O377*H377*P377))</f>
        <v/>
      </c>
      <c r="T377" s="63">
        <f>IF(O377="","",IF(OR(H377="",H377=0),O377*R377,O377*H377*R377))</f>
        <v/>
      </c>
      <c r="U377" s="62">
        <f>IF(C377="","",INPUT_SYSTEM!C391)</f>
        <v/>
      </c>
      <c r="V377" s="2" t="n"/>
    </row>
    <row r="378" ht="15.75" customHeight="1" s="125">
      <c r="A378" s="62">
        <f>IF(INPUT_SYSTEM!D392="","",INPUT_SYSTEM!A392)</f>
        <v/>
      </c>
      <c r="B378" s="62">
        <f>IF(INPUT_SYSTEM!D392="","",INPUT_SYSTEM!B392)</f>
        <v/>
      </c>
      <c r="C378" s="62">
        <f>IF(INPUT_SYSTEM!D392="","",INPUT_SYSTEM!D392)</f>
        <v/>
      </c>
      <c r="D378" s="62">
        <f>IF(C378="","",INPUT_SYSTEM!E392)</f>
        <v/>
      </c>
      <c r="E378" s="62">
        <f>IF(C378="","",INPUT_SYSTEM!F392)</f>
        <v/>
      </c>
      <c r="F378" s="62">
        <f t="array" ref="F378">IFERROR(INDEX(PRODUCT!$D:$D,MATCH(C378,PRODUCT!$B:$B,0)),"")</f>
        <v/>
      </c>
      <c r="G378" s="62">
        <f t="array" ref="G378">IFERROR(INDEX(PRODUCT!$E:$E,MATCH(C378,PRODUCT!$B:$B,0)),"")</f>
        <v/>
      </c>
      <c r="H378" s="62">
        <f t="array" ref="H378">IFERROR(INDEX(PRODUCT!$F:$F,MATCH(C378,PRODUCT!$B:$B,0)),"")</f>
        <v/>
      </c>
      <c r="I378" s="62">
        <f>IF(C378="","",INPUT_SYSTEM!G392)</f>
        <v/>
      </c>
      <c r="J378" s="62">
        <f>IF(C378="","",INPUT_SYSTEM!H392)</f>
        <v/>
      </c>
      <c r="K378" s="60">
        <f>IF(C378="","",INPUT_SYSTEM!J392)</f>
        <v/>
      </c>
      <c r="L378" s="62">
        <f>IF(C378="","",INPUT_SYSTEM!K392)</f>
        <v/>
      </c>
      <c r="M378" s="62">
        <f>IF(C378="","",INPUT_SYSTEM!L392)</f>
        <v/>
      </c>
      <c r="N378" s="62">
        <f>IF(U378&lt;&gt;"SI","",IF(M378&lt;&gt;"",M378,IFERROR(I378*J378*(1+K378)*L378,"")))</f>
        <v/>
      </c>
      <c r="O378" s="62">
        <f>IF(N378="","",IF(OR(H378="",H378=0),N378,ROUNDUP(N378/H378,0)))</f>
        <v/>
      </c>
      <c r="P378" s="63">
        <f t="array" ref="P378">IFERROR(INDEX(PRODUCT!$I:$I,MATCH(C378,PRODUCT!$B:$B,0)),"")</f>
        <v/>
      </c>
      <c r="Q378" s="63">
        <f>IF(C378="","",INPUT_SYSTEM!M392)</f>
        <v/>
      </c>
      <c r="R378" s="63">
        <f>IF(P378="","",P378*(1+Q378))</f>
        <v/>
      </c>
      <c r="S378" s="63">
        <f>IF(O378="","",IF(OR(H378="",H378=0),O378*P378,O378*H378*P378))</f>
        <v/>
      </c>
      <c r="T378" s="63">
        <f>IF(O378="","",IF(OR(H378="",H378=0),O378*R378,O378*H378*R378))</f>
        <v/>
      </c>
      <c r="U378" s="62">
        <f>IF(C378="","",INPUT_SYSTEM!C392)</f>
        <v/>
      </c>
      <c r="V378" s="2" t="n"/>
    </row>
    <row r="379" ht="15.75" customHeight="1" s="125">
      <c r="A379" s="62">
        <f>IF(INPUT_SYSTEM!D393="","",INPUT_SYSTEM!A393)</f>
        <v/>
      </c>
      <c r="B379" s="62">
        <f>IF(INPUT_SYSTEM!D393="","",INPUT_SYSTEM!B393)</f>
        <v/>
      </c>
      <c r="C379" s="62">
        <f>IF(INPUT_SYSTEM!D393="","",INPUT_SYSTEM!D393)</f>
        <v/>
      </c>
      <c r="D379" s="62">
        <f>IF(C379="","",INPUT_SYSTEM!E393)</f>
        <v/>
      </c>
      <c r="E379" s="62">
        <f>IF(C379="","",INPUT_SYSTEM!F393)</f>
        <v/>
      </c>
      <c r="F379" s="62">
        <f t="array" ref="F379">IFERROR(INDEX(PRODUCT!$D:$D,MATCH(C379,PRODUCT!$B:$B,0)),"")</f>
        <v/>
      </c>
      <c r="G379" s="62">
        <f t="array" ref="G379">IFERROR(INDEX(PRODUCT!$E:$E,MATCH(C379,PRODUCT!$B:$B,0)),"")</f>
        <v/>
      </c>
      <c r="H379" s="62">
        <f t="array" ref="H379">IFERROR(INDEX(PRODUCT!$F:$F,MATCH(C379,PRODUCT!$B:$B,0)),"")</f>
        <v/>
      </c>
      <c r="I379" s="62">
        <f>IF(C379="","",INPUT_SYSTEM!G393)</f>
        <v/>
      </c>
      <c r="J379" s="62">
        <f>IF(C379="","",INPUT_SYSTEM!H393)</f>
        <v/>
      </c>
      <c r="K379" s="60">
        <f>IF(C379="","",INPUT_SYSTEM!J393)</f>
        <v/>
      </c>
      <c r="L379" s="62">
        <f>IF(C379="","",INPUT_SYSTEM!K393)</f>
        <v/>
      </c>
      <c r="M379" s="62">
        <f>IF(C379="","",INPUT_SYSTEM!L393)</f>
        <v/>
      </c>
      <c r="N379" s="62">
        <f>IF(U379&lt;&gt;"SI","",IF(M379&lt;&gt;"",M379,IFERROR(I379*J379*(1+K379)*L379,"")))</f>
        <v/>
      </c>
      <c r="O379" s="62">
        <f>IF(N379="","",IF(OR(H379="",H379=0),N379,ROUNDUP(N379/H379,0)))</f>
        <v/>
      </c>
      <c r="P379" s="63">
        <f t="array" ref="P379">IFERROR(INDEX(PRODUCT!$I:$I,MATCH(C379,PRODUCT!$B:$B,0)),"")</f>
        <v/>
      </c>
      <c r="Q379" s="63">
        <f>IF(C379="","",INPUT_SYSTEM!M393)</f>
        <v/>
      </c>
      <c r="R379" s="63">
        <f>IF(P379="","",P379*(1+Q379))</f>
        <v/>
      </c>
      <c r="S379" s="63">
        <f>IF(O379="","",IF(OR(H379="",H379=0),O379*P379,O379*H379*P379))</f>
        <v/>
      </c>
      <c r="T379" s="63">
        <f>IF(O379="","",IF(OR(H379="",H379=0),O379*R379,O379*H379*R379))</f>
        <v/>
      </c>
      <c r="U379" s="62">
        <f>IF(C379="","",INPUT_SYSTEM!C393)</f>
        <v/>
      </c>
      <c r="V379" s="2" t="n"/>
    </row>
    <row r="380" ht="15.75" customHeight="1" s="125">
      <c r="A380" s="62">
        <f>IF(INPUT_SYSTEM!D394="","",INPUT_SYSTEM!A394)</f>
        <v/>
      </c>
      <c r="B380" s="62">
        <f>IF(INPUT_SYSTEM!D394="","",INPUT_SYSTEM!B394)</f>
        <v/>
      </c>
      <c r="C380" s="62">
        <f>IF(INPUT_SYSTEM!D394="","",INPUT_SYSTEM!D394)</f>
        <v/>
      </c>
      <c r="D380" s="62">
        <f>IF(C380="","",INPUT_SYSTEM!E394)</f>
        <v/>
      </c>
      <c r="E380" s="62">
        <f>IF(C380="","",INPUT_SYSTEM!F394)</f>
        <v/>
      </c>
      <c r="F380" s="62">
        <f t="array" ref="F380">IFERROR(INDEX(PRODUCT!$D:$D,MATCH(C380,PRODUCT!$B:$B,0)),"")</f>
        <v/>
      </c>
      <c r="G380" s="62">
        <f t="array" ref="G380">IFERROR(INDEX(PRODUCT!$E:$E,MATCH(C380,PRODUCT!$B:$B,0)),"")</f>
        <v/>
      </c>
      <c r="H380" s="62">
        <f t="array" ref="H380">IFERROR(INDEX(PRODUCT!$F:$F,MATCH(C380,PRODUCT!$B:$B,0)),"")</f>
        <v/>
      </c>
      <c r="I380" s="62">
        <f>IF(C380="","",INPUT_SYSTEM!G394)</f>
        <v/>
      </c>
      <c r="J380" s="62">
        <f>IF(C380="","",INPUT_SYSTEM!H394)</f>
        <v/>
      </c>
      <c r="K380" s="60">
        <f>IF(C380="","",INPUT_SYSTEM!J394)</f>
        <v/>
      </c>
      <c r="L380" s="62">
        <f>IF(C380="","",INPUT_SYSTEM!K394)</f>
        <v/>
      </c>
      <c r="M380" s="62">
        <f>IF(C380="","",INPUT_SYSTEM!L394)</f>
        <v/>
      </c>
      <c r="N380" s="62">
        <f>IF(U380&lt;&gt;"SI","",IF(M380&lt;&gt;"",M380,IFERROR(I380*J380*(1+K380)*L380,"")))</f>
        <v/>
      </c>
      <c r="O380" s="62">
        <f>IF(N380="","",IF(OR(H380="",H380=0),N380,ROUNDUP(N380/H380,0)))</f>
        <v/>
      </c>
      <c r="P380" s="63">
        <f t="array" ref="P380">IFERROR(INDEX(PRODUCT!$I:$I,MATCH(C380,PRODUCT!$B:$B,0)),"")</f>
        <v/>
      </c>
      <c r="Q380" s="63">
        <f>IF(C380="","",INPUT_SYSTEM!M394)</f>
        <v/>
      </c>
      <c r="R380" s="63">
        <f>IF(P380="","",P380*(1+Q380))</f>
        <v/>
      </c>
      <c r="S380" s="63">
        <f>IF(O380="","",IF(OR(H380="",H380=0),O380*P380,O380*H380*P380))</f>
        <v/>
      </c>
      <c r="T380" s="63">
        <f>IF(O380="","",IF(OR(H380="",H380=0),O380*R380,O380*H380*R380))</f>
        <v/>
      </c>
      <c r="U380" s="62">
        <f>IF(C380="","",INPUT_SYSTEM!C394)</f>
        <v/>
      </c>
      <c r="V380" s="2" t="n"/>
    </row>
    <row r="381" ht="15.75" customHeight="1" s="125">
      <c r="A381" s="62">
        <f>IF(INPUT_SYSTEM!D395="","",INPUT_SYSTEM!A395)</f>
        <v/>
      </c>
      <c r="B381" s="62">
        <f>IF(INPUT_SYSTEM!D395="","",INPUT_SYSTEM!B395)</f>
        <v/>
      </c>
      <c r="C381" s="62">
        <f>IF(INPUT_SYSTEM!D395="","",INPUT_SYSTEM!D395)</f>
        <v/>
      </c>
      <c r="D381" s="62">
        <f>IF(C381="","",INPUT_SYSTEM!E395)</f>
        <v/>
      </c>
      <c r="E381" s="62">
        <f>IF(C381="","",INPUT_SYSTEM!F395)</f>
        <v/>
      </c>
      <c r="F381" s="62">
        <f t="array" ref="F381">IFERROR(INDEX(PRODUCT!$D:$D,MATCH(C381,PRODUCT!$B:$B,0)),"")</f>
        <v/>
      </c>
      <c r="G381" s="62">
        <f t="array" ref="G381">IFERROR(INDEX(PRODUCT!$E:$E,MATCH(C381,PRODUCT!$B:$B,0)),"")</f>
        <v/>
      </c>
      <c r="H381" s="62">
        <f t="array" ref="H381">IFERROR(INDEX(PRODUCT!$F:$F,MATCH(C381,PRODUCT!$B:$B,0)),"")</f>
        <v/>
      </c>
      <c r="I381" s="62">
        <f>IF(C381="","",INPUT_SYSTEM!G395)</f>
        <v/>
      </c>
      <c r="J381" s="62">
        <f>IF(C381="","",INPUT_SYSTEM!H395)</f>
        <v/>
      </c>
      <c r="K381" s="60">
        <f>IF(C381="","",INPUT_SYSTEM!J395)</f>
        <v/>
      </c>
      <c r="L381" s="62">
        <f>IF(C381="","",INPUT_SYSTEM!K395)</f>
        <v/>
      </c>
      <c r="M381" s="62">
        <f>IF(C381="","",INPUT_SYSTEM!L395)</f>
        <v/>
      </c>
      <c r="N381" s="62">
        <f>IF(U381&lt;&gt;"SI","",IF(M381&lt;&gt;"",M381,IFERROR(I381*J381*(1+K381)*L381,"")))</f>
        <v/>
      </c>
      <c r="O381" s="62">
        <f>IF(N381="","",IF(OR(H381="",H381=0),N381,ROUNDUP(N381/H381,0)))</f>
        <v/>
      </c>
      <c r="P381" s="63">
        <f t="array" ref="P381">IFERROR(INDEX(PRODUCT!$I:$I,MATCH(C381,PRODUCT!$B:$B,0)),"")</f>
        <v/>
      </c>
      <c r="Q381" s="63">
        <f>IF(C381="","",INPUT_SYSTEM!M395)</f>
        <v/>
      </c>
      <c r="R381" s="63">
        <f>IF(P381="","",P381*(1+Q381))</f>
        <v/>
      </c>
      <c r="S381" s="63">
        <f>IF(O381="","",IF(OR(H381="",H381=0),O381*P381,O381*H381*P381))</f>
        <v/>
      </c>
      <c r="T381" s="63">
        <f>IF(O381="","",IF(OR(H381="",H381=0),O381*R381,O381*H381*R381))</f>
        <v/>
      </c>
      <c r="U381" s="62">
        <f>IF(C381="","",INPUT_SYSTEM!C395)</f>
        <v/>
      </c>
      <c r="V381" s="2" t="n"/>
    </row>
    <row r="382" ht="15.75" customHeight="1" s="125">
      <c r="A382" s="62">
        <f>IF(INPUT_SYSTEM!D396="","",INPUT_SYSTEM!A396)</f>
        <v/>
      </c>
      <c r="B382" s="62">
        <f>IF(INPUT_SYSTEM!D396="","",INPUT_SYSTEM!B396)</f>
        <v/>
      </c>
      <c r="C382" s="62">
        <f>IF(INPUT_SYSTEM!D396="","",INPUT_SYSTEM!D396)</f>
        <v/>
      </c>
      <c r="D382" s="62">
        <f>IF(C382="","",INPUT_SYSTEM!E396)</f>
        <v/>
      </c>
      <c r="E382" s="62">
        <f>IF(C382="","",INPUT_SYSTEM!F396)</f>
        <v/>
      </c>
      <c r="F382" s="62">
        <f t="array" ref="F382">IFERROR(INDEX(PRODUCT!$D:$D,MATCH(C382,PRODUCT!$B:$B,0)),"")</f>
        <v/>
      </c>
      <c r="G382" s="62">
        <f t="array" ref="G382">IFERROR(INDEX(PRODUCT!$E:$E,MATCH(C382,PRODUCT!$B:$B,0)),"")</f>
        <v/>
      </c>
      <c r="H382" s="62">
        <f t="array" ref="H382">IFERROR(INDEX(PRODUCT!$F:$F,MATCH(C382,PRODUCT!$B:$B,0)),"")</f>
        <v/>
      </c>
      <c r="I382" s="62">
        <f>IF(C382="","",INPUT_SYSTEM!G396)</f>
        <v/>
      </c>
      <c r="J382" s="62">
        <f>IF(C382="","",INPUT_SYSTEM!H396)</f>
        <v/>
      </c>
      <c r="K382" s="60">
        <f>IF(C382="","",INPUT_SYSTEM!J396)</f>
        <v/>
      </c>
      <c r="L382" s="62">
        <f>IF(C382="","",INPUT_SYSTEM!K396)</f>
        <v/>
      </c>
      <c r="M382" s="62">
        <f>IF(C382="","",INPUT_SYSTEM!L396)</f>
        <v/>
      </c>
      <c r="N382" s="62">
        <f>IF(U382&lt;&gt;"SI","",IF(M382&lt;&gt;"",M382,IFERROR(I382*J382*(1+K382)*L382,"")))</f>
        <v/>
      </c>
      <c r="O382" s="62">
        <f>IF(N382="","",IF(OR(H382="",H382=0),N382,ROUNDUP(N382/H382,0)))</f>
        <v/>
      </c>
      <c r="P382" s="63">
        <f t="array" ref="P382">IFERROR(INDEX(PRODUCT!$I:$I,MATCH(C382,PRODUCT!$B:$B,0)),"")</f>
        <v/>
      </c>
      <c r="Q382" s="63">
        <f>IF(C382="","",INPUT_SYSTEM!M396)</f>
        <v/>
      </c>
      <c r="R382" s="63">
        <f>IF(P382="","",P382*(1+Q382))</f>
        <v/>
      </c>
      <c r="S382" s="63">
        <f>IF(O382="","",IF(OR(H382="",H382=0),O382*P382,O382*H382*P382))</f>
        <v/>
      </c>
      <c r="T382" s="63">
        <f>IF(O382="","",IF(OR(H382="",H382=0),O382*R382,O382*H382*R382))</f>
        <v/>
      </c>
      <c r="U382" s="62">
        <f>IF(C382="","",INPUT_SYSTEM!C396)</f>
        <v/>
      </c>
      <c r="V382" s="2" t="n"/>
    </row>
    <row r="383" ht="15.75" customHeight="1" s="125">
      <c r="A383" s="62">
        <f>IF(INPUT_SYSTEM!D397="","",INPUT_SYSTEM!A397)</f>
        <v/>
      </c>
      <c r="B383" s="62">
        <f>IF(INPUT_SYSTEM!D397="","",INPUT_SYSTEM!B397)</f>
        <v/>
      </c>
      <c r="C383" s="62">
        <f>IF(INPUT_SYSTEM!D397="","",INPUT_SYSTEM!D397)</f>
        <v/>
      </c>
      <c r="D383" s="62">
        <f>IF(C383="","",INPUT_SYSTEM!E397)</f>
        <v/>
      </c>
      <c r="E383" s="62">
        <f>IF(C383="","",INPUT_SYSTEM!F397)</f>
        <v/>
      </c>
      <c r="F383" s="62">
        <f t="array" ref="F383">IFERROR(INDEX(PRODUCT!$D:$D,MATCH(C383,PRODUCT!$B:$B,0)),"")</f>
        <v/>
      </c>
      <c r="G383" s="62">
        <f t="array" ref="G383">IFERROR(INDEX(PRODUCT!$E:$E,MATCH(C383,PRODUCT!$B:$B,0)),"")</f>
        <v/>
      </c>
      <c r="H383" s="62">
        <f t="array" ref="H383">IFERROR(INDEX(PRODUCT!$F:$F,MATCH(C383,PRODUCT!$B:$B,0)),"")</f>
        <v/>
      </c>
      <c r="I383" s="62">
        <f>IF(C383="","",INPUT_SYSTEM!G397)</f>
        <v/>
      </c>
      <c r="J383" s="62">
        <f>IF(C383="","",INPUT_SYSTEM!H397)</f>
        <v/>
      </c>
      <c r="K383" s="60">
        <f>IF(C383="","",INPUT_SYSTEM!J397)</f>
        <v/>
      </c>
      <c r="L383" s="62">
        <f>IF(C383="","",INPUT_SYSTEM!K397)</f>
        <v/>
      </c>
      <c r="M383" s="62">
        <f>IF(C383="","",INPUT_SYSTEM!L397)</f>
        <v/>
      </c>
      <c r="N383" s="62">
        <f>IF(U383&lt;&gt;"SI","",IF(M383&lt;&gt;"",M383,IFERROR(I383*J383*(1+K383)*L383,"")))</f>
        <v/>
      </c>
      <c r="O383" s="62">
        <f>IF(N383="","",IF(OR(H383="",H383=0),N383,ROUNDUP(N383/H383,0)))</f>
        <v/>
      </c>
      <c r="P383" s="63">
        <f t="array" ref="P383">IFERROR(INDEX(PRODUCT!$I:$I,MATCH(C383,PRODUCT!$B:$B,0)),"")</f>
        <v/>
      </c>
      <c r="Q383" s="63">
        <f>IF(C383="","",INPUT_SYSTEM!M397)</f>
        <v/>
      </c>
      <c r="R383" s="63">
        <f>IF(P383="","",P383*(1+Q383))</f>
        <v/>
      </c>
      <c r="S383" s="63">
        <f>IF(O383="","",IF(OR(H383="",H383=0),O383*P383,O383*H383*P383))</f>
        <v/>
      </c>
      <c r="T383" s="63">
        <f>IF(O383="","",IF(OR(H383="",H383=0),O383*R383,O383*H383*R383))</f>
        <v/>
      </c>
      <c r="U383" s="62">
        <f>IF(C383="","",INPUT_SYSTEM!C397)</f>
        <v/>
      </c>
      <c r="V383" s="2" t="n"/>
    </row>
    <row r="384" ht="15.75" customHeight="1" s="125">
      <c r="A384" s="62">
        <f>IF(INPUT_SYSTEM!D398="","",INPUT_SYSTEM!A398)</f>
        <v/>
      </c>
      <c r="B384" s="62">
        <f>IF(INPUT_SYSTEM!D398="","",INPUT_SYSTEM!B398)</f>
        <v/>
      </c>
      <c r="C384" s="62">
        <f>IF(INPUT_SYSTEM!D398="","",INPUT_SYSTEM!D398)</f>
        <v/>
      </c>
      <c r="D384" s="62">
        <f>IF(C384="","",INPUT_SYSTEM!E398)</f>
        <v/>
      </c>
      <c r="E384" s="62">
        <f>IF(C384="","",INPUT_SYSTEM!F398)</f>
        <v/>
      </c>
      <c r="F384" s="62">
        <f t="array" ref="F384">IFERROR(INDEX(PRODUCT!$D:$D,MATCH(C384,PRODUCT!$B:$B,0)),"")</f>
        <v/>
      </c>
      <c r="G384" s="62">
        <f t="array" ref="G384">IFERROR(INDEX(PRODUCT!$E:$E,MATCH(C384,PRODUCT!$B:$B,0)),"")</f>
        <v/>
      </c>
      <c r="H384" s="62">
        <f t="array" ref="H384">IFERROR(INDEX(PRODUCT!$F:$F,MATCH(C384,PRODUCT!$B:$B,0)),"")</f>
        <v/>
      </c>
      <c r="I384" s="62">
        <f>IF(C384="","",INPUT_SYSTEM!G398)</f>
        <v/>
      </c>
      <c r="J384" s="62">
        <f>IF(C384="","",INPUT_SYSTEM!H398)</f>
        <v/>
      </c>
      <c r="K384" s="60">
        <f>IF(C384="","",INPUT_SYSTEM!J398)</f>
        <v/>
      </c>
      <c r="L384" s="62">
        <f>IF(C384="","",INPUT_SYSTEM!K398)</f>
        <v/>
      </c>
      <c r="M384" s="62">
        <f>IF(C384="","",INPUT_SYSTEM!L398)</f>
        <v/>
      </c>
      <c r="N384" s="62">
        <f>IF(U384&lt;&gt;"SI","",IF(M384&lt;&gt;"",M384,IFERROR(I384*J384*(1+K384)*L384,"")))</f>
        <v/>
      </c>
      <c r="O384" s="62">
        <f>IF(N384="","",IF(OR(H384="",H384=0),N384,ROUNDUP(N384/H384,0)))</f>
        <v/>
      </c>
      <c r="P384" s="63">
        <f t="array" ref="P384">IFERROR(INDEX(PRODUCT!$I:$I,MATCH(C384,PRODUCT!$B:$B,0)),"")</f>
        <v/>
      </c>
      <c r="Q384" s="63">
        <f>IF(C384="","",INPUT_SYSTEM!M398)</f>
        <v/>
      </c>
      <c r="R384" s="63">
        <f>IF(P384="","",P384*(1+Q384))</f>
        <v/>
      </c>
      <c r="S384" s="63">
        <f>IF(O384="","",IF(OR(H384="",H384=0),O384*P384,O384*H384*P384))</f>
        <v/>
      </c>
      <c r="T384" s="63">
        <f>IF(O384="","",IF(OR(H384="",H384=0),O384*R384,O384*H384*R384))</f>
        <v/>
      </c>
      <c r="U384" s="62">
        <f>IF(C384="","",INPUT_SYSTEM!C398)</f>
        <v/>
      </c>
      <c r="V384" s="2" t="n"/>
    </row>
    <row r="385" ht="15.75" customHeight="1" s="125">
      <c r="A385" s="62">
        <f>IF(INPUT_SYSTEM!D399="","",INPUT_SYSTEM!A399)</f>
        <v/>
      </c>
      <c r="B385" s="62">
        <f>IF(INPUT_SYSTEM!D399="","",INPUT_SYSTEM!B399)</f>
        <v/>
      </c>
      <c r="C385" s="62">
        <f>IF(INPUT_SYSTEM!D399="","",INPUT_SYSTEM!D399)</f>
        <v/>
      </c>
      <c r="D385" s="62">
        <f>IF(C385="","",INPUT_SYSTEM!E399)</f>
        <v/>
      </c>
      <c r="E385" s="62">
        <f>IF(C385="","",INPUT_SYSTEM!F399)</f>
        <v/>
      </c>
      <c r="F385" s="62">
        <f t="array" ref="F385">IFERROR(INDEX(PRODUCT!$D:$D,MATCH(C385,PRODUCT!$B:$B,0)),"")</f>
        <v/>
      </c>
      <c r="G385" s="62">
        <f t="array" ref="G385">IFERROR(INDEX(PRODUCT!$E:$E,MATCH(C385,PRODUCT!$B:$B,0)),"")</f>
        <v/>
      </c>
      <c r="H385" s="62">
        <f t="array" ref="H385">IFERROR(INDEX(PRODUCT!$F:$F,MATCH(C385,PRODUCT!$B:$B,0)),"")</f>
        <v/>
      </c>
      <c r="I385" s="62">
        <f>IF(C385="","",INPUT_SYSTEM!G399)</f>
        <v/>
      </c>
      <c r="J385" s="62">
        <f>IF(C385="","",INPUT_SYSTEM!H399)</f>
        <v/>
      </c>
      <c r="K385" s="60">
        <f>IF(C385="","",INPUT_SYSTEM!J399)</f>
        <v/>
      </c>
      <c r="L385" s="62">
        <f>IF(C385="","",INPUT_SYSTEM!K399)</f>
        <v/>
      </c>
      <c r="M385" s="62">
        <f>IF(C385="","",INPUT_SYSTEM!L399)</f>
        <v/>
      </c>
      <c r="N385" s="62">
        <f>IF(U385&lt;&gt;"SI","",IF(M385&lt;&gt;"",M385,IFERROR(I385*J385*(1+K385)*L385,"")))</f>
        <v/>
      </c>
      <c r="O385" s="62">
        <f>IF(N385="","",IF(OR(H385="",H385=0),N385,ROUNDUP(N385/H385,0)))</f>
        <v/>
      </c>
      <c r="P385" s="63">
        <f t="array" ref="P385">IFERROR(INDEX(PRODUCT!$I:$I,MATCH(C385,PRODUCT!$B:$B,0)),"")</f>
        <v/>
      </c>
      <c r="Q385" s="63">
        <f>IF(C385="","",INPUT_SYSTEM!M399)</f>
        <v/>
      </c>
      <c r="R385" s="63">
        <f>IF(P385="","",P385*(1+Q385))</f>
        <v/>
      </c>
      <c r="S385" s="63">
        <f>IF(O385="","",IF(OR(H385="",H385=0),O385*P385,O385*H385*P385))</f>
        <v/>
      </c>
      <c r="T385" s="63">
        <f>IF(O385="","",IF(OR(H385="",H385=0),O385*R385,O385*H385*R385))</f>
        <v/>
      </c>
      <c r="U385" s="62">
        <f>IF(C385="","",INPUT_SYSTEM!C399)</f>
        <v/>
      </c>
      <c r="V385" s="2" t="n"/>
    </row>
    <row r="386" ht="15.75" customHeight="1" s="125">
      <c r="A386" s="62">
        <f>IF(INPUT_SYSTEM!D400="","",INPUT_SYSTEM!A400)</f>
        <v/>
      </c>
      <c r="B386" s="62">
        <f>IF(INPUT_SYSTEM!D400="","",INPUT_SYSTEM!B400)</f>
        <v/>
      </c>
      <c r="C386" s="62">
        <f>IF(INPUT_SYSTEM!D400="","",INPUT_SYSTEM!D400)</f>
        <v/>
      </c>
      <c r="D386" s="62">
        <f>IF(C386="","",INPUT_SYSTEM!E400)</f>
        <v/>
      </c>
      <c r="E386" s="62">
        <f>IF(C386="","",INPUT_SYSTEM!F400)</f>
        <v/>
      </c>
      <c r="F386" s="62">
        <f t="array" ref="F386">IFERROR(INDEX(PRODUCT!$D:$D,MATCH(C386,PRODUCT!$B:$B,0)),"")</f>
        <v/>
      </c>
      <c r="G386" s="62">
        <f t="array" ref="G386">IFERROR(INDEX(PRODUCT!$E:$E,MATCH(C386,PRODUCT!$B:$B,0)),"")</f>
        <v/>
      </c>
      <c r="H386" s="62">
        <f t="array" ref="H386">IFERROR(INDEX(PRODUCT!$F:$F,MATCH(C386,PRODUCT!$B:$B,0)),"")</f>
        <v/>
      </c>
      <c r="I386" s="62">
        <f>IF(C386="","",INPUT_SYSTEM!G400)</f>
        <v/>
      </c>
      <c r="J386" s="62">
        <f>IF(C386="","",INPUT_SYSTEM!H400)</f>
        <v/>
      </c>
      <c r="K386" s="60">
        <f>IF(C386="","",INPUT_SYSTEM!J400)</f>
        <v/>
      </c>
      <c r="L386" s="62">
        <f>IF(C386="","",INPUT_SYSTEM!K400)</f>
        <v/>
      </c>
      <c r="M386" s="62">
        <f>IF(C386="","",INPUT_SYSTEM!L400)</f>
        <v/>
      </c>
      <c r="N386" s="62">
        <f>IF(U386&lt;&gt;"SI","",IF(M386&lt;&gt;"",M386,IFERROR(I386*J386*(1+K386)*L386,"")))</f>
        <v/>
      </c>
      <c r="O386" s="62">
        <f>IF(N386="","",IF(OR(H386="",H386=0),N386,ROUNDUP(N386/H386,0)))</f>
        <v/>
      </c>
      <c r="P386" s="63">
        <f t="array" ref="P386">IFERROR(INDEX(PRODUCT!$I:$I,MATCH(C386,PRODUCT!$B:$B,0)),"")</f>
        <v/>
      </c>
      <c r="Q386" s="63">
        <f>IF(C386="","",INPUT_SYSTEM!M400)</f>
        <v/>
      </c>
      <c r="R386" s="63">
        <f>IF(P386="","",P386*(1+Q386))</f>
        <v/>
      </c>
      <c r="S386" s="63">
        <f>IF(O386="","",IF(OR(H386="",H386=0),O386*P386,O386*H386*P386))</f>
        <v/>
      </c>
      <c r="T386" s="63">
        <f>IF(O386="","",IF(OR(H386="",H386=0),O386*R386,O386*H386*R386))</f>
        <v/>
      </c>
      <c r="U386" s="62">
        <f>IF(C386="","",INPUT_SYSTEM!C400)</f>
        <v/>
      </c>
      <c r="V386" s="2" t="n"/>
    </row>
    <row r="387" ht="15.75" customHeight="1" s="125">
      <c r="A387" s="62">
        <f>IF(INPUT_SYSTEM!D401="","",INPUT_SYSTEM!A401)</f>
        <v/>
      </c>
      <c r="B387" s="62">
        <f>IF(INPUT_SYSTEM!D401="","",INPUT_SYSTEM!B401)</f>
        <v/>
      </c>
      <c r="C387" s="62">
        <f>IF(INPUT_SYSTEM!D401="","",INPUT_SYSTEM!D401)</f>
        <v/>
      </c>
      <c r="D387" s="62">
        <f>IF(C387="","",INPUT_SYSTEM!E401)</f>
        <v/>
      </c>
      <c r="E387" s="62">
        <f>IF(C387="","",INPUT_SYSTEM!F401)</f>
        <v/>
      </c>
      <c r="F387" s="62">
        <f t="array" ref="F387">IFERROR(INDEX(PRODUCT!$D:$D,MATCH(C387,PRODUCT!$B:$B,0)),"")</f>
        <v/>
      </c>
      <c r="G387" s="62">
        <f t="array" ref="G387">IFERROR(INDEX(PRODUCT!$E:$E,MATCH(C387,PRODUCT!$B:$B,0)),"")</f>
        <v/>
      </c>
      <c r="H387" s="62">
        <f t="array" ref="H387">IFERROR(INDEX(PRODUCT!$F:$F,MATCH(C387,PRODUCT!$B:$B,0)),"")</f>
        <v/>
      </c>
      <c r="I387" s="62">
        <f>IF(C387="","",INPUT_SYSTEM!G401)</f>
        <v/>
      </c>
      <c r="J387" s="62">
        <f>IF(C387="","",INPUT_SYSTEM!H401)</f>
        <v/>
      </c>
      <c r="K387" s="60">
        <f>IF(C387="","",INPUT_SYSTEM!J401)</f>
        <v/>
      </c>
      <c r="L387" s="62">
        <f>IF(C387="","",INPUT_SYSTEM!K401)</f>
        <v/>
      </c>
      <c r="M387" s="62">
        <f>IF(C387="","",INPUT_SYSTEM!L401)</f>
        <v/>
      </c>
      <c r="N387" s="62">
        <f>IF(U387&lt;&gt;"SI","",IF(M387&lt;&gt;"",M387,IFERROR(I387*J387*(1+K387)*L387,"")))</f>
        <v/>
      </c>
      <c r="O387" s="62">
        <f>IF(N387="","",IF(OR(H387="",H387=0),N387,ROUNDUP(N387/H387,0)))</f>
        <v/>
      </c>
      <c r="P387" s="63">
        <f t="array" ref="P387">IFERROR(INDEX(PRODUCT!$I:$I,MATCH(C387,PRODUCT!$B:$B,0)),"")</f>
        <v/>
      </c>
      <c r="Q387" s="63">
        <f>IF(C387="","",INPUT_SYSTEM!M401)</f>
        <v/>
      </c>
      <c r="R387" s="63">
        <f>IF(P387="","",P387*(1+Q387))</f>
        <v/>
      </c>
      <c r="S387" s="63">
        <f>IF(O387="","",IF(OR(H387="",H387=0),O387*P387,O387*H387*P387))</f>
        <v/>
      </c>
      <c r="T387" s="63">
        <f>IF(O387="","",IF(OR(H387="",H387=0),O387*R387,O387*H387*R387))</f>
        <v/>
      </c>
      <c r="U387" s="62">
        <f>IF(C387="","",INPUT_SYSTEM!C401)</f>
        <v/>
      </c>
      <c r="V387" s="2" t="n"/>
    </row>
    <row r="388" ht="15.75" customHeight="1" s="125">
      <c r="A388" s="62">
        <f>IF(INPUT_SYSTEM!D402="","",INPUT_SYSTEM!A402)</f>
        <v/>
      </c>
      <c r="B388" s="62">
        <f>IF(INPUT_SYSTEM!D402="","",INPUT_SYSTEM!B402)</f>
        <v/>
      </c>
      <c r="C388" s="62">
        <f>IF(INPUT_SYSTEM!D402="","",INPUT_SYSTEM!D402)</f>
        <v/>
      </c>
      <c r="D388" s="62">
        <f>IF(C388="","",INPUT_SYSTEM!E402)</f>
        <v/>
      </c>
      <c r="E388" s="62">
        <f>IF(C388="","",INPUT_SYSTEM!F402)</f>
        <v/>
      </c>
      <c r="F388" s="62">
        <f t="array" ref="F388">IFERROR(INDEX(PRODUCT!$D:$D,MATCH(C388,PRODUCT!$B:$B,0)),"")</f>
        <v/>
      </c>
      <c r="G388" s="62">
        <f t="array" ref="G388">IFERROR(INDEX(PRODUCT!$E:$E,MATCH(C388,PRODUCT!$B:$B,0)),"")</f>
        <v/>
      </c>
      <c r="H388" s="62">
        <f t="array" ref="H388">IFERROR(INDEX(PRODUCT!$F:$F,MATCH(C388,PRODUCT!$B:$B,0)),"")</f>
        <v/>
      </c>
      <c r="I388" s="62">
        <f>IF(C388="","",INPUT_SYSTEM!G402)</f>
        <v/>
      </c>
      <c r="J388" s="62">
        <f>IF(C388="","",INPUT_SYSTEM!H402)</f>
        <v/>
      </c>
      <c r="K388" s="60">
        <f>IF(C388="","",INPUT_SYSTEM!J402)</f>
        <v/>
      </c>
      <c r="L388" s="62">
        <f>IF(C388="","",INPUT_SYSTEM!K402)</f>
        <v/>
      </c>
      <c r="M388" s="62">
        <f>IF(C388="","",INPUT_SYSTEM!L402)</f>
        <v/>
      </c>
      <c r="N388" s="62">
        <f>IF(U388&lt;&gt;"SI","",IF(M388&lt;&gt;"",M388,IFERROR(I388*J388*(1+K388)*L388,"")))</f>
        <v/>
      </c>
      <c r="O388" s="62">
        <f>IF(N388="","",IF(OR(H388="",H388=0),N388,ROUNDUP(N388/H388,0)))</f>
        <v/>
      </c>
      <c r="P388" s="63">
        <f t="array" ref="P388">IFERROR(INDEX(PRODUCT!$I:$I,MATCH(C388,PRODUCT!$B:$B,0)),"")</f>
        <v/>
      </c>
      <c r="Q388" s="63">
        <f>IF(C388="","",INPUT_SYSTEM!M402)</f>
        <v/>
      </c>
      <c r="R388" s="63">
        <f>IF(P388="","",P388*(1+Q388))</f>
        <v/>
      </c>
      <c r="S388" s="63">
        <f>IF(O388="","",IF(OR(H388="",H388=0),O388*P388,O388*H388*P388))</f>
        <v/>
      </c>
      <c r="T388" s="63">
        <f>IF(O388="","",IF(OR(H388="",H388=0),O388*R388,O388*H388*R388))</f>
        <v/>
      </c>
      <c r="U388" s="62">
        <f>IF(C388="","",INPUT_SYSTEM!C402)</f>
        <v/>
      </c>
      <c r="V388" s="2" t="n"/>
    </row>
    <row r="389" ht="15.75" customHeight="1" s="125">
      <c r="A389" s="62">
        <f>IF(INPUT_SYSTEM!D403="","",INPUT_SYSTEM!A403)</f>
        <v/>
      </c>
      <c r="B389" s="62">
        <f>IF(INPUT_SYSTEM!D403="","",INPUT_SYSTEM!B403)</f>
        <v/>
      </c>
      <c r="C389" s="62">
        <f>IF(INPUT_SYSTEM!D403="","",INPUT_SYSTEM!D403)</f>
        <v/>
      </c>
      <c r="D389" s="62">
        <f>IF(C389="","",INPUT_SYSTEM!E403)</f>
        <v/>
      </c>
      <c r="E389" s="62">
        <f>IF(C389="","",INPUT_SYSTEM!F403)</f>
        <v/>
      </c>
      <c r="F389" s="62">
        <f t="array" ref="F389">IFERROR(INDEX(PRODUCT!$D:$D,MATCH(C389,PRODUCT!$B:$B,0)),"")</f>
        <v/>
      </c>
      <c r="G389" s="62">
        <f t="array" ref="G389">IFERROR(INDEX(PRODUCT!$E:$E,MATCH(C389,PRODUCT!$B:$B,0)),"")</f>
        <v/>
      </c>
      <c r="H389" s="62">
        <f t="array" ref="H389">IFERROR(INDEX(PRODUCT!$F:$F,MATCH(C389,PRODUCT!$B:$B,0)),"")</f>
        <v/>
      </c>
      <c r="I389" s="62">
        <f>IF(C389="","",INPUT_SYSTEM!G403)</f>
        <v/>
      </c>
      <c r="J389" s="62">
        <f>IF(C389="","",INPUT_SYSTEM!H403)</f>
        <v/>
      </c>
      <c r="K389" s="60">
        <f>IF(C389="","",INPUT_SYSTEM!J403)</f>
        <v/>
      </c>
      <c r="L389" s="62">
        <f>IF(C389="","",INPUT_SYSTEM!K403)</f>
        <v/>
      </c>
      <c r="M389" s="62">
        <f>IF(C389="","",INPUT_SYSTEM!L403)</f>
        <v/>
      </c>
      <c r="N389" s="62">
        <f>IF(U389&lt;&gt;"SI","",IF(M389&lt;&gt;"",M389,IFERROR(I389*J389*(1+K389)*L389,"")))</f>
        <v/>
      </c>
      <c r="O389" s="62">
        <f>IF(N389="","",IF(OR(H389="",H389=0),N389,ROUNDUP(N389/H389,0)))</f>
        <v/>
      </c>
      <c r="P389" s="63">
        <f t="array" ref="P389">IFERROR(INDEX(PRODUCT!$I:$I,MATCH(C389,PRODUCT!$B:$B,0)),"")</f>
        <v/>
      </c>
      <c r="Q389" s="63">
        <f>IF(C389="","",INPUT_SYSTEM!M403)</f>
        <v/>
      </c>
      <c r="R389" s="63">
        <f>IF(P389="","",P389*(1+Q389))</f>
        <v/>
      </c>
      <c r="S389" s="63">
        <f>IF(O389="","",IF(OR(H389="",H389=0),O389*P389,O389*H389*P389))</f>
        <v/>
      </c>
      <c r="T389" s="63">
        <f>IF(O389="","",IF(OR(H389="",H389=0),O389*R389,O389*H389*R389))</f>
        <v/>
      </c>
      <c r="U389" s="62">
        <f>IF(C389="","",INPUT_SYSTEM!C403)</f>
        <v/>
      </c>
      <c r="V389" s="2" t="n"/>
    </row>
    <row r="390" ht="15.75" customHeight="1" s="125">
      <c r="A390" s="62">
        <f>IF(INPUT_SYSTEM!D404="","",INPUT_SYSTEM!A404)</f>
        <v/>
      </c>
      <c r="B390" s="62">
        <f>IF(INPUT_SYSTEM!D404="","",INPUT_SYSTEM!B404)</f>
        <v/>
      </c>
      <c r="C390" s="62">
        <f>IF(INPUT_SYSTEM!D404="","",INPUT_SYSTEM!D404)</f>
        <v/>
      </c>
      <c r="D390" s="62">
        <f>IF(C390="","",INPUT_SYSTEM!E404)</f>
        <v/>
      </c>
      <c r="E390" s="62">
        <f>IF(C390="","",INPUT_SYSTEM!F404)</f>
        <v/>
      </c>
      <c r="F390" s="62">
        <f t="array" ref="F390">IFERROR(INDEX(PRODUCT!$D:$D,MATCH(C390,PRODUCT!$B:$B,0)),"")</f>
        <v/>
      </c>
      <c r="G390" s="62">
        <f t="array" ref="G390">IFERROR(INDEX(PRODUCT!$E:$E,MATCH(C390,PRODUCT!$B:$B,0)),"")</f>
        <v/>
      </c>
      <c r="H390" s="62">
        <f t="array" ref="H390">IFERROR(INDEX(PRODUCT!$F:$F,MATCH(C390,PRODUCT!$B:$B,0)),"")</f>
        <v/>
      </c>
      <c r="I390" s="62">
        <f>IF(C390="","",INPUT_SYSTEM!G404)</f>
        <v/>
      </c>
      <c r="J390" s="62">
        <f>IF(C390="","",INPUT_SYSTEM!H404)</f>
        <v/>
      </c>
      <c r="K390" s="60">
        <f>IF(C390="","",INPUT_SYSTEM!J404)</f>
        <v/>
      </c>
      <c r="L390" s="62">
        <f>IF(C390="","",INPUT_SYSTEM!K404)</f>
        <v/>
      </c>
      <c r="M390" s="62">
        <f>IF(C390="","",INPUT_SYSTEM!L404)</f>
        <v/>
      </c>
      <c r="N390" s="62">
        <f>IF(U390&lt;&gt;"SI","",IF(M390&lt;&gt;"",M390,IFERROR(I390*J390*(1+K390)*L390,"")))</f>
        <v/>
      </c>
      <c r="O390" s="62">
        <f>IF(N390="","",IF(OR(H390="",H390=0),N390,ROUNDUP(N390/H390,0)))</f>
        <v/>
      </c>
      <c r="P390" s="63">
        <f t="array" ref="P390">IFERROR(INDEX(PRODUCT!$I:$I,MATCH(C390,PRODUCT!$B:$B,0)),"")</f>
        <v/>
      </c>
      <c r="Q390" s="63">
        <f>IF(C390="","",INPUT_SYSTEM!M404)</f>
        <v/>
      </c>
      <c r="R390" s="63">
        <f>IF(P390="","",P390*(1+Q390))</f>
        <v/>
      </c>
      <c r="S390" s="63">
        <f>IF(O390="","",IF(OR(H390="",H390=0),O390*P390,O390*H390*P390))</f>
        <v/>
      </c>
      <c r="T390" s="63">
        <f>IF(O390="","",IF(OR(H390="",H390=0),O390*R390,O390*H390*R390))</f>
        <v/>
      </c>
      <c r="U390" s="62">
        <f>IF(C390="","",INPUT_SYSTEM!C404)</f>
        <v/>
      </c>
      <c r="V390" s="2" t="n"/>
    </row>
    <row r="391" ht="15.75" customHeight="1" s="125">
      <c r="A391" s="62">
        <f>IF(INPUT_SYSTEM!D405="","",INPUT_SYSTEM!A405)</f>
        <v/>
      </c>
      <c r="B391" s="62">
        <f>IF(INPUT_SYSTEM!D405="","",INPUT_SYSTEM!B405)</f>
        <v/>
      </c>
      <c r="C391" s="62">
        <f>IF(INPUT_SYSTEM!D405="","",INPUT_SYSTEM!D405)</f>
        <v/>
      </c>
      <c r="D391" s="62">
        <f>IF(C391="","",INPUT_SYSTEM!E405)</f>
        <v/>
      </c>
      <c r="E391" s="62">
        <f>IF(C391="","",INPUT_SYSTEM!F405)</f>
        <v/>
      </c>
      <c r="F391" s="62">
        <f t="array" ref="F391">IFERROR(INDEX(PRODUCT!$D:$D,MATCH(C391,PRODUCT!$B:$B,0)),"")</f>
        <v/>
      </c>
      <c r="G391" s="62">
        <f t="array" ref="G391">IFERROR(INDEX(PRODUCT!$E:$E,MATCH(C391,PRODUCT!$B:$B,0)),"")</f>
        <v/>
      </c>
      <c r="H391" s="62">
        <f t="array" ref="H391">IFERROR(INDEX(PRODUCT!$F:$F,MATCH(C391,PRODUCT!$B:$B,0)),"")</f>
        <v/>
      </c>
      <c r="I391" s="62">
        <f>IF(C391="","",INPUT_SYSTEM!G405)</f>
        <v/>
      </c>
      <c r="J391" s="62">
        <f>IF(C391="","",INPUT_SYSTEM!H405)</f>
        <v/>
      </c>
      <c r="K391" s="60">
        <f>IF(C391="","",INPUT_SYSTEM!J405)</f>
        <v/>
      </c>
      <c r="L391" s="62">
        <f>IF(C391="","",INPUT_SYSTEM!K405)</f>
        <v/>
      </c>
      <c r="M391" s="62">
        <f>IF(C391="","",INPUT_SYSTEM!L405)</f>
        <v/>
      </c>
      <c r="N391" s="62">
        <f>IF(U391&lt;&gt;"SI","",IF(M391&lt;&gt;"",M391,IFERROR(I391*J391*(1+K391)*L391,"")))</f>
        <v/>
      </c>
      <c r="O391" s="62">
        <f>IF(N391="","",IF(OR(H391="",H391=0),N391,ROUNDUP(N391/H391,0)))</f>
        <v/>
      </c>
      <c r="P391" s="63">
        <f t="array" ref="P391">IFERROR(INDEX(PRODUCT!$I:$I,MATCH(C391,PRODUCT!$B:$B,0)),"")</f>
        <v/>
      </c>
      <c r="Q391" s="63">
        <f>IF(C391="","",INPUT_SYSTEM!M405)</f>
        <v/>
      </c>
      <c r="R391" s="63">
        <f>IF(P391="","",P391*(1+Q391))</f>
        <v/>
      </c>
      <c r="S391" s="63">
        <f>IF(O391="","",IF(OR(H391="",H391=0),O391*P391,O391*H391*P391))</f>
        <v/>
      </c>
      <c r="T391" s="63">
        <f>IF(O391="","",IF(OR(H391="",H391=0),O391*R391,O391*H391*R391))</f>
        <v/>
      </c>
      <c r="U391" s="62">
        <f>IF(C391="","",INPUT_SYSTEM!C405)</f>
        <v/>
      </c>
      <c r="V391" s="2" t="n"/>
    </row>
    <row r="392" ht="15.75" customHeight="1" s="125">
      <c r="A392" s="62">
        <f>IF(INPUT_SYSTEM!D406="","",INPUT_SYSTEM!A406)</f>
        <v/>
      </c>
      <c r="B392" s="62">
        <f>IF(INPUT_SYSTEM!D406="","",INPUT_SYSTEM!B406)</f>
        <v/>
      </c>
      <c r="C392" s="62">
        <f>IF(INPUT_SYSTEM!D406="","",INPUT_SYSTEM!D406)</f>
        <v/>
      </c>
      <c r="D392" s="62">
        <f>IF(C392="","",INPUT_SYSTEM!E406)</f>
        <v/>
      </c>
      <c r="E392" s="62">
        <f>IF(C392="","",INPUT_SYSTEM!F406)</f>
        <v/>
      </c>
      <c r="F392" s="62">
        <f t="array" ref="F392">IFERROR(INDEX(PRODUCT!$D:$D,MATCH(C392,PRODUCT!$B:$B,0)),"")</f>
        <v/>
      </c>
      <c r="G392" s="62">
        <f t="array" ref="G392">IFERROR(INDEX(PRODUCT!$E:$E,MATCH(C392,PRODUCT!$B:$B,0)),"")</f>
        <v/>
      </c>
      <c r="H392" s="62">
        <f t="array" ref="H392">IFERROR(INDEX(PRODUCT!$F:$F,MATCH(C392,PRODUCT!$B:$B,0)),"")</f>
        <v/>
      </c>
      <c r="I392" s="62">
        <f>IF(C392="","",INPUT_SYSTEM!G406)</f>
        <v/>
      </c>
      <c r="J392" s="62">
        <f>IF(C392="","",INPUT_SYSTEM!H406)</f>
        <v/>
      </c>
      <c r="K392" s="60">
        <f>IF(C392="","",INPUT_SYSTEM!J406)</f>
        <v/>
      </c>
      <c r="L392" s="62">
        <f>IF(C392="","",INPUT_SYSTEM!K406)</f>
        <v/>
      </c>
      <c r="M392" s="62">
        <f>IF(C392="","",INPUT_SYSTEM!L406)</f>
        <v/>
      </c>
      <c r="N392" s="62">
        <f>IF(U392&lt;&gt;"SI","",IF(M392&lt;&gt;"",M392,IFERROR(I392*J392*(1+K392)*L392,"")))</f>
        <v/>
      </c>
      <c r="O392" s="62">
        <f>IF(N392="","",IF(OR(H392="",H392=0),N392,ROUNDUP(N392/H392,0)))</f>
        <v/>
      </c>
      <c r="P392" s="63">
        <f t="array" ref="P392">IFERROR(INDEX(PRODUCT!$I:$I,MATCH(C392,PRODUCT!$B:$B,0)),"")</f>
        <v/>
      </c>
      <c r="Q392" s="63">
        <f>IF(C392="","",INPUT_SYSTEM!M406)</f>
        <v/>
      </c>
      <c r="R392" s="63">
        <f>IF(P392="","",P392*(1+Q392))</f>
        <v/>
      </c>
      <c r="S392" s="63">
        <f>IF(O392="","",IF(OR(H392="",H392=0),O392*P392,O392*H392*P392))</f>
        <v/>
      </c>
      <c r="T392" s="63">
        <f>IF(O392="","",IF(OR(H392="",H392=0),O392*R392,O392*H392*R392))</f>
        <v/>
      </c>
      <c r="U392" s="62">
        <f>IF(C392="","",INPUT_SYSTEM!C406)</f>
        <v/>
      </c>
      <c r="V392" s="2" t="n"/>
    </row>
    <row r="393" ht="15.75" customHeight="1" s="125">
      <c r="A393" s="62">
        <f>IF(INPUT_SYSTEM!D407="","",INPUT_SYSTEM!A407)</f>
        <v/>
      </c>
      <c r="B393" s="62">
        <f>IF(INPUT_SYSTEM!D407="","",INPUT_SYSTEM!B407)</f>
        <v/>
      </c>
      <c r="C393" s="62">
        <f>IF(INPUT_SYSTEM!D407="","",INPUT_SYSTEM!D407)</f>
        <v/>
      </c>
      <c r="D393" s="62">
        <f>IF(C393="","",INPUT_SYSTEM!E407)</f>
        <v/>
      </c>
      <c r="E393" s="62">
        <f>IF(C393="","",INPUT_SYSTEM!F407)</f>
        <v/>
      </c>
      <c r="F393" s="62">
        <f t="array" ref="F393">IFERROR(INDEX(PRODUCT!$D:$D,MATCH(C393,PRODUCT!$B:$B,0)),"")</f>
        <v/>
      </c>
      <c r="G393" s="62">
        <f t="array" ref="G393">IFERROR(INDEX(PRODUCT!$E:$E,MATCH(C393,PRODUCT!$B:$B,0)),"")</f>
        <v/>
      </c>
      <c r="H393" s="62">
        <f t="array" ref="H393">IFERROR(INDEX(PRODUCT!$F:$F,MATCH(C393,PRODUCT!$B:$B,0)),"")</f>
        <v/>
      </c>
      <c r="I393" s="62">
        <f>IF(C393="","",INPUT_SYSTEM!G407)</f>
        <v/>
      </c>
      <c r="J393" s="62">
        <f>IF(C393="","",INPUT_SYSTEM!H407)</f>
        <v/>
      </c>
      <c r="K393" s="60">
        <f>IF(C393="","",INPUT_SYSTEM!J407)</f>
        <v/>
      </c>
      <c r="L393" s="62">
        <f>IF(C393="","",INPUT_SYSTEM!K407)</f>
        <v/>
      </c>
      <c r="M393" s="62">
        <f>IF(C393="","",INPUT_SYSTEM!L407)</f>
        <v/>
      </c>
      <c r="N393" s="62">
        <f>IF(U393&lt;&gt;"SI","",IF(M393&lt;&gt;"",M393,IFERROR(I393*J393*(1+K393)*L393,"")))</f>
        <v/>
      </c>
      <c r="O393" s="62">
        <f>IF(N393="","",IF(OR(H393="",H393=0),N393,ROUNDUP(N393/H393,0)))</f>
        <v/>
      </c>
      <c r="P393" s="63">
        <f t="array" ref="P393">IFERROR(INDEX(PRODUCT!$I:$I,MATCH(C393,PRODUCT!$B:$B,0)),"")</f>
        <v/>
      </c>
      <c r="Q393" s="63">
        <f>IF(C393="","",INPUT_SYSTEM!M407)</f>
        <v/>
      </c>
      <c r="R393" s="63">
        <f>IF(P393="","",P393*(1+Q393))</f>
        <v/>
      </c>
      <c r="S393" s="63">
        <f>IF(O393="","",IF(OR(H393="",H393=0),O393*P393,O393*H393*P393))</f>
        <v/>
      </c>
      <c r="T393" s="63">
        <f>IF(O393="","",IF(OR(H393="",H393=0),O393*R393,O393*H393*R393))</f>
        <v/>
      </c>
      <c r="U393" s="62">
        <f>IF(C393="","",INPUT_SYSTEM!C407)</f>
        <v/>
      </c>
      <c r="V393" s="2" t="n"/>
    </row>
    <row r="394" ht="15.75" customHeight="1" s="125">
      <c r="A394" s="62">
        <f>IF(INPUT_SYSTEM!D408="","",INPUT_SYSTEM!A408)</f>
        <v/>
      </c>
      <c r="B394" s="62">
        <f>IF(INPUT_SYSTEM!D408="","",INPUT_SYSTEM!B408)</f>
        <v/>
      </c>
      <c r="C394" s="62">
        <f>IF(INPUT_SYSTEM!D408="","",INPUT_SYSTEM!D408)</f>
        <v/>
      </c>
      <c r="D394" s="62">
        <f>IF(C394="","",INPUT_SYSTEM!E408)</f>
        <v/>
      </c>
      <c r="E394" s="62">
        <f>IF(C394="","",INPUT_SYSTEM!F408)</f>
        <v/>
      </c>
      <c r="F394" s="62">
        <f t="array" ref="F394">IFERROR(INDEX(PRODUCT!$D:$D,MATCH(C394,PRODUCT!$B:$B,0)),"")</f>
        <v/>
      </c>
      <c r="G394" s="62">
        <f t="array" ref="G394">IFERROR(INDEX(PRODUCT!$E:$E,MATCH(C394,PRODUCT!$B:$B,0)),"")</f>
        <v/>
      </c>
      <c r="H394" s="62">
        <f t="array" ref="H394">IFERROR(INDEX(PRODUCT!$F:$F,MATCH(C394,PRODUCT!$B:$B,0)),"")</f>
        <v/>
      </c>
      <c r="I394" s="62">
        <f>IF(C394="","",INPUT_SYSTEM!G408)</f>
        <v/>
      </c>
      <c r="J394" s="62">
        <f>IF(C394="","",INPUT_SYSTEM!H408)</f>
        <v/>
      </c>
      <c r="K394" s="60">
        <f>IF(C394="","",INPUT_SYSTEM!J408)</f>
        <v/>
      </c>
      <c r="L394" s="62">
        <f>IF(C394="","",INPUT_SYSTEM!K408)</f>
        <v/>
      </c>
      <c r="M394" s="62">
        <f>IF(C394="","",INPUT_SYSTEM!L408)</f>
        <v/>
      </c>
      <c r="N394" s="62">
        <f>IF(U394&lt;&gt;"SI","",IF(M394&lt;&gt;"",M394,IFERROR(I394*J394*(1+K394)*L394,"")))</f>
        <v/>
      </c>
      <c r="O394" s="62">
        <f>IF(N394="","",IF(OR(H394="",H394=0),N394,ROUNDUP(N394/H394,0)))</f>
        <v/>
      </c>
      <c r="P394" s="63">
        <f t="array" ref="P394">IFERROR(INDEX(PRODUCT!$I:$I,MATCH(C394,PRODUCT!$B:$B,0)),"")</f>
        <v/>
      </c>
      <c r="Q394" s="63">
        <f>IF(C394="","",INPUT_SYSTEM!M408)</f>
        <v/>
      </c>
      <c r="R394" s="63">
        <f>IF(P394="","",P394*(1+Q394))</f>
        <v/>
      </c>
      <c r="S394" s="63">
        <f>IF(O394="","",IF(OR(H394="",H394=0),O394*P394,O394*H394*P394))</f>
        <v/>
      </c>
      <c r="T394" s="63">
        <f>IF(O394="","",IF(OR(H394="",H394=0),O394*R394,O394*H394*R394))</f>
        <v/>
      </c>
      <c r="U394" s="62">
        <f>IF(C394="","",INPUT_SYSTEM!C408)</f>
        <v/>
      </c>
      <c r="V394" s="2" t="n"/>
    </row>
    <row r="395" ht="15.75" customHeight="1" s="125">
      <c r="A395" s="62">
        <f>IF(INPUT_SYSTEM!D409="","",INPUT_SYSTEM!A409)</f>
        <v/>
      </c>
      <c r="B395" s="62">
        <f>IF(INPUT_SYSTEM!D409="","",INPUT_SYSTEM!B409)</f>
        <v/>
      </c>
      <c r="C395" s="62">
        <f>IF(INPUT_SYSTEM!D409="","",INPUT_SYSTEM!D409)</f>
        <v/>
      </c>
      <c r="D395" s="62">
        <f>IF(C395="","",INPUT_SYSTEM!E409)</f>
        <v/>
      </c>
      <c r="E395" s="62">
        <f>IF(C395="","",INPUT_SYSTEM!F409)</f>
        <v/>
      </c>
      <c r="F395" s="62">
        <f t="array" ref="F395">IFERROR(INDEX(PRODUCT!$D:$D,MATCH(C395,PRODUCT!$B:$B,0)),"")</f>
        <v/>
      </c>
      <c r="G395" s="62">
        <f t="array" ref="G395">IFERROR(INDEX(PRODUCT!$E:$E,MATCH(C395,PRODUCT!$B:$B,0)),"")</f>
        <v/>
      </c>
      <c r="H395" s="62">
        <f t="array" ref="H395">IFERROR(INDEX(PRODUCT!$F:$F,MATCH(C395,PRODUCT!$B:$B,0)),"")</f>
        <v/>
      </c>
      <c r="I395" s="62">
        <f>IF(C395="","",INPUT_SYSTEM!G409)</f>
        <v/>
      </c>
      <c r="J395" s="62">
        <f>IF(C395="","",INPUT_SYSTEM!H409)</f>
        <v/>
      </c>
      <c r="K395" s="60">
        <f>IF(C395="","",INPUT_SYSTEM!J409)</f>
        <v/>
      </c>
      <c r="L395" s="62">
        <f>IF(C395="","",INPUT_SYSTEM!K409)</f>
        <v/>
      </c>
      <c r="M395" s="62">
        <f>IF(C395="","",INPUT_SYSTEM!L409)</f>
        <v/>
      </c>
      <c r="N395" s="62">
        <f>IF(U395&lt;&gt;"SI","",IF(M395&lt;&gt;"",M395,IFERROR(I395*J395*(1+K395)*L395,"")))</f>
        <v/>
      </c>
      <c r="O395" s="62">
        <f>IF(N395="","",IF(OR(H395="",H395=0),N395,ROUNDUP(N395/H395,0)))</f>
        <v/>
      </c>
      <c r="P395" s="63">
        <f t="array" ref="P395">IFERROR(INDEX(PRODUCT!$I:$I,MATCH(C395,PRODUCT!$B:$B,0)),"")</f>
        <v/>
      </c>
      <c r="Q395" s="63">
        <f>IF(C395="","",INPUT_SYSTEM!M409)</f>
        <v/>
      </c>
      <c r="R395" s="63">
        <f>IF(P395="","",P395*(1+Q395))</f>
        <v/>
      </c>
      <c r="S395" s="63">
        <f>IF(O395="","",IF(OR(H395="",H395=0),O395*P395,O395*H395*P395))</f>
        <v/>
      </c>
      <c r="T395" s="63">
        <f>IF(O395="","",IF(OR(H395="",H395=0),O395*R395,O395*H395*R395))</f>
        <v/>
      </c>
      <c r="U395" s="62">
        <f>IF(C395="","",INPUT_SYSTEM!C409)</f>
        <v/>
      </c>
      <c r="V395" s="2" t="n"/>
    </row>
    <row r="396" ht="15.75" customHeight="1" s="125">
      <c r="A396" s="62">
        <f>IF(INPUT_SYSTEM!D410="","",INPUT_SYSTEM!A410)</f>
        <v/>
      </c>
      <c r="B396" s="62">
        <f>IF(INPUT_SYSTEM!D410="","",INPUT_SYSTEM!B410)</f>
        <v/>
      </c>
      <c r="C396" s="62">
        <f>IF(INPUT_SYSTEM!D410="","",INPUT_SYSTEM!D410)</f>
        <v/>
      </c>
      <c r="D396" s="62">
        <f>IF(C396="","",INPUT_SYSTEM!E410)</f>
        <v/>
      </c>
      <c r="E396" s="62">
        <f>IF(C396="","",INPUT_SYSTEM!F410)</f>
        <v/>
      </c>
      <c r="F396" s="62">
        <f t="array" ref="F396">IFERROR(INDEX(PRODUCT!$D:$D,MATCH(C396,PRODUCT!$B:$B,0)),"")</f>
        <v/>
      </c>
      <c r="G396" s="62">
        <f t="array" ref="G396">IFERROR(INDEX(PRODUCT!$E:$E,MATCH(C396,PRODUCT!$B:$B,0)),"")</f>
        <v/>
      </c>
      <c r="H396" s="62">
        <f t="array" ref="H396">IFERROR(INDEX(PRODUCT!$F:$F,MATCH(C396,PRODUCT!$B:$B,0)),"")</f>
        <v/>
      </c>
      <c r="I396" s="62">
        <f>IF(C396="","",INPUT_SYSTEM!G410)</f>
        <v/>
      </c>
      <c r="J396" s="62">
        <f>IF(C396="","",INPUT_SYSTEM!H410)</f>
        <v/>
      </c>
      <c r="K396" s="60">
        <f>IF(C396="","",INPUT_SYSTEM!J410)</f>
        <v/>
      </c>
      <c r="L396" s="62">
        <f>IF(C396="","",INPUT_SYSTEM!K410)</f>
        <v/>
      </c>
      <c r="M396" s="62">
        <f>IF(C396="","",INPUT_SYSTEM!L410)</f>
        <v/>
      </c>
      <c r="N396" s="62">
        <f>IF(U396&lt;&gt;"SI","",IF(M396&lt;&gt;"",M396,IFERROR(I396*J396*(1+K396)*L396,"")))</f>
        <v/>
      </c>
      <c r="O396" s="62">
        <f>IF(N396="","",IF(OR(H396="",H396=0),N396,ROUNDUP(N396/H396,0)))</f>
        <v/>
      </c>
      <c r="P396" s="63">
        <f t="array" ref="P396">IFERROR(INDEX(PRODUCT!$I:$I,MATCH(C396,PRODUCT!$B:$B,0)),"")</f>
        <v/>
      </c>
      <c r="Q396" s="63">
        <f>IF(C396="","",INPUT_SYSTEM!M410)</f>
        <v/>
      </c>
      <c r="R396" s="63">
        <f>IF(P396="","",P396*(1+Q396))</f>
        <v/>
      </c>
      <c r="S396" s="63">
        <f>IF(O396="","",IF(OR(H396="",H396=0),O396*P396,O396*H396*P396))</f>
        <v/>
      </c>
      <c r="T396" s="63">
        <f>IF(O396="","",IF(OR(H396="",H396=0),O396*R396,O396*H396*R396))</f>
        <v/>
      </c>
      <c r="U396" s="62">
        <f>IF(C396="","",INPUT_SYSTEM!C410)</f>
        <v/>
      </c>
      <c r="V396" s="2" t="n"/>
    </row>
    <row r="397" ht="15.75" customHeight="1" s="125">
      <c r="A397" s="62">
        <f>IF(INPUT_SYSTEM!D411="","",INPUT_SYSTEM!A411)</f>
        <v/>
      </c>
      <c r="B397" s="62">
        <f>IF(INPUT_SYSTEM!D411="","",INPUT_SYSTEM!B411)</f>
        <v/>
      </c>
      <c r="C397" s="62">
        <f>IF(INPUT_SYSTEM!D411="","",INPUT_SYSTEM!D411)</f>
        <v/>
      </c>
      <c r="D397" s="62">
        <f>IF(C397="","",INPUT_SYSTEM!E411)</f>
        <v/>
      </c>
      <c r="E397" s="62">
        <f>IF(C397="","",INPUT_SYSTEM!F411)</f>
        <v/>
      </c>
      <c r="F397" s="62">
        <f t="array" ref="F397">IFERROR(INDEX(PRODUCT!$D:$D,MATCH(C397,PRODUCT!$B:$B,0)),"")</f>
        <v/>
      </c>
      <c r="G397" s="62">
        <f t="array" ref="G397">IFERROR(INDEX(PRODUCT!$E:$E,MATCH(C397,PRODUCT!$B:$B,0)),"")</f>
        <v/>
      </c>
      <c r="H397" s="62">
        <f t="array" ref="H397">IFERROR(INDEX(PRODUCT!$F:$F,MATCH(C397,PRODUCT!$B:$B,0)),"")</f>
        <v/>
      </c>
      <c r="I397" s="62">
        <f>IF(C397="","",INPUT_SYSTEM!G411)</f>
        <v/>
      </c>
      <c r="J397" s="62">
        <f>IF(C397="","",INPUT_SYSTEM!H411)</f>
        <v/>
      </c>
      <c r="K397" s="60">
        <f>IF(C397="","",INPUT_SYSTEM!J411)</f>
        <v/>
      </c>
      <c r="L397" s="62">
        <f>IF(C397="","",INPUT_SYSTEM!K411)</f>
        <v/>
      </c>
      <c r="M397" s="62">
        <f>IF(C397="","",INPUT_SYSTEM!L411)</f>
        <v/>
      </c>
      <c r="N397" s="62">
        <f>IF(U397&lt;&gt;"SI","",IF(M397&lt;&gt;"",M397,IFERROR(I397*J397*(1+K397)*L397,"")))</f>
        <v/>
      </c>
      <c r="O397" s="62">
        <f>IF(N397="","",IF(OR(H397="",H397=0),N397,ROUNDUP(N397/H397,0)))</f>
        <v/>
      </c>
      <c r="P397" s="63">
        <f t="array" ref="P397">IFERROR(INDEX(PRODUCT!$I:$I,MATCH(C397,PRODUCT!$B:$B,0)),"")</f>
        <v/>
      </c>
      <c r="Q397" s="63">
        <f>IF(C397="","",INPUT_SYSTEM!M411)</f>
        <v/>
      </c>
      <c r="R397" s="63">
        <f>IF(P397="","",P397*(1+Q397))</f>
        <v/>
      </c>
      <c r="S397" s="63">
        <f>IF(O397="","",IF(OR(H397="",H397=0),O397*P397,O397*H397*P397))</f>
        <v/>
      </c>
      <c r="T397" s="63">
        <f>IF(O397="","",IF(OR(H397="",H397=0),O397*R397,O397*H397*R397))</f>
        <v/>
      </c>
      <c r="U397" s="62">
        <f>IF(C397="","",INPUT_SYSTEM!C411)</f>
        <v/>
      </c>
      <c r="V397" s="2" t="n"/>
    </row>
    <row r="398" ht="15.75" customHeight="1" s="125">
      <c r="A398" s="62">
        <f>IF(INPUT_SYSTEM!D412="","",INPUT_SYSTEM!A412)</f>
        <v/>
      </c>
      <c r="B398" s="62">
        <f>IF(INPUT_SYSTEM!D412="","",INPUT_SYSTEM!B412)</f>
        <v/>
      </c>
      <c r="C398" s="62">
        <f>IF(INPUT_SYSTEM!D412="","",INPUT_SYSTEM!D412)</f>
        <v/>
      </c>
      <c r="D398" s="62">
        <f>IF(C398="","",INPUT_SYSTEM!E412)</f>
        <v/>
      </c>
      <c r="E398" s="62">
        <f>IF(C398="","",INPUT_SYSTEM!F412)</f>
        <v/>
      </c>
      <c r="F398" s="62">
        <f t="array" ref="F398">IFERROR(INDEX(PRODUCT!$D:$D,MATCH(C398,PRODUCT!$B:$B,0)),"")</f>
        <v/>
      </c>
      <c r="G398" s="62">
        <f t="array" ref="G398">IFERROR(INDEX(PRODUCT!$E:$E,MATCH(C398,PRODUCT!$B:$B,0)),"")</f>
        <v/>
      </c>
      <c r="H398" s="62">
        <f t="array" ref="H398">IFERROR(INDEX(PRODUCT!$F:$F,MATCH(C398,PRODUCT!$B:$B,0)),"")</f>
        <v/>
      </c>
      <c r="I398" s="62">
        <f>IF(C398="","",INPUT_SYSTEM!G412)</f>
        <v/>
      </c>
      <c r="J398" s="62">
        <f>IF(C398="","",INPUT_SYSTEM!H412)</f>
        <v/>
      </c>
      <c r="K398" s="60">
        <f>IF(C398="","",INPUT_SYSTEM!J412)</f>
        <v/>
      </c>
      <c r="L398" s="62">
        <f>IF(C398="","",INPUT_SYSTEM!K412)</f>
        <v/>
      </c>
      <c r="M398" s="62">
        <f>IF(C398="","",INPUT_SYSTEM!L412)</f>
        <v/>
      </c>
      <c r="N398" s="62">
        <f>IF(U398&lt;&gt;"SI","",IF(M398&lt;&gt;"",M398,IFERROR(I398*J398*(1+K398)*L398,"")))</f>
        <v/>
      </c>
      <c r="O398" s="62">
        <f>IF(N398="","",IF(OR(H398="",H398=0),N398,ROUNDUP(N398/H398,0)))</f>
        <v/>
      </c>
      <c r="P398" s="63">
        <f t="array" ref="P398">IFERROR(INDEX(PRODUCT!$I:$I,MATCH(C398,PRODUCT!$B:$B,0)),"")</f>
        <v/>
      </c>
      <c r="Q398" s="63">
        <f>IF(C398="","",INPUT_SYSTEM!M412)</f>
        <v/>
      </c>
      <c r="R398" s="63">
        <f>IF(P398="","",P398*(1+Q398))</f>
        <v/>
      </c>
      <c r="S398" s="63">
        <f>IF(O398="","",IF(OR(H398="",H398=0),O398*P398,O398*H398*P398))</f>
        <v/>
      </c>
      <c r="T398" s="63">
        <f>IF(O398="","",IF(OR(H398="",H398=0),O398*R398,O398*H398*R398))</f>
        <v/>
      </c>
      <c r="U398" s="62">
        <f>IF(C398="","",INPUT_SYSTEM!C412)</f>
        <v/>
      </c>
      <c r="V398" s="2" t="n"/>
    </row>
    <row r="399" ht="15.75" customHeight="1" s="125">
      <c r="A399" s="62">
        <f>IF(INPUT_SYSTEM!D413="","",INPUT_SYSTEM!A413)</f>
        <v/>
      </c>
      <c r="B399" s="62">
        <f>IF(INPUT_SYSTEM!D413="","",INPUT_SYSTEM!B413)</f>
        <v/>
      </c>
      <c r="C399" s="62">
        <f>IF(INPUT_SYSTEM!D413="","",INPUT_SYSTEM!D413)</f>
        <v/>
      </c>
      <c r="D399" s="62">
        <f>IF(C399="","",INPUT_SYSTEM!E413)</f>
        <v/>
      </c>
      <c r="E399" s="62">
        <f>IF(C399="","",INPUT_SYSTEM!F413)</f>
        <v/>
      </c>
      <c r="F399" s="62">
        <f t="array" ref="F399">IFERROR(INDEX(PRODUCT!$D:$D,MATCH(C399,PRODUCT!$B:$B,0)),"")</f>
        <v/>
      </c>
      <c r="G399" s="62">
        <f t="array" ref="G399">IFERROR(INDEX(PRODUCT!$E:$E,MATCH(C399,PRODUCT!$B:$B,0)),"")</f>
        <v/>
      </c>
      <c r="H399" s="62">
        <f t="array" ref="H399">IFERROR(INDEX(PRODUCT!$F:$F,MATCH(C399,PRODUCT!$B:$B,0)),"")</f>
        <v/>
      </c>
      <c r="I399" s="62">
        <f>IF(C399="","",INPUT_SYSTEM!G413)</f>
        <v/>
      </c>
      <c r="J399" s="62">
        <f>IF(C399="","",INPUT_SYSTEM!H413)</f>
        <v/>
      </c>
      <c r="K399" s="60">
        <f>IF(C399="","",INPUT_SYSTEM!J413)</f>
        <v/>
      </c>
      <c r="L399" s="62">
        <f>IF(C399="","",INPUT_SYSTEM!K413)</f>
        <v/>
      </c>
      <c r="M399" s="62">
        <f>IF(C399="","",INPUT_SYSTEM!L413)</f>
        <v/>
      </c>
      <c r="N399" s="62">
        <f>IF(U399&lt;&gt;"SI","",IF(M399&lt;&gt;"",M399,IFERROR(I399*J399*(1+K399)*L399,"")))</f>
        <v/>
      </c>
      <c r="O399" s="62">
        <f>IF(N399="","",IF(OR(H399="",H399=0),N399,ROUNDUP(N399/H399,0)))</f>
        <v/>
      </c>
      <c r="P399" s="63">
        <f t="array" ref="P399">IFERROR(INDEX(PRODUCT!$I:$I,MATCH(C399,PRODUCT!$B:$B,0)),"")</f>
        <v/>
      </c>
      <c r="Q399" s="63">
        <f>IF(C399="","",INPUT_SYSTEM!M413)</f>
        <v/>
      </c>
      <c r="R399" s="63">
        <f>IF(P399="","",P399*(1+Q399))</f>
        <v/>
      </c>
      <c r="S399" s="63">
        <f>IF(O399="","",IF(OR(H399="",H399=0),O399*P399,O399*H399*P399))</f>
        <v/>
      </c>
      <c r="T399" s="63">
        <f>IF(O399="","",IF(OR(H399="",H399=0),O399*R399,O399*H399*R399))</f>
        <v/>
      </c>
      <c r="U399" s="62">
        <f>IF(C399="","",INPUT_SYSTEM!C413)</f>
        <v/>
      </c>
      <c r="V399" s="2" t="n"/>
    </row>
    <row r="400" ht="15.75" customHeight="1" s="125">
      <c r="A400" s="62">
        <f>IF(INPUT_SYSTEM!D414="","",INPUT_SYSTEM!A414)</f>
        <v/>
      </c>
      <c r="B400" s="62">
        <f>IF(INPUT_SYSTEM!D414="","",INPUT_SYSTEM!B414)</f>
        <v/>
      </c>
      <c r="C400" s="62">
        <f>IF(INPUT_SYSTEM!D414="","",INPUT_SYSTEM!D414)</f>
        <v/>
      </c>
      <c r="D400" s="62">
        <f>IF(C400="","",INPUT_SYSTEM!E414)</f>
        <v/>
      </c>
      <c r="E400" s="62">
        <f>IF(C400="","",INPUT_SYSTEM!F414)</f>
        <v/>
      </c>
      <c r="F400" s="62">
        <f t="array" ref="F400">IFERROR(INDEX(PRODUCT!$D:$D,MATCH(C400,PRODUCT!$B:$B,0)),"")</f>
        <v/>
      </c>
      <c r="G400" s="62">
        <f t="array" ref="G400">IFERROR(INDEX(PRODUCT!$E:$E,MATCH(C400,PRODUCT!$B:$B,0)),"")</f>
        <v/>
      </c>
      <c r="H400" s="62">
        <f t="array" ref="H400">IFERROR(INDEX(PRODUCT!$F:$F,MATCH(C400,PRODUCT!$B:$B,0)),"")</f>
        <v/>
      </c>
      <c r="I400" s="62">
        <f>IF(C400="","",INPUT_SYSTEM!G414)</f>
        <v/>
      </c>
      <c r="J400" s="62">
        <f>IF(C400="","",INPUT_SYSTEM!H414)</f>
        <v/>
      </c>
      <c r="K400" s="60">
        <f>IF(C400="","",INPUT_SYSTEM!J414)</f>
        <v/>
      </c>
      <c r="L400" s="62">
        <f>IF(C400="","",INPUT_SYSTEM!K414)</f>
        <v/>
      </c>
      <c r="M400" s="62">
        <f>IF(C400="","",INPUT_SYSTEM!L414)</f>
        <v/>
      </c>
      <c r="N400" s="62">
        <f>IF(U400&lt;&gt;"SI","",IF(M400&lt;&gt;"",M400,IFERROR(I400*J400*(1+K400)*L400,"")))</f>
        <v/>
      </c>
      <c r="O400" s="62">
        <f>IF(N400="","",IF(OR(H400="",H400=0),N400,ROUNDUP(N400/H400,0)))</f>
        <v/>
      </c>
      <c r="P400" s="63">
        <f t="array" ref="P400">IFERROR(INDEX(PRODUCT!$I:$I,MATCH(C400,PRODUCT!$B:$B,0)),"")</f>
        <v/>
      </c>
      <c r="Q400" s="63">
        <f>IF(C400="","",INPUT_SYSTEM!M414)</f>
        <v/>
      </c>
      <c r="R400" s="63">
        <f>IF(P400="","",P400*(1+Q400))</f>
        <v/>
      </c>
      <c r="S400" s="63">
        <f>IF(O400="","",IF(OR(H400="",H400=0),O400*P400,O400*H400*P400))</f>
        <v/>
      </c>
      <c r="T400" s="63">
        <f>IF(O400="","",IF(OR(H400="",H400=0),O400*R400,O400*H400*R400))</f>
        <v/>
      </c>
      <c r="U400" s="62">
        <f>IF(C400="","",INPUT_SYSTEM!C414)</f>
        <v/>
      </c>
      <c r="V400" s="2" t="n"/>
    </row>
    <row r="401" ht="15.75" customHeight="1" s="125">
      <c r="A401" s="62">
        <f>IF(INPUT_SYSTEM!D415="","",INPUT_SYSTEM!A415)</f>
        <v/>
      </c>
      <c r="B401" s="62">
        <f>IF(INPUT_SYSTEM!D415="","",INPUT_SYSTEM!B415)</f>
        <v/>
      </c>
      <c r="C401" s="62">
        <f>IF(INPUT_SYSTEM!D415="","",INPUT_SYSTEM!D415)</f>
        <v/>
      </c>
      <c r="D401" s="62">
        <f>IF(C401="","",INPUT_SYSTEM!E415)</f>
        <v/>
      </c>
      <c r="E401" s="62">
        <f>IF(C401="","",INPUT_SYSTEM!F415)</f>
        <v/>
      </c>
      <c r="F401" s="62">
        <f t="array" ref="F401">IFERROR(INDEX(PRODUCT!$D:$D,MATCH(C401,PRODUCT!$B:$B,0)),"")</f>
        <v/>
      </c>
      <c r="G401" s="62">
        <f t="array" ref="G401">IFERROR(INDEX(PRODUCT!$E:$E,MATCH(C401,PRODUCT!$B:$B,0)),"")</f>
        <v/>
      </c>
      <c r="H401" s="62">
        <f t="array" ref="H401">IFERROR(INDEX(PRODUCT!$F:$F,MATCH(C401,PRODUCT!$B:$B,0)),"")</f>
        <v/>
      </c>
      <c r="I401" s="62">
        <f>IF(C401="","",INPUT_SYSTEM!G415)</f>
        <v/>
      </c>
      <c r="J401" s="62">
        <f>IF(C401="","",INPUT_SYSTEM!H415)</f>
        <v/>
      </c>
      <c r="K401" s="60">
        <f>IF(C401="","",INPUT_SYSTEM!J415)</f>
        <v/>
      </c>
      <c r="L401" s="62">
        <f>IF(C401="","",INPUT_SYSTEM!K415)</f>
        <v/>
      </c>
      <c r="M401" s="62">
        <f>IF(C401="","",INPUT_SYSTEM!L415)</f>
        <v/>
      </c>
      <c r="N401" s="62">
        <f>IF(U401&lt;&gt;"SI","",IF(M401&lt;&gt;"",M401,IFERROR(I401*J401*(1+K401)*L401,"")))</f>
        <v/>
      </c>
      <c r="O401" s="62">
        <f>IF(N401="","",IF(OR(H401="",H401=0),N401,ROUNDUP(N401/H401,0)))</f>
        <v/>
      </c>
      <c r="P401" s="63">
        <f t="array" ref="P401">IFERROR(INDEX(PRODUCT!$I:$I,MATCH(C401,PRODUCT!$B:$B,0)),"")</f>
        <v/>
      </c>
      <c r="Q401" s="63">
        <f>IF(C401="","",INPUT_SYSTEM!M415)</f>
        <v/>
      </c>
      <c r="R401" s="63">
        <f>IF(P401="","",P401*(1+Q401))</f>
        <v/>
      </c>
      <c r="S401" s="63">
        <f>IF(O401="","",IF(OR(H401="",H401=0),O401*P401,O401*H401*P401))</f>
        <v/>
      </c>
      <c r="T401" s="63">
        <f>IF(O401="","",IF(OR(H401="",H401=0),O401*R401,O401*H401*R401))</f>
        <v/>
      </c>
      <c r="U401" s="62">
        <f>IF(C401="","",INPUT_SYSTEM!C415)</f>
        <v/>
      </c>
      <c r="V401" s="2" t="n"/>
    </row>
    <row r="402" ht="15.75" customHeight="1" s="125">
      <c r="A402" s="62">
        <f>IF(INPUT_SYSTEM!D416="","",INPUT_SYSTEM!A416)</f>
        <v/>
      </c>
      <c r="B402" s="62">
        <f>IF(INPUT_SYSTEM!D416="","",INPUT_SYSTEM!B416)</f>
        <v/>
      </c>
      <c r="C402" s="62">
        <f>IF(INPUT_SYSTEM!D416="","",INPUT_SYSTEM!D416)</f>
        <v/>
      </c>
      <c r="D402" s="62">
        <f>IF(C402="","",INPUT_SYSTEM!E416)</f>
        <v/>
      </c>
      <c r="E402" s="62">
        <f>IF(C402="","",INPUT_SYSTEM!F416)</f>
        <v/>
      </c>
      <c r="F402" s="62">
        <f t="array" ref="F402">IFERROR(INDEX(PRODUCT!$D:$D,MATCH(C402,PRODUCT!$B:$B,0)),"")</f>
        <v/>
      </c>
      <c r="G402" s="62">
        <f t="array" ref="G402">IFERROR(INDEX(PRODUCT!$E:$E,MATCH(C402,PRODUCT!$B:$B,0)),"")</f>
        <v/>
      </c>
      <c r="H402" s="62">
        <f t="array" ref="H402">IFERROR(INDEX(PRODUCT!$F:$F,MATCH(C402,PRODUCT!$B:$B,0)),"")</f>
        <v/>
      </c>
      <c r="I402" s="62">
        <f>IF(C402="","",INPUT_SYSTEM!G416)</f>
        <v/>
      </c>
      <c r="J402" s="62">
        <f>IF(C402="","",INPUT_SYSTEM!H416)</f>
        <v/>
      </c>
      <c r="K402" s="60">
        <f>IF(C402="","",INPUT_SYSTEM!J416)</f>
        <v/>
      </c>
      <c r="L402" s="62">
        <f>IF(C402="","",INPUT_SYSTEM!K416)</f>
        <v/>
      </c>
      <c r="M402" s="62">
        <f>IF(C402="","",INPUT_SYSTEM!L416)</f>
        <v/>
      </c>
      <c r="N402" s="62">
        <f>IF(U402&lt;&gt;"SI","",IF(M402&lt;&gt;"",M402,IFERROR(I402*J402*(1+K402)*L402,"")))</f>
        <v/>
      </c>
      <c r="O402" s="62">
        <f>IF(N402="","",IF(OR(H402="",H402=0),N402,ROUNDUP(N402/H402,0)))</f>
        <v/>
      </c>
      <c r="P402" s="63">
        <f t="array" ref="P402">IFERROR(INDEX(PRODUCT!$I:$I,MATCH(C402,PRODUCT!$B:$B,0)),"")</f>
        <v/>
      </c>
      <c r="Q402" s="63">
        <f>IF(C402="","",INPUT_SYSTEM!M416)</f>
        <v/>
      </c>
      <c r="R402" s="63">
        <f>IF(P402="","",P402*(1+Q402))</f>
        <v/>
      </c>
      <c r="S402" s="63">
        <f>IF(O402="","",IF(OR(H402="",H402=0),O402*P402,O402*H402*P402))</f>
        <v/>
      </c>
      <c r="T402" s="63">
        <f>IF(O402="","",IF(OR(H402="",H402=0),O402*R402,O402*H402*R402))</f>
        <v/>
      </c>
      <c r="U402" s="62">
        <f>IF(C402="","",INPUT_SYSTEM!C416)</f>
        <v/>
      </c>
      <c r="V402" s="2" t="n"/>
    </row>
    <row r="403" ht="15.75" customHeight="1" s="125">
      <c r="A403" s="62">
        <f>IF(INPUT_SYSTEM!D417="","",INPUT_SYSTEM!A417)</f>
        <v/>
      </c>
      <c r="B403" s="62">
        <f>IF(INPUT_SYSTEM!D417="","",INPUT_SYSTEM!B417)</f>
        <v/>
      </c>
      <c r="C403" s="62">
        <f>IF(INPUT_SYSTEM!D417="","",INPUT_SYSTEM!D417)</f>
        <v/>
      </c>
      <c r="D403" s="62">
        <f>IF(C403="","",INPUT_SYSTEM!E417)</f>
        <v/>
      </c>
      <c r="E403" s="62">
        <f>IF(C403="","",INPUT_SYSTEM!F417)</f>
        <v/>
      </c>
      <c r="F403" s="62">
        <f t="array" ref="F403">IFERROR(INDEX(PRODUCT!$D:$D,MATCH(C403,PRODUCT!$B:$B,0)),"")</f>
        <v/>
      </c>
      <c r="G403" s="62">
        <f t="array" ref="G403">IFERROR(INDEX(PRODUCT!$E:$E,MATCH(C403,PRODUCT!$B:$B,0)),"")</f>
        <v/>
      </c>
      <c r="H403" s="62">
        <f t="array" ref="H403">IFERROR(INDEX(PRODUCT!$F:$F,MATCH(C403,PRODUCT!$B:$B,0)),"")</f>
        <v/>
      </c>
      <c r="I403" s="62">
        <f>IF(C403="","",INPUT_SYSTEM!G417)</f>
        <v/>
      </c>
      <c r="J403" s="62">
        <f>IF(C403="","",INPUT_SYSTEM!H417)</f>
        <v/>
      </c>
      <c r="K403" s="60">
        <f>IF(C403="","",INPUT_SYSTEM!J417)</f>
        <v/>
      </c>
      <c r="L403" s="62">
        <f>IF(C403="","",INPUT_SYSTEM!K417)</f>
        <v/>
      </c>
      <c r="M403" s="62">
        <f>IF(C403="","",INPUT_SYSTEM!L417)</f>
        <v/>
      </c>
      <c r="N403" s="62">
        <f>IF(U403&lt;&gt;"SI","",IF(M403&lt;&gt;"",M403,IFERROR(I403*J403*(1+K403)*L403,"")))</f>
        <v/>
      </c>
      <c r="O403" s="62">
        <f>IF(N403="","",IF(OR(H403="",H403=0),N403,ROUNDUP(N403/H403,0)))</f>
        <v/>
      </c>
      <c r="P403" s="63">
        <f t="array" ref="P403">IFERROR(INDEX(PRODUCT!$I:$I,MATCH(C403,PRODUCT!$B:$B,0)),"")</f>
        <v/>
      </c>
      <c r="Q403" s="63">
        <f>IF(C403="","",INPUT_SYSTEM!M417)</f>
        <v/>
      </c>
      <c r="R403" s="63">
        <f>IF(P403="","",P403*(1+Q403))</f>
        <v/>
      </c>
      <c r="S403" s="63">
        <f>IF(O403="","",IF(OR(H403="",H403=0),O403*P403,O403*H403*P403))</f>
        <v/>
      </c>
      <c r="T403" s="63">
        <f>IF(O403="","",IF(OR(H403="",H403=0),O403*R403,O403*H403*R403))</f>
        <v/>
      </c>
      <c r="U403" s="62">
        <f>IF(C403="","",INPUT_SYSTEM!C417)</f>
        <v/>
      </c>
      <c r="V403" s="2" t="n"/>
    </row>
    <row r="404" ht="15.75" customHeight="1" s="125">
      <c r="A404" s="62">
        <f>IF(INPUT_SYSTEM!D418="","",INPUT_SYSTEM!A418)</f>
        <v/>
      </c>
      <c r="B404" s="62">
        <f>IF(INPUT_SYSTEM!D418="","",INPUT_SYSTEM!B418)</f>
        <v/>
      </c>
      <c r="C404" s="62">
        <f>IF(INPUT_SYSTEM!D418="","",INPUT_SYSTEM!D418)</f>
        <v/>
      </c>
      <c r="D404" s="62">
        <f>IF(C404="","",INPUT_SYSTEM!E418)</f>
        <v/>
      </c>
      <c r="E404" s="62">
        <f>IF(C404="","",INPUT_SYSTEM!F418)</f>
        <v/>
      </c>
      <c r="F404" s="62">
        <f t="array" ref="F404">IFERROR(INDEX(PRODUCT!$D:$D,MATCH(C404,PRODUCT!$B:$B,0)),"")</f>
        <v/>
      </c>
      <c r="G404" s="62">
        <f t="array" ref="G404">IFERROR(INDEX(PRODUCT!$E:$E,MATCH(C404,PRODUCT!$B:$B,0)),"")</f>
        <v/>
      </c>
      <c r="H404" s="62">
        <f t="array" ref="H404">IFERROR(INDEX(PRODUCT!$F:$F,MATCH(C404,PRODUCT!$B:$B,0)),"")</f>
        <v/>
      </c>
      <c r="I404" s="62">
        <f>IF(C404="","",INPUT_SYSTEM!G418)</f>
        <v/>
      </c>
      <c r="J404" s="62">
        <f>IF(C404="","",INPUT_SYSTEM!H418)</f>
        <v/>
      </c>
      <c r="K404" s="60">
        <f>IF(C404="","",INPUT_SYSTEM!J418)</f>
        <v/>
      </c>
      <c r="L404" s="62">
        <f>IF(C404="","",INPUT_SYSTEM!K418)</f>
        <v/>
      </c>
      <c r="M404" s="62">
        <f>IF(C404="","",INPUT_SYSTEM!L418)</f>
        <v/>
      </c>
      <c r="N404" s="62">
        <f>IF(U404&lt;&gt;"SI","",IF(M404&lt;&gt;"",M404,IFERROR(I404*J404*(1+K404)*L404,"")))</f>
        <v/>
      </c>
      <c r="O404" s="62">
        <f>IF(N404="","",IF(OR(H404="",H404=0),N404,ROUNDUP(N404/H404,0)))</f>
        <v/>
      </c>
      <c r="P404" s="63">
        <f t="array" ref="P404">IFERROR(INDEX(PRODUCT!$I:$I,MATCH(C404,PRODUCT!$B:$B,0)),"")</f>
        <v/>
      </c>
      <c r="Q404" s="63">
        <f>IF(C404="","",INPUT_SYSTEM!M418)</f>
        <v/>
      </c>
      <c r="R404" s="63">
        <f>IF(P404="","",P404*(1+Q404))</f>
        <v/>
      </c>
      <c r="S404" s="63">
        <f>IF(O404="","",IF(OR(H404="",H404=0),O404*P404,O404*H404*P404))</f>
        <v/>
      </c>
      <c r="T404" s="63">
        <f>IF(O404="","",IF(OR(H404="",H404=0),O404*R404,O404*H404*R404))</f>
        <v/>
      </c>
      <c r="U404" s="62">
        <f>IF(C404="","",INPUT_SYSTEM!C418)</f>
        <v/>
      </c>
      <c r="V404" s="2" t="n"/>
    </row>
    <row r="405" ht="15.75" customHeight="1" s="125">
      <c r="A405" s="62">
        <f>IF(INPUT_SYSTEM!D419="","",INPUT_SYSTEM!A419)</f>
        <v/>
      </c>
      <c r="B405" s="62">
        <f>IF(INPUT_SYSTEM!D419="","",INPUT_SYSTEM!B419)</f>
        <v/>
      </c>
      <c r="C405" s="62">
        <f>IF(INPUT_SYSTEM!D419="","",INPUT_SYSTEM!D419)</f>
        <v/>
      </c>
      <c r="D405" s="62">
        <f>IF(C405="","",INPUT_SYSTEM!E419)</f>
        <v/>
      </c>
      <c r="E405" s="62">
        <f>IF(C405="","",INPUT_SYSTEM!F419)</f>
        <v/>
      </c>
      <c r="F405" s="62">
        <f t="array" ref="F405">IFERROR(INDEX(PRODUCT!$D:$D,MATCH(C405,PRODUCT!$B:$B,0)),"")</f>
        <v/>
      </c>
      <c r="G405" s="62">
        <f t="array" ref="G405">IFERROR(INDEX(PRODUCT!$E:$E,MATCH(C405,PRODUCT!$B:$B,0)),"")</f>
        <v/>
      </c>
      <c r="H405" s="62">
        <f t="array" ref="H405">IFERROR(INDEX(PRODUCT!$F:$F,MATCH(C405,PRODUCT!$B:$B,0)),"")</f>
        <v/>
      </c>
      <c r="I405" s="62">
        <f>IF(C405="","",INPUT_SYSTEM!G419)</f>
        <v/>
      </c>
      <c r="J405" s="62">
        <f>IF(C405="","",INPUT_SYSTEM!H419)</f>
        <v/>
      </c>
      <c r="K405" s="60">
        <f>IF(C405="","",INPUT_SYSTEM!J419)</f>
        <v/>
      </c>
      <c r="L405" s="62">
        <f>IF(C405="","",INPUT_SYSTEM!K419)</f>
        <v/>
      </c>
      <c r="M405" s="62">
        <f>IF(C405="","",INPUT_SYSTEM!L419)</f>
        <v/>
      </c>
      <c r="N405" s="62">
        <f>IF(U405&lt;&gt;"SI","",IF(M405&lt;&gt;"",M405,IFERROR(I405*J405*(1+K405)*L405,"")))</f>
        <v/>
      </c>
      <c r="O405" s="62">
        <f>IF(N405="","",IF(OR(H405="",H405=0),N405,ROUNDUP(N405/H405,0)))</f>
        <v/>
      </c>
      <c r="P405" s="63">
        <f t="array" ref="P405">IFERROR(INDEX(PRODUCT!$I:$I,MATCH(C405,PRODUCT!$B:$B,0)),"")</f>
        <v/>
      </c>
      <c r="Q405" s="63">
        <f>IF(C405="","",INPUT_SYSTEM!M419)</f>
        <v/>
      </c>
      <c r="R405" s="63">
        <f>IF(P405="","",P405*(1+Q405))</f>
        <v/>
      </c>
      <c r="S405" s="63">
        <f>IF(O405="","",IF(OR(H405="",H405=0),O405*P405,O405*H405*P405))</f>
        <v/>
      </c>
      <c r="T405" s="63">
        <f>IF(O405="","",IF(OR(H405="",H405=0),O405*R405,O405*H405*R405))</f>
        <v/>
      </c>
      <c r="U405" s="62">
        <f>IF(C405="","",INPUT_SYSTEM!C419)</f>
        <v/>
      </c>
      <c r="V405" s="2" t="n"/>
    </row>
    <row r="406" ht="15.75" customHeight="1" s="125">
      <c r="A406" s="62">
        <f>IF(INPUT_SYSTEM!D420="","",INPUT_SYSTEM!A420)</f>
        <v/>
      </c>
      <c r="B406" s="62">
        <f>IF(INPUT_SYSTEM!D420="","",INPUT_SYSTEM!B420)</f>
        <v/>
      </c>
      <c r="C406" s="62">
        <f>IF(INPUT_SYSTEM!D420="","",INPUT_SYSTEM!D420)</f>
        <v/>
      </c>
      <c r="D406" s="62">
        <f>IF(C406="","",INPUT_SYSTEM!E420)</f>
        <v/>
      </c>
      <c r="E406" s="62">
        <f>IF(C406="","",INPUT_SYSTEM!F420)</f>
        <v/>
      </c>
      <c r="F406" s="62">
        <f t="array" ref="F406">IFERROR(INDEX(PRODUCT!$D:$D,MATCH(C406,PRODUCT!$B:$B,0)),"")</f>
        <v/>
      </c>
      <c r="G406" s="62">
        <f t="array" ref="G406">IFERROR(INDEX(PRODUCT!$E:$E,MATCH(C406,PRODUCT!$B:$B,0)),"")</f>
        <v/>
      </c>
      <c r="H406" s="62">
        <f t="array" ref="H406">IFERROR(INDEX(PRODUCT!$F:$F,MATCH(C406,PRODUCT!$B:$B,0)),"")</f>
        <v/>
      </c>
      <c r="I406" s="62">
        <f>IF(C406="","",INPUT_SYSTEM!G420)</f>
        <v/>
      </c>
      <c r="J406" s="62">
        <f>IF(C406="","",INPUT_SYSTEM!H420)</f>
        <v/>
      </c>
      <c r="K406" s="60">
        <f>IF(C406="","",INPUT_SYSTEM!J420)</f>
        <v/>
      </c>
      <c r="L406" s="62">
        <f>IF(C406="","",INPUT_SYSTEM!K420)</f>
        <v/>
      </c>
      <c r="M406" s="62">
        <f>IF(C406="","",INPUT_SYSTEM!L420)</f>
        <v/>
      </c>
      <c r="N406" s="62">
        <f>IF(U406&lt;&gt;"SI","",IF(M406&lt;&gt;"",M406,IFERROR(I406*J406*(1+K406)*L406,"")))</f>
        <v/>
      </c>
      <c r="O406" s="62">
        <f>IF(N406="","",IF(OR(H406="",H406=0),N406,ROUNDUP(N406/H406,0)))</f>
        <v/>
      </c>
      <c r="P406" s="63">
        <f t="array" ref="P406">IFERROR(INDEX(PRODUCT!$I:$I,MATCH(C406,PRODUCT!$B:$B,0)),"")</f>
        <v/>
      </c>
      <c r="Q406" s="63">
        <f>IF(C406="","",INPUT_SYSTEM!M420)</f>
        <v/>
      </c>
      <c r="R406" s="63">
        <f>IF(P406="","",P406*(1+Q406))</f>
        <v/>
      </c>
      <c r="S406" s="63">
        <f>IF(O406="","",IF(OR(H406="",H406=0),O406*P406,O406*H406*P406))</f>
        <v/>
      </c>
      <c r="T406" s="63">
        <f>IF(O406="","",IF(OR(H406="",H406=0),O406*R406,O406*H406*R406))</f>
        <v/>
      </c>
      <c r="U406" s="62">
        <f>IF(C406="","",INPUT_SYSTEM!C420)</f>
        <v/>
      </c>
      <c r="V406" s="2" t="n"/>
    </row>
    <row r="407" ht="15.75" customHeight="1" s="125">
      <c r="A407" s="62">
        <f>IF(INPUT_SYSTEM!D421="","",INPUT_SYSTEM!A421)</f>
        <v/>
      </c>
      <c r="B407" s="62">
        <f>IF(INPUT_SYSTEM!D421="","",INPUT_SYSTEM!B421)</f>
        <v/>
      </c>
      <c r="C407" s="62">
        <f>IF(INPUT_SYSTEM!D421="","",INPUT_SYSTEM!D421)</f>
        <v/>
      </c>
      <c r="D407" s="62">
        <f>IF(C407="","",INPUT_SYSTEM!E421)</f>
        <v/>
      </c>
      <c r="E407" s="62">
        <f>IF(C407="","",INPUT_SYSTEM!F421)</f>
        <v/>
      </c>
      <c r="F407" s="62">
        <f t="array" ref="F407">IFERROR(INDEX(PRODUCT!$D:$D,MATCH(C407,PRODUCT!$B:$B,0)),"")</f>
        <v/>
      </c>
      <c r="G407" s="62">
        <f t="array" ref="G407">IFERROR(INDEX(PRODUCT!$E:$E,MATCH(C407,PRODUCT!$B:$B,0)),"")</f>
        <v/>
      </c>
      <c r="H407" s="62">
        <f t="array" ref="H407">IFERROR(INDEX(PRODUCT!$F:$F,MATCH(C407,PRODUCT!$B:$B,0)),"")</f>
        <v/>
      </c>
      <c r="I407" s="62">
        <f>IF(C407="","",INPUT_SYSTEM!G421)</f>
        <v/>
      </c>
      <c r="J407" s="62">
        <f>IF(C407="","",INPUT_SYSTEM!H421)</f>
        <v/>
      </c>
      <c r="K407" s="60">
        <f>IF(C407="","",INPUT_SYSTEM!J421)</f>
        <v/>
      </c>
      <c r="L407" s="62">
        <f>IF(C407="","",INPUT_SYSTEM!K421)</f>
        <v/>
      </c>
      <c r="M407" s="62">
        <f>IF(C407="","",INPUT_SYSTEM!L421)</f>
        <v/>
      </c>
      <c r="N407" s="62">
        <f>IF(U407&lt;&gt;"SI","",IF(M407&lt;&gt;"",M407,IFERROR(I407*J407*(1+K407)*L407,"")))</f>
        <v/>
      </c>
      <c r="O407" s="62">
        <f>IF(N407="","",IF(OR(H407="",H407=0),N407,ROUNDUP(N407/H407,0)))</f>
        <v/>
      </c>
      <c r="P407" s="63">
        <f t="array" ref="P407">IFERROR(INDEX(PRODUCT!$I:$I,MATCH(C407,PRODUCT!$B:$B,0)),"")</f>
        <v/>
      </c>
      <c r="Q407" s="63">
        <f>IF(C407="","",INPUT_SYSTEM!M421)</f>
        <v/>
      </c>
      <c r="R407" s="63">
        <f>IF(P407="","",P407*(1+Q407))</f>
        <v/>
      </c>
      <c r="S407" s="63">
        <f>IF(O407="","",IF(OR(H407="",H407=0),O407*P407,O407*H407*P407))</f>
        <v/>
      </c>
      <c r="T407" s="63">
        <f>IF(O407="","",IF(OR(H407="",H407=0),O407*R407,O407*H407*R407))</f>
        <v/>
      </c>
      <c r="U407" s="62">
        <f>IF(C407="","",INPUT_SYSTEM!C421)</f>
        <v/>
      </c>
      <c r="V407" s="2" t="n"/>
    </row>
    <row r="408" ht="15.75" customHeight="1" s="125">
      <c r="A408" s="62">
        <f>IF(INPUT_SYSTEM!D422="","",INPUT_SYSTEM!A422)</f>
        <v/>
      </c>
      <c r="B408" s="62">
        <f>IF(INPUT_SYSTEM!D422="","",INPUT_SYSTEM!B422)</f>
        <v/>
      </c>
      <c r="C408" s="62">
        <f>IF(INPUT_SYSTEM!D422="","",INPUT_SYSTEM!D422)</f>
        <v/>
      </c>
      <c r="D408" s="62">
        <f>IF(C408="","",INPUT_SYSTEM!E422)</f>
        <v/>
      </c>
      <c r="E408" s="62">
        <f>IF(C408="","",INPUT_SYSTEM!F422)</f>
        <v/>
      </c>
      <c r="F408" s="62">
        <f t="array" ref="F408">IFERROR(INDEX(PRODUCT!$D:$D,MATCH(C408,PRODUCT!$B:$B,0)),"")</f>
        <v/>
      </c>
      <c r="G408" s="62">
        <f t="array" ref="G408">IFERROR(INDEX(PRODUCT!$E:$E,MATCH(C408,PRODUCT!$B:$B,0)),"")</f>
        <v/>
      </c>
      <c r="H408" s="62">
        <f t="array" ref="H408">IFERROR(INDEX(PRODUCT!$F:$F,MATCH(C408,PRODUCT!$B:$B,0)),"")</f>
        <v/>
      </c>
      <c r="I408" s="62">
        <f>IF(C408="","",INPUT_SYSTEM!G422)</f>
        <v/>
      </c>
      <c r="J408" s="62">
        <f>IF(C408="","",INPUT_SYSTEM!H422)</f>
        <v/>
      </c>
      <c r="K408" s="60">
        <f>IF(C408="","",INPUT_SYSTEM!J422)</f>
        <v/>
      </c>
      <c r="L408" s="62">
        <f>IF(C408="","",INPUT_SYSTEM!K422)</f>
        <v/>
      </c>
      <c r="M408" s="62">
        <f>IF(C408="","",INPUT_SYSTEM!L422)</f>
        <v/>
      </c>
      <c r="N408" s="62">
        <f>IF(U408&lt;&gt;"SI","",IF(M408&lt;&gt;"",M408,IFERROR(I408*J408*(1+K408)*L408,"")))</f>
        <v/>
      </c>
      <c r="O408" s="62">
        <f>IF(N408="","",IF(OR(H408="",H408=0),N408,ROUNDUP(N408/H408,0)))</f>
        <v/>
      </c>
      <c r="P408" s="63">
        <f t="array" ref="P408">IFERROR(INDEX(PRODUCT!$I:$I,MATCH(C408,PRODUCT!$B:$B,0)),"")</f>
        <v/>
      </c>
      <c r="Q408" s="63">
        <f>IF(C408="","",INPUT_SYSTEM!M422)</f>
        <v/>
      </c>
      <c r="R408" s="63">
        <f>IF(P408="","",P408*(1+Q408))</f>
        <v/>
      </c>
      <c r="S408" s="63">
        <f>IF(O408="","",IF(OR(H408="",H408=0),O408*P408,O408*H408*P408))</f>
        <v/>
      </c>
      <c r="T408" s="63">
        <f>IF(O408="","",IF(OR(H408="",H408=0),O408*R408,O408*H408*R408))</f>
        <v/>
      </c>
      <c r="U408" s="62">
        <f>IF(C408="","",INPUT_SYSTEM!C422)</f>
        <v/>
      </c>
      <c r="V408" s="2" t="n"/>
    </row>
    <row r="409" ht="15.75" customHeight="1" s="125">
      <c r="A409" s="62">
        <f>IF(INPUT_SYSTEM!D423="","",INPUT_SYSTEM!A423)</f>
        <v/>
      </c>
      <c r="B409" s="62">
        <f>IF(INPUT_SYSTEM!D423="","",INPUT_SYSTEM!B423)</f>
        <v/>
      </c>
      <c r="C409" s="62">
        <f>IF(INPUT_SYSTEM!D423="","",INPUT_SYSTEM!D423)</f>
        <v/>
      </c>
      <c r="D409" s="62">
        <f>IF(C409="","",INPUT_SYSTEM!E423)</f>
        <v/>
      </c>
      <c r="E409" s="62">
        <f>IF(C409="","",INPUT_SYSTEM!F423)</f>
        <v/>
      </c>
      <c r="F409" s="62">
        <f t="array" ref="F409">IFERROR(INDEX(PRODUCT!$D:$D,MATCH(C409,PRODUCT!$B:$B,0)),"")</f>
        <v/>
      </c>
      <c r="G409" s="62">
        <f t="array" ref="G409">IFERROR(INDEX(PRODUCT!$E:$E,MATCH(C409,PRODUCT!$B:$B,0)),"")</f>
        <v/>
      </c>
      <c r="H409" s="62">
        <f t="array" ref="H409">IFERROR(INDEX(PRODUCT!$F:$F,MATCH(C409,PRODUCT!$B:$B,0)),"")</f>
        <v/>
      </c>
      <c r="I409" s="62">
        <f>IF(C409="","",INPUT_SYSTEM!G423)</f>
        <v/>
      </c>
      <c r="J409" s="62">
        <f>IF(C409="","",INPUT_SYSTEM!H423)</f>
        <v/>
      </c>
      <c r="K409" s="60">
        <f>IF(C409="","",INPUT_SYSTEM!J423)</f>
        <v/>
      </c>
      <c r="L409" s="62">
        <f>IF(C409="","",INPUT_SYSTEM!K423)</f>
        <v/>
      </c>
      <c r="M409" s="62">
        <f>IF(C409="","",INPUT_SYSTEM!L423)</f>
        <v/>
      </c>
      <c r="N409" s="62">
        <f>IF(U409&lt;&gt;"SI","",IF(M409&lt;&gt;"",M409,IFERROR(I409*J409*(1+K409)*L409,"")))</f>
        <v/>
      </c>
      <c r="O409" s="62">
        <f>IF(N409="","",IF(OR(H409="",H409=0),N409,ROUNDUP(N409/H409,0)))</f>
        <v/>
      </c>
      <c r="P409" s="63">
        <f t="array" ref="P409">IFERROR(INDEX(PRODUCT!$I:$I,MATCH(C409,PRODUCT!$B:$B,0)),"")</f>
        <v/>
      </c>
      <c r="Q409" s="63">
        <f>IF(C409="","",INPUT_SYSTEM!M423)</f>
        <v/>
      </c>
      <c r="R409" s="63">
        <f>IF(P409="","",P409*(1+Q409))</f>
        <v/>
      </c>
      <c r="S409" s="63">
        <f>IF(O409="","",IF(OR(H409="",H409=0),O409*P409,O409*H409*P409))</f>
        <v/>
      </c>
      <c r="T409" s="63">
        <f>IF(O409="","",IF(OR(H409="",H409=0),O409*R409,O409*H409*R409))</f>
        <v/>
      </c>
      <c r="U409" s="62">
        <f>IF(C409="","",INPUT_SYSTEM!C423)</f>
        <v/>
      </c>
      <c r="V409" s="2" t="n"/>
    </row>
    <row r="410" ht="15.75" customHeight="1" s="125">
      <c r="A410" s="62">
        <f>IF(INPUT_SYSTEM!D424="","",INPUT_SYSTEM!A424)</f>
        <v/>
      </c>
      <c r="B410" s="62">
        <f>IF(INPUT_SYSTEM!D424="","",INPUT_SYSTEM!B424)</f>
        <v/>
      </c>
      <c r="C410" s="62">
        <f>IF(INPUT_SYSTEM!D424="","",INPUT_SYSTEM!D424)</f>
        <v/>
      </c>
      <c r="D410" s="62">
        <f>IF(C410="","",INPUT_SYSTEM!E424)</f>
        <v/>
      </c>
      <c r="E410" s="62">
        <f>IF(C410="","",INPUT_SYSTEM!F424)</f>
        <v/>
      </c>
      <c r="F410" s="62">
        <f t="array" ref="F410">IFERROR(INDEX(PRODUCT!$D:$D,MATCH(C410,PRODUCT!$B:$B,0)),"")</f>
        <v/>
      </c>
      <c r="G410" s="62">
        <f t="array" ref="G410">IFERROR(INDEX(PRODUCT!$E:$E,MATCH(C410,PRODUCT!$B:$B,0)),"")</f>
        <v/>
      </c>
      <c r="H410" s="62">
        <f t="array" ref="H410">IFERROR(INDEX(PRODUCT!$F:$F,MATCH(C410,PRODUCT!$B:$B,0)),"")</f>
        <v/>
      </c>
      <c r="I410" s="62">
        <f>IF(C410="","",INPUT_SYSTEM!G424)</f>
        <v/>
      </c>
      <c r="J410" s="62">
        <f>IF(C410="","",INPUT_SYSTEM!H424)</f>
        <v/>
      </c>
      <c r="K410" s="60">
        <f>IF(C410="","",INPUT_SYSTEM!J424)</f>
        <v/>
      </c>
      <c r="L410" s="62">
        <f>IF(C410="","",INPUT_SYSTEM!K424)</f>
        <v/>
      </c>
      <c r="M410" s="62">
        <f>IF(C410="","",INPUT_SYSTEM!L424)</f>
        <v/>
      </c>
      <c r="N410" s="62">
        <f>IF(U410&lt;&gt;"SI","",IF(M410&lt;&gt;"",M410,IFERROR(I410*J410*(1+K410)*L410,"")))</f>
        <v/>
      </c>
      <c r="O410" s="62">
        <f>IF(N410="","",IF(OR(H410="",H410=0),N410,ROUNDUP(N410/H410,0)))</f>
        <v/>
      </c>
      <c r="P410" s="63">
        <f t="array" ref="P410">IFERROR(INDEX(PRODUCT!$I:$I,MATCH(C410,PRODUCT!$B:$B,0)),"")</f>
        <v/>
      </c>
      <c r="Q410" s="63">
        <f>IF(C410="","",INPUT_SYSTEM!M424)</f>
        <v/>
      </c>
      <c r="R410" s="63">
        <f>IF(P410="","",P410*(1+Q410))</f>
        <v/>
      </c>
      <c r="S410" s="63">
        <f>IF(O410="","",IF(OR(H410="",H410=0),O410*P410,O410*H410*P410))</f>
        <v/>
      </c>
      <c r="T410" s="63">
        <f>IF(O410="","",IF(OR(H410="",H410=0),O410*R410,O410*H410*R410))</f>
        <v/>
      </c>
      <c r="U410" s="62">
        <f>IF(C410="","",INPUT_SYSTEM!C424)</f>
        <v/>
      </c>
      <c r="V410" s="2" t="n"/>
    </row>
    <row r="411" ht="15.75" customHeight="1" s="125">
      <c r="A411" s="62">
        <f>IF(INPUT_SYSTEM!D425="","",INPUT_SYSTEM!A425)</f>
        <v/>
      </c>
      <c r="B411" s="62">
        <f>IF(INPUT_SYSTEM!D425="","",INPUT_SYSTEM!B425)</f>
        <v/>
      </c>
      <c r="C411" s="62">
        <f>IF(INPUT_SYSTEM!D425="","",INPUT_SYSTEM!D425)</f>
        <v/>
      </c>
      <c r="D411" s="62">
        <f>IF(C411="","",INPUT_SYSTEM!E425)</f>
        <v/>
      </c>
      <c r="E411" s="62">
        <f>IF(C411="","",INPUT_SYSTEM!F425)</f>
        <v/>
      </c>
      <c r="F411" s="62">
        <f t="array" ref="F411">IFERROR(INDEX(PRODUCT!$D:$D,MATCH(C411,PRODUCT!$B:$B,0)),"")</f>
        <v/>
      </c>
      <c r="G411" s="62">
        <f t="array" ref="G411">IFERROR(INDEX(PRODUCT!$E:$E,MATCH(C411,PRODUCT!$B:$B,0)),"")</f>
        <v/>
      </c>
      <c r="H411" s="62">
        <f t="array" ref="H411">IFERROR(INDEX(PRODUCT!$F:$F,MATCH(C411,PRODUCT!$B:$B,0)),"")</f>
        <v/>
      </c>
      <c r="I411" s="62">
        <f>IF(C411="","",INPUT_SYSTEM!G425)</f>
        <v/>
      </c>
      <c r="J411" s="62">
        <f>IF(C411="","",INPUT_SYSTEM!H425)</f>
        <v/>
      </c>
      <c r="K411" s="60">
        <f>IF(C411="","",INPUT_SYSTEM!J425)</f>
        <v/>
      </c>
      <c r="L411" s="62">
        <f>IF(C411="","",INPUT_SYSTEM!K425)</f>
        <v/>
      </c>
      <c r="M411" s="62">
        <f>IF(C411="","",INPUT_SYSTEM!L425)</f>
        <v/>
      </c>
      <c r="N411" s="62">
        <f>IF(U411&lt;&gt;"SI","",IF(M411&lt;&gt;"",M411,IFERROR(I411*J411*(1+K411)*L411,"")))</f>
        <v/>
      </c>
      <c r="O411" s="62">
        <f>IF(N411="","",IF(OR(H411="",H411=0),N411,ROUNDUP(N411/H411,0)))</f>
        <v/>
      </c>
      <c r="P411" s="63">
        <f t="array" ref="P411">IFERROR(INDEX(PRODUCT!$I:$I,MATCH(C411,PRODUCT!$B:$B,0)),"")</f>
        <v/>
      </c>
      <c r="Q411" s="63">
        <f>IF(C411="","",INPUT_SYSTEM!M425)</f>
        <v/>
      </c>
      <c r="R411" s="63">
        <f>IF(P411="","",P411*(1+Q411))</f>
        <v/>
      </c>
      <c r="S411" s="63">
        <f>IF(O411="","",IF(OR(H411="",H411=0),O411*P411,O411*H411*P411))</f>
        <v/>
      </c>
      <c r="T411" s="63">
        <f>IF(O411="","",IF(OR(H411="",H411=0),O411*R411,O411*H411*R411))</f>
        <v/>
      </c>
      <c r="U411" s="62">
        <f>IF(C411="","",INPUT_SYSTEM!C425)</f>
        <v/>
      </c>
      <c r="V411" s="2" t="n"/>
    </row>
    <row r="412" ht="15.75" customHeight="1" s="125">
      <c r="A412" s="62">
        <f>IF(INPUT_SYSTEM!D426="","",INPUT_SYSTEM!A426)</f>
        <v/>
      </c>
      <c r="B412" s="62">
        <f>IF(INPUT_SYSTEM!D426="","",INPUT_SYSTEM!B426)</f>
        <v/>
      </c>
      <c r="C412" s="62">
        <f>IF(INPUT_SYSTEM!D426="","",INPUT_SYSTEM!D426)</f>
        <v/>
      </c>
      <c r="D412" s="62">
        <f>IF(C412="","",INPUT_SYSTEM!E426)</f>
        <v/>
      </c>
      <c r="E412" s="62">
        <f>IF(C412="","",INPUT_SYSTEM!F426)</f>
        <v/>
      </c>
      <c r="F412" s="62">
        <f t="array" ref="F412">IFERROR(INDEX(PRODUCT!$D:$D,MATCH(C412,PRODUCT!$B:$B,0)),"")</f>
        <v/>
      </c>
      <c r="G412" s="62">
        <f t="array" ref="G412">IFERROR(INDEX(PRODUCT!$E:$E,MATCH(C412,PRODUCT!$B:$B,0)),"")</f>
        <v/>
      </c>
      <c r="H412" s="62">
        <f t="array" ref="H412">IFERROR(INDEX(PRODUCT!$F:$F,MATCH(C412,PRODUCT!$B:$B,0)),"")</f>
        <v/>
      </c>
      <c r="I412" s="62">
        <f>IF(C412="","",INPUT_SYSTEM!G426)</f>
        <v/>
      </c>
      <c r="J412" s="62">
        <f>IF(C412="","",INPUT_SYSTEM!H426)</f>
        <v/>
      </c>
      <c r="K412" s="60">
        <f>IF(C412="","",INPUT_SYSTEM!J426)</f>
        <v/>
      </c>
      <c r="L412" s="62">
        <f>IF(C412="","",INPUT_SYSTEM!K426)</f>
        <v/>
      </c>
      <c r="M412" s="62">
        <f>IF(C412="","",INPUT_SYSTEM!L426)</f>
        <v/>
      </c>
      <c r="N412" s="62">
        <f>IF(U412&lt;&gt;"SI","",IF(M412&lt;&gt;"",M412,IFERROR(I412*J412*(1+K412)*L412,"")))</f>
        <v/>
      </c>
      <c r="O412" s="62">
        <f>IF(N412="","",IF(OR(H412="",H412=0),N412,ROUNDUP(N412/H412,0)))</f>
        <v/>
      </c>
      <c r="P412" s="63">
        <f t="array" ref="P412">IFERROR(INDEX(PRODUCT!$I:$I,MATCH(C412,PRODUCT!$B:$B,0)),"")</f>
        <v/>
      </c>
      <c r="Q412" s="63">
        <f>IF(C412="","",INPUT_SYSTEM!M426)</f>
        <v/>
      </c>
      <c r="R412" s="63">
        <f>IF(P412="","",P412*(1+Q412))</f>
        <v/>
      </c>
      <c r="S412" s="63">
        <f>IF(O412="","",IF(OR(H412="",H412=0),O412*P412,O412*H412*P412))</f>
        <v/>
      </c>
      <c r="T412" s="63">
        <f>IF(O412="","",IF(OR(H412="",H412=0),O412*R412,O412*H412*R412))</f>
        <v/>
      </c>
      <c r="U412" s="62">
        <f>IF(C412="","",INPUT_SYSTEM!C426)</f>
        <v/>
      </c>
      <c r="V412" s="2" t="n"/>
    </row>
    <row r="413" ht="15.75" customHeight="1" s="125">
      <c r="A413" s="62">
        <f>IF(INPUT_SYSTEM!D427="","",INPUT_SYSTEM!A427)</f>
        <v/>
      </c>
      <c r="B413" s="62">
        <f>IF(INPUT_SYSTEM!D427="","",INPUT_SYSTEM!B427)</f>
        <v/>
      </c>
      <c r="C413" s="62">
        <f>IF(INPUT_SYSTEM!D427="","",INPUT_SYSTEM!D427)</f>
        <v/>
      </c>
      <c r="D413" s="62">
        <f>IF(C413="","",INPUT_SYSTEM!E427)</f>
        <v/>
      </c>
      <c r="E413" s="62">
        <f>IF(C413="","",INPUT_SYSTEM!F427)</f>
        <v/>
      </c>
      <c r="F413" s="62">
        <f t="array" ref="F413">IFERROR(INDEX(PRODUCT!$D:$D,MATCH(C413,PRODUCT!$B:$B,0)),"")</f>
        <v/>
      </c>
      <c r="G413" s="62">
        <f t="array" ref="G413">IFERROR(INDEX(PRODUCT!$E:$E,MATCH(C413,PRODUCT!$B:$B,0)),"")</f>
        <v/>
      </c>
      <c r="H413" s="62">
        <f t="array" ref="H413">IFERROR(INDEX(PRODUCT!$F:$F,MATCH(C413,PRODUCT!$B:$B,0)),"")</f>
        <v/>
      </c>
      <c r="I413" s="62">
        <f>IF(C413="","",INPUT_SYSTEM!G427)</f>
        <v/>
      </c>
      <c r="J413" s="62">
        <f>IF(C413="","",INPUT_SYSTEM!H427)</f>
        <v/>
      </c>
      <c r="K413" s="60">
        <f>IF(C413="","",INPUT_SYSTEM!J427)</f>
        <v/>
      </c>
      <c r="L413" s="62">
        <f>IF(C413="","",INPUT_SYSTEM!K427)</f>
        <v/>
      </c>
      <c r="M413" s="62">
        <f>IF(C413="","",INPUT_SYSTEM!L427)</f>
        <v/>
      </c>
      <c r="N413" s="62">
        <f>IF(U413&lt;&gt;"SI","",IF(M413&lt;&gt;"",M413,IFERROR(I413*J413*(1+K413)*L413,"")))</f>
        <v/>
      </c>
      <c r="O413" s="62">
        <f>IF(N413="","",IF(OR(H413="",H413=0),N413,ROUNDUP(N413/H413,0)))</f>
        <v/>
      </c>
      <c r="P413" s="63">
        <f t="array" ref="P413">IFERROR(INDEX(PRODUCT!$I:$I,MATCH(C413,PRODUCT!$B:$B,0)),"")</f>
        <v/>
      </c>
      <c r="Q413" s="63">
        <f>IF(C413="","",INPUT_SYSTEM!M427)</f>
        <v/>
      </c>
      <c r="R413" s="63">
        <f>IF(P413="","",P413*(1+Q413))</f>
        <v/>
      </c>
      <c r="S413" s="63">
        <f>IF(O413="","",IF(OR(H413="",H413=0),O413*P413,O413*H413*P413))</f>
        <v/>
      </c>
      <c r="T413" s="63">
        <f>IF(O413="","",IF(OR(H413="",H413=0),O413*R413,O413*H413*R413))</f>
        <v/>
      </c>
      <c r="U413" s="62">
        <f>IF(C413="","",INPUT_SYSTEM!C427)</f>
        <v/>
      </c>
      <c r="V413" s="2" t="n"/>
    </row>
    <row r="414" ht="15.75" customHeight="1" s="125">
      <c r="A414" s="62">
        <f>IF(INPUT_SYSTEM!D428="","",INPUT_SYSTEM!A428)</f>
        <v/>
      </c>
      <c r="B414" s="62">
        <f>IF(INPUT_SYSTEM!D428="","",INPUT_SYSTEM!B428)</f>
        <v/>
      </c>
      <c r="C414" s="62">
        <f>IF(INPUT_SYSTEM!D428="","",INPUT_SYSTEM!D428)</f>
        <v/>
      </c>
      <c r="D414" s="62">
        <f>IF(C414="","",INPUT_SYSTEM!E428)</f>
        <v/>
      </c>
      <c r="E414" s="62">
        <f>IF(C414="","",INPUT_SYSTEM!F428)</f>
        <v/>
      </c>
      <c r="F414" s="62">
        <f t="array" ref="F414">IFERROR(INDEX(PRODUCT!$D:$D,MATCH(C414,PRODUCT!$B:$B,0)),"")</f>
        <v/>
      </c>
      <c r="G414" s="62">
        <f t="array" ref="G414">IFERROR(INDEX(PRODUCT!$E:$E,MATCH(C414,PRODUCT!$B:$B,0)),"")</f>
        <v/>
      </c>
      <c r="H414" s="62">
        <f t="array" ref="H414">IFERROR(INDEX(PRODUCT!$F:$F,MATCH(C414,PRODUCT!$B:$B,0)),"")</f>
        <v/>
      </c>
      <c r="I414" s="62">
        <f>IF(C414="","",INPUT_SYSTEM!G428)</f>
        <v/>
      </c>
      <c r="J414" s="62">
        <f>IF(C414="","",INPUT_SYSTEM!H428)</f>
        <v/>
      </c>
      <c r="K414" s="60">
        <f>IF(C414="","",INPUT_SYSTEM!J428)</f>
        <v/>
      </c>
      <c r="L414" s="62">
        <f>IF(C414="","",INPUT_SYSTEM!K428)</f>
        <v/>
      </c>
      <c r="M414" s="62">
        <f>IF(C414="","",INPUT_SYSTEM!L428)</f>
        <v/>
      </c>
      <c r="N414" s="62">
        <f>IF(U414&lt;&gt;"SI","",IF(M414&lt;&gt;"",M414,IFERROR(I414*J414*(1+K414)*L414,"")))</f>
        <v/>
      </c>
      <c r="O414" s="62">
        <f>IF(N414="","",IF(OR(H414="",H414=0),N414,ROUNDUP(N414/H414,0)))</f>
        <v/>
      </c>
      <c r="P414" s="63">
        <f t="array" ref="P414">IFERROR(INDEX(PRODUCT!$I:$I,MATCH(C414,PRODUCT!$B:$B,0)),"")</f>
        <v/>
      </c>
      <c r="Q414" s="63">
        <f>IF(C414="","",INPUT_SYSTEM!M428)</f>
        <v/>
      </c>
      <c r="R414" s="63">
        <f>IF(P414="","",P414*(1+Q414))</f>
        <v/>
      </c>
      <c r="S414" s="63">
        <f>IF(O414="","",IF(OR(H414="",H414=0),O414*P414,O414*H414*P414))</f>
        <v/>
      </c>
      <c r="T414" s="63">
        <f>IF(O414="","",IF(OR(H414="",H414=0),O414*R414,O414*H414*R414))</f>
        <v/>
      </c>
      <c r="U414" s="62">
        <f>IF(C414="","",INPUT_SYSTEM!C428)</f>
        <v/>
      </c>
      <c r="V414" s="2" t="n"/>
    </row>
    <row r="415" ht="15.75" customHeight="1" s="125">
      <c r="A415" s="62">
        <f>IF(INPUT_SYSTEM!D429="","",INPUT_SYSTEM!A429)</f>
        <v/>
      </c>
      <c r="B415" s="62">
        <f>IF(INPUT_SYSTEM!D429="","",INPUT_SYSTEM!B429)</f>
        <v/>
      </c>
      <c r="C415" s="62">
        <f>IF(INPUT_SYSTEM!D429="","",INPUT_SYSTEM!D429)</f>
        <v/>
      </c>
      <c r="D415" s="62">
        <f>IF(C415="","",INPUT_SYSTEM!E429)</f>
        <v/>
      </c>
      <c r="E415" s="62">
        <f>IF(C415="","",INPUT_SYSTEM!F429)</f>
        <v/>
      </c>
      <c r="F415" s="62">
        <f t="array" ref="F415">IFERROR(INDEX(PRODUCT!$D:$D,MATCH(C415,PRODUCT!$B:$B,0)),"")</f>
        <v/>
      </c>
      <c r="G415" s="62">
        <f t="array" ref="G415">IFERROR(INDEX(PRODUCT!$E:$E,MATCH(C415,PRODUCT!$B:$B,0)),"")</f>
        <v/>
      </c>
      <c r="H415" s="62">
        <f t="array" ref="H415">IFERROR(INDEX(PRODUCT!$F:$F,MATCH(C415,PRODUCT!$B:$B,0)),"")</f>
        <v/>
      </c>
      <c r="I415" s="62">
        <f>IF(C415="","",INPUT_SYSTEM!G429)</f>
        <v/>
      </c>
      <c r="J415" s="62">
        <f>IF(C415="","",INPUT_SYSTEM!H429)</f>
        <v/>
      </c>
      <c r="K415" s="60">
        <f>IF(C415="","",INPUT_SYSTEM!J429)</f>
        <v/>
      </c>
      <c r="L415" s="62">
        <f>IF(C415="","",INPUT_SYSTEM!K429)</f>
        <v/>
      </c>
      <c r="M415" s="62">
        <f>IF(C415="","",INPUT_SYSTEM!L429)</f>
        <v/>
      </c>
      <c r="N415" s="62">
        <f>IF(U415&lt;&gt;"SI","",IF(M415&lt;&gt;"",M415,IFERROR(I415*J415*(1+K415)*L415,"")))</f>
        <v/>
      </c>
      <c r="O415" s="62">
        <f>IF(N415="","",IF(OR(H415="",H415=0),N415,ROUNDUP(N415/H415,0)))</f>
        <v/>
      </c>
      <c r="P415" s="63">
        <f t="array" ref="P415">IFERROR(INDEX(PRODUCT!$I:$I,MATCH(C415,PRODUCT!$B:$B,0)),"")</f>
        <v/>
      </c>
      <c r="Q415" s="63">
        <f>IF(C415="","",INPUT_SYSTEM!M429)</f>
        <v/>
      </c>
      <c r="R415" s="63">
        <f>IF(P415="","",P415*(1+Q415))</f>
        <v/>
      </c>
      <c r="S415" s="63">
        <f>IF(O415="","",IF(OR(H415="",H415=0),O415*P415,O415*H415*P415))</f>
        <v/>
      </c>
      <c r="T415" s="63">
        <f>IF(O415="","",IF(OR(H415="",H415=0),O415*R415,O415*H415*R415))</f>
        <v/>
      </c>
      <c r="U415" s="62">
        <f>IF(C415="","",INPUT_SYSTEM!C429)</f>
        <v/>
      </c>
      <c r="V415" s="2" t="n"/>
    </row>
    <row r="416" ht="15.75" customHeight="1" s="125">
      <c r="A416" s="62">
        <f>IF(INPUT_SYSTEM!D430="","",INPUT_SYSTEM!A430)</f>
        <v/>
      </c>
      <c r="B416" s="62">
        <f>IF(INPUT_SYSTEM!D430="","",INPUT_SYSTEM!B430)</f>
        <v/>
      </c>
      <c r="C416" s="62">
        <f>IF(INPUT_SYSTEM!D430="","",INPUT_SYSTEM!D430)</f>
        <v/>
      </c>
      <c r="D416" s="62">
        <f>IF(C416="","",INPUT_SYSTEM!E430)</f>
        <v/>
      </c>
      <c r="E416" s="62">
        <f>IF(C416="","",INPUT_SYSTEM!F430)</f>
        <v/>
      </c>
      <c r="F416" s="62">
        <f t="array" ref="F416">IFERROR(INDEX(PRODUCT!$D:$D,MATCH(C416,PRODUCT!$B:$B,0)),"")</f>
        <v/>
      </c>
      <c r="G416" s="62">
        <f t="array" ref="G416">IFERROR(INDEX(PRODUCT!$E:$E,MATCH(C416,PRODUCT!$B:$B,0)),"")</f>
        <v/>
      </c>
      <c r="H416" s="62">
        <f t="array" ref="H416">IFERROR(INDEX(PRODUCT!$F:$F,MATCH(C416,PRODUCT!$B:$B,0)),"")</f>
        <v/>
      </c>
      <c r="I416" s="62">
        <f>IF(C416="","",INPUT_SYSTEM!G430)</f>
        <v/>
      </c>
      <c r="J416" s="62">
        <f>IF(C416="","",INPUT_SYSTEM!H430)</f>
        <v/>
      </c>
      <c r="K416" s="60">
        <f>IF(C416="","",INPUT_SYSTEM!J430)</f>
        <v/>
      </c>
      <c r="L416" s="62">
        <f>IF(C416="","",INPUT_SYSTEM!K430)</f>
        <v/>
      </c>
      <c r="M416" s="62">
        <f>IF(C416="","",INPUT_SYSTEM!L430)</f>
        <v/>
      </c>
      <c r="N416" s="62">
        <f>IF(U416&lt;&gt;"SI","",IF(M416&lt;&gt;"",M416,IFERROR(I416*J416*(1+K416)*L416,"")))</f>
        <v/>
      </c>
      <c r="O416" s="62">
        <f>IF(N416="","",IF(OR(H416="",H416=0),N416,ROUNDUP(N416/H416,0)))</f>
        <v/>
      </c>
      <c r="P416" s="63">
        <f t="array" ref="P416">IFERROR(INDEX(PRODUCT!$I:$I,MATCH(C416,PRODUCT!$B:$B,0)),"")</f>
        <v/>
      </c>
      <c r="Q416" s="63">
        <f>IF(C416="","",INPUT_SYSTEM!M430)</f>
        <v/>
      </c>
      <c r="R416" s="63">
        <f>IF(P416="","",P416*(1+Q416))</f>
        <v/>
      </c>
      <c r="S416" s="63">
        <f>IF(O416="","",IF(OR(H416="",H416=0),O416*P416,O416*H416*P416))</f>
        <v/>
      </c>
      <c r="T416" s="63">
        <f>IF(O416="","",IF(OR(H416="",H416=0),O416*R416,O416*H416*R416))</f>
        <v/>
      </c>
      <c r="U416" s="62">
        <f>IF(C416="","",INPUT_SYSTEM!C430)</f>
        <v/>
      </c>
      <c r="V416" s="2" t="n"/>
    </row>
    <row r="417" ht="15.75" customHeight="1" s="125">
      <c r="A417" s="62">
        <f>IF(INPUT_SYSTEM!D431="","",INPUT_SYSTEM!A431)</f>
        <v/>
      </c>
      <c r="B417" s="62">
        <f>IF(INPUT_SYSTEM!D431="","",INPUT_SYSTEM!B431)</f>
        <v/>
      </c>
      <c r="C417" s="62">
        <f>IF(INPUT_SYSTEM!D431="","",INPUT_SYSTEM!D431)</f>
        <v/>
      </c>
      <c r="D417" s="62">
        <f>IF(C417="","",INPUT_SYSTEM!E431)</f>
        <v/>
      </c>
      <c r="E417" s="62">
        <f>IF(C417="","",INPUT_SYSTEM!F431)</f>
        <v/>
      </c>
      <c r="F417" s="62">
        <f t="array" ref="F417">IFERROR(INDEX(PRODUCT!$D:$D,MATCH(C417,PRODUCT!$B:$B,0)),"")</f>
        <v/>
      </c>
      <c r="G417" s="62">
        <f t="array" ref="G417">IFERROR(INDEX(PRODUCT!$E:$E,MATCH(C417,PRODUCT!$B:$B,0)),"")</f>
        <v/>
      </c>
      <c r="H417" s="62">
        <f t="array" ref="H417">IFERROR(INDEX(PRODUCT!$F:$F,MATCH(C417,PRODUCT!$B:$B,0)),"")</f>
        <v/>
      </c>
      <c r="I417" s="62">
        <f>IF(C417="","",INPUT_SYSTEM!G431)</f>
        <v/>
      </c>
      <c r="J417" s="62">
        <f>IF(C417="","",INPUT_SYSTEM!H431)</f>
        <v/>
      </c>
      <c r="K417" s="60">
        <f>IF(C417="","",INPUT_SYSTEM!J431)</f>
        <v/>
      </c>
      <c r="L417" s="62">
        <f>IF(C417="","",INPUT_SYSTEM!K431)</f>
        <v/>
      </c>
      <c r="M417" s="62">
        <f>IF(C417="","",INPUT_SYSTEM!L431)</f>
        <v/>
      </c>
      <c r="N417" s="62">
        <f>IF(U417&lt;&gt;"SI","",IF(M417&lt;&gt;"",M417,IFERROR(I417*J417*(1+K417)*L417,"")))</f>
        <v/>
      </c>
      <c r="O417" s="62">
        <f>IF(N417="","",IF(OR(H417="",H417=0),N417,ROUNDUP(N417/H417,0)))</f>
        <v/>
      </c>
      <c r="P417" s="63">
        <f t="array" ref="P417">IFERROR(INDEX(PRODUCT!$I:$I,MATCH(C417,PRODUCT!$B:$B,0)),"")</f>
        <v/>
      </c>
      <c r="Q417" s="63">
        <f>IF(C417="","",INPUT_SYSTEM!M431)</f>
        <v/>
      </c>
      <c r="R417" s="63">
        <f>IF(P417="","",P417*(1+Q417))</f>
        <v/>
      </c>
      <c r="S417" s="63">
        <f>IF(O417="","",IF(OR(H417="",H417=0),O417*P417,O417*H417*P417))</f>
        <v/>
      </c>
      <c r="T417" s="63">
        <f>IF(O417="","",IF(OR(H417="",H417=0),O417*R417,O417*H417*R417))</f>
        <v/>
      </c>
      <c r="U417" s="62">
        <f>IF(C417="","",INPUT_SYSTEM!C431)</f>
        <v/>
      </c>
      <c r="V417" s="2" t="n"/>
    </row>
    <row r="418" ht="15.75" customHeight="1" s="125">
      <c r="A418" s="62">
        <f>IF(INPUT_SYSTEM!D432="","",INPUT_SYSTEM!A432)</f>
        <v/>
      </c>
      <c r="B418" s="62">
        <f>IF(INPUT_SYSTEM!D432="","",INPUT_SYSTEM!B432)</f>
        <v/>
      </c>
      <c r="C418" s="62">
        <f>IF(INPUT_SYSTEM!D432="","",INPUT_SYSTEM!D432)</f>
        <v/>
      </c>
      <c r="D418" s="62">
        <f>IF(C418="","",INPUT_SYSTEM!E432)</f>
        <v/>
      </c>
      <c r="E418" s="62">
        <f>IF(C418="","",INPUT_SYSTEM!F432)</f>
        <v/>
      </c>
      <c r="F418" s="62">
        <f t="array" ref="F418">IFERROR(INDEX(PRODUCT!$D:$D,MATCH(C418,PRODUCT!$B:$B,0)),"")</f>
        <v/>
      </c>
      <c r="G418" s="62">
        <f t="array" ref="G418">IFERROR(INDEX(PRODUCT!$E:$E,MATCH(C418,PRODUCT!$B:$B,0)),"")</f>
        <v/>
      </c>
      <c r="H418" s="62">
        <f t="array" ref="H418">IFERROR(INDEX(PRODUCT!$F:$F,MATCH(C418,PRODUCT!$B:$B,0)),"")</f>
        <v/>
      </c>
      <c r="I418" s="62">
        <f>IF(C418="","",INPUT_SYSTEM!G432)</f>
        <v/>
      </c>
      <c r="J418" s="62">
        <f>IF(C418="","",INPUT_SYSTEM!H432)</f>
        <v/>
      </c>
      <c r="K418" s="60">
        <f>IF(C418="","",INPUT_SYSTEM!J432)</f>
        <v/>
      </c>
      <c r="L418" s="62">
        <f>IF(C418="","",INPUT_SYSTEM!K432)</f>
        <v/>
      </c>
      <c r="M418" s="62">
        <f>IF(C418="","",INPUT_SYSTEM!L432)</f>
        <v/>
      </c>
      <c r="N418" s="62">
        <f>IF(U418&lt;&gt;"SI","",IF(M418&lt;&gt;"",M418,IFERROR(I418*J418*(1+K418)*L418,"")))</f>
        <v/>
      </c>
      <c r="O418" s="62">
        <f>IF(N418="","",IF(OR(H418="",H418=0),N418,ROUNDUP(N418/H418,0)))</f>
        <v/>
      </c>
      <c r="P418" s="63">
        <f t="array" ref="P418">IFERROR(INDEX(PRODUCT!$I:$I,MATCH(C418,PRODUCT!$B:$B,0)),"")</f>
        <v/>
      </c>
      <c r="Q418" s="63">
        <f>IF(C418="","",INPUT_SYSTEM!M432)</f>
        <v/>
      </c>
      <c r="R418" s="63">
        <f>IF(P418="","",P418*(1+Q418))</f>
        <v/>
      </c>
      <c r="S418" s="63">
        <f>IF(O418="","",IF(OR(H418="",H418=0),O418*P418,O418*H418*P418))</f>
        <v/>
      </c>
      <c r="T418" s="63">
        <f>IF(O418="","",IF(OR(H418="",H418=0),O418*R418,O418*H418*R418))</f>
        <v/>
      </c>
      <c r="U418" s="62">
        <f>IF(C418="","",INPUT_SYSTEM!C432)</f>
        <v/>
      </c>
      <c r="V418" s="2" t="n"/>
    </row>
    <row r="419" ht="15.75" customHeight="1" s="125">
      <c r="A419" s="62">
        <f>IF(INPUT_SYSTEM!D433="","",INPUT_SYSTEM!A433)</f>
        <v/>
      </c>
      <c r="B419" s="62">
        <f>IF(INPUT_SYSTEM!D433="","",INPUT_SYSTEM!B433)</f>
        <v/>
      </c>
      <c r="C419" s="62">
        <f>IF(INPUT_SYSTEM!D433="","",INPUT_SYSTEM!D433)</f>
        <v/>
      </c>
      <c r="D419" s="62">
        <f>IF(C419="","",INPUT_SYSTEM!E433)</f>
        <v/>
      </c>
      <c r="E419" s="62">
        <f>IF(C419="","",INPUT_SYSTEM!F433)</f>
        <v/>
      </c>
      <c r="F419" s="62">
        <f t="array" ref="F419">IFERROR(INDEX(PRODUCT!$D:$D,MATCH(C419,PRODUCT!$B:$B,0)),"")</f>
        <v/>
      </c>
      <c r="G419" s="62">
        <f t="array" ref="G419">IFERROR(INDEX(PRODUCT!$E:$E,MATCH(C419,PRODUCT!$B:$B,0)),"")</f>
        <v/>
      </c>
      <c r="H419" s="62">
        <f t="array" ref="H419">IFERROR(INDEX(PRODUCT!$F:$F,MATCH(C419,PRODUCT!$B:$B,0)),"")</f>
        <v/>
      </c>
      <c r="I419" s="62">
        <f>IF(C419="","",INPUT_SYSTEM!G433)</f>
        <v/>
      </c>
      <c r="J419" s="62">
        <f>IF(C419="","",INPUT_SYSTEM!H433)</f>
        <v/>
      </c>
      <c r="K419" s="60">
        <f>IF(C419="","",INPUT_SYSTEM!J433)</f>
        <v/>
      </c>
      <c r="L419" s="62">
        <f>IF(C419="","",INPUT_SYSTEM!K433)</f>
        <v/>
      </c>
      <c r="M419" s="62">
        <f>IF(C419="","",INPUT_SYSTEM!L433)</f>
        <v/>
      </c>
      <c r="N419" s="62">
        <f>IF(U419&lt;&gt;"SI","",IF(M419&lt;&gt;"",M419,IFERROR(I419*J419*(1+K419)*L419,"")))</f>
        <v/>
      </c>
      <c r="O419" s="62">
        <f>IF(N419="","",IF(OR(H419="",H419=0),N419,ROUNDUP(N419/H419,0)))</f>
        <v/>
      </c>
      <c r="P419" s="63">
        <f t="array" ref="P419">IFERROR(INDEX(PRODUCT!$I:$I,MATCH(C419,PRODUCT!$B:$B,0)),"")</f>
        <v/>
      </c>
      <c r="Q419" s="63">
        <f>IF(C419="","",INPUT_SYSTEM!M433)</f>
        <v/>
      </c>
      <c r="R419" s="63">
        <f>IF(P419="","",P419*(1+Q419))</f>
        <v/>
      </c>
      <c r="S419" s="63">
        <f>IF(O419="","",IF(OR(H419="",H419=0),O419*P419,O419*H419*P419))</f>
        <v/>
      </c>
      <c r="T419" s="63">
        <f>IF(O419="","",IF(OR(H419="",H419=0),O419*R419,O419*H419*R419))</f>
        <v/>
      </c>
      <c r="U419" s="62">
        <f>IF(C419="","",INPUT_SYSTEM!C433)</f>
        <v/>
      </c>
      <c r="V419" s="2" t="n"/>
    </row>
    <row r="420" ht="15.75" customHeight="1" s="125">
      <c r="A420" s="62">
        <f>IF(INPUT_SYSTEM!D434="","",INPUT_SYSTEM!A434)</f>
        <v/>
      </c>
      <c r="B420" s="62">
        <f>IF(INPUT_SYSTEM!D434="","",INPUT_SYSTEM!B434)</f>
        <v/>
      </c>
      <c r="C420" s="62">
        <f>IF(INPUT_SYSTEM!D434="","",INPUT_SYSTEM!D434)</f>
        <v/>
      </c>
      <c r="D420" s="62">
        <f>IF(C420="","",INPUT_SYSTEM!E434)</f>
        <v/>
      </c>
      <c r="E420" s="62">
        <f>IF(C420="","",INPUT_SYSTEM!F434)</f>
        <v/>
      </c>
      <c r="F420" s="62">
        <f t="array" ref="F420">IFERROR(INDEX(PRODUCT!$D:$D,MATCH(C420,PRODUCT!$B:$B,0)),"")</f>
        <v/>
      </c>
      <c r="G420" s="62">
        <f t="array" ref="G420">IFERROR(INDEX(PRODUCT!$E:$E,MATCH(C420,PRODUCT!$B:$B,0)),"")</f>
        <v/>
      </c>
      <c r="H420" s="62">
        <f t="array" ref="H420">IFERROR(INDEX(PRODUCT!$F:$F,MATCH(C420,PRODUCT!$B:$B,0)),"")</f>
        <v/>
      </c>
      <c r="I420" s="62">
        <f>IF(C420="","",INPUT_SYSTEM!G434)</f>
        <v/>
      </c>
      <c r="J420" s="62">
        <f>IF(C420="","",INPUT_SYSTEM!H434)</f>
        <v/>
      </c>
      <c r="K420" s="60">
        <f>IF(C420="","",INPUT_SYSTEM!J434)</f>
        <v/>
      </c>
      <c r="L420" s="62">
        <f>IF(C420="","",INPUT_SYSTEM!K434)</f>
        <v/>
      </c>
      <c r="M420" s="62">
        <f>IF(C420="","",INPUT_SYSTEM!L434)</f>
        <v/>
      </c>
      <c r="N420" s="62">
        <f>IF(U420&lt;&gt;"SI","",IF(M420&lt;&gt;"",M420,IFERROR(I420*J420*(1+K420)*L420,"")))</f>
        <v/>
      </c>
      <c r="O420" s="62">
        <f>IF(N420="","",IF(OR(H420="",H420=0),N420,ROUNDUP(N420/H420,0)))</f>
        <v/>
      </c>
      <c r="P420" s="63">
        <f t="array" ref="P420">IFERROR(INDEX(PRODUCT!$I:$I,MATCH(C420,PRODUCT!$B:$B,0)),"")</f>
        <v/>
      </c>
      <c r="Q420" s="63">
        <f>IF(C420="","",INPUT_SYSTEM!M434)</f>
        <v/>
      </c>
      <c r="R420" s="63">
        <f>IF(P420="","",P420*(1+Q420))</f>
        <v/>
      </c>
      <c r="S420" s="63">
        <f>IF(O420="","",IF(OR(H420="",H420=0),O420*P420,O420*H420*P420))</f>
        <v/>
      </c>
      <c r="T420" s="63">
        <f>IF(O420="","",IF(OR(H420="",H420=0),O420*R420,O420*H420*R420))</f>
        <v/>
      </c>
      <c r="U420" s="62">
        <f>IF(C420="","",INPUT_SYSTEM!C434)</f>
        <v/>
      </c>
      <c r="V420" s="2" t="n"/>
    </row>
    <row r="421" ht="15.75" customHeight="1" s="125">
      <c r="A421" s="62">
        <f>IF(INPUT_SYSTEM!D435="","",INPUT_SYSTEM!A435)</f>
        <v/>
      </c>
      <c r="B421" s="62">
        <f>IF(INPUT_SYSTEM!D435="","",INPUT_SYSTEM!B435)</f>
        <v/>
      </c>
      <c r="C421" s="62">
        <f>IF(INPUT_SYSTEM!D435="","",INPUT_SYSTEM!D435)</f>
        <v/>
      </c>
      <c r="D421" s="62">
        <f>IF(C421="","",INPUT_SYSTEM!E435)</f>
        <v/>
      </c>
      <c r="E421" s="62">
        <f>IF(C421="","",INPUT_SYSTEM!F435)</f>
        <v/>
      </c>
      <c r="F421" s="62">
        <f t="array" ref="F421">IFERROR(INDEX(PRODUCT!$D:$D,MATCH(C421,PRODUCT!$B:$B,0)),"")</f>
        <v/>
      </c>
      <c r="G421" s="62">
        <f t="array" ref="G421">IFERROR(INDEX(PRODUCT!$E:$E,MATCH(C421,PRODUCT!$B:$B,0)),"")</f>
        <v/>
      </c>
      <c r="H421" s="62">
        <f t="array" ref="H421">IFERROR(INDEX(PRODUCT!$F:$F,MATCH(C421,PRODUCT!$B:$B,0)),"")</f>
        <v/>
      </c>
      <c r="I421" s="62">
        <f>IF(C421="","",INPUT_SYSTEM!G435)</f>
        <v/>
      </c>
      <c r="J421" s="62">
        <f>IF(C421="","",INPUT_SYSTEM!H435)</f>
        <v/>
      </c>
      <c r="K421" s="60">
        <f>IF(C421="","",INPUT_SYSTEM!J435)</f>
        <v/>
      </c>
      <c r="L421" s="62">
        <f>IF(C421="","",INPUT_SYSTEM!K435)</f>
        <v/>
      </c>
      <c r="M421" s="62">
        <f>IF(C421="","",INPUT_SYSTEM!L435)</f>
        <v/>
      </c>
      <c r="N421" s="62">
        <f>IF(U421&lt;&gt;"SI","",IF(M421&lt;&gt;"",M421,IFERROR(I421*J421*(1+K421)*L421,"")))</f>
        <v/>
      </c>
      <c r="O421" s="62">
        <f>IF(N421="","",IF(OR(H421="",H421=0),N421,ROUNDUP(N421/H421,0)))</f>
        <v/>
      </c>
      <c r="P421" s="63">
        <f t="array" ref="P421">IFERROR(INDEX(PRODUCT!$I:$I,MATCH(C421,PRODUCT!$B:$B,0)),"")</f>
        <v/>
      </c>
      <c r="Q421" s="63">
        <f>IF(C421="","",INPUT_SYSTEM!M435)</f>
        <v/>
      </c>
      <c r="R421" s="63">
        <f>IF(P421="","",P421*(1+Q421))</f>
        <v/>
      </c>
      <c r="S421" s="63">
        <f>IF(O421="","",IF(OR(H421="",H421=0),O421*P421,O421*H421*P421))</f>
        <v/>
      </c>
      <c r="T421" s="63">
        <f>IF(O421="","",IF(OR(H421="",H421=0),O421*R421,O421*H421*R421))</f>
        <v/>
      </c>
      <c r="U421" s="62">
        <f>IF(C421="","",INPUT_SYSTEM!C435)</f>
        <v/>
      </c>
      <c r="V421" s="2" t="n"/>
    </row>
    <row r="422" ht="15.75" customHeight="1" s="125">
      <c r="A422" s="62">
        <f>IF(INPUT_SYSTEM!D436="","",INPUT_SYSTEM!A436)</f>
        <v/>
      </c>
      <c r="B422" s="62">
        <f>IF(INPUT_SYSTEM!D436="","",INPUT_SYSTEM!B436)</f>
        <v/>
      </c>
      <c r="C422" s="62">
        <f>IF(INPUT_SYSTEM!D436="","",INPUT_SYSTEM!D436)</f>
        <v/>
      </c>
      <c r="D422" s="62">
        <f>IF(C422="","",INPUT_SYSTEM!E436)</f>
        <v/>
      </c>
      <c r="E422" s="62">
        <f>IF(C422="","",INPUT_SYSTEM!F436)</f>
        <v/>
      </c>
      <c r="F422" s="62">
        <f t="array" ref="F422">IFERROR(INDEX(PRODUCT!$D:$D,MATCH(C422,PRODUCT!$B:$B,0)),"")</f>
        <v/>
      </c>
      <c r="G422" s="62">
        <f t="array" ref="G422">IFERROR(INDEX(PRODUCT!$E:$E,MATCH(C422,PRODUCT!$B:$B,0)),"")</f>
        <v/>
      </c>
      <c r="H422" s="62">
        <f t="array" ref="H422">IFERROR(INDEX(PRODUCT!$F:$F,MATCH(C422,PRODUCT!$B:$B,0)),"")</f>
        <v/>
      </c>
      <c r="I422" s="62">
        <f>IF(C422="","",INPUT_SYSTEM!G436)</f>
        <v/>
      </c>
      <c r="J422" s="62">
        <f>IF(C422="","",INPUT_SYSTEM!H436)</f>
        <v/>
      </c>
      <c r="K422" s="60">
        <f>IF(C422="","",INPUT_SYSTEM!J436)</f>
        <v/>
      </c>
      <c r="L422" s="62">
        <f>IF(C422="","",INPUT_SYSTEM!K436)</f>
        <v/>
      </c>
      <c r="M422" s="62">
        <f>IF(C422="","",INPUT_SYSTEM!L436)</f>
        <v/>
      </c>
      <c r="N422" s="62">
        <f>IF(U422&lt;&gt;"SI","",IF(M422&lt;&gt;"",M422,IFERROR(I422*J422*(1+K422)*L422,"")))</f>
        <v/>
      </c>
      <c r="O422" s="62">
        <f>IF(N422="","",IF(OR(H422="",H422=0),N422,ROUNDUP(N422/H422,0)))</f>
        <v/>
      </c>
      <c r="P422" s="63">
        <f t="array" ref="P422">IFERROR(INDEX(PRODUCT!$I:$I,MATCH(C422,PRODUCT!$B:$B,0)),"")</f>
        <v/>
      </c>
      <c r="Q422" s="63">
        <f>IF(C422="","",INPUT_SYSTEM!M436)</f>
        <v/>
      </c>
      <c r="R422" s="63">
        <f>IF(P422="","",P422*(1+Q422))</f>
        <v/>
      </c>
      <c r="S422" s="63">
        <f>IF(O422="","",IF(OR(H422="",H422=0),O422*P422,O422*H422*P422))</f>
        <v/>
      </c>
      <c r="T422" s="63">
        <f>IF(O422="","",IF(OR(H422="",H422=0),O422*R422,O422*H422*R422))</f>
        <v/>
      </c>
      <c r="U422" s="62">
        <f>IF(C422="","",INPUT_SYSTEM!C436)</f>
        <v/>
      </c>
      <c r="V422" s="2" t="n"/>
    </row>
    <row r="423" ht="15.75" customHeight="1" s="125">
      <c r="A423" s="62">
        <f>IF(INPUT_SYSTEM!D437="","",INPUT_SYSTEM!A437)</f>
        <v/>
      </c>
      <c r="B423" s="62">
        <f>IF(INPUT_SYSTEM!D437="","",INPUT_SYSTEM!B437)</f>
        <v/>
      </c>
      <c r="C423" s="62">
        <f>IF(INPUT_SYSTEM!D437="","",INPUT_SYSTEM!D437)</f>
        <v/>
      </c>
      <c r="D423" s="62">
        <f>IF(C423="","",INPUT_SYSTEM!E437)</f>
        <v/>
      </c>
      <c r="E423" s="62">
        <f>IF(C423="","",INPUT_SYSTEM!F437)</f>
        <v/>
      </c>
      <c r="F423" s="62">
        <f t="array" ref="F423">IFERROR(INDEX(PRODUCT!$D:$D,MATCH(C423,PRODUCT!$B:$B,0)),"")</f>
        <v/>
      </c>
      <c r="G423" s="62">
        <f t="array" ref="G423">IFERROR(INDEX(PRODUCT!$E:$E,MATCH(C423,PRODUCT!$B:$B,0)),"")</f>
        <v/>
      </c>
      <c r="H423" s="62">
        <f t="array" ref="H423">IFERROR(INDEX(PRODUCT!$F:$F,MATCH(C423,PRODUCT!$B:$B,0)),"")</f>
        <v/>
      </c>
      <c r="I423" s="62">
        <f>IF(C423="","",INPUT_SYSTEM!G437)</f>
        <v/>
      </c>
      <c r="J423" s="62">
        <f>IF(C423="","",INPUT_SYSTEM!H437)</f>
        <v/>
      </c>
      <c r="K423" s="60">
        <f>IF(C423="","",INPUT_SYSTEM!J437)</f>
        <v/>
      </c>
      <c r="L423" s="62">
        <f>IF(C423="","",INPUT_SYSTEM!K437)</f>
        <v/>
      </c>
      <c r="M423" s="62">
        <f>IF(C423="","",INPUT_SYSTEM!L437)</f>
        <v/>
      </c>
      <c r="N423" s="62">
        <f>IF(U423&lt;&gt;"SI","",IF(M423&lt;&gt;"",M423,IFERROR(I423*J423*(1+K423)*L423,"")))</f>
        <v/>
      </c>
      <c r="O423" s="62">
        <f>IF(N423="","",IF(OR(H423="",H423=0),N423,ROUNDUP(N423/H423,0)))</f>
        <v/>
      </c>
      <c r="P423" s="63">
        <f t="array" ref="P423">IFERROR(INDEX(PRODUCT!$I:$I,MATCH(C423,PRODUCT!$B:$B,0)),"")</f>
        <v/>
      </c>
      <c r="Q423" s="63">
        <f>IF(C423="","",INPUT_SYSTEM!M437)</f>
        <v/>
      </c>
      <c r="R423" s="63">
        <f>IF(P423="","",P423*(1+Q423))</f>
        <v/>
      </c>
      <c r="S423" s="63">
        <f>IF(O423="","",IF(OR(H423="",H423=0),O423*P423,O423*H423*P423))</f>
        <v/>
      </c>
      <c r="T423" s="63">
        <f>IF(O423="","",IF(OR(H423="",H423=0),O423*R423,O423*H423*R423))</f>
        <v/>
      </c>
      <c r="U423" s="62">
        <f>IF(C423="","",INPUT_SYSTEM!C437)</f>
        <v/>
      </c>
      <c r="V423" s="2" t="n"/>
    </row>
    <row r="424" ht="15.75" customHeight="1" s="125">
      <c r="A424" s="62">
        <f>IF(INPUT_SYSTEM!D438="","",INPUT_SYSTEM!A438)</f>
        <v/>
      </c>
      <c r="B424" s="62">
        <f>IF(INPUT_SYSTEM!D438="","",INPUT_SYSTEM!B438)</f>
        <v/>
      </c>
      <c r="C424" s="62">
        <f>IF(INPUT_SYSTEM!D438="","",INPUT_SYSTEM!D438)</f>
        <v/>
      </c>
      <c r="D424" s="62">
        <f>IF(C424="","",INPUT_SYSTEM!E438)</f>
        <v/>
      </c>
      <c r="E424" s="62">
        <f>IF(C424="","",INPUT_SYSTEM!F438)</f>
        <v/>
      </c>
      <c r="F424" s="62">
        <f t="array" ref="F424">IFERROR(INDEX(PRODUCT!$D:$D,MATCH(C424,PRODUCT!$B:$B,0)),"")</f>
        <v/>
      </c>
      <c r="G424" s="62">
        <f t="array" ref="G424">IFERROR(INDEX(PRODUCT!$E:$E,MATCH(C424,PRODUCT!$B:$B,0)),"")</f>
        <v/>
      </c>
      <c r="H424" s="62">
        <f t="array" ref="H424">IFERROR(INDEX(PRODUCT!$F:$F,MATCH(C424,PRODUCT!$B:$B,0)),"")</f>
        <v/>
      </c>
      <c r="I424" s="62">
        <f>IF(C424="","",INPUT_SYSTEM!G438)</f>
        <v/>
      </c>
      <c r="J424" s="62">
        <f>IF(C424="","",INPUT_SYSTEM!H438)</f>
        <v/>
      </c>
      <c r="K424" s="60">
        <f>IF(C424="","",INPUT_SYSTEM!J438)</f>
        <v/>
      </c>
      <c r="L424" s="62">
        <f>IF(C424="","",INPUT_SYSTEM!K438)</f>
        <v/>
      </c>
      <c r="M424" s="62">
        <f>IF(C424="","",INPUT_SYSTEM!L438)</f>
        <v/>
      </c>
      <c r="N424" s="62">
        <f>IF(U424&lt;&gt;"SI","",IF(M424&lt;&gt;"",M424,IFERROR(I424*J424*(1+K424)*L424,"")))</f>
        <v/>
      </c>
      <c r="O424" s="62">
        <f>IF(N424="","",IF(OR(H424="",H424=0),N424,ROUNDUP(N424/H424,0)))</f>
        <v/>
      </c>
      <c r="P424" s="63">
        <f t="array" ref="P424">IFERROR(INDEX(PRODUCT!$I:$I,MATCH(C424,PRODUCT!$B:$B,0)),"")</f>
        <v/>
      </c>
      <c r="Q424" s="63">
        <f>IF(C424="","",INPUT_SYSTEM!M438)</f>
        <v/>
      </c>
      <c r="R424" s="63">
        <f>IF(P424="","",P424*(1+Q424))</f>
        <v/>
      </c>
      <c r="S424" s="63">
        <f>IF(O424="","",IF(OR(H424="",H424=0),O424*P424,O424*H424*P424))</f>
        <v/>
      </c>
      <c r="T424" s="63">
        <f>IF(O424="","",IF(OR(H424="",H424=0),O424*R424,O424*H424*R424))</f>
        <v/>
      </c>
      <c r="U424" s="62">
        <f>IF(C424="","",INPUT_SYSTEM!C438)</f>
        <v/>
      </c>
      <c r="V424" s="2" t="n"/>
    </row>
    <row r="425" ht="15.75" customHeight="1" s="125">
      <c r="A425" s="62">
        <f>IF(INPUT_SYSTEM!D439="","",INPUT_SYSTEM!A439)</f>
        <v/>
      </c>
      <c r="B425" s="62">
        <f>IF(INPUT_SYSTEM!D439="","",INPUT_SYSTEM!B439)</f>
        <v/>
      </c>
      <c r="C425" s="62">
        <f>IF(INPUT_SYSTEM!D439="","",INPUT_SYSTEM!D439)</f>
        <v/>
      </c>
      <c r="D425" s="62">
        <f>IF(C425="","",INPUT_SYSTEM!E439)</f>
        <v/>
      </c>
      <c r="E425" s="62">
        <f>IF(C425="","",INPUT_SYSTEM!F439)</f>
        <v/>
      </c>
      <c r="F425" s="62">
        <f t="array" ref="F425">IFERROR(INDEX(PRODUCT!$D:$D,MATCH(C425,PRODUCT!$B:$B,0)),"")</f>
        <v/>
      </c>
      <c r="G425" s="62">
        <f t="array" ref="G425">IFERROR(INDEX(PRODUCT!$E:$E,MATCH(C425,PRODUCT!$B:$B,0)),"")</f>
        <v/>
      </c>
      <c r="H425" s="62">
        <f t="array" ref="H425">IFERROR(INDEX(PRODUCT!$F:$F,MATCH(C425,PRODUCT!$B:$B,0)),"")</f>
        <v/>
      </c>
      <c r="I425" s="62">
        <f>IF(C425="","",INPUT_SYSTEM!G439)</f>
        <v/>
      </c>
      <c r="J425" s="62">
        <f>IF(C425="","",INPUT_SYSTEM!H439)</f>
        <v/>
      </c>
      <c r="K425" s="60">
        <f>IF(C425="","",INPUT_SYSTEM!J439)</f>
        <v/>
      </c>
      <c r="L425" s="62">
        <f>IF(C425="","",INPUT_SYSTEM!K439)</f>
        <v/>
      </c>
      <c r="M425" s="62">
        <f>IF(C425="","",INPUT_SYSTEM!L439)</f>
        <v/>
      </c>
      <c r="N425" s="62">
        <f>IF(U425&lt;&gt;"SI","",IF(M425&lt;&gt;"",M425,IFERROR(I425*J425*(1+K425)*L425,"")))</f>
        <v/>
      </c>
      <c r="O425" s="62">
        <f>IF(N425="","",IF(OR(H425="",H425=0),N425,ROUNDUP(N425/H425,0)))</f>
        <v/>
      </c>
      <c r="P425" s="63">
        <f t="array" ref="P425">IFERROR(INDEX(PRODUCT!$I:$I,MATCH(C425,PRODUCT!$B:$B,0)),"")</f>
        <v/>
      </c>
      <c r="Q425" s="63">
        <f>IF(C425="","",INPUT_SYSTEM!M439)</f>
        <v/>
      </c>
      <c r="R425" s="63">
        <f>IF(P425="","",P425*(1+Q425))</f>
        <v/>
      </c>
      <c r="S425" s="63">
        <f>IF(O425="","",IF(OR(H425="",H425=0),O425*P425,O425*H425*P425))</f>
        <v/>
      </c>
      <c r="T425" s="63">
        <f>IF(O425="","",IF(OR(H425="",H425=0),O425*R425,O425*H425*R425))</f>
        <v/>
      </c>
      <c r="U425" s="62">
        <f>IF(C425="","",INPUT_SYSTEM!C439)</f>
        <v/>
      </c>
      <c r="V425" s="2" t="n"/>
    </row>
    <row r="426" ht="15.75" customHeight="1" s="125">
      <c r="A426" s="62">
        <f>IF(INPUT_SYSTEM!D440="","",INPUT_SYSTEM!A440)</f>
        <v/>
      </c>
      <c r="B426" s="62">
        <f>IF(INPUT_SYSTEM!D440="","",INPUT_SYSTEM!B440)</f>
        <v/>
      </c>
      <c r="C426" s="62">
        <f>IF(INPUT_SYSTEM!D440="","",INPUT_SYSTEM!D440)</f>
        <v/>
      </c>
      <c r="D426" s="62">
        <f>IF(C426="","",INPUT_SYSTEM!E440)</f>
        <v/>
      </c>
      <c r="E426" s="62">
        <f>IF(C426="","",INPUT_SYSTEM!F440)</f>
        <v/>
      </c>
      <c r="F426" s="62">
        <f t="array" ref="F426">IFERROR(INDEX(PRODUCT!$D:$D,MATCH(C426,PRODUCT!$B:$B,0)),"")</f>
        <v/>
      </c>
      <c r="G426" s="62">
        <f t="array" ref="G426">IFERROR(INDEX(PRODUCT!$E:$E,MATCH(C426,PRODUCT!$B:$B,0)),"")</f>
        <v/>
      </c>
      <c r="H426" s="62">
        <f t="array" ref="H426">IFERROR(INDEX(PRODUCT!$F:$F,MATCH(C426,PRODUCT!$B:$B,0)),"")</f>
        <v/>
      </c>
      <c r="I426" s="62">
        <f>IF(C426="","",INPUT_SYSTEM!G440)</f>
        <v/>
      </c>
      <c r="J426" s="62">
        <f>IF(C426="","",INPUT_SYSTEM!H440)</f>
        <v/>
      </c>
      <c r="K426" s="60">
        <f>IF(C426="","",INPUT_SYSTEM!J440)</f>
        <v/>
      </c>
      <c r="L426" s="62">
        <f>IF(C426="","",INPUT_SYSTEM!K440)</f>
        <v/>
      </c>
      <c r="M426" s="62">
        <f>IF(C426="","",INPUT_SYSTEM!L440)</f>
        <v/>
      </c>
      <c r="N426" s="62">
        <f>IF(U426&lt;&gt;"SI","",IF(M426&lt;&gt;"",M426,IFERROR(I426*J426*(1+K426)*L426,"")))</f>
        <v/>
      </c>
      <c r="O426" s="62">
        <f>IF(N426="","",IF(OR(H426="",H426=0),N426,ROUNDUP(N426/H426,0)))</f>
        <v/>
      </c>
      <c r="P426" s="63">
        <f t="array" ref="P426">IFERROR(INDEX(PRODUCT!$I:$I,MATCH(C426,PRODUCT!$B:$B,0)),"")</f>
        <v/>
      </c>
      <c r="Q426" s="63">
        <f>IF(C426="","",INPUT_SYSTEM!M440)</f>
        <v/>
      </c>
      <c r="R426" s="63">
        <f>IF(P426="","",P426*(1+Q426))</f>
        <v/>
      </c>
      <c r="S426" s="63">
        <f>IF(O426="","",IF(OR(H426="",H426=0),O426*P426,O426*H426*P426))</f>
        <v/>
      </c>
      <c r="T426" s="63">
        <f>IF(O426="","",IF(OR(H426="",H426=0),O426*R426,O426*H426*R426))</f>
        <v/>
      </c>
      <c r="U426" s="62">
        <f>IF(C426="","",INPUT_SYSTEM!C440)</f>
        <v/>
      </c>
      <c r="V426" s="2" t="n"/>
    </row>
    <row r="427" ht="15.75" customHeight="1" s="125">
      <c r="A427" s="62">
        <f>IF(INPUT_SYSTEM!D441="","",INPUT_SYSTEM!A441)</f>
        <v/>
      </c>
      <c r="B427" s="62">
        <f>IF(INPUT_SYSTEM!D441="","",INPUT_SYSTEM!B441)</f>
        <v/>
      </c>
      <c r="C427" s="62">
        <f>IF(INPUT_SYSTEM!D441="","",INPUT_SYSTEM!D441)</f>
        <v/>
      </c>
      <c r="D427" s="62">
        <f>IF(C427="","",INPUT_SYSTEM!E441)</f>
        <v/>
      </c>
      <c r="E427" s="62">
        <f>IF(C427="","",INPUT_SYSTEM!F441)</f>
        <v/>
      </c>
      <c r="F427" s="62">
        <f t="array" ref="F427">IFERROR(INDEX(PRODUCT!$D:$D,MATCH(C427,PRODUCT!$B:$B,0)),"")</f>
        <v/>
      </c>
      <c r="G427" s="62">
        <f t="array" ref="G427">IFERROR(INDEX(PRODUCT!$E:$E,MATCH(C427,PRODUCT!$B:$B,0)),"")</f>
        <v/>
      </c>
      <c r="H427" s="62">
        <f t="array" ref="H427">IFERROR(INDEX(PRODUCT!$F:$F,MATCH(C427,PRODUCT!$B:$B,0)),"")</f>
        <v/>
      </c>
      <c r="I427" s="62">
        <f>IF(C427="","",INPUT_SYSTEM!G441)</f>
        <v/>
      </c>
      <c r="J427" s="62">
        <f>IF(C427="","",INPUT_SYSTEM!H441)</f>
        <v/>
      </c>
      <c r="K427" s="60">
        <f>IF(C427="","",INPUT_SYSTEM!J441)</f>
        <v/>
      </c>
      <c r="L427" s="62">
        <f>IF(C427="","",INPUT_SYSTEM!K441)</f>
        <v/>
      </c>
      <c r="M427" s="62">
        <f>IF(C427="","",INPUT_SYSTEM!L441)</f>
        <v/>
      </c>
      <c r="N427" s="62">
        <f>IF(U427&lt;&gt;"SI","",IF(M427&lt;&gt;"",M427,IFERROR(I427*J427*(1+K427)*L427,"")))</f>
        <v/>
      </c>
      <c r="O427" s="62">
        <f>IF(N427="","",IF(OR(H427="",H427=0),N427,ROUNDUP(N427/H427,0)))</f>
        <v/>
      </c>
      <c r="P427" s="63">
        <f t="array" ref="P427">IFERROR(INDEX(PRODUCT!$I:$I,MATCH(C427,PRODUCT!$B:$B,0)),"")</f>
        <v/>
      </c>
      <c r="Q427" s="63">
        <f>IF(C427="","",INPUT_SYSTEM!M441)</f>
        <v/>
      </c>
      <c r="R427" s="63">
        <f>IF(P427="","",P427*(1+Q427))</f>
        <v/>
      </c>
      <c r="S427" s="63">
        <f>IF(O427="","",IF(OR(H427="",H427=0),O427*P427,O427*H427*P427))</f>
        <v/>
      </c>
      <c r="T427" s="63">
        <f>IF(O427="","",IF(OR(H427="",H427=0),O427*R427,O427*H427*R427))</f>
        <v/>
      </c>
      <c r="U427" s="62">
        <f>IF(C427="","",INPUT_SYSTEM!C441)</f>
        <v/>
      </c>
      <c r="V427" s="2" t="n"/>
    </row>
    <row r="428" ht="15.75" customHeight="1" s="125">
      <c r="A428" s="62">
        <f>IF(INPUT_SYSTEM!D442="","",INPUT_SYSTEM!A442)</f>
        <v/>
      </c>
      <c r="B428" s="62">
        <f>IF(INPUT_SYSTEM!D442="","",INPUT_SYSTEM!B442)</f>
        <v/>
      </c>
      <c r="C428" s="62">
        <f>IF(INPUT_SYSTEM!D442="","",INPUT_SYSTEM!D442)</f>
        <v/>
      </c>
      <c r="D428" s="62">
        <f>IF(C428="","",INPUT_SYSTEM!E442)</f>
        <v/>
      </c>
      <c r="E428" s="62">
        <f>IF(C428="","",INPUT_SYSTEM!F442)</f>
        <v/>
      </c>
      <c r="F428" s="62">
        <f t="array" ref="F428">IFERROR(INDEX(PRODUCT!$D:$D,MATCH(C428,PRODUCT!$B:$B,0)),"")</f>
        <v/>
      </c>
      <c r="G428" s="62">
        <f t="array" ref="G428">IFERROR(INDEX(PRODUCT!$E:$E,MATCH(C428,PRODUCT!$B:$B,0)),"")</f>
        <v/>
      </c>
      <c r="H428" s="62">
        <f t="array" ref="H428">IFERROR(INDEX(PRODUCT!$F:$F,MATCH(C428,PRODUCT!$B:$B,0)),"")</f>
        <v/>
      </c>
      <c r="I428" s="62">
        <f>IF(C428="","",INPUT_SYSTEM!G442)</f>
        <v/>
      </c>
      <c r="J428" s="62">
        <f>IF(C428="","",INPUT_SYSTEM!H442)</f>
        <v/>
      </c>
      <c r="K428" s="60">
        <f>IF(C428="","",INPUT_SYSTEM!J442)</f>
        <v/>
      </c>
      <c r="L428" s="62">
        <f>IF(C428="","",INPUT_SYSTEM!K442)</f>
        <v/>
      </c>
      <c r="M428" s="62">
        <f>IF(C428="","",INPUT_SYSTEM!L442)</f>
        <v/>
      </c>
      <c r="N428" s="62">
        <f>IF(U428&lt;&gt;"SI","",IF(M428&lt;&gt;"",M428,IFERROR(I428*J428*(1+K428)*L428,"")))</f>
        <v/>
      </c>
      <c r="O428" s="62">
        <f>IF(N428="","",IF(OR(H428="",H428=0),N428,ROUNDUP(N428/H428,0)))</f>
        <v/>
      </c>
      <c r="P428" s="63">
        <f t="array" ref="P428">IFERROR(INDEX(PRODUCT!$I:$I,MATCH(C428,PRODUCT!$B:$B,0)),"")</f>
        <v/>
      </c>
      <c r="Q428" s="63">
        <f>IF(C428="","",INPUT_SYSTEM!M442)</f>
        <v/>
      </c>
      <c r="R428" s="63">
        <f>IF(P428="","",P428*(1+Q428))</f>
        <v/>
      </c>
      <c r="S428" s="63">
        <f>IF(O428="","",IF(OR(H428="",H428=0),O428*P428,O428*H428*P428))</f>
        <v/>
      </c>
      <c r="T428" s="63">
        <f>IF(O428="","",IF(OR(H428="",H428=0),O428*R428,O428*H428*R428))</f>
        <v/>
      </c>
      <c r="U428" s="62">
        <f>IF(C428="","",INPUT_SYSTEM!C442)</f>
        <v/>
      </c>
      <c r="V428" s="2" t="n"/>
    </row>
    <row r="429" ht="15.75" customHeight="1" s="125">
      <c r="A429" s="62">
        <f>IF(INPUT_SYSTEM!D443="","",INPUT_SYSTEM!A443)</f>
        <v/>
      </c>
      <c r="B429" s="62">
        <f>IF(INPUT_SYSTEM!D443="","",INPUT_SYSTEM!B443)</f>
        <v/>
      </c>
      <c r="C429" s="62">
        <f>IF(INPUT_SYSTEM!D443="","",INPUT_SYSTEM!D443)</f>
        <v/>
      </c>
      <c r="D429" s="62">
        <f>IF(C429="","",INPUT_SYSTEM!E443)</f>
        <v/>
      </c>
      <c r="E429" s="62">
        <f>IF(C429="","",INPUT_SYSTEM!F443)</f>
        <v/>
      </c>
      <c r="F429" s="62">
        <f t="array" ref="F429">IFERROR(INDEX(PRODUCT!$D:$D,MATCH(C429,PRODUCT!$B:$B,0)),"")</f>
        <v/>
      </c>
      <c r="G429" s="62">
        <f t="array" ref="G429">IFERROR(INDEX(PRODUCT!$E:$E,MATCH(C429,PRODUCT!$B:$B,0)),"")</f>
        <v/>
      </c>
      <c r="H429" s="62">
        <f t="array" ref="H429">IFERROR(INDEX(PRODUCT!$F:$F,MATCH(C429,PRODUCT!$B:$B,0)),"")</f>
        <v/>
      </c>
      <c r="I429" s="62">
        <f>IF(C429="","",INPUT_SYSTEM!G443)</f>
        <v/>
      </c>
      <c r="J429" s="62">
        <f>IF(C429="","",INPUT_SYSTEM!H443)</f>
        <v/>
      </c>
      <c r="K429" s="60">
        <f>IF(C429="","",INPUT_SYSTEM!J443)</f>
        <v/>
      </c>
      <c r="L429" s="62">
        <f>IF(C429="","",INPUT_SYSTEM!K443)</f>
        <v/>
      </c>
      <c r="M429" s="62">
        <f>IF(C429="","",INPUT_SYSTEM!L443)</f>
        <v/>
      </c>
      <c r="N429" s="62">
        <f>IF(U429&lt;&gt;"SI","",IF(M429&lt;&gt;"",M429,IFERROR(I429*J429*(1+K429)*L429,"")))</f>
        <v/>
      </c>
      <c r="O429" s="62">
        <f>IF(N429="","",IF(OR(H429="",H429=0),N429,ROUNDUP(N429/H429,0)))</f>
        <v/>
      </c>
      <c r="P429" s="63">
        <f t="array" ref="P429">IFERROR(INDEX(PRODUCT!$I:$I,MATCH(C429,PRODUCT!$B:$B,0)),"")</f>
        <v/>
      </c>
      <c r="Q429" s="63">
        <f>IF(C429="","",INPUT_SYSTEM!M443)</f>
        <v/>
      </c>
      <c r="R429" s="63">
        <f>IF(P429="","",P429*(1+Q429))</f>
        <v/>
      </c>
      <c r="S429" s="63">
        <f>IF(O429="","",IF(OR(H429="",H429=0),O429*P429,O429*H429*P429))</f>
        <v/>
      </c>
      <c r="T429" s="63">
        <f>IF(O429="","",IF(OR(H429="",H429=0),O429*R429,O429*H429*R429))</f>
        <v/>
      </c>
      <c r="U429" s="62">
        <f>IF(C429="","",INPUT_SYSTEM!C443)</f>
        <v/>
      </c>
      <c r="V429" s="2" t="n"/>
    </row>
    <row r="430" ht="15.75" customHeight="1" s="125">
      <c r="A430" s="62">
        <f>IF(INPUT_SYSTEM!D444="","",INPUT_SYSTEM!A444)</f>
        <v/>
      </c>
      <c r="B430" s="62">
        <f>IF(INPUT_SYSTEM!D444="","",INPUT_SYSTEM!B444)</f>
        <v/>
      </c>
      <c r="C430" s="62">
        <f>IF(INPUT_SYSTEM!D444="","",INPUT_SYSTEM!D444)</f>
        <v/>
      </c>
      <c r="D430" s="62">
        <f>IF(C430="","",INPUT_SYSTEM!E444)</f>
        <v/>
      </c>
      <c r="E430" s="62">
        <f>IF(C430="","",INPUT_SYSTEM!F444)</f>
        <v/>
      </c>
      <c r="F430" s="62">
        <f t="array" ref="F430">IFERROR(INDEX(PRODUCT!$D:$D,MATCH(C430,PRODUCT!$B:$B,0)),"")</f>
        <v/>
      </c>
      <c r="G430" s="62">
        <f t="array" ref="G430">IFERROR(INDEX(PRODUCT!$E:$E,MATCH(C430,PRODUCT!$B:$B,0)),"")</f>
        <v/>
      </c>
      <c r="H430" s="62">
        <f t="array" ref="H430">IFERROR(INDEX(PRODUCT!$F:$F,MATCH(C430,PRODUCT!$B:$B,0)),"")</f>
        <v/>
      </c>
      <c r="I430" s="62">
        <f>IF(C430="","",INPUT_SYSTEM!G444)</f>
        <v/>
      </c>
      <c r="J430" s="62">
        <f>IF(C430="","",INPUT_SYSTEM!H444)</f>
        <v/>
      </c>
      <c r="K430" s="60">
        <f>IF(C430="","",INPUT_SYSTEM!J444)</f>
        <v/>
      </c>
      <c r="L430" s="62">
        <f>IF(C430="","",INPUT_SYSTEM!K444)</f>
        <v/>
      </c>
      <c r="M430" s="62">
        <f>IF(C430="","",INPUT_SYSTEM!L444)</f>
        <v/>
      </c>
      <c r="N430" s="62">
        <f>IF(U430&lt;&gt;"SI","",IF(M430&lt;&gt;"",M430,IFERROR(I430*J430*(1+K430)*L430,"")))</f>
        <v/>
      </c>
      <c r="O430" s="62">
        <f>IF(N430="","",IF(OR(H430="",H430=0),N430,ROUNDUP(N430/H430,0)))</f>
        <v/>
      </c>
      <c r="P430" s="63">
        <f t="array" ref="P430">IFERROR(INDEX(PRODUCT!$I:$I,MATCH(C430,PRODUCT!$B:$B,0)),"")</f>
        <v/>
      </c>
      <c r="Q430" s="63">
        <f>IF(C430="","",INPUT_SYSTEM!M444)</f>
        <v/>
      </c>
      <c r="R430" s="63">
        <f>IF(P430="","",P430*(1+Q430))</f>
        <v/>
      </c>
      <c r="S430" s="63">
        <f>IF(O430="","",IF(OR(H430="",H430=0),O430*P430,O430*H430*P430))</f>
        <v/>
      </c>
      <c r="T430" s="63">
        <f>IF(O430="","",IF(OR(H430="",H430=0),O430*R430,O430*H430*R430))</f>
        <v/>
      </c>
      <c r="U430" s="62">
        <f>IF(C430="","",INPUT_SYSTEM!C444)</f>
        <v/>
      </c>
      <c r="V430" s="2" t="n"/>
    </row>
    <row r="431" ht="15.75" customHeight="1" s="125">
      <c r="A431" s="62">
        <f>IF(INPUT_SYSTEM!D445="","",INPUT_SYSTEM!A445)</f>
        <v/>
      </c>
      <c r="B431" s="62">
        <f>IF(INPUT_SYSTEM!D445="","",INPUT_SYSTEM!B445)</f>
        <v/>
      </c>
      <c r="C431" s="62">
        <f>IF(INPUT_SYSTEM!D445="","",INPUT_SYSTEM!D445)</f>
        <v/>
      </c>
      <c r="D431" s="62">
        <f>IF(C431="","",INPUT_SYSTEM!E445)</f>
        <v/>
      </c>
      <c r="E431" s="62">
        <f>IF(C431="","",INPUT_SYSTEM!F445)</f>
        <v/>
      </c>
      <c r="F431" s="62">
        <f t="array" ref="F431">IFERROR(INDEX(PRODUCT!$D:$D,MATCH(C431,PRODUCT!$B:$B,0)),"")</f>
        <v/>
      </c>
      <c r="G431" s="62">
        <f t="array" ref="G431">IFERROR(INDEX(PRODUCT!$E:$E,MATCH(C431,PRODUCT!$B:$B,0)),"")</f>
        <v/>
      </c>
      <c r="H431" s="62">
        <f t="array" ref="H431">IFERROR(INDEX(PRODUCT!$F:$F,MATCH(C431,PRODUCT!$B:$B,0)),"")</f>
        <v/>
      </c>
      <c r="I431" s="62">
        <f>IF(C431="","",INPUT_SYSTEM!G445)</f>
        <v/>
      </c>
      <c r="J431" s="62">
        <f>IF(C431="","",INPUT_SYSTEM!H445)</f>
        <v/>
      </c>
      <c r="K431" s="60">
        <f>IF(C431="","",INPUT_SYSTEM!J445)</f>
        <v/>
      </c>
      <c r="L431" s="62">
        <f>IF(C431="","",INPUT_SYSTEM!K445)</f>
        <v/>
      </c>
      <c r="M431" s="62">
        <f>IF(C431="","",INPUT_SYSTEM!L445)</f>
        <v/>
      </c>
      <c r="N431" s="62">
        <f>IF(U431&lt;&gt;"SI","",IF(M431&lt;&gt;"",M431,IFERROR(I431*J431*(1+K431)*L431,"")))</f>
        <v/>
      </c>
      <c r="O431" s="62">
        <f>IF(N431="","",IF(OR(H431="",H431=0),N431,ROUNDUP(N431/H431,0)))</f>
        <v/>
      </c>
      <c r="P431" s="63">
        <f t="array" ref="P431">IFERROR(INDEX(PRODUCT!$I:$I,MATCH(C431,PRODUCT!$B:$B,0)),"")</f>
        <v/>
      </c>
      <c r="Q431" s="63">
        <f>IF(C431="","",INPUT_SYSTEM!M445)</f>
        <v/>
      </c>
      <c r="R431" s="63">
        <f>IF(P431="","",P431*(1+Q431))</f>
        <v/>
      </c>
      <c r="S431" s="63">
        <f>IF(O431="","",IF(OR(H431="",H431=0),O431*P431,O431*H431*P431))</f>
        <v/>
      </c>
      <c r="T431" s="63">
        <f>IF(O431="","",IF(OR(H431="",H431=0),O431*R431,O431*H431*R431))</f>
        <v/>
      </c>
      <c r="U431" s="62">
        <f>IF(C431="","",INPUT_SYSTEM!C445)</f>
        <v/>
      </c>
      <c r="V431" s="2" t="n"/>
    </row>
    <row r="432" ht="15.75" customHeight="1" s="125">
      <c r="A432" s="62">
        <f>IF(INPUT_SYSTEM!D446="","",INPUT_SYSTEM!A446)</f>
        <v/>
      </c>
      <c r="B432" s="62">
        <f>IF(INPUT_SYSTEM!D446="","",INPUT_SYSTEM!B446)</f>
        <v/>
      </c>
      <c r="C432" s="62">
        <f>IF(INPUT_SYSTEM!D446="","",INPUT_SYSTEM!D446)</f>
        <v/>
      </c>
      <c r="D432" s="62">
        <f>IF(C432="","",INPUT_SYSTEM!E446)</f>
        <v/>
      </c>
      <c r="E432" s="62">
        <f>IF(C432="","",INPUT_SYSTEM!F446)</f>
        <v/>
      </c>
      <c r="F432" s="62">
        <f t="array" ref="F432">IFERROR(INDEX(PRODUCT!$D:$D,MATCH(C432,PRODUCT!$B:$B,0)),"")</f>
        <v/>
      </c>
      <c r="G432" s="62">
        <f t="array" ref="G432">IFERROR(INDEX(PRODUCT!$E:$E,MATCH(C432,PRODUCT!$B:$B,0)),"")</f>
        <v/>
      </c>
      <c r="H432" s="62">
        <f t="array" ref="H432">IFERROR(INDEX(PRODUCT!$F:$F,MATCH(C432,PRODUCT!$B:$B,0)),"")</f>
        <v/>
      </c>
      <c r="I432" s="62">
        <f>IF(C432="","",INPUT_SYSTEM!G446)</f>
        <v/>
      </c>
      <c r="J432" s="62">
        <f>IF(C432="","",INPUT_SYSTEM!H446)</f>
        <v/>
      </c>
      <c r="K432" s="60">
        <f>IF(C432="","",INPUT_SYSTEM!J446)</f>
        <v/>
      </c>
      <c r="L432" s="62">
        <f>IF(C432="","",INPUT_SYSTEM!K446)</f>
        <v/>
      </c>
      <c r="M432" s="62">
        <f>IF(C432="","",INPUT_SYSTEM!L446)</f>
        <v/>
      </c>
      <c r="N432" s="62">
        <f>IF(U432&lt;&gt;"SI","",IF(M432&lt;&gt;"",M432,IFERROR(I432*J432*(1+K432)*L432,"")))</f>
        <v/>
      </c>
      <c r="O432" s="62">
        <f>IF(N432="","",IF(OR(H432="",H432=0),N432,ROUNDUP(N432/H432,0)))</f>
        <v/>
      </c>
      <c r="P432" s="63">
        <f t="array" ref="P432">IFERROR(INDEX(PRODUCT!$I:$I,MATCH(C432,PRODUCT!$B:$B,0)),"")</f>
        <v/>
      </c>
      <c r="Q432" s="63">
        <f>IF(C432="","",INPUT_SYSTEM!M446)</f>
        <v/>
      </c>
      <c r="R432" s="63">
        <f>IF(P432="","",P432*(1+Q432))</f>
        <v/>
      </c>
      <c r="S432" s="63">
        <f>IF(O432="","",IF(OR(H432="",H432=0),O432*P432,O432*H432*P432))</f>
        <v/>
      </c>
      <c r="T432" s="63">
        <f>IF(O432="","",IF(OR(H432="",H432=0),O432*R432,O432*H432*R432))</f>
        <v/>
      </c>
      <c r="U432" s="62">
        <f>IF(C432="","",INPUT_SYSTEM!C446)</f>
        <v/>
      </c>
      <c r="V432" s="2" t="n"/>
    </row>
    <row r="433" ht="15.75" customHeight="1" s="125">
      <c r="A433" s="62">
        <f>IF(INPUT_SYSTEM!D447="","",INPUT_SYSTEM!A447)</f>
        <v/>
      </c>
      <c r="B433" s="62">
        <f>IF(INPUT_SYSTEM!D447="","",INPUT_SYSTEM!B447)</f>
        <v/>
      </c>
      <c r="C433" s="62">
        <f>IF(INPUT_SYSTEM!D447="","",INPUT_SYSTEM!D447)</f>
        <v/>
      </c>
      <c r="D433" s="62">
        <f>IF(C433="","",INPUT_SYSTEM!E447)</f>
        <v/>
      </c>
      <c r="E433" s="62">
        <f>IF(C433="","",INPUT_SYSTEM!F447)</f>
        <v/>
      </c>
      <c r="F433" s="62">
        <f t="array" ref="F433">IFERROR(INDEX(PRODUCT!$D:$D,MATCH(C433,PRODUCT!$B:$B,0)),"")</f>
        <v/>
      </c>
      <c r="G433" s="62">
        <f t="array" ref="G433">IFERROR(INDEX(PRODUCT!$E:$E,MATCH(C433,PRODUCT!$B:$B,0)),"")</f>
        <v/>
      </c>
      <c r="H433" s="62">
        <f t="array" ref="H433">IFERROR(INDEX(PRODUCT!$F:$F,MATCH(C433,PRODUCT!$B:$B,0)),"")</f>
        <v/>
      </c>
      <c r="I433" s="62">
        <f>IF(C433="","",INPUT_SYSTEM!G447)</f>
        <v/>
      </c>
      <c r="J433" s="62">
        <f>IF(C433="","",INPUT_SYSTEM!H447)</f>
        <v/>
      </c>
      <c r="K433" s="60">
        <f>IF(C433="","",INPUT_SYSTEM!J447)</f>
        <v/>
      </c>
      <c r="L433" s="62">
        <f>IF(C433="","",INPUT_SYSTEM!K447)</f>
        <v/>
      </c>
      <c r="M433" s="62">
        <f>IF(C433="","",INPUT_SYSTEM!L447)</f>
        <v/>
      </c>
      <c r="N433" s="62">
        <f>IF(U433&lt;&gt;"SI","",IF(M433&lt;&gt;"",M433,IFERROR(I433*J433*(1+K433)*L433,"")))</f>
        <v/>
      </c>
      <c r="O433" s="62">
        <f>IF(N433="","",IF(OR(H433="",H433=0),N433,ROUNDUP(N433/H433,0)))</f>
        <v/>
      </c>
      <c r="P433" s="63">
        <f t="array" ref="P433">IFERROR(INDEX(PRODUCT!$I:$I,MATCH(C433,PRODUCT!$B:$B,0)),"")</f>
        <v/>
      </c>
      <c r="Q433" s="63">
        <f>IF(C433="","",INPUT_SYSTEM!M447)</f>
        <v/>
      </c>
      <c r="R433" s="63">
        <f>IF(P433="","",P433*(1+Q433))</f>
        <v/>
      </c>
      <c r="S433" s="63">
        <f>IF(O433="","",IF(OR(H433="",H433=0),O433*P433,O433*H433*P433))</f>
        <v/>
      </c>
      <c r="T433" s="63">
        <f>IF(O433="","",IF(OR(H433="",H433=0),O433*R433,O433*H433*R433))</f>
        <v/>
      </c>
      <c r="U433" s="62">
        <f>IF(C433="","",INPUT_SYSTEM!C447)</f>
        <v/>
      </c>
      <c r="V433" s="2" t="n"/>
    </row>
    <row r="434" ht="15.75" customHeight="1" s="125">
      <c r="A434" s="62">
        <f>IF(INPUT_SYSTEM!D448="","",INPUT_SYSTEM!A448)</f>
        <v/>
      </c>
      <c r="B434" s="62">
        <f>IF(INPUT_SYSTEM!D448="","",INPUT_SYSTEM!B448)</f>
        <v/>
      </c>
      <c r="C434" s="62">
        <f>IF(INPUT_SYSTEM!D448="","",INPUT_SYSTEM!D448)</f>
        <v/>
      </c>
      <c r="D434" s="62">
        <f>IF(C434="","",INPUT_SYSTEM!E448)</f>
        <v/>
      </c>
      <c r="E434" s="62">
        <f>IF(C434="","",INPUT_SYSTEM!F448)</f>
        <v/>
      </c>
      <c r="F434" s="62">
        <f t="array" ref="F434">IFERROR(INDEX(PRODUCT!$D:$D,MATCH(C434,PRODUCT!$B:$B,0)),"")</f>
        <v/>
      </c>
      <c r="G434" s="62">
        <f t="array" ref="G434">IFERROR(INDEX(PRODUCT!$E:$E,MATCH(C434,PRODUCT!$B:$B,0)),"")</f>
        <v/>
      </c>
      <c r="H434" s="62">
        <f t="array" ref="H434">IFERROR(INDEX(PRODUCT!$F:$F,MATCH(C434,PRODUCT!$B:$B,0)),"")</f>
        <v/>
      </c>
      <c r="I434" s="62">
        <f>IF(C434="","",INPUT_SYSTEM!G448)</f>
        <v/>
      </c>
      <c r="J434" s="62">
        <f>IF(C434="","",INPUT_SYSTEM!H448)</f>
        <v/>
      </c>
      <c r="K434" s="60">
        <f>IF(C434="","",INPUT_SYSTEM!J448)</f>
        <v/>
      </c>
      <c r="L434" s="62">
        <f>IF(C434="","",INPUT_SYSTEM!K448)</f>
        <v/>
      </c>
      <c r="M434" s="62">
        <f>IF(C434="","",INPUT_SYSTEM!L448)</f>
        <v/>
      </c>
      <c r="N434" s="62">
        <f>IF(U434&lt;&gt;"SI","",IF(M434&lt;&gt;"",M434,IFERROR(I434*J434*(1+K434)*L434,"")))</f>
        <v/>
      </c>
      <c r="O434" s="62">
        <f>IF(N434="","",IF(OR(H434="",H434=0),N434,ROUNDUP(N434/H434,0)))</f>
        <v/>
      </c>
      <c r="P434" s="63">
        <f t="array" ref="P434">IFERROR(INDEX(PRODUCT!$I:$I,MATCH(C434,PRODUCT!$B:$B,0)),"")</f>
        <v/>
      </c>
      <c r="Q434" s="63">
        <f>IF(C434="","",INPUT_SYSTEM!M448)</f>
        <v/>
      </c>
      <c r="R434" s="63">
        <f>IF(P434="","",P434*(1+Q434))</f>
        <v/>
      </c>
      <c r="S434" s="63">
        <f>IF(O434="","",IF(OR(H434="",H434=0),O434*P434,O434*H434*P434))</f>
        <v/>
      </c>
      <c r="T434" s="63">
        <f>IF(O434="","",IF(OR(H434="",H434=0),O434*R434,O434*H434*R434))</f>
        <v/>
      </c>
      <c r="U434" s="62">
        <f>IF(C434="","",INPUT_SYSTEM!C448)</f>
        <v/>
      </c>
      <c r="V434" s="2" t="n"/>
    </row>
    <row r="435" ht="15.75" customHeight="1" s="125">
      <c r="A435" s="62">
        <f>IF(INPUT_SYSTEM!D449="","",INPUT_SYSTEM!A449)</f>
        <v/>
      </c>
      <c r="B435" s="62">
        <f>IF(INPUT_SYSTEM!D449="","",INPUT_SYSTEM!B449)</f>
        <v/>
      </c>
      <c r="C435" s="62">
        <f>IF(INPUT_SYSTEM!D449="","",INPUT_SYSTEM!D449)</f>
        <v/>
      </c>
      <c r="D435" s="62">
        <f>IF(C435="","",INPUT_SYSTEM!E449)</f>
        <v/>
      </c>
      <c r="E435" s="62">
        <f>IF(C435="","",INPUT_SYSTEM!F449)</f>
        <v/>
      </c>
      <c r="F435" s="62">
        <f t="array" ref="F435">IFERROR(INDEX(PRODUCT!$D:$D,MATCH(C435,PRODUCT!$B:$B,0)),"")</f>
        <v/>
      </c>
      <c r="G435" s="62">
        <f t="array" ref="G435">IFERROR(INDEX(PRODUCT!$E:$E,MATCH(C435,PRODUCT!$B:$B,0)),"")</f>
        <v/>
      </c>
      <c r="H435" s="62">
        <f t="array" ref="H435">IFERROR(INDEX(PRODUCT!$F:$F,MATCH(C435,PRODUCT!$B:$B,0)),"")</f>
        <v/>
      </c>
      <c r="I435" s="62">
        <f>IF(C435="","",INPUT_SYSTEM!G449)</f>
        <v/>
      </c>
      <c r="J435" s="62">
        <f>IF(C435="","",INPUT_SYSTEM!H449)</f>
        <v/>
      </c>
      <c r="K435" s="60">
        <f>IF(C435="","",INPUT_SYSTEM!J449)</f>
        <v/>
      </c>
      <c r="L435" s="62">
        <f>IF(C435="","",INPUT_SYSTEM!K449)</f>
        <v/>
      </c>
      <c r="M435" s="62">
        <f>IF(C435="","",INPUT_SYSTEM!L449)</f>
        <v/>
      </c>
      <c r="N435" s="62">
        <f>IF(U435&lt;&gt;"SI","",IF(M435&lt;&gt;"",M435,IFERROR(I435*J435*(1+K435)*L435,"")))</f>
        <v/>
      </c>
      <c r="O435" s="62">
        <f>IF(N435="","",IF(OR(H435="",H435=0),N435,ROUNDUP(N435/H435,0)))</f>
        <v/>
      </c>
      <c r="P435" s="63">
        <f t="array" ref="P435">IFERROR(INDEX(PRODUCT!$I:$I,MATCH(C435,PRODUCT!$B:$B,0)),"")</f>
        <v/>
      </c>
      <c r="Q435" s="63">
        <f>IF(C435="","",INPUT_SYSTEM!M449)</f>
        <v/>
      </c>
      <c r="R435" s="63">
        <f>IF(P435="","",P435*(1+Q435))</f>
        <v/>
      </c>
      <c r="S435" s="63">
        <f>IF(O435="","",IF(OR(H435="",H435=0),O435*P435,O435*H435*P435))</f>
        <v/>
      </c>
      <c r="T435" s="63">
        <f>IF(O435="","",IF(OR(H435="",H435=0),O435*R435,O435*H435*R435))</f>
        <v/>
      </c>
      <c r="U435" s="62">
        <f>IF(C435="","",INPUT_SYSTEM!C449)</f>
        <v/>
      </c>
      <c r="V435" s="2" t="n"/>
    </row>
    <row r="436" ht="15.75" customHeight="1" s="125">
      <c r="A436" s="62">
        <f>IF(INPUT_SYSTEM!D450="","",INPUT_SYSTEM!A450)</f>
        <v/>
      </c>
      <c r="B436" s="62">
        <f>IF(INPUT_SYSTEM!D450="","",INPUT_SYSTEM!B450)</f>
        <v/>
      </c>
      <c r="C436" s="62">
        <f>IF(INPUT_SYSTEM!D450="","",INPUT_SYSTEM!D450)</f>
        <v/>
      </c>
      <c r="D436" s="62">
        <f>IF(C436="","",INPUT_SYSTEM!E450)</f>
        <v/>
      </c>
      <c r="E436" s="62">
        <f>IF(C436="","",INPUT_SYSTEM!F450)</f>
        <v/>
      </c>
      <c r="F436" s="62">
        <f t="array" ref="F436">IFERROR(INDEX(PRODUCT!$D:$D,MATCH(C436,PRODUCT!$B:$B,0)),"")</f>
        <v/>
      </c>
      <c r="G436" s="62">
        <f t="array" ref="G436">IFERROR(INDEX(PRODUCT!$E:$E,MATCH(C436,PRODUCT!$B:$B,0)),"")</f>
        <v/>
      </c>
      <c r="H436" s="62">
        <f t="array" ref="H436">IFERROR(INDEX(PRODUCT!$F:$F,MATCH(C436,PRODUCT!$B:$B,0)),"")</f>
        <v/>
      </c>
      <c r="I436" s="62">
        <f>IF(C436="","",INPUT_SYSTEM!G450)</f>
        <v/>
      </c>
      <c r="J436" s="62">
        <f>IF(C436="","",INPUT_SYSTEM!H450)</f>
        <v/>
      </c>
      <c r="K436" s="60">
        <f>IF(C436="","",INPUT_SYSTEM!J450)</f>
        <v/>
      </c>
      <c r="L436" s="62">
        <f>IF(C436="","",INPUT_SYSTEM!K450)</f>
        <v/>
      </c>
      <c r="M436" s="62">
        <f>IF(C436="","",INPUT_SYSTEM!L450)</f>
        <v/>
      </c>
      <c r="N436" s="62">
        <f>IF(U436&lt;&gt;"SI","",IF(M436&lt;&gt;"",M436,IFERROR(I436*J436*(1+K436)*L436,"")))</f>
        <v/>
      </c>
      <c r="O436" s="62">
        <f>IF(N436="","",IF(OR(H436="",H436=0),N436,ROUNDUP(N436/H436,0)))</f>
        <v/>
      </c>
      <c r="P436" s="63">
        <f t="array" ref="P436">IFERROR(INDEX(PRODUCT!$I:$I,MATCH(C436,PRODUCT!$B:$B,0)),"")</f>
        <v/>
      </c>
      <c r="Q436" s="63">
        <f>IF(C436="","",INPUT_SYSTEM!M450)</f>
        <v/>
      </c>
      <c r="R436" s="63">
        <f>IF(P436="","",P436*(1+Q436))</f>
        <v/>
      </c>
      <c r="S436" s="63">
        <f>IF(O436="","",IF(OR(H436="",H436=0),O436*P436,O436*H436*P436))</f>
        <v/>
      </c>
      <c r="T436" s="63">
        <f>IF(O436="","",IF(OR(H436="",H436=0),O436*R436,O436*H436*R436))</f>
        <v/>
      </c>
      <c r="U436" s="62">
        <f>IF(C436="","",INPUT_SYSTEM!C450)</f>
        <v/>
      </c>
      <c r="V436" s="2" t="n"/>
    </row>
    <row r="437" ht="15.75" customHeight="1" s="125">
      <c r="A437" s="62">
        <f>IF(INPUT_SYSTEM!D451="","",INPUT_SYSTEM!A451)</f>
        <v/>
      </c>
      <c r="B437" s="62">
        <f>IF(INPUT_SYSTEM!D451="","",INPUT_SYSTEM!B451)</f>
        <v/>
      </c>
      <c r="C437" s="62">
        <f>IF(INPUT_SYSTEM!D451="","",INPUT_SYSTEM!D451)</f>
        <v/>
      </c>
      <c r="D437" s="62">
        <f>IF(C437="","",INPUT_SYSTEM!E451)</f>
        <v/>
      </c>
      <c r="E437" s="62">
        <f>IF(C437="","",INPUT_SYSTEM!F451)</f>
        <v/>
      </c>
      <c r="F437" s="62">
        <f t="array" ref="F437">IFERROR(INDEX(PRODUCT!$D:$D,MATCH(C437,PRODUCT!$B:$B,0)),"")</f>
        <v/>
      </c>
      <c r="G437" s="62">
        <f t="array" ref="G437">IFERROR(INDEX(PRODUCT!$E:$E,MATCH(C437,PRODUCT!$B:$B,0)),"")</f>
        <v/>
      </c>
      <c r="H437" s="62">
        <f t="array" ref="H437">IFERROR(INDEX(PRODUCT!$F:$F,MATCH(C437,PRODUCT!$B:$B,0)),"")</f>
        <v/>
      </c>
      <c r="I437" s="62">
        <f>IF(C437="","",INPUT_SYSTEM!G451)</f>
        <v/>
      </c>
      <c r="J437" s="62">
        <f>IF(C437="","",INPUT_SYSTEM!H451)</f>
        <v/>
      </c>
      <c r="K437" s="60">
        <f>IF(C437="","",INPUT_SYSTEM!J451)</f>
        <v/>
      </c>
      <c r="L437" s="62">
        <f>IF(C437="","",INPUT_SYSTEM!K451)</f>
        <v/>
      </c>
      <c r="M437" s="62">
        <f>IF(C437="","",INPUT_SYSTEM!L451)</f>
        <v/>
      </c>
      <c r="N437" s="62">
        <f>IF(U437&lt;&gt;"SI","",IF(M437&lt;&gt;"",M437,IFERROR(I437*J437*(1+K437)*L437,"")))</f>
        <v/>
      </c>
      <c r="O437" s="62">
        <f>IF(N437="","",IF(OR(H437="",H437=0),N437,ROUNDUP(N437/H437,0)))</f>
        <v/>
      </c>
      <c r="P437" s="63">
        <f t="array" ref="P437">IFERROR(INDEX(PRODUCT!$I:$I,MATCH(C437,PRODUCT!$B:$B,0)),"")</f>
        <v/>
      </c>
      <c r="Q437" s="63">
        <f>IF(C437="","",INPUT_SYSTEM!M451)</f>
        <v/>
      </c>
      <c r="R437" s="63">
        <f>IF(P437="","",P437*(1+Q437))</f>
        <v/>
      </c>
      <c r="S437" s="63">
        <f>IF(O437="","",IF(OR(H437="",H437=0),O437*P437,O437*H437*P437))</f>
        <v/>
      </c>
      <c r="T437" s="63">
        <f>IF(O437="","",IF(OR(H437="",H437=0),O437*R437,O437*H437*R437))</f>
        <v/>
      </c>
      <c r="U437" s="62">
        <f>IF(C437="","",INPUT_SYSTEM!C451)</f>
        <v/>
      </c>
      <c r="V437" s="2" t="n"/>
    </row>
    <row r="438" ht="15.75" customHeight="1" s="125">
      <c r="A438" s="62">
        <f>IF(INPUT_SYSTEM!D452="","",INPUT_SYSTEM!A452)</f>
        <v/>
      </c>
      <c r="B438" s="62">
        <f>IF(INPUT_SYSTEM!D452="","",INPUT_SYSTEM!B452)</f>
        <v/>
      </c>
      <c r="C438" s="62">
        <f>IF(INPUT_SYSTEM!D452="","",INPUT_SYSTEM!D452)</f>
        <v/>
      </c>
      <c r="D438" s="62">
        <f>IF(C438="","",INPUT_SYSTEM!E452)</f>
        <v/>
      </c>
      <c r="E438" s="62">
        <f>IF(C438="","",INPUT_SYSTEM!F452)</f>
        <v/>
      </c>
      <c r="F438" s="62">
        <f t="array" ref="F438">IFERROR(INDEX(PRODUCT!$D:$D,MATCH(C438,PRODUCT!$B:$B,0)),"")</f>
        <v/>
      </c>
      <c r="G438" s="62">
        <f t="array" ref="G438">IFERROR(INDEX(PRODUCT!$E:$E,MATCH(C438,PRODUCT!$B:$B,0)),"")</f>
        <v/>
      </c>
      <c r="H438" s="62">
        <f t="array" ref="H438">IFERROR(INDEX(PRODUCT!$F:$F,MATCH(C438,PRODUCT!$B:$B,0)),"")</f>
        <v/>
      </c>
      <c r="I438" s="62">
        <f>IF(C438="","",INPUT_SYSTEM!G452)</f>
        <v/>
      </c>
      <c r="J438" s="62">
        <f>IF(C438="","",INPUT_SYSTEM!H452)</f>
        <v/>
      </c>
      <c r="K438" s="60">
        <f>IF(C438="","",INPUT_SYSTEM!J452)</f>
        <v/>
      </c>
      <c r="L438" s="62">
        <f>IF(C438="","",INPUT_SYSTEM!K452)</f>
        <v/>
      </c>
      <c r="M438" s="62">
        <f>IF(C438="","",INPUT_SYSTEM!L452)</f>
        <v/>
      </c>
      <c r="N438" s="62">
        <f>IF(U438&lt;&gt;"SI","",IF(M438&lt;&gt;"",M438,IFERROR(I438*J438*(1+K438)*L438,"")))</f>
        <v/>
      </c>
      <c r="O438" s="62">
        <f>IF(N438="","",IF(OR(H438="",H438=0),N438,ROUNDUP(N438/H438,0)))</f>
        <v/>
      </c>
      <c r="P438" s="63">
        <f t="array" ref="P438">IFERROR(INDEX(PRODUCT!$I:$I,MATCH(C438,PRODUCT!$B:$B,0)),"")</f>
        <v/>
      </c>
      <c r="Q438" s="63">
        <f>IF(C438="","",INPUT_SYSTEM!M452)</f>
        <v/>
      </c>
      <c r="R438" s="63">
        <f>IF(P438="","",P438*(1+Q438))</f>
        <v/>
      </c>
      <c r="S438" s="63">
        <f>IF(O438="","",IF(OR(H438="",H438=0),O438*P438,O438*H438*P438))</f>
        <v/>
      </c>
      <c r="T438" s="63">
        <f>IF(O438="","",IF(OR(H438="",H438=0),O438*R438,O438*H438*R438))</f>
        <v/>
      </c>
      <c r="U438" s="62">
        <f>IF(C438="","",INPUT_SYSTEM!C452)</f>
        <v/>
      </c>
      <c r="V438" s="2" t="n"/>
    </row>
    <row r="439" ht="15.75" customHeight="1" s="125">
      <c r="A439" s="62">
        <f>IF(INPUT_SYSTEM!D453="","",INPUT_SYSTEM!A453)</f>
        <v/>
      </c>
      <c r="B439" s="62">
        <f>IF(INPUT_SYSTEM!D453="","",INPUT_SYSTEM!B453)</f>
        <v/>
      </c>
      <c r="C439" s="62">
        <f>IF(INPUT_SYSTEM!D453="","",INPUT_SYSTEM!D453)</f>
        <v/>
      </c>
      <c r="D439" s="62">
        <f>IF(C439="","",INPUT_SYSTEM!E453)</f>
        <v/>
      </c>
      <c r="E439" s="62">
        <f>IF(C439="","",INPUT_SYSTEM!F453)</f>
        <v/>
      </c>
      <c r="F439" s="62">
        <f t="array" ref="F439">IFERROR(INDEX(PRODUCT!$D:$D,MATCH(C439,PRODUCT!$B:$B,0)),"")</f>
        <v/>
      </c>
      <c r="G439" s="62">
        <f t="array" ref="G439">IFERROR(INDEX(PRODUCT!$E:$E,MATCH(C439,PRODUCT!$B:$B,0)),"")</f>
        <v/>
      </c>
      <c r="H439" s="62">
        <f t="array" ref="H439">IFERROR(INDEX(PRODUCT!$F:$F,MATCH(C439,PRODUCT!$B:$B,0)),"")</f>
        <v/>
      </c>
      <c r="I439" s="62">
        <f>IF(C439="","",INPUT_SYSTEM!G453)</f>
        <v/>
      </c>
      <c r="J439" s="62">
        <f>IF(C439="","",INPUT_SYSTEM!H453)</f>
        <v/>
      </c>
      <c r="K439" s="60">
        <f>IF(C439="","",INPUT_SYSTEM!J453)</f>
        <v/>
      </c>
      <c r="L439" s="62">
        <f>IF(C439="","",INPUT_SYSTEM!K453)</f>
        <v/>
      </c>
      <c r="M439" s="62">
        <f>IF(C439="","",INPUT_SYSTEM!L453)</f>
        <v/>
      </c>
      <c r="N439" s="62">
        <f>IF(U439&lt;&gt;"SI","",IF(M439&lt;&gt;"",M439,IFERROR(I439*J439*(1+K439)*L439,"")))</f>
        <v/>
      </c>
      <c r="O439" s="62">
        <f>IF(N439="","",IF(OR(H439="",H439=0),N439,ROUNDUP(N439/H439,0)))</f>
        <v/>
      </c>
      <c r="P439" s="63">
        <f t="array" ref="P439">IFERROR(INDEX(PRODUCT!$I:$I,MATCH(C439,PRODUCT!$B:$B,0)),"")</f>
        <v/>
      </c>
      <c r="Q439" s="63">
        <f>IF(C439="","",INPUT_SYSTEM!M453)</f>
        <v/>
      </c>
      <c r="R439" s="63">
        <f>IF(P439="","",P439*(1+Q439))</f>
        <v/>
      </c>
      <c r="S439" s="63">
        <f>IF(O439="","",IF(OR(H439="",H439=0),O439*P439,O439*H439*P439))</f>
        <v/>
      </c>
      <c r="T439" s="63">
        <f>IF(O439="","",IF(OR(H439="",H439=0),O439*R439,O439*H439*R439))</f>
        <v/>
      </c>
      <c r="U439" s="62">
        <f>IF(C439="","",INPUT_SYSTEM!C453)</f>
        <v/>
      </c>
      <c r="V439" s="2" t="n"/>
    </row>
    <row r="440" ht="15.75" customHeight="1" s="125">
      <c r="A440" s="62">
        <f>IF(INPUT_SYSTEM!D454="","",INPUT_SYSTEM!A454)</f>
        <v/>
      </c>
      <c r="B440" s="62">
        <f>IF(INPUT_SYSTEM!D454="","",INPUT_SYSTEM!B454)</f>
        <v/>
      </c>
      <c r="C440" s="62">
        <f>IF(INPUT_SYSTEM!D454="","",INPUT_SYSTEM!D454)</f>
        <v/>
      </c>
      <c r="D440" s="62">
        <f>IF(C440="","",INPUT_SYSTEM!E454)</f>
        <v/>
      </c>
      <c r="E440" s="62">
        <f>IF(C440="","",INPUT_SYSTEM!F454)</f>
        <v/>
      </c>
      <c r="F440" s="62">
        <f t="array" ref="F440">IFERROR(INDEX(PRODUCT!$D:$D,MATCH(C440,PRODUCT!$B:$B,0)),"")</f>
        <v/>
      </c>
      <c r="G440" s="62">
        <f t="array" ref="G440">IFERROR(INDEX(PRODUCT!$E:$E,MATCH(C440,PRODUCT!$B:$B,0)),"")</f>
        <v/>
      </c>
      <c r="H440" s="62">
        <f t="array" ref="H440">IFERROR(INDEX(PRODUCT!$F:$F,MATCH(C440,PRODUCT!$B:$B,0)),"")</f>
        <v/>
      </c>
      <c r="I440" s="62">
        <f>IF(C440="","",INPUT_SYSTEM!G454)</f>
        <v/>
      </c>
      <c r="J440" s="62">
        <f>IF(C440="","",INPUT_SYSTEM!H454)</f>
        <v/>
      </c>
      <c r="K440" s="60">
        <f>IF(C440="","",INPUT_SYSTEM!J454)</f>
        <v/>
      </c>
      <c r="L440" s="62">
        <f>IF(C440="","",INPUT_SYSTEM!K454)</f>
        <v/>
      </c>
      <c r="M440" s="62">
        <f>IF(C440="","",INPUT_SYSTEM!L454)</f>
        <v/>
      </c>
      <c r="N440" s="62">
        <f>IF(U440&lt;&gt;"SI","",IF(M440&lt;&gt;"",M440,IFERROR(I440*J440*(1+K440)*L440,"")))</f>
        <v/>
      </c>
      <c r="O440" s="62">
        <f>IF(N440="","",IF(OR(H440="",H440=0),N440,ROUNDUP(N440/H440,0)))</f>
        <v/>
      </c>
      <c r="P440" s="63">
        <f t="array" ref="P440">IFERROR(INDEX(PRODUCT!$I:$I,MATCH(C440,PRODUCT!$B:$B,0)),"")</f>
        <v/>
      </c>
      <c r="Q440" s="63">
        <f>IF(C440="","",INPUT_SYSTEM!M454)</f>
        <v/>
      </c>
      <c r="R440" s="63">
        <f>IF(P440="","",P440*(1+Q440))</f>
        <v/>
      </c>
      <c r="S440" s="63">
        <f>IF(O440="","",IF(OR(H440="",H440=0),O440*P440,O440*H440*P440))</f>
        <v/>
      </c>
      <c r="T440" s="63">
        <f>IF(O440="","",IF(OR(H440="",H440=0),O440*R440,O440*H440*R440))</f>
        <v/>
      </c>
      <c r="U440" s="62">
        <f>IF(C440="","",INPUT_SYSTEM!C454)</f>
        <v/>
      </c>
      <c r="V440" s="2" t="n"/>
    </row>
    <row r="441" ht="15.75" customHeight="1" s="125">
      <c r="A441" s="62">
        <f>IF(INPUT_SYSTEM!D455="","",INPUT_SYSTEM!A455)</f>
        <v/>
      </c>
      <c r="B441" s="62">
        <f>IF(INPUT_SYSTEM!D455="","",INPUT_SYSTEM!B455)</f>
        <v/>
      </c>
      <c r="C441" s="62">
        <f>IF(INPUT_SYSTEM!D455="","",INPUT_SYSTEM!D455)</f>
        <v/>
      </c>
      <c r="D441" s="62">
        <f>IF(C441="","",INPUT_SYSTEM!E455)</f>
        <v/>
      </c>
      <c r="E441" s="62">
        <f>IF(C441="","",INPUT_SYSTEM!F455)</f>
        <v/>
      </c>
      <c r="F441" s="62">
        <f t="array" ref="F441">IFERROR(INDEX(PRODUCT!$D:$D,MATCH(C441,PRODUCT!$B:$B,0)),"")</f>
        <v/>
      </c>
      <c r="G441" s="62">
        <f t="array" ref="G441">IFERROR(INDEX(PRODUCT!$E:$E,MATCH(C441,PRODUCT!$B:$B,0)),"")</f>
        <v/>
      </c>
      <c r="H441" s="62">
        <f t="array" ref="H441">IFERROR(INDEX(PRODUCT!$F:$F,MATCH(C441,PRODUCT!$B:$B,0)),"")</f>
        <v/>
      </c>
      <c r="I441" s="62">
        <f>IF(C441="","",INPUT_SYSTEM!G455)</f>
        <v/>
      </c>
      <c r="J441" s="62">
        <f>IF(C441="","",INPUT_SYSTEM!H455)</f>
        <v/>
      </c>
      <c r="K441" s="60">
        <f>IF(C441="","",INPUT_SYSTEM!J455)</f>
        <v/>
      </c>
      <c r="L441" s="62">
        <f>IF(C441="","",INPUT_SYSTEM!K455)</f>
        <v/>
      </c>
      <c r="M441" s="62">
        <f>IF(C441="","",INPUT_SYSTEM!L455)</f>
        <v/>
      </c>
      <c r="N441" s="62">
        <f>IF(U441&lt;&gt;"SI","",IF(M441&lt;&gt;"",M441,IFERROR(I441*J441*(1+K441)*L441,"")))</f>
        <v/>
      </c>
      <c r="O441" s="62">
        <f>IF(N441="","",IF(OR(H441="",H441=0),N441,ROUNDUP(N441/H441,0)))</f>
        <v/>
      </c>
      <c r="P441" s="63">
        <f t="array" ref="P441">IFERROR(INDEX(PRODUCT!$I:$I,MATCH(C441,PRODUCT!$B:$B,0)),"")</f>
        <v/>
      </c>
      <c r="Q441" s="63">
        <f>IF(C441="","",INPUT_SYSTEM!M455)</f>
        <v/>
      </c>
      <c r="R441" s="63">
        <f>IF(P441="","",P441*(1+Q441))</f>
        <v/>
      </c>
      <c r="S441" s="63">
        <f>IF(O441="","",IF(OR(H441="",H441=0),O441*P441,O441*H441*P441))</f>
        <v/>
      </c>
      <c r="T441" s="63">
        <f>IF(O441="","",IF(OR(H441="",H441=0),O441*R441,O441*H441*R441))</f>
        <v/>
      </c>
      <c r="U441" s="62">
        <f>IF(C441="","",INPUT_SYSTEM!C455)</f>
        <v/>
      </c>
      <c r="V441" s="2" t="n"/>
    </row>
    <row r="442" ht="15.75" customHeight="1" s="125">
      <c r="A442" s="62">
        <f>IF(INPUT_SYSTEM!D456="","",INPUT_SYSTEM!A456)</f>
        <v/>
      </c>
      <c r="B442" s="62">
        <f>IF(INPUT_SYSTEM!D456="","",INPUT_SYSTEM!B456)</f>
        <v/>
      </c>
      <c r="C442" s="62">
        <f>IF(INPUT_SYSTEM!D456="","",INPUT_SYSTEM!D456)</f>
        <v/>
      </c>
      <c r="D442" s="62">
        <f>IF(C442="","",INPUT_SYSTEM!E456)</f>
        <v/>
      </c>
      <c r="E442" s="62">
        <f>IF(C442="","",INPUT_SYSTEM!F456)</f>
        <v/>
      </c>
      <c r="F442" s="62">
        <f t="array" ref="F442">IFERROR(INDEX(PRODUCT!$D:$D,MATCH(C442,PRODUCT!$B:$B,0)),"")</f>
        <v/>
      </c>
      <c r="G442" s="62">
        <f t="array" ref="G442">IFERROR(INDEX(PRODUCT!$E:$E,MATCH(C442,PRODUCT!$B:$B,0)),"")</f>
        <v/>
      </c>
      <c r="H442" s="62">
        <f t="array" ref="H442">IFERROR(INDEX(PRODUCT!$F:$F,MATCH(C442,PRODUCT!$B:$B,0)),"")</f>
        <v/>
      </c>
      <c r="I442" s="62">
        <f>IF(C442="","",INPUT_SYSTEM!G456)</f>
        <v/>
      </c>
      <c r="J442" s="62">
        <f>IF(C442="","",INPUT_SYSTEM!H456)</f>
        <v/>
      </c>
      <c r="K442" s="60">
        <f>IF(C442="","",INPUT_SYSTEM!J456)</f>
        <v/>
      </c>
      <c r="L442" s="62">
        <f>IF(C442="","",INPUT_SYSTEM!K456)</f>
        <v/>
      </c>
      <c r="M442" s="62">
        <f>IF(C442="","",INPUT_SYSTEM!L456)</f>
        <v/>
      </c>
      <c r="N442" s="62">
        <f>IF(U442&lt;&gt;"SI","",IF(M442&lt;&gt;"",M442,IFERROR(I442*J442*(1+K442)*L442,"")))</f>
        <v/>
      </c>
      <c r="O442" s="62">
        <f>IF(N442="","",IF(OR(H442="",H442=0),N442,ROUNDUP(N442/H442,0)))</f>
        <v/>
      </c>
      <c r="P442" s="63">
        <f t="array" ref="P442">IFERROR(INDEX(PRODUCT!$I:$I,MATCH(C442,PRODUCT!$B:$B,0)),"")</f>
        <v/>
      </c>
      <c r="Q442" s="63">
        <f>IF(C442="","",INPUT_SYSTEM!M456)</f>
        <v/>
      </c>
      <c r="R442" s="63">
        <f>IF(P442="","",P442*(1+Q442))</f>
        <v/>
      </c>
      <c r="S442" s="63">
        <f>IF(O442="","",IF(OR(H442="",H442=0),O442*P442,O442*H442*P442))</f>
        <v/>
      </c>
      <c r="T442" s="63">
        <f>IF(O442="","",IF(OR(H442="",H442=0),O442*R442,O442*H442*R442))</f>
        <v/>
      </c>
      <c r="U442" s="62">
        <f>IF(C442="","",INPUT_SYSTEM!C456)</f>
        <v/>
      </c>
      <c r="V442" s="2" t="n"/>
    </row>
    <row r="443" ht="15.75" customHeight="1" s="125">
      <c r="A443" s="62">
        <f>IF(INPUT_SYSTEM!D457="","",INPUT_SYSTEM!A457)</f>
        <v/>
      </c>
      <c r="B443" s="62">
        <f>IF(INPUT_SYSTEM!D457="","",INPUT_SYSTEM!B457)</f>
        <v/>
      </c>
      <c r="C443" s="62">
        <f>IF(INPUT_SYSTEM!D457="","",INPUT_SYSTEM!D457)</f>
        <v/>
      </c>
      <c r="D443" s="62">
        <f>IF(C443="","",INPUT_SYSTEM!E457)</f>
        <v/>
      </c>
      <c r="E443" s="62">
        <f>IF(C443="","",INPUT_SYSTEM!F457)</f>
        <v/>
      </c>
      <c r="F443" s="62">
        <f t="array" ref="F443">IFERROR(INDEX(PRODUCT!$D:$D,MATCH(C443,PRODUCT!$B:$B,0)),"")</f>
        <v/>
      </c>
      <c r="G443" s="62">
        <f t="array" ref="G443">IFERROR(INDEX(PRODUCT!$E:$E,MATCH(C443,PRODUCT!$B:$B,0)),"")</f>
        <v/>
      </c>
      <c r="H443" s="62">
        <f t="array" ref="H443">IFERROR(INDEX(PRODUCT!$F:$F,MATCH(C443,PRODUCT!$B:$B,0)),"")</f>
        <v/>
      </c>
      <c r="I443" s="62">
        <f>IF(C443="","",INPUT_SYSTEM!G457)</f>
        <v/>
      </c>
      <c r="J443" s="62">
        <f>IF(C443="","",INPUT_SYSTEM!H457)</f>
        <v/>
      </c>
      <c r="K443" s="60">
        <f>IF(C443="","",INPUT_SYSTEM!J457)</f>
        <v/>
      </c>
      <c r="L443" s="62">
        <f>IF(C443="","",INPUT_SYSTEM!K457)</f>
        <v/>
      </c>
      <c r="M443" s="62">
        <f>IF(C443="","",INPUT_SYSTEM!L457)</f>
        <v/>
      </c>
      <c r="N443" s="62">
        <f>IF(U443&lt;&gt;"SI","",IF(M443&lt;&gt;"",M443,IFERROR(I443*J443*(1+K443)*L443,"")))</f>
        <v/>
      </c>
      <c r="O443" s="62">
        <f>IF(N443="","",IF(OR(H443="",H443=0),N443,ROUNDUP(N443/H443,0)))</f>
        <v/>
      </c>
      <c r="P443" s="63">
        <f t="array" ref="P443">IFERROR(INDEX(PRODUCT!$I:$I,MATCH(C443,PRODUCT!$B:$B,0)),"")</f>
        <v/>
      </c>
      <c r="Q443" s="63">
        <f>IF(C443="","",INPUT_SYSTEM!M457)</f>
        <v/>
      </c>
      <c r="R443" s="63">
        <f>IF(P443="","",P443*(1+Q443))</f>
        <v/>
      </c>
      <c r="S443" s="63">
        <f>IF(O443="","",IF(OR(H443="",H443=0),O443*P443,O443*H443*P443))</f>
        <v/>
      </c>
      <c r="T443" s="63">
        <f>IF(O443="","",IF(OR(H443="",H443=0),O443*R443,O443*H443*R443))</f>
        <v/>
      </c>
      <c r="U443" s="62">
        <f>IF(C443="","",INPUT_SYSTEM!C457)</f>
        <v/>
      </c>
      <c r="V443" s="2" t="n"/>
    </row>
    <row r="444" ht="15.75" customHeight="1" s="125">
      <c r="A444" s="62">
        <f>IF(INPUT_SYSTEM!D458="","",INPUT_SYSTEM!A458)</f>
        <v/>
      </c>
      <c r="B444" s="62">
        <f>IF(INPUT_SYSTEM!D458="","",INPUT_SYSTEM!B458)</f>
        <v/>
      </c>
      <c r="C444" s="62">
        <f>IF(INPUT_SYSTEM!D458="","",INPUT_SYSTEM!D458)</f>
        <v/>
      </c>
      <c r="D444" s="62">
        <f>IF(C444="","",INPUT_SYSTEM!E458)</f>
        <v/>
      </c>
      <c r="E444" s="62">
        <f>IF(C444="","",INPUT_SYSTEM!F458)</f>
        <v/>
      </c>
      <c r="F444" s="62">
        <f t="array" ref="F444">IFERROR(INDEX(PRODUCT!$D:$D,MATCH(C444,PRODUCT!$B:$B,0)),"")</f>
        <v/>
      </c>
      <c r="G444" s="62">
        <f t="array" ref="G444">IFERROR(INDEX(PRODUCT!$E:$E,MATCH(C444,PRODUCT!$B:$B,0)),"")</f>
        <v/>
      </c>
      <c r="H444" s="62">
        <f t="array" ref="H444">IFERROR(INDEX(PRODUCT!$F:$F,MATCH(C444,PRODUCT!$B:$B,0)),"")</f>
        <v/>
      </c>
      <c r="I444" s="62">
        <f>IF(C444="","",INPUT_SYSTEM!G458)</f>
        <v/>
      </c>
      <c r="J444" s="62">
        <f>IF(C444="","",INPUT_SYSTEM!H458)</f>
        <v/>
      </c>
      <c r="K444" s="60">
        <f>IF(C444="","",INPUT_SYSTEM!J458)</f>
        <v/>
      </c>
      <c r="L444" s="62">
        <f>IF(C444="","",INPUT_SYSTEM!K458)</f>
        <v/>
      </c>
      <c r="M444" s="62">
        <f>IF(C444="","",INPUT_SYSTEM!L458)</f>
        <v/>
      </c>
      <c r="N444" s="62">
        <f>IF(U444&lt;&gt;"SI","",IF(M444&lt;&gt;"",M444,IFERROR(I444*J444*(1+K444)*L444,"")))</f>
        <v/>
      </c>
      <c r="O444" s="62">
        <f>IF(N444="","",IF(OR(H444="",H444=0),N444,ROUNDUP(N444/H444,0)))</f>
        <v/>
      </c>
      <c r="P444" s="63">
        <f t="array" ref="P444">IFERROR(INDEX(PRODUCT!$I:$I,MATCH(C444,PRODUCT!$B:$B,0)),"")</f>
        <v/>
      </c>
      <c r="Q444" s="63">
        <f>IF(C444="","",INPUT_SYSTEM!M458)</f>
        <v/>
      </c>
      <c r="R444" s="63">
        <f>IF(P444="","",P444*(1+Q444))</f>
        <v/>
      </c>
      <c r="S444" s="63">
        <f>IF(O444="","",IF(OR(H444="",H444=0),O444*P444,O444*H444*P444))</f>
        <v/>
      </c>
      <c r="T444" s="63">
        <f>IF(O444="","",IF(OR(H444="",H444=0),O444*R444,O444*H444*R444))</f>
        <v/>
      </c>
      <c r="U444" s="62">
        <f>IF(C444="","",INPUT_SYSTEM!C458)</f>
        <v/>
      </c>
      <c r="V444" s="2" t="n"/>
    </row>
    <row r="445" ht="15.75" customHeight="1" s="125">
      <c r="A445" s="62">
        <f>IF(INPUT_SYSTEM!D459="","",INPUT_SYSTEM!A459)</f>
        <v/>
      </c>
      <c r="B445" s="62">
        <f>IF(INPUT_SYSTEM!D459="","",INPUT_SYSTEM!B459)</f>
        <v/>
      </c>
      <c r="C445" s="62">
        <f>IF(INPUT_SYSTEM!D459="","",INPUT_SYSTEM!D459)</f>
        <v/>
      </c>
      <c r="D445" s="62">
        <f>IF(C445="","",INPUT_SYSTEM!E459)</f>
        <v/>
      </c>
      <c r="E445" s="62">
        <f>IF(C445="","",INPUT_SYSTEM!F459)</f>
        <v/>
      </c>
      <c r="F445" s="62">
        <f t="array" ref="F445">IFERROR(INDEX(PRODUCT!$D:$D,MATCH(C445,PRODUCT!$B:$B,0)),"")</f>
        <v/>
      </c>
      <c r="G445" s="62">
        <f t="array" ref="G445">IFERROR(INDEX(PRODUCT!$E:$E,MATCH(C445,PRODUCT!$B:$B,0)),"")</f>
        <v/>
      </c>
      <c r="H445" s="62">
        <f t="array" ref="H445">IFERROR(INDEX(PRODUCT!$F:$F,MATCH(C445,PRODUCT!$B:$B,0)),"")</f>
        <v/>
      </c>
      <c r="I445" s="62">
        <f>IF(C445="","",INPUT_SYSTEM!G459)</f>
        <v/>
      </c>
      <c r="J445" s="62">
        <f>IF(C445="","",INPUT_SYSTEM!H459)</f>
        <v/>
      </c>
      <c r="K445" s="60">
        <f>IF(C445="","",INPUT_SYSTEM!J459)</f>
        <v/>
      </c>
      <c r="L445" s="62">
        <f>IF(C445="","",INPUT_SYSTEM!K459)</f>
        <v/>
      </c>
      <c r="M445" s="62">
        <f>IF(C445="","",INPUT_SYSTEM!L459)</f>
        <v/>
      </c>
      <c r="N445" s="62">
        <f>IF(U445&lt;&gt;"SI","",IF(M445&lt;&gt;"",M445,IFERROR(I445*J445*(1+K445)*L445,"")))</f>
        <v/>
      </c>
      <c r="O445" s="62">
        <f>IF(N445="","",IF(OR(H445="",H445=0),N445,ROUNDUP(N445/H445,0)))</f>
        <v/>
      </c>
      <c r="P445" s="63">
        <f t="array" ref="P445">IFERROR(INDEX(PRODUCT!$I:$I,MATCH(C445,PRODUCT!$B:$B,0)),"")</f>
        <v/>
      </c>
      <c r="Q445" s="63">
        <f>IF(C445="","",INPUT_SYSTEM!M459)</f>
        <v/>
      </c>
      <c r="R445" s="63">
        <f>IF(P445="","",P445*(1+Q445))</f>
        <v/>
      </c>
      <c r="S445" s="63">
        <f>IF(O445="","",IF(OR(H445="",H445=0),O445*P445,O445*H445*P445))</f>
        <v/>
      </c>
      <c r="T445" s="63">
        <f>IF(O445="","",IF(OR(H445="",H445=0),O445*R445,O445*H445*R445))</f>
        <v/>
      </c>
      <c r="U445" s="62">
        <f>IF(C445="","",INPUT_SYSTEM!C459)</f>
        <v/>
      </c>
      <c r="V445" s="2" t="n"/>
    </row>
    <row r="446" ht="15.75" customHeight="1" s="125">
      <c r="A446" s="62">
        <f>IF(INPUT_SYSTEM!D460="","",INPUT_SYSTEM!A460)</f>
        <v/>
      </c>
      <c r="B446" s="62">
        <f>IF(INPUT_SYSTEM!D460="","",INPUT_SYSTEM!B460)</f>
        <v/>
      </c>
      <c r="C446" s="62">
        <f>IF(INPUT_SYSTEM!D460="","",INPUT_SYSTEM!D460)</f>
        <v/>
      </c>
      <c r="D446" s="62">
        <f>IF(C446="","",INPUT_SYSTEM!E460)</f>
        <v/>
      </c>
      <c r="E446" s="62">
        <f>IF(C446="","",INPUT_SYSTEM!F460)</f>
        <v/>
      </c>
      <c r="F446" s="62">
        <f t="array" ref="F446">IFERROR(INDEX(PRODUCT!$D:$D,MATCH(C446,PRODUCT!$B:$B,0)),"")</f>
        <v/>
      </c>
      <c r="G446" s="62">
        <f t="array" ref="G446">IFERROR(INDEX(PRODUCT!$E:$E,MATCH(C446,PRODUCT!$B:$B,0)),"")</f>
        <v/>
      </c>
      <c r="H446" s="62">
        <f t="array" ref="H446">IFERROR(INDEX(PRODUCT!$F:$F,MATCH(C446,PRODUCT!$B:$B,0)),"")</f>
        <v/>
      </c>
      <c r="I446" s="62">
        <f>IF(C446="","",INPUT_SYSTEM!G460)</f>
        <v/>
      </c>
      <c r="J446" s="62">
        <f>IF(C446="","",INPUT_SYSTEM!H460)</f>
        <v/>
      </c>
      <c r="K446" s="60">
        <f>IF(C446="","",INPUT_SYSTEM!J460)</f>
        <v/>
      </c>
      <c r="L446" s="62">
        <f>IF(C446="","",INPUT_SYSTEM!K460)</f>
        <v/>
      </c>
      <c r="M446" s="62">
        <f>IF(C446="","",INPUT_SYSTEM!L460)</f>
        <v/>
      </c>
      <c r="N446" s="62">
        <f>IF(U446&lt;&gt;"SI","",IF(M446&lt;&gt;"",M446,IFERROR(I446*J446*(1+K446)*L446,"")))</f>
        <v/>
      </c>
      <c r="O446" s="62">
        <f>IF(N446="","",IF(OR(H446="",H446=0),N446,ROUNDUP(N446/H446,0)))</f>
        <v/>
      </c>
      <c r="P446" s="63">
        <f t="array" ref="P446">IFERROR(INDEX(PRODUCT!$I:$I,MATCH(C446,PRODUCT!$B:$B,0)),"")</f>
        <v/>
      </c>
      <c r="Q446" s="63">
        <f>IF(C446="","",INPUT_SYSTEM!M460)</f>
        <v/>
      </c>
      <c r="R446" s="63">
        <f>IF(P446="","",P446*(1+Q446))</f>
        <v/>
      </c>
      <c r="S446" s="63">
        <f>IF(O446="","",IF(OR(H446="",H446=0),O446*P446,O446*H446*P446))</f>
        <v/>
      </c>
      <c r="T446" s="63">
        <f>IF(O446="","",IF(OR(H446="",H446=0),O446*R446,O446*H446*R446))</f>
        <v/>
      </c>
      <c r="U446" s="62">
        <f>IF(C446="","",INPUT_SYSTEM!C460)</f>
        <v/>
      </c>
      <c r="V446" s="2" t="n"/>
    </row>
    <row r="447" ht="15.75" customHeight="1" s="125">
      <c r="A447" s="62">
        <f>IF(INPUT_SYSTEM!D461="","",INPUT_SYSTEM!A461)</f>
        <v/>
      </c>
      <c r="B447" s="62">
        <f>IF(INPUT_SYSTEM!D461="","",INPUT_SYSTEM!B461)</f>
        <v/>
      </c>
      <c r="C447" s="62">
        <f>IF(INPUT_SYSTEM!D461="","",INPUT_SYSTEM!D461)</f>
        <v/>
      </c>
      <c r="D447" s="62">
        <f>IF(C447="","",INPUT_SYSTEM!E461)</f>
        <v/>
      </c>
      <c r="E447" s="62">
        <f>IF(C447="","",INPUT_SYSTEM!F461)</f>
        <v/>
      </c>
      <c r="F447" s="62">
        <f t="array" ref="F447">IFERROR(INDEX(PRODUCT!$D:$D,MATCH(C447,PRODUCT!$B:$B,0)),"")</f>
        <v/>
      </c>
      <c r="G447" s="62">
        <f t="array" ref="G447">IFERROR(INDEX(PRODUCT!$E:$E,MATCH(C447,PRODUCT!$B:$B,0)),"")</f>
        <v/>
      </c>
      <c r="H447" s="62">
        <f t="array" ref="H447">IFERROR(INDEX(PRODUCT!$F:$F,MATCH(C447,PRODUCT!$B:$B,0)),"")</f>
        <v/>
      </c>
      <c r="I447" s="62">
        <f>IF(C447="","",INPUT_SYSTEM!G461)</f>
        <v/>
      </c>
      <c r="J447" s="62">
        <f>IF(C447="","",INPUT_SYSTEM!H461)</f>
        <v/>
      </c>
      <c r="K447" s="60">
        <f>IF(C447="","",INPUT_SYSTEM!J461)</f>
        <v/>
      </c>
      <c r="L447" s="62">
        <f>IF(C447="","",INPUT_SYSTEM!K461)</f>
        <v/>
      </c>
      <c r="M447" s="62">
        <f>IF(C447="","",INPUT_SYSTEM!L461)</f>
        <v/>
      </c>
      <c r="N447" s="62">
        <f>IF(U447&lt;&gt;"SI","",IF(M447&lt;&gt;"",M447,IFERROR(I447*J447*(1+K447)*L447,"")))</f>
        <v/>
      </c>
      <c r="O447" s="62">
        <f>IF(N447="","",IF(OR(H447="",H447=0),N447,ROUNDUP(N447/H447,0)))</f>
        <v/>
      </c>
      <c r="P447" s="63">
        <f t="array" ref="P447">IFERROR(INDEX(PRODUCT!$I:$I,MATCH(C447,PRODUCT!$B:$B,0)),"")</f>
        <v/>
      </c>
      <c r="Q447" s="63">
        <f>IF(C447="","",INPUT_SYSTEM!M461)</f>
        <v/>
      </c>
      <c r="R447" s="63">
        <f>IF(P447="","",P447*(1+Q447))</f>
        <v/>
      </c>
      <c r="S447" s="63">
        <f>IF(O447="","",IF(OR(H447="",H447=0),O447*P447,O447*H447*P447))</f>
        <v/>
      </c>
      <c r="T447" s="63">
        <f>IF(O447="","",IF(OR(H447="",H447=0),O447*R447,O447*H447*R447))</f>
        <v/>
      </c>
      <c r="U447" s="62">
        <f>IF(C447="","",INPUT_SYSTEM!C461)</f>
        <v/>
      </c>
      <c r="V447" s="2" t="n"/>
    </row>
    <row r="448" ht="15.75" customHeight="1" s="125">
      <c r="A448" s="62">
        <f>IF(INPUT_SYSTEM!D462="","",INPUT_SYSTEM!A462)</f>
        <v/>
      </c>
      <c r="B448" s="62">
        <f>IF(INPUT_SYSTEM!D462="","",INPUT_SYSTEM!B462)</f>
        <v/>
      </c>
      <c r="C448" s="62">
        <f>IF(INPUT_SYSTEM!D462="","",INPUT_SYSTEM!D462)</f>
        <v/>
      </c>
      <c r="D448" s="62">
        <f>IF(C448="","",INPUT_SYSTEM!E462)</f>
        <v/>
      </c>
      <c r="E448" s="62">
        <f>IF(C448="","",INPUT_SYSTEM!F462)</f>
        <v/>
      </c>
      <c r="F448" s="62">
        <f t="array" ref="F448">IFERROR(INDEX(PRODUCT!$D:$D,MATCH(C448,PRODUCT!$B:$B,0)),"")</f>
        <v/>
      </c>
      <c r="G448" s="62">
        <f t="array" ref="G448">IFERROR(INDEX(PRODUCT!$E:$E,MATCH(C448,PRODUCT!$B:$B,0)),"")</f>
        <v/>
      </c>
      <c r="H448" s="62">
        <f t="array" ref="H448">IFERROR(INDEX(PRODUCT!$F:$F,MATCH(C448,PRODUCT!$B:$B,0)),"")</f>
        <v/>
      </c>
      <c r="I448" s="62">
        <f>IF(C448="","",INPUT_SYSTEM!G462)</f>
        <v/>
      </c>
      <c r="J448" s="62">
        <f>IF(C448="","",INPUT_SYSTEM!H462)</f>
        <v/>
      </c>
      <c r="K448" s="60">
        <f>IF(C448="","",INPUT_SYSTEM!J462)</f>
        <v/>
      </c>
      <c r="L448" s="62">
        <f>IF(C448="","",INPUT_SYSTEM!K462)</f>
        <v/>
      </c>
      <c r="M448" s="62">
        <f>IF(C448="","",INPUT_SYSTEM!L462)</f>
        <v/>
      </c>
      <c r="N448" s="62">
        <f>IF(U448&lt;&gt;"SI","",IF(M448&lt;&gt;"",M448,IFERROR(I448*J448*(1+K448)*L448,"")))</f>
        <v/>
      </c>
      <c r="O448" s="62">
        <f>IF(N448="","",IF(OR(H448="",H448=0),N448,ROUNDUP(N448/H448,0)))</f>
        <v/>
      </c>
      <c r="P448" s="63">
        <f t="array" ref="P448">IFERROR(INDEX(PRODUCT!$I:$I,MATCH(C448,PRODUCT!$B:$B,0)),"")</f>
        <v/>
      </c>
      <c r="Q448" s="63">
        <f>IF(C448="","",INPUT_SYSTEM!M462)</f>
        <v/>
      </c>
      <c r="R448" s="63">
        <f>IF(P448="","",P448*(1+Q448))</f>
        <v/>
      </c>
      <c r="S448" s="63">
        <f>IF(O448="","",IF(OR(H448="",H448=0),O448*P448,O448*H448*P448))</f>
        <v/>
      </c>
      <c r="T448" s="63">
        <f>IF(O448="","",IF(OR(H448="",H448=0),O448*R448,O448*H448*R448))</f>
        <v/>
      </c>
      <c r="U448" s="62">
        <f>IF(C448="","",INPUT_SYSTEM!C462)</f>
        <v/>
      </c>
      <c r="V448" s="2" t="n"/>
    </row>
    <row r="449" ht="15.75" customHeight="1" s="125">
      <c r="A449" s="62">
        <f>IF(INPUT_SYSTEM!D463="","",INPUT_SYSTEM!A463)</f>
        <v/>
      </c>
      <c r="B449" s="62">
        <f>IF(INPUT_SYSTEM!D463="","",INPUT_SYSTEM!B463)</f>
        <v/>
      </c>
      <c r="C449" s="62">
        <f>IF(INPUT_SYSTEM!D463="","",INPUT_SYSTEM!D463)</f>
        <v/>
      </c>
      <c r="D449" s="62">
        <f>IF(C449="","",INPUT_SYSTEM!E463)</f>
        <v/>
      </c>
      <c r="E449" s="62">
        <f>IF(C449="","",INPUT_SYSTEM!F463)</f>
        <v/>
      </c>
      <c r="F449" s="62">
        <f t="array" ref="F449">IFERROR(INDEX(PRODUCT!$D:$D,MATCH(C449,PRODUCT!$B:$B,0)),"")</f>
        <v/>
      </c>
      <c r="G449" s="62">
        <f t="array" ref="G449">IFERROR(INDEX(PRODUCT!$E:$E,MATCH(C449,PRODUCT!$B:$B,0)),"")</f>
        <v/>
      </c>
      <c r="H449" s="62">
        <f t="array" ref="H449">IFERROR(INDEX(PRODUCT!$F:$F,MATCH(C449,PRODUCT!$B:$B,0)),"")</f>
        <v/>
      </c>
      <c r="I449" s="62">
        <f>IF(C449="","",INPUT_SYSTEM!G463)</f>
        <v/>
      </c>
      <c r="J449" s="62">
        <f>IF(C449="","",INPUT_SYSTEM!H463)</f>
        <v/>
      </c>
      <c r="K449" s="60">
        <f>IF(C449="","",INPUT_SYSTEM!J463)</f>
        <v/>
      </c>
      <c r="L449" s="62">
        <f>IF(C449="","",INPUT_SYSTEM!K463)</f>
        <v/>
      </c>
      <c r="M449" s="62">
        <f>IF(C449="","",INPUT_SYSTEM!L463)</f>
        <v/>
      </c>
      <c r="N449" s="62">
        <f>IF(U449&lt;&gt;"SI","",IF(M449&lt;&gt;"",M449,IFERROR(I449*J449*(1+K449)*L449,"")))</f>
        <v/>
      </c>
      <c r="O449" s="62">
        <f>IF(N449="","",IF(OR(H449="",H449=0),N449,ROUNDUP(N449/H449,0)))</f>
        <v/>
      </c>
      <c r="P449" s="63">
        <f t="array" ref="P449">IFERROR(INDEX(PRODUCT!$I:$I,MATCH(C449,PRODUCT!$B:$B,0)),"")</f>
        <v/>
      </c>
      <c r="Q449" s="63">
        <f>IF(C449="","",INPUT_SYSTEM!M463)</f>
        <v/>
      </c>
      <c r="R449" s="63">
        <f>IF(P449="","",P449*(1+Q449))</f>
        <v/>
      </c>
      <c r="S449" s="63">
        <f>IF(O449="","",IF(OR(H449="",H449=0),O449*P449,O449*H449*P449))</f>
        <v/>
      </c>
      <c r="T449" s="63">
        <f>IF(O449="","",IF(OR(H449="",H449=0),O449*R449,O449*H449*R449))</f>
        <v/>
      </c>
      <c r="U449" s="62">
        <f>IF(C449="","",INPUT_SYSTEM!C463)</f>
        <v/>
      </c>
      <c r="V449" s="2" t="n"/>
    </row>
    <row r="450" ht="15.75" customHeight="1" s="125">
      <c r="A450" s="62">
        <f>IF(INPUT_SYSTEM!D464="","",INPUT_SYSTEM!A464)</f>
        <v/>
      </c>
      <c r="B450" s="62">
        <f>IF(INPUT_SYSTEM!D464="","",INPUT_SYSTEM!B464)</f>
        <v/>
      </c>
      <c r="C450" s="62">
        <f>IF(INPUT_SYSTEM!D464="","",INPUT_SYSTEM!D464)</f>
        <v/>
      </c>
      <c r="D450" s="62">
        <f>IF(C450="","",INPUT_SYSTEM!E464)</f>
        <v/>
      </c>
      <c r="E450" s="62">
        <f>IF(C450="","",INPUT_SYSTEM!F464)</f>
        <v/>
      </c>
      <c r="F450" s="62">
        <f t="array" ref="F450">IFERROR(INDEX(PRODUCT!$D:$D,MATCH(C450,PRODUCT!$B:$B,0)),"")</f>
        <v/>
      </c>
      <c r="G450" s="62">
        <f t="array" ref="G450">IFERROR(INDEX(PRODUCT!$E:$E,MATCH(C450,PRODUCT!$B:$B,0)),"")</f>
        <v/>
      </c>
      <c r="H450" s="62">
        <f t="array" ref="H450">IFERROR(INDEX(PRODUCT!$F:$F,MATCH(C450,PRODUCT!$B:$B,0)),"")</f>
        <v/>
      </c>
      <c r="I450" s="62">
        <f>IF(C450="","",INPUT_SYSTEM!G464)</f>
        <v/>
      </c>
      <c r="J450" s="62">
        <f>IF(C450="","",INPUT_SYSTEM!H464)</f>
        <v/>
      </c>
      <c r="K450" s="60">
        <f>IF(C450="","",INPUT_SYSTEM!J464)</f>
        <v/>
      </c>
      <c r="L450" s="62">
        <f>IF(C450="","",INPUT_SYSTEM!K464)</f>
        <v/>
      </c>
      <c r="M450" s="62">
        <f>IF(C450="","",INPUT_SYSTEM!L464)</f>
        <v/>
      </c>
      <c r="N450" s="62">
        <f>IF(U450&lt;&gt;"SI","",IF(M450&lt;&gt;"",M450,IFERROR(I450*J450*(1+K450)*L450,"")))</f>
        <v/>
      </c>
      <c r="O450" s="62">
        <f>IF(N450="","",IF(OR(H450="",H450=0),N450,ROUNDUP(N450/H450,0)))</f>
        <v/>
      </c>
      <c r="P450" s="63">
        <f t="array" ref="P450">IFERROR(INDEX(PRODUCT!$I:$I,MATCH(C450,PRODUCT!$B:$B,0)),"")</f>
        <v/>
      </c>
      <c r="Q450" s="63">
        <f>IF(C450="","",INPUT_SYSTEM!M464)</f>
        <v/>
      </c>
      <c r="R450" s="63">
        <f>IF(P450="","",P450*(1+Q450))</f>
        <v/>
      </c>
      <c r="S450" s="63">
        <f>IF(O450="","",IF(OR(H450="",H450=0),O450*P450,O450*H450*P450))</f>
        <v/>
      </c>
      <c r="T450" s="63">
        <f>IF(O450="","",IF(OR(H450="",H450=0),O450*R450,O450*H450*R450))</f>
        <v/>
      </c>
      <c r="U450" s="62">
        <f>IF(C450="","",INPUT_SYSTEM!C464)</f>
        <v/>
      </c>
      <c r="V450" s="2" t="n"/>
    </row>
    <row r="451" ht="15.75" customHeight="1" s="125">
      <c r="A451" s="62">
        <f>IF(INPUT_SYSTEM!D465="","",INPUT_SYSTEM!A465)</f>
        <v/>
      </c>
      <c r="B451" s="62">
        <f>IF(INPUT_SYSTEM!D465="","",INPUT_SYSTEM!B465)</f>
        <v/>
      </c>
      <c r="C451" s="62">
        <f>IF(INPUT_SYSTEM!D465="","",INPUT_SYSTEM!D465)</f>
        <v/>
      </c>
      <c r="D451" s="62">
        <f>IF(C451="","",INPUT_SYSTEM!E465)</f>
        <v/>
      </c>
      <c r="E451" s="62">
        <f>IF(C451="","",INPUT_SYSTEM!F465)</f>
        <v/>
      </c>
      <c r="F451" s="62">
        <f t="array" ref="F451">IFERROR(INDEX(PRODUCT!$D:$D,MATCH(C451,PRODUCT!$B:$B,0)),"")</f>
        <v/>
      </c>
      <c r="G451" s="62">
        <f t="array" ref="G451">IFERROR(INDEX(PRODUCT!$E:$E,MATCH(C451,PRODUCT!$B:$B,0)),"")</f>
        <v/>
      </c>
      <c r="H451" s="62">
        <f t="array" ref="H451">IFERROR(INDEX(PRODUCT!$F:$F,MATCH(C451,PRODUCT!$B:$B,0)),"")</f>
        <v/>
      </c>
      <c r="I451" s="62">
        <f>IF(C451="","",INPUT_SYSTEM!G465)</f>
        <v/>
      </c>
      <c r="J451" s="62">
        <f>IF(C451="","",INPUT_SYSTEM!H465)</f>
        <v/>
      </c>
      <c r="K451" s="60">
        <f>IF(C451="","",INPUT_SYSTEM!J465)</f>
        <v/>
      </c>
      <c r="L451" s="62">
        <f>IF(C451="","",INPUT_SYSTEM!K465)</f>
        <v/>
      </c>
      <c r="M451" s="62">
        <f>IF(C451="","",INPUT_SYSTEM!L465)</f>
        <v/>
      </c>
      <c r="N451" s="62">
        <f>IF(U451&lt;&gt;"SI","",IF(M451&lt;&gt;"",M451,IFERROR(I451*J451*(1+K451)*L451,"")))</f>
        <v/>
      </c>
      <c r="O451" s="62">
        <f>IF(N451="","",IF(OR(H451="",H451=0),N451,ROUNDUP(N451/H451,0)))</f>
        <v/>
      </c>
      <c r="P451" s="63">
        <f t="array" ref="P451">IFERROR(INDEX(PRODUCT!$I:$I,MATCH(C451,PRODUCT!$B:$B,0)),"")</f>
        <v/>
      </c>
      <c r="Q451" s="63">
        <f>IF(C451="","",INPUT_SYSTEM!M465)</f>
        <v/>
      </c>
      <c r="R451" s="63">
        <f>IF(P451="","",P451*(1+Q451))</f>
        <v/>
      </c>
      <c r="S451" s="63">
        <f>IF(O451="","",IF(OR(H451="",H451=0),O451*P451,O451*H451*P451))</f>
        <v/>
      </c>
      <c r="T451" s="63">
        <f>IF(O451="","",IF(OR(H451="",H451=0),O451*R451,O451*H451*R451))</f>
        <v/>
      </c>
      <c r="U451" s="62">
        <f>IF(C451="","",INPUT_SYSTEM!C465)</f>
        <v/>
      </c>
      <c r="V451" s="2" t="n"/>
    </row>
    <row r="452" ht="15.75" customHeight="1" s="125">
      <c r="A452" s="62">
        <f>IF(INPUT_SYSTEM!D466="","",INPUT_SYSTEM!A466)</f>
        <v/>
      </c>
      <c r="B452" s="62">
        <f>IF(INPUT_SYSTEM!D466="","",INPUT_SYSTEM!B466)</f>
        <v/>
      </c>
      <c r="C452" s="62">
        <f>IF(INPUT_SYSTEM!D466="","",INPUT_SYSTEM!D466)</f>
        <v/>
      </c>
      <c r="D452" s="62">
        <f>IF(C452="","",INPUT_SYSTEM!E466)</f>
        <v/>
      </c>
      <c r="E452" s="62">
        <f>IF(C452="","",INPUT_SYSTEM!F466)</f>
        <v/>
      </c>
      <c r="F452" s="62">
        <f t="array" ref="F452">IFERROR(INDEX(PRODUCT!$D:$D,MATCH(C452,PRODUCT!$B:$B,0)),"")</f>
        <v/>
      </c>
      <c r="G452" s="62">
        <f t="array" ref="G452">IFERROR(INDEX(PRODUCT!$E:$E,MATCH(C452,PRODUCT!$B:$B,0)),"")</f>
        <v/>
      </c>
      <c r="H452" s="62">
        <f t="array" ref="H452">IFERROR(INDEX(PRODUCT!$F:$F,MATCH(C452,PRODUCT!$B:$B,0)),"")</f>
        <v/>
      </c>
      <c r="I452" s="62">
        <f>IF(C452="","",INPUT_SYSTEM!G466)</f>
        <v/>
      </c>
      <c r="J452" s="62">
        <f>IF(C452="","",INPUT_SYSTEM!H466)</f>
        <v/>
      </c>
      <c r="K452" s="60">
        <f>IF(C452="","",INPUT_SYSTEM!J466)</f>
        <v/>
      </c>
      <c r="L452" s="62">
        <f>IF(C452="","",INPUT_SYSTEM!K466)</f>
        <v/>
      </c>
      <c r="M452" s="62">
        <f>IF(C452="","",INPUT_SYSTEM!L466)</f>
        <v/>
      </c>
      <c r="N452" s="62">
        <f>IF(U452&lt;&gt;"SI","",IF(M452&lt;&gt;"",M452,IFERROR(I452*J452*(1+K452)*L452,"")))</f>
        <v/>
      </c>
      <c r="O452" s="62">
        <f>IF(N452="","",IF(OR(H452="",H452=0),N452,ROUNDUP(N452/H452,0)))</f>
        <v/>
      </c>
      <c r="P452" s="63">
        <f t="array" ref="P452">IFERROR(INDEX(PRODUCT!$I:$I,MATCH(C452,PRODUCT!$B:$B,0)),"")</f>
        <v/>
      </c>
      <c r="Q452" s="63">
        <f>IF(C452="","",INPUT_SYSTEM!M466)</f>
        <v/>
      </c>
      <c r="R452" s="63">
        <f>IF(P452="","",P452*(1+Q452))</f>
        <v/>
      </c>
      <c r="S452" s="63">
        <f>IF(O452="","",IF(OR(H452="",H452=0),O452*P452,O452*H452*P452))</f>
        <v/>
      </c>
      <c r="T452" s="63">
        <f>IF(O452="","",IF(OR(H452="",H452=0),O452*R452,O452*H452*R452))</f>
        <v/>
      </c>
      <c r="U452" s="62">
        <f>IF(C452="","",INPUT_SYSTEM!C466)</f>
        <v/>
      </c>
      <c r="V452" s="2" t="n"/>
    </row>
    <row r="453" ht="15.75" customHeight="1" s="125">
      <c r="A453" s="62">
        <f>IF(INPUT_SYSTEM!D467="","",INPUT_SYSTEM!A467)</f>
        <v/>
      </c>
      <c r="B453" s="62">
        <f>IF(INPUT_SYSTEM!D467="","",INPUT_SYSTEM!B467)</f>
        <v/>
      </c>
      <c r="C453" s="62">
        <f>IF(INPUT_SYSTEM!D467="","",INPUT_SYSTEM!D467)</f>
        <v/>
      </c>
      <c r="D453" s="62">
        <f>IF(C453="","",INPUT_SYSTEM!E467)</f>
        <v/>
      </c>
      <c r="E453" s="62">
        <f>IF(C453="","",INPUT_SYSTEM!F467)</f>
        <v/>
      </c>
      <c r="F453" s="62">
        <f t="array" ref="F453">IFERROR(INDEX(PRODUCT!$D:$D,MATCH(C453,PRODUCT!$B:$B,0)),"")</f>
        <v/>
      </c>
      <c r="G453" s="62">
        <f t="array" ref="G453">IFERROR(INDEX(PRODUCT!$E:$E,MATCH(C453,PRODUCT!$B:$B,0)),"")</f>
        <v/>
      </c>
      <c r="H453" s="62">
        <f t="array" ref="H453">IFERROR(INDEX(PRODUCT!$F:$F,MATCH(C453,PRODUCT!$B:$B,0)),"")</f>
        <v/>
      </c>
      <c r="I453" s="62">
        <f>IF(C453="","",INPUT_SYSTEM!G467)</f>
        <v/>
      </c>
      <c r="J453" s="62">
        <f>IF(C453="","",INPUT_SYSTEM!H467)</f>
        <v/>
      </c>
      <c r="K453" s="60">
        <f>IF(C453="","",INPUT_SYSTEM!J467)</f>
        <v/>
      </c>
      <c r="L453" s="62">
        <f>IF(C453="","",INPUT_SYSTEM!K467)</f>
        <v/>
      </c>
      <c r="M453" s="62">
        <f>IF(C453="","",INPUT_SYSTEM!L467)</f>
        <v/>
      </c>
      <c r="N453" s="62">
        <f>IF(U453&lt;&gt;"SI","",IF(M453&lt;&gt;"",M453,IFERROR(I453*J453*(1+K453)*L453,"")))</f>
        <v/>
      </c>
      <c r="O453" s="62">
        <f>IF(N453="","",IF(OR(H453="",H453=0),N453,ROUNDUP(N453/H453,0)))</f>
        <v/>
      </c>
      <c r="P453" s="63">
        <f t="array" ref="P453">IFERROR(INDEX(PRODUCT!$I:$I,MATCH(C453,PRODUCT!$B:$B,0)),"")</f>
        <v/>
      </c>
      <c r="Q453" s="63">
        <f>IF(C453="","",INPUT_SYSTEM!M467)</f>
        <v/>
      </c>
      <c r="R453" s="63">
        <f>IF(P453="","",P453*(1+Q453))</f>
        <v/>
      </c>
      <c r="S453" s="63">
        <f>IF(O453="","",IF(OR(H453="",H453=0),O453*P453,O453*H453*P453))</f>
        <v/>
      </c>
      <c r="T453" s="63">
        <f>IF(O453="","",IF(OR(H453="",H453=0),O453*R453,O453*H453*R453))</f>
        <v/>
      </c>
      <c r="U453" s="62">
        <f>IF(C453="","",INPUT_SYSTEM!C467)</f>
        <v/>
      </c>
      <c r="V453" s="2" t="n"/>
    </row>
    <row r="454" ht="15.75" customHeight="1" s="125">
      <c r="A454" s="62">
        <f>IF(INPUT_SYSTEM!D468="","",INPUT_SYSTEM!A468)</f>
        <v/>
      </c>
      <c r="B454" s="62">
        <f>IF(INPUT_SYSTEM!D468="","",INPUT_SYSTEM!B468)</f>
        <v/>
      </c>
      <c r="C454" s="62">
        <f>IF(INPUT_SYSTEM!D468="","",INPUT_SYSTEM!D468)</f>
        <v/>
      </c>
      <c r="D454" s="62">
        <f>IF(C454="","",INPUT_SYSTEM!E468)</f>
        <v/>
      </c>
      <c r="E454" s="62">
        <f>IF(C454="","",INPUT_SYSTEM!F468)</f>
        <v/>
      </c>
      <c r="F454" s="62">
        <f t="array" ref="F454">IFERROR(INDEX(PRODUCT!$D:$D,MATCH(C454,PRODUCT!$B:$B,0)),"")</f>
        <v/>
      </c>
      <c r="G454" s="62">
        <f t="array" ref="G454">IFERROR(INDEX(PRODUCT!$E:$E,MATCH(C454,PRODUCT!$B:$B,0)),"")</f>
        <v/>
      </c>
      <c r="H454" s="62">
        <f t="array" ref="H454">IFERROR(INDEX(PRODUCT!$F:$F,MATCH(C454,PRODUCT!$B:$B,0)),"")</f>
        <v/>
      </c>
      <c r="I454" s="62">
        <f>IF(C454="","",INPUT_SYSTEM!G468)</f>
        <v/>
      </c>
      <c r="J454" s="62">
        <f>IF(C454="","",INPUT_SYSTEM!H468)</f>
        <v/>
      </c>
      <c r="K454" s="60">
        <f>IF(C454="","",INPUT_SYSTEM!J468)</f>
        <v/>
      </c>
      <c r="L454" s="62">
        <f>IF(C454="","",INPUT_SYSTEM!K468)</f>
        <v/>
      </c>
      <c r="M454" s="62">
        <f>IF(C454="","",INPUT_SYSTEM!L468)</f>
        <v/>
      </c>
      <c r="N454" s="62">
        <f>IF(U454&lt;&gt;"SI","",IF(M454&lt;&gt;"",M454,IFERROR(I454*J454*(1+K454)*L454,"")))</f>
        <v/>
      </c>
      <c r="O454" s="62">
        <f>IF(N454="","",IF(OR(H454="",H454=0),N454,ROUNDUP(N454/H454,0)))</f>
        <v/>
      </c>
      <c r="P454" s="63">
        <f t="array" ref="P454">IFERROR(INDEX(PRODUCT!$I:$I,MATCH(C454,PRODUCT!$B:$B,0)),"")</f>
        <v/>
      </c>
      <c r="Q454" s="63">
        <f>IF(C454="","",INPUT_SYSTEM!M468)</f>
        <v/>
      </c>
      <c r="R454" s="63">
        <f>IF(P454="","",P454*(1+Q454))</f>
        <v/>
      </c>
      <c r="S454" s="63">
        <f>IF(O454="","",IF(OR(H454="",H454=0),O454*P454,O454*H454*P454))</f>
        <v/>
      </c>
      <c r="T454" s="63">
        <f>IF(O454="","",IF(OR(H454="",H454=0),O454*R454,O454*H454*R454))</f>
        <v/>
      </c>
      <c r="U454" s="62">
        <f>IF(C454="","",INPUT_SYSTEM!C468)</f>
        <v/>
      </c>
      <c r="V454" s="2" t="n"/>
    </row>
    <row r="455" ht="15.75" customHeight="1" s="125">
      <c r="A455" s="62">
        <f>IF(INPUT_SYSTEM!D469="","",INPUT_SYSTEM!A469)</f>
        <v/>
      </c>
      <c r="B455" s="62">
        <f>IF(INPUT_SYSTEM!D469="","",INPUT_SYSTEM!B469)</f>
        <v/>
      </c>
      <c r="C455" s="62">
        <f>IF(INPUT_SYSTEM!D469="","",INPUT_SYSTEM!D469)</f>
        <v/>
      </c>
      <c r="D455" s="62">
        <f>IF(C455="","",INPUT_SYSTEM!E469)</f>
        <v/>
      </c>
      <c r="E455" s="62">
        <f>IF(C455="","",INPUT_SYSTEM!F469)</f>
        <v/>
      </c>
      <c r="F455" s="62">
        <f t="array" ref="F455">IFERROR(INDEX(PRODUCT!$D:$D,MATCH(C455,PRODUCT!$B:$B,0)),"")</f>
        <v/>
      </c>
      <c r="G455" s="62">
        <f t="array" ref="G455">IFERROR(INDEX(PRODUCT!$E:$E,MATCH(C455,PRODUCT!$B:$B,0)),"")</f>
        <v/>
      </c>
      <c r="H455" s="62">
        <f t="array" ref="H455">IFERROR(INDEX(PRODUCT!$F:$F,MATCH(C455,PRODUCT!$B:$B,0)),"")</f>
        <v/>
      </c>
      <c r="I455" s="62">
        <f>IF(C455="","",INPUT_SYSTEM!G469)</f>
        <v/>
      </c>
      <c r="J455" s="62">
        <f>IF(C455="","",INPUT_SYSTEM!H469)</f>
        <v/>
      </c>
      <c r="K455" s="60">
        <f>IF(C455="","",INPUT_SYSTEM!J469)</f>
        <v/>
      </c>
      <c r="L455" s="62">
        <f>IF(C455="","",INPUT_SYSTEM!K469)</f>
        <v/>
      </c>
      <c r="M455" s="62">
        <f>IF(C455="","",INPUT_SYSTEM!L469)</f>
        <v/>
      </c>
      <c r="N455" s="62">
        <f>IF(U455&lt;&gt;"SI","",IF(M455&lt;&gt;"",M455,IFERROR(I455*J455*(1+K455)*L455,"")))</f>
        <v/>
      </c>
      <c r="O455" s="62">
        <f>IF(N455="","",IF(OR(H455="",H455=0),N455,ROUNDUP(N455/H455,0)))</f>
        <v/>
      </c>
      <c r="P455" s="63">
        <f t="array" ref="P455">IFERROR(INDEX(PRODUCT!$I:$I,MATCH(C455,PRODUCT!$B:$B,0)),"")</f>
        <v/>
      </c>
      <c r="Q455" s="63">
        <f>IF(C455="","",INPUT_SYSTEM!M469)</f>
        <v/>
      </c>
      <c r="R455" s="63">
        <f>IF(P455="","",P455*(1+Q455))</f>
        <v/>
      </c>
      <c r="S455" s="63">
        <f>IF(O455="","",IF(OR(H455="",H455=0),O455*P455,O455*H455*P455))</f>
        <v/>
      </c>
      <c r="T455" s="63">
        <f>IF(O455="","",IF(OR(H455="",H455=0),O455*R455,O455*H455*R455))</f>
        <v/>
      </c>
      <c r="U455" s="62">
        <f>IF(C455="","",INPUT_SYSTEM!C469)</f>
        <v/>
      </c>
      <c r="V455" s="2" t="n"/>
    </row>
    <row r="456" ht="15.75" customHeight="1" s="125">
      <c r="A456" s="62">
        <f>IF(INPUT_SYSTEM!D470="","",INPUT_SYSTEM!A470)</f>
        <v/>
      </c>
      <c r="B456" s="62">
        <f>IF(INPUT_SYSTEM!D470="","",INPUT_SYSTEM!B470)</f>
        <v/>
      </c>
      <c r="C456" s="62">
        <f>IF(INPUT_SYSTEM!D470="","",INPUT_SYSTEM!D470)</f>
        <v/>
      </c>
      <c r="D456" s="62">
        <f>IF(C456="","",INPUT_SYSTEM!E470)</f>
        <v/>
      </c>
      <c r="E456" s="62">
        <f>IF(C456="","",INPUT_SYSTEM!F470)</f>
        <v/>
      </c>
      <c r="F456" s="62">
        <f t="array" ref="F456">IFERROR(INDEX(PRODUCT!$D:$D,MATCH(C456,PRODUCT!$B:$B,0)),"")</f>
        <v/>
      </c>
      <c r="G456" s="62">
        <f t="array" ref="G456">IFERROR(INDEX(PRODUCT!$E:$E,MATCH(C456,PRODUCT!$B:$B,0)),"")</f>
        <v/>
      </c>
      <c r="H456" s="62">
        <f t="array" ref="H456">IFERROR(INDEX(PRODUCT!$F:$F,MATCH(C456,PRODUCT!$B:$B,0)),"")</f>
        <v/>
      </c>
      <c r="I456" s="62">
        <f>IF(C456="","",INPUT_SYSTEM!G470)</f>
        <v/>
      </c>
      <c r="J456" s="62">
        <f>IF(C456="","",INPUT_SYSTEM!H470)</f>
        <v/>
      </c>
      <c r="K456" s="60">
        <f>IF(C456="","",INPUT_SYSTEM!J470)</f>
        <v/>
      </c>
      <c r="L456" s="62">
        <f>IF(C456="","",INPUT_SYSTEM!K470)</f>
        <v/>
      </c>
      <c r="M456" s="62">
        <f>IF(C456="","",INPUT_SYSTEM!L470)</f>
        <v/>
      </c>
      <c r="N456" s="62">
        <f>IF(U456&lt;&gt;"SI","",IF(M456&lt;&gt;"",M456,IFERROR(I456*J456*(1+K456)*L456,"")))</f>
        <v/>
      </c>
      <c r="O456" s="62">
        <f>IF(N456="","",IF(OR(H456="",H456=0),N456,ROUNDUP(N456/H456,0)))</f>
        <v/>
      </c>
      <c r="P456" s="63">
        <f t="array" ref="P456">IFERROR(INDEX(PRODUCT!$I:$I,MATCH(C456,PRODUCT!$B:$B,0)),"")</f>
        <v/>
      </c>
      <c r="Q456" s="63">
        <f>IF(C456="","",INPUT_SYSTEM!M470)</f>
        <v/>
      </c>
      <c r="R456" s="63">
        <f>IF(P456="","",P456*(1+Q456))</f>
        <v/>
      </c>
      <c r="S456" s="63">
        <f>IF(O456="","",IF(OR(H456="",H456=0),O456*P456,O456*H456*P456))</f>
        <v/>
      </c>
      <c r="T456" s="63">
        <f>IF(O456="","",IF(OR(H456="",H456=0),O456*R456,O456*H456*R456))</f>
        <v/>
      </c>
      <c r="U456" s="62">
        <f>IF(C456="","",INPUT_SYSTEM!C470)</f>
        <v/>
      </c>
      <c r="V456" s="2" t="n"/>
    </row>
    <row r="457" ht="15.75" customHeight="1" s="125">
      <c r="A457" s="62">
        <f>IF(INPUT_SYSTEM!D471="","",INPUT_SYSTEM!A471)</f>
        <v/>
      </c>
      <c r="B457" s="62">
        <f>IF(INPUT_SYSTEM!D471="","",INPUT_SYSTEM!B471)</f>
        <v/>
      </c>
      <c r="C457" s="62">
        <f>IF(INPUT_SYSTEM!D471="","",INPUT_SYSTEM!D471)</f>
        <v/>
      </c>
      <c r="D457" s="62">
        <f>IF(C457="","",INPUT_SYSTEM!E471)</f>
        <v/>
      </c>
      <c r="E457" s="62">
        <f>IF(C457="","",INPUT_SYSTEM!F471)</f>
        <v/>
      </c>
      <c r="F457" s="62">
        <f t="array" ref="F457">IFERROR(INDEX(PRODUCT!$D:$D,MATCH(C457,PRODUCT!$B:$B,0)),"")</f>
        <v/>
      </c>
      <c r="G457" s="62">
        <f t="array" ref="G457">IFERROR(INDEX(PRODUCT!$E:$E,MATCH(C457,PRODUCT!$B:$B,0)),"")</f>
        <v/>
      </c>
      <c r="H457" s="62">
        <f t="array" ref="H457">IFERROR(INDEX(PRODUCT!$F:$F,MATCH(C457,PRODUCT!$B:$B,0)),"")</f>
        <v/>
      </c>
      <c r="I457" s="62">
        <f>IF(C457="","",INPUT_SYSTEM!G471)</f>
        <v/>
      </c>
      <c r="J457" s="62">
        <f>IF(C457="","",INPUT_SYSTEM!H471)</f>
        <v/>
      </c>
      <c r="K457" s="60">
        <f>IF(C457="","",INPUT_SYSTEM!J471)</f>
        <v/>
      </c>
      <c r="L457" s="62">
        <f>IF(C457="","",INPUT_SYSTEM!K471)</f>
        <v/>
      </c>
      <c r="M457" s="62">
        <f>IF(C457="","",INPUT_SYSTEM!L471)</f>
        <v/>
      </c>
      <c r="N457" s="62">
        <f>IF(U457&lt;&gt;"SI","",IF(M457&lt;&gt;"",M457,IFERROR(I457*J457*(1+K457)*L457,"")))</f>
        <v/>
      </c>
      <c r="O457" s="62">
        <f>IF(N457="","",IF(OR(H457="",H457=0),N457,ROUNDUP(N457/H457,0)))</f>
        <v/>
      </c>
      <c r="P457" s="63">
        <f t="array" ref="P457">IFERROR(INDEX(PRODUCT!$I:$I,MATCH(C457,PRODUCT!$B:$B,0)),"")</f>
        <v/>
      </c>
      <c r="Q457" s="63">
        <f>IF(C457="","",INPUT_SYSTEM!M471)</f>
        <v/>
      </c>
      <c r="R457" s="63">
        <f>IF(P457="","",P457*(1+Q457))</f>
        <v/>
      </c>
      <c r="S457" s="63">
        <f>IF(O457="","",IF(OR(H457="",H457=0),O457*P457,O457*H457*P457))</f>
        <v/>
      </c>
      <c r="T457" s="63">
        <f>IF(O457="","",IF(OR(H457="",H457=0),O457*R457,O457*H457*R457))</f>
        <v/>
      </c>
      <c r="U457" s="62">
        <f>IF(C457="","",INPUT_SYSTEM!C471)</f>
        <v/>
      </c>
      <c r="V457" s="2" t="n"/>
    </row>
    <row r="458" ht="15.75" customHeight="1" s="125">
      <c r="A458" s="62">
        <f>IF(INPUT_SYSTEM!D472="","",INPUT_SYSTEM!A472)</f>
        <v/>
      </c>
      <c r="B458" s="62">
        <f>IF(INPUT_SYSTEM!D472="","",INPUT_SYSTEM!B472)</f>
        <v/>
      </c>
      <c r="C458" s="62">
        <f>IF(INPUT_SYSTEM!D472="","",INPUT_SYSTEM!D472)</f>
        <v/>
      </c>
      <c r="D458" s="62">
        <f>IF(C458="","",INPUT_SYSTEM!E472)</f>
        <v/>
      </c>
      <c r="E458" s="62">
        <f>IF(C458="","",INPUT_SYSTEM!F472)</f>
        <v/>
      </c>
      <c r="F458" s="62">
        <f t="array" ref="F458">IFERROR(INDEX(PRODUCT!$D:$D,MATCH(C458,PRODUCT!$B:$B,0)),"")</f>
        <v/>
      </c>
      <c r="G458" s="62">
        <f t="array" ref="G458">IFERROR(INDEX(PRODUCT!$E:$E,MATCH(C458,PRODUCT!$B:$B,0)),"")</f>
        <v/>
      </c>
      <c r="H458" s="62">
        <f t="array" ref="H458">IFERROR(INDEX(PRODUCT!$F:$F,MATCH(C458,PRODUCT!$B:$B,0)),"")</f>
        <v/>
      </c>
      <c r="I458" s="62">
        <f>IF(C458="","",INPUT_SYSTEM!G472)</f>
        <v/>
      </c>
      <c r="J458" s="62">
        <f>IF(C458="","",INPUT_SYSTEM!H472)</f>
        <v/>
      </c>
      <c r="K458" s="60">
        <f>IF(C458="","",INPUT_SYSTEM!J472)</f>
        <v/>
      </c>
      <c r="L458" s="62">
        <f>IF(C458="","",INPUT_SYSTEM!K472)</f>
        <v/>
      </c>
      <c r="M458" s="62">
        <f>IF(C458="","",INPUT_SYSTEM!L472)</f>
        <v/>
      </c>
      <c r="N458" s="62">
        <f>IF(U458&lt;&gt;"SI","",IF(M458&lt;&gt;"",M458,IFERROR(I458*J458*(1+K458)*L458,"")))</f>
        <v/>
      </c>
      <c r="O458" s="62">
        <f>IF(N458="","",IF(OR(H458="",H458=0),N458,ROUNDUP(N458/H458,0)))</f>
        <v/>
      </c>
      <c r="P458" s="63">
        <f t="array" ref="P458">IFERROR(INDEX(PRODUCT!$I:$I,MATCH(C458,PRODUCT!$B:$B,0)),"")</f>
        <v/>
      </c>
      <c r="Q458" s="63">
        <f>IF(C458="","",INPUT_SYSTEM!M472)</f>
        <v/>
      </c>
      <c r="R458" s="63">
        <f>IF(P458="","",P458*(1+Q458))</f>
        <v/>
      </c>
      <c r="S458" s="63">
        <f>IF(O458="","",IF(OR(H458="",H458=0),O458*P458,O458*H458*P458))</f>
        <v/>
      </c>
      <c r="T458" s="63">
        <f>IF(O458="","",IF(OR(H458="",H458=0),O458*R458,O458*H458*R458))</f>
        <v/>
      </c>
      <c r="U458" s="62">
        <f>IF(C458="","",INPUT_SYSTEM!C472)</f>
        <v/>
      </c>
      <c r="V458" s="2" t="n"/>
    </row>
    <row r="459" ht="15.75" customHeight="1" s="125">
      <c r="A459" s="62">
        <f>IF(INPUT_SYSTEM!D473="","",INPUT_SYSTEM!A473)</f>
        <v/>
      </c>
      <c r="B459" s="62">
        <f>IF(INPUT_SYSTEM!D473="","",INPUT_SYSTEM!B473)</f>
        <v/>
      </c>
      <c r="C459" s="62">
        <f>IF(INPUT_SYSTEM!D473="","",INPUT_SYSTEM!D473)</f>
        <v/>
      </c>
      <c r="D459" s="62">
        <f>IF(C459="","",INPUT_SYSTEM!E473)</f>
        <v/>
      </c>
      <c r="E459" s="62">
        <f>IF(C459="","",INPUT_SYSTEM!F473)</f>
        <v/>
      </c>
      <c r="F459" s="62">
        <f t="array" ref="F459">IFERROR(INDEX(PRODUCT!$D:$D,MATCH(C459,PRODUCT!$B:$B,0)),"")</f>
        <v/>
      </c>
      <c r="G459" s="62">
        <f t="array" ref="G459">IFERROR(INDEX(PRODUCT!$E:$E,MATCH(C459,PRODUCT!$B:$B,0)),"")</f>
        <v/>
      </c>
      <c r="H459" s="62">
        <f t="array" ref="H459">IFERROR(INDEX(PRODUCT!$F:$F,MATCH(C459,PRODUCT!$B:$B,0)),"")</f>
        <v/>
      </c>
      <c r="I459" s="62">
        <f>IF(C459="","",INPUT_SYSTEM!G473)</f>
        <v/>
      </c>
      <c r="J459" s="62">
        <f>IF(C459="","",INPUT_SYSTEM!H473)</f>
        <v/>
      </c>
      <c r="K459" s="60">
        <f>IF(C459="","",INPUT_SYSTEM!J473)</f>
        <v/>
      </c>
      <c r="L459" s="62">
        <f>IF(C459="","",INPUT_SYSTEM!K473)</f>
        <v/>
      </c>
      <c r="M459" s="62">
        <f>IF(C459="","",INPUT_SYSTEM!L473)</f>
        <v/>
      </c>
      <c r="N459" s="62">
        <f>IF(U459&lt;&gt;"SI","",IF(M459&lt;&gt;"",M459,IFERROR(I459*J459*(1+K459)*L459,"")))</f>
        <v/>
      </c>
      <c r="O459" s="62">
        <f>IF(N459="","",IF(OR(H459="",H459=0),N459,ROUNDUP(N459/H459,0)))</f>
        <v/>
      </c>
      <c r="P459" s="63">
        <f t="array" ref="P459">IFERROR(INDEX(PRODUCT!$I:$I,MATCH(C459,PRODUCT!$B:$B,0)),"")</f>
        <v/>
      </c>
      <c r="Q459" s="63">
        <f>IF(C459="","",INPUT_SYSTEM!M473)</f>
        <v/>
      </c>
      <c r="R459" s="63">
        <f>IF(P459="","",P459*(1+Q459))</f>
        <v/>
      </c>
      <c r="S459" s="63">
        <f>IF(O459="","",IF(OR(H459="",H459=0),O459*P459,O459*H459*P459))</f>
        <v/>
      </c>
      <c r="T459" s="63">
        <f>IF(O459="","",IF(OR(H459="",H459=0),O459*R459,O459*H459*R459))</f>
        <v/>
      </c>
      <c r="U459" s="62">
        <f>IF(C459="","",INPUT_SYSTEM!C473)</f>
        <v/>
      </c>
      <c r="V459" s="2" t="n"/>
    </row>
    <row r="460" ht="15.75" customHeight="1" s="125">
      <c r="A460" s="62">
        <f>IF(INPUT_SYSTEM!D474="","",INPUT_SYSTEM!A474)</f>
        <v/>
      </c>
      <c r="B460" s="62">
        <f>IF(INPUT_SYSTEM!D474="","",INPUT_SYSTEM!B474)</f>
        <v/>
      </c>
      <c r="C460" s="62">
        <f>IF(INPUT_SYSTEM!D474="","",INPUT_SYSTEM!D474)</f>
        <v/>
      </c>
      <c r="D460" s="62">
        <f>IF(C460="","",INPUT_SYSTEM!E474)</f>
        <v/>
      </c>
      <c r="E460" s="62">
        <f>IF(C460="","",INPUT_SYSTEM!F474)</f>
        <v/>
      </c>
      <c r="F460" s="62">
        <f t="array" ref="F460">IFERROR(INDEX(PRODUCT!$D:$D,MATCH(C460,PRODUCT!$B:$B,0)),"")</f>
        <v/>
      </c>
      <c r="G460" s="62">
        <f t="array" ref="G460">IFERROR(INDEX(PRODUCT!$E:$E,MATCH(C460,PRODUCT!$B:$B,0)),"")</f>
        <v/>
      </c>
      <c r="H460" s="62">
        <f t="array" ref="H460">IFERROR(INDEX(PRODUCT!$F:$F,MATCH(C460,PRODUCT!$B:$B,0)),"")</f>
        <v/>
      </c>
      <c r="I460" s="62">
        <f>IF(C460="","",INPUT_SYSTEM!G474)</f>
        <v/>
      </c>
      <c r="J460" s="62">
        <f>IF(C460="","",INPUT_SYSTEM!H474)</f>
        <v/>
      </c>
      <c r="K460" s="60">
        <f>IF(C460="","",INPUT_SYSTEM!J474)</f>
        <v/>
      </c>
      <c r="L460" s="62">
        <f>IF(C460="","",INPUT_SYSTEM!K474)</f>
        <v/>
      </c>
      <c r="M460" s="62">
        <f>IF(C460="","",INPUT_SYSTEM!L474)</f>
        <v/>
      </c>
      <c r="N460" s="62">
        <f>IF(U460&lt;&gt;"SI","",IF(M460&lt;&gt;"",M460,IFERROR(I460*J460*(1+K460)*L460,"")))</f>
        <v/>
      </c>
      <c r="O460" s="62">
        <f>IF(N460="","",IF(OR(H460="",H460=0),N460,ROUNDUP(N460/H460,0)))</f>
        <v/>
      </c>
      <c r="P460" s="63">
        <f t="array" ref="P460">IFERROR(INDEX(PRODUCT!$I:$I,MATCH(C460,PRODUCT!$B:$B,0)),"")</f>
        <v/>
      </c>
      <c r="Q460" s="63">
        <f>IF(C460="","",INPUT_SYSTEM!M474)</f>
        <v/>
      </c>
      <c r="R460" s="63">
        <f>IF(P460="","",P460*(1+Q460))</f>
        <v/>
      </c>
      <c r="S460" s="63">
        <f>IF(O460="","",IF(OR(H460="",H460=0),O460*P460,O460*H460*P460))</f>
        <v/>
      </c>
      <c r="T460" s="63">
        <f>IF(O460="","",IF(OR(H460="",H460=0),O460*R460,O460*H460*R460))</f>
        <v/>
      </c>
      <c r="U460" s="62">
        <f>IF(C460="","",INPUT_SYSTEM!C474)</f>
        <v/>
      </c>
      <c r="V460" s="2" t="n"/>
    </row>
    <row r="461" ht="15.75" customHeight="1" s="125">
      <c r="A461" s="62">
        <f>IF(INPUT_SYSTEM!D475="","",INPUT_SYSTEM!A475)</f>
        <v/>
      </c>
      <c r="B461" s="62">
        <f>IF(INPUT_SYSTEM!D475="","",INPUT_SYSTEM!B475)</f>
        <v/>
      </c>
      <c r="C461" s="62">
        <f>IF(INPUT_SYSTEM!D475="","",INPUT_SYSTEM!D475)</f>
        <v/>
      </c>
      <c r="D461" s="62">
        <f>IF(C461="","",INPUT_SYSTEM!E475)</f>
        <v/>
      </c>
      <c r="E461" s="62">
        <f>IF(C461="","",INPUT_SYSTEM!F475)</f>
        <v/>
      </c>
      <c r="F461" s="62">
        <f t="array" ref="F461">IFERROR(INDEX(PRODUCT!$D:$D,MATCH(C461,PRODUCT!$B:$B,0)),"")</f>
        <v/>
      </c>
      <c r="G461" s="62">
        <f t="array" ref="G461">IFERROR(INDEX(PRODUCT!$E:$E,MATCH(C461,PRODUCT!$B:$B,0)),"")</f>
        <v/>
      </c>
      <c r="H461" s="62">
        <f t="array" ref="H461">IFERROR(INDEX(PRODUCT!$F:$F,MATCH(C461,PRODUCT!$B:$B,0)),"")</f>
        <v/>
      </c>
      <c r="I461" s="62">
        <f>IF(C461="","",INPUT_SYSTEM!G475)</f>
        <v/>
      </c>
      <c r="J461" s="62">
        <f>IF(C461="","",INPUT_SYSTEM!H475)</f>
        <v/>
      </c>
      <c r="K461" s="60">
        <f>IF(C461="","",INPUT_SYSTEM!J475)</f>
        <v/>
      </c>
      <c r="L461" s="62">
        <f>IF(C461="","",INPUT_SYSTEM!K475)</f>
        <v/>
      </c>
      <c r="M461" s="62">
        <f>IF(C461="","",INPUT_SYSTEM!L475)</f>
        <v/>
      </c>
      <c r="N461" s="62">
        <f>IF(U461&lt;&gt;"SI","",IF(M461&lt;&gt;"",M461,IFERROR(I461*J461*(1+K461)*L461,"")))</f>
        <v/>
      </c>
      <c r="O461" s="62">
        <f>IF(N461="","",IF(OR(H461="",H461=0),N461,ROUNDUP(N461/H461,0)))</f>
        <v/>
      </c>
      <c r="P461" s="63">
        <f t="array" ref="P461">IFERROR(INDEX(PRODUCT!$I:$I,MATCH(C461,PRODUCT!$B:$B,0)),"")</f>
        <v/>
      </c>
      <c r="Q461" s="63">
        <f>IF(C461="","",INPUT_SYSTEM!M475)</f>
        <v/>
      </c>
      <c r="R461" s="63">
        <f>IF(P461="","",P461*(1+Q461))</f>
        <v/>
      </c>
      <c r="S461" s="63">
        <f>IF(O461="","",IF(OR(H461="",H461=0),O461*P461,O461*H461*P461))</f>
        <v/>
      </c>
      <c r="T461" s="63">
        <f>IF(O461="","",IF(OR(H461="",H461=0),O461*R461,O461*H461*R461))</f>
        <v/>
      </c>
      <c r="U461" s="62">
        <f>IF(C461="","",INPUT_SYSTEM!C475)</f>
        <v/>
      </c>
      <c r="V461" s="2" t="n"/>
    </row>
    <row r="462" ht="15.75" customHeight="1" s="125">
      <c r="A462" s="62">
        <f>IF(INPUT_SYSTEM!D476="","",INPUT_SYSTEM!A476)</f>
        <v/>
      </c>
      <c r="B462" s="62">
        <f>IF(INPUT_SYSTEM!D476="","",INPUT_SYSTEM!B476)</f>
        <v/>
      </c>
      <c r="C462" s="62">
        <f>IF(INPUT_SYSTEM!D476="","",INPUT_SYSTEM!D476)</f>
        <v/>
      </c>
      <c r="D462" s="62">
        <f>IF(C462="","",INPUT_SYSTEM!E476)</f>
        <v/>
      </c>
      <c r="E462" s="62">
        <f>IF(C462="","",INPUT_SYSTEM!F476)</f>
        <v/>
      </c>
      <c r="F462" s="62">
        <f t="array" ref="F462">IFERROR(INDEX(PRODUCT!$D:$D,MATCH(C462,PRODUCT!$B:$B,0)),"")</f>
        <v/>
      </c>
      <c r="G462" s="62">
        <f t="array" ref="G462">IFERROR(INDEX(PRODUCT!$E:$E,MATCH(C462,PRODUCT!$B:$B,0)),"")</f>
        <v/>
      </c>
      <c r="H462" s="62">
        <f t="array" ref="H462">IFERROR(INDEX(PRODUCT!$F:$F,MATCH(C462,PRODUCT!$B:$B,0)),"")</f>
        <v/>
      </c>
      <c r="I462" s="62">
        <f>IF(C462="","",INPUT_SYSTEM!G476)</f>
        <v/>
      </c>
      <c r="J462" s="62">
        <f>IF(C462="","",INPUT_SYSTEM!H476)</f>
        <v/>
      </c>
      <c r="K462" s="60">
        <f>IF(C462="","",INPUT_SYSTEM!J476)</f>
        <v/>
      </c>
      <c r="L462" s="62">
        <f>IF(C462="","",INPUT_SYSTEM!K476)</f>
        <v/>
      </c>
      <c r="M462" s="62">
        <f>IF(C462="","",INPUT_SYSTEM!L476)</f>
        <v/>
      </c>
      <c r="N462" s="62">
        <f>IF(U462&lt;&gt;"SI","",IF(M462&lt;&gt;"",M462,IFERROR(I462*J462*(1+K462)*L462,"")))</f>
        <v/>
      </c>
      <c r="O462" s="62">
        <f>IF(N462="","",IF(OR(H462="",H462=0),N462,ROUNDUP(N462/H462,0)))</f>
        <v/>
      </c>
      <c r="P462" s="63">
        <f t="array" ref="P462">IFERROR(INDEX(PRODUCT!$I:$I,MATCH(C462,PRODUCT!$B:$B,0)),"")</f>
        <v/>
      </c>
      <c r="Q462" s="63">
        <f>IF(C462="","",INPUT_SYSTEM!M476)</f>
        <v/>
      </c>
      <c r="R462" s="63">
        <f>IF(P462="","",P462*(1+Q462))</f>
        <v/>
      </c>
      <c r="S462" s="63">
        <f>IF(O462="","",IF(OR(H462="",H462=0),O462*P462,O462*H462*P462))</f>
        <v/>
      </c>
      <c r="T462" s="63">
        <f>IF(O462="","",IF(OR(H462="",H462=0),O462*R462,O462*H462*R462))</f>
        <v/>
      </c>
      <c r="U462" s="62">
        <f>IF(C462="","",INPUT_SYSTEM!C476)</f>
        <v/>
      </c>
      <c r="V462" s="2" t="n"/>
    </row>
    <row r="463" ht="15.75" customHeight="1" s="125">
      <c r="A463" s="62">
        <f>IF(INPUT_SYSTEM!D477="","",INPUT_SYSTEM!A477)</f>
        <v/>
      </c>
      <c r="B463" s="62">
        <f>IF(INPUT_SYSTEM!D477="","",INPUT_SYSTEM!B477)</f>
        <v/>
      </c>
      <c r="C463" s="62">
        <f>IF(INPUT_SYSTEM!D477="","",INPUT_SYSTEM!D477)</f>
        <v/>
      </c>
      <c r="D463" s="62">
        <f>IF(C463="","",INPUT_SYSTEM!E477)</f>
        <v/>
      </c>
      <c r="E463" s="62">
        <f>IF(C463="","",INPUT_SYSTEM!F477)</f>
        <v/>
      </c>
      <c r="F463" s="62">
        <f t="array" ref="F463">IFERROR(INDEX(PRODUCT!$D:$D,MATCH(C463,PRODUCT!$B:$B,0)),"")</f>
        <v/>
      </c>
      <c r="G463" s="62">
        <f t="array" ref="G463">IFERROR(INDEX(PRODUCT!$E:$E,MATCH(C463,PRODUCT!$B:$B,0)),"")</f>
        <v/>
      </c>
      <c r="H463" s="62">
        <f t="array" ref="H463">IFERROR(INDEX(PRODUCT!$F:$F,MATCH(C463,PRODUCT!$B:$B,0)),"")</f>
        <v/>
      </c>
      <c r="I463" s="62">
        <f>IF(C463="","",INPUT_SYSTEM!G477)</f>
        <v/>
      </c>
      <c r="J463" s="62">
        <f>IF(C463="","",INPUT_SYSTEM!H477)</f>
        <v/>
      </c>
      <c r="K463" s="60">
        <f>IF(C463="","",INPUT_SYSTEM!J477)</f>
        <v/>
      </c>
      <c r="L463" s="62">
        <f>IF(C463="","",INPUT_SYSTEM!K477)</f>
        <v/>
      </c>
      <c r="M463" s="62">
        <f>IF(C463="","",INPUT_SYSTEM!L477)</f>
        <v/>
      </c>
      <c r="N463" s="62">
        <f>IF(U463&lt;&gt;"SI","",IF(M463&lt;&gt;"",M463,IFERROR(I463*J463*(1+K463)*L463,"")))</f>
        <v/>
      </c>
      <c r="O463" s="62">
        <f>IF(N463="","",IF(OR(H463="",H463=0),N463,ROUNDUP(N463/H463,0)))</f>
        <v/>
      </c>
      <c r="P463" s="63">
        <f t="array" ref="P463">IFERROR(INDEX(PRODUCT!$I:$I,MATCH(C463,PRODUCT!$B:$B,0)),"")</f>
        <v/>
      </c>
      <c r="Q463" s="63">
        <f>IF(C463="","",INPUT_SYSTEM!M477)</f>
        <v/>
      </c>
      <c r="R463" s="63">
        <f>IF(P463="","",P463*(1+Q463))</f>
        <v/>
      </c>
      <c r="S463" s="63">
        <f>IF(O463="","",IF(OR(H463="",H463=0),O463*P463,O463*H463*P463))</f>
        <v/>
      </c>
      <c r="T463" s="63">
        <f>IF(O463="","",IF(OR(H463="",H463=0),O463*R463,O463*H463*R463))</f>
        <v/>
      </c>
      <c r="U463" s="62">
        <f>IF(C463="","",INPUT_SYSTEM!C477)</f>
        <v/>
      </c>
      <c r="V463" s="2" t="n"/>
    </row>
    <row r="464" ht="15.75" customHeight="1" s="125">
      <c r="A464" s="62">
        <f>IF(INPUT_SYSTEM!D478="","",INPUT_SYSTEM!A478)</f>
        <v/>
      </c>
      <c r="B464" s="62">
        <f>IF(INPUT_SYSTEM!D478="","",INPUT_SYSTEM!B478)</f>
        <v/>
      </c>
      <c r="C464" s="62">
        <f>IF(INPUT_SYSTEM!D478="","",INPUT_SYSTEM!D478)</f>
        <v/>
      </c>
      <c r="D464" s="62">
        <f>IF(C464="","",INPUT_SYSTEM!E478)</f>
        <v/>
      </c>
      <c r="E464" s="62">
        <f>IF(C464="","",INPUT_SYSTEM!F478)</f>
        <v/>
      </c>
      <c r="F464" s="62">
        <f t="array" ref="F464">IFERROR(INDEX(PRODUCT!$D:$D,MATCH(C464,PRODUCT!$B:$B,0)),"")</f>
        <v/>
      </c>
      <c r="G464" s="62">
        <f t="array" ref="G464">IFERROR(INDEX(PRODUCT!$E:$E,MATCH(C464,PRODUCT!$B:$B,0)),"")</f>
        <v/>
      </c>
      <c r="H464" s="62">
        <f t="array" ref="H464">IFERROR(INDEX(PRODUCT!$F:$F,MATCH(C464,PRODUCT!$B:$B,0)),"")</f>
        <v/>
      </c>
      <c r="I464" s="62">
        <f>IF(C464="","",INPUT_SYSTEM!G478)</f>
        <v/>
      </c>
      <c r="J464" s="62">
        <f>IF(C464="","",INPUT_SYSTEM!H478)</f>
        <v/>
      </c>
      <c r="K464" s="60">
        <f>IF(C464="","",INPUT_SYSTEM!J478)</f>
        <v/>
      </c>
      <c r="L464" s="62">
        <f>IF(C464="","",INPUT_SYSTEM!K478)</f>
        <v/>
      </c>
      <c r="M464" s="62">
        <f>IF(C464="","",INPUT_SYSTEM!L478)</f>
        <v/>
      </c>
      <c r="N464" s="62">
        <f>IF(U464&lt;&gt;"SI","",IF(M464&lt;&gt;"",M464,IFERROR(I464*J464*(1+K464)*L464,"")))</f>
        <v/>
      </c>
      <c r="O464" s="62">
        <f>IF(N464="","",IF(OR(H464="",H464=0),N464,ROUNDUP(N464/H464,0)))</f>
        <v/>
      </c>
      <c r="P464" s="63">
        <f t="array" ref="P464">IFERROR(INDEX(PRODUCT!$I:$I,MATCH(C464,PRODUCT!$B:$B,0)),"")</f>
        <v/>
      </c>
      <c r="Q464" s="63">
        <f>IF(C464="","",INPUT_SYSTEM!M478)</f>
        <v/>
      </c>
      <c r="R464" s="63">
        <f>IF(P464="","",P464*(1+Q464))</f>
        <v/>
      </c>
      <c r="S464" s="63">
        <f>IF(O464="","",IF(OR(H464="",H464=0),O464*P464,O464*H464*P464))</f>
        <v/>
      </c>
      <c r="T464" s="63">
        <f>IF(O464="","",IF(OR(H464="",H464=0),O464*R464,O464*H464*R464))</f>
        <v/>
      </c>
      <c r="U464" s="62">
        <f>IF(C464="","",INPUT_SYSTEM!C478)</f>
        <v/>
      </c>
      <c r="V464" s="2" t="n"/>
    </row>
    <row r="465" ht="15.75" customHeight="1" s="125">
      <c r="A465" s="62">
        <f>IF(INPUT_SYSTEM!D479="","",INPUT_SYSTEM!A479)</f>
        <v/>
      </c>
      <c r="B465" s="62">
        <f>IF(INPUT_SYSTEM!D479="","",INPUT_SYSTEM!B479)</f>
        <v/>
      </c>
      <c r="C465" s="62">
        <f>IF(INPUT_SYSTEM!D479="","",INPUT_SYSTEM!D479)</f>
        <v/>
      </c>
      <c r="D465" s="62">
        <f>IF(C465="","",INPUT_SYSTEM!E479)</f>
        <v/>
      </c>
      <c r="E465" s="62">
        <f>IF(C465="","",INPUT_SYSTEM!F479)</f>
        <v/>
      </c>
      <c r="F465" s="62">
        <f t="array" ref="F465">IFERROR(INDEX(PRODUCT!$D:$D,MATCH(C465,PRODUCT!$B:$B,0)),"")</f>
        <v/>
      </c>
      <c r="G465" s="62">
        <f t="array" ref="G465">IFERROR(INDEX(PRODUCT!$E:$E,MATCH(C465,PRODUCT!$B:$B,0)),"")</f>
        <v/>
      </c>
      <c r="H465" s="62">
        <f t="array" ref="H465">IFERROR(INDEX(PRODUCT!$F:$F,MATCH(C465,PRODUCT!$B:$B,0)),"")</f>
        <v/>
      </c>
      <c r="I465" s="62">
        <f>IF(C465="","",INPUT_SYSTEM!G479)</f>
        <v/>
      </c>
      <c r="J465" s="62">
        <f>IF(C465="","",INPUT_SYSTEM!H479)</f>
        <v/>
      </c>
      <c r="K465" s="60">
        <f>IF(C465="","",INPUT_SYSTEM!J479)</f>
        <v/>
      </c>
      <c r="L465" s="62">
        <f>IF(C465="","",INPUT_SYSTEM!K479)</f>
        <v/>
      </c>
      <c r="M465" s="62">
        <f>IF(C465="","",INPUT_SYSTEM!L479)</f>
        <v/>
      </c>
      <c r="N465" s="62">
        <f>IF(U465&lt;&gt;"SI","",IF(M465&lt;&gt;"",M465,IFERROR(I465*J465*(1+K465)*L465,"")))</f>
        <v/>
      </c>
      <c r="O465" s="62">
        <f>IF(N465="","",IF(OR(H465="",H465=0),N465,ROUNDUP(N465/H465,0)))</f>
        <v/>
      </c>
      <c r="P465" s="63">
        <f t="array" ref="P465">IFERROR(INDEX(PRODUCT!$I:$I,MATCH(C465,PRODUCT!$B:$B,0)),"")</f>
        <v/>
      </c>
      <c r="Q465" s="63">
        <f>IF(C465="","",INPUT_SYSTEM!M479)</f>
        <v/>
      </c>
      <c r="R465" s="63">
        <f>IF(P465="","",P465*(1+Q465))</f>
        <v/>
      </c>
      <c r="S465" s="63">
        <f>IF(O465="","",IF(OR(H465="",H465=0),O465*P465,O465*H465*P465))</f>
        <v/>
      </c>
      <c r="T465" s="63">
        <f>IF(O465="","",IF(OR(H465="",H465=0),O465*R465,O465*H465*R465))</f>
        <v/>
      </c>
      <c r="U465" s="62">
        <f>IF(C465="","",INPUT_SYSTEM!C479)</f>
        <v/>
      </c>
      <c r="V465" s="2" t="n"/>
    </row>
    <row r="466" ht="15.75" customHeight="1" s="125">
      <c r="A466" s="62">
        <f>IF(INPUT_SYSTEM!D480="","",INPUT_SYSTEM!A480)</f>
        <v/>
      </c>
      <c r="B466" s="62">
        <f>IF(INPUT_SYSTEM!D480="","",INPUT_SYSTEM!B480)</f>
        <v/>
      </c>
      <c r="C466" s="62">
        <f>IF(INPUT_SYSTEM!D480="","",INPUT_SYSTEM!D480)</f>
        <v/>
      </c>
      <c r="D466" s="62">
        <f>IF(C466="","",INPUT_SYSTEM!E480)</f>
        <v/>
      </c>
      <c r="E466" s="62">
        <f>IF(C466="","",INPUT_SYSTEM!F480)</f>
        <v/>
      </c>
      <c r="F466" s="62">
        <f t="array" ref="F466">IFERROR(INDEX(PRODUCT!$D:$D,MATCH(C466,PRODUCT!$B:$B,0)),"")</f>
        <v/>
      </c>
      <c r="G466" s="62">
        <f t="array" ref="G466">IFERROR(INDEX(PRODUCT!$E:$E,MATCH(C466,PRODUCT!$B:$B,0)),"")</f>
        <v/>
      </c>
      <c r="H466" s="62">
        <f t="array" ref="H466">IFERROR(INDEX(PRODUCT!$F:$F,MATCH(C466,PRODUCT!$B:$B,0)),"")</f>
        <v/>
      </c>
      <c r="I466" s="62">
        <f>IF(C466="","",INPUT_SYSTEM!G480)</f>
        <v/>
      </c>
      <c r="J466" s="62">
        <f>IF(C466="","",INPUT_SYSTEM!H480)</f>
        <v/>
      </c>
      <c r="K466" s="60">
        <f>IF(C466="","",INPUT_SYSTEM!J480)</f>
        <v/>
      </c>
      <c r="L466" s="62">
        <f>IF(C466="","",INPUT_SYSTEM!K480)</f>
        <v/>
      </c>
      <c r="M466" s="62">
        <f>IF(C466="","",INPUT_SYSTEM!L480)</f>
        <v/>
      </c>
      <c r="N466" s="62">
        <f>IF(U466&lt;&gt;"SI","",IF(M466&lt;&gt;"",M466,IFERROR(I466*J466*(1+K466)*L466,"")))</f>
        <v/>
      </c>
      <c r="O466" s="62">
        <f>IF(N466="","",IF(OR(H466="",H466=0),N466,ROUNDUP(N466/H466,0)))</f>
        <v/>
      </c>
      <c r="P466" s="63">
        <f t="array" ref="P466">IFERROR(INDEX(PRODUCT!$I:$I,MATCH(C466,PRODUCT!$B:$B,0)),"")</f>
        <v/>
      </c>
      <c r="Q466" s="63">
        <f>IF(C466="","",INPUT_SYSTEM!M480)</f>
        <v/>
      </c>
      <c r="R466" s="63">
        <f>IF(P466="","",P466*(1+Q466))</f>
        <v/>
      </c>
      <c r="S466" s="63">
        <f>IF(O466="","",IF(OR(H466="",H466=0),O466*P466,O466*H466*P466))</f>
        <v/>
      </c>
      <c r="T466" s="63">
        <f>IF(O466="","",IF(OR(H466="",H466=0),O466*R466,O466*H466*R466))</f>
        <v/>
      </c>
      <c r="U466" s="62">
        <f>IF(C466="","",INPUT_SYSTEM!C480)</f>
        <v/>
      </c>
      <c r="V466" s="2" t="n"/>
    </row>
    <row r="467" ht="15.75" customHeight="1" s="125">
      <c r="A467" s="62">
        <f>IF(INPUT_SYSTEM!D481="","",INPUT_SYSTEM!A481)</f>
        <v/>
      </c>
      <c r="B467" s="62">
        <f>IF(INPUT_SYSTEM!D481="","",INPUT_SYSTEM!B481)</f>
        <v/>
      </c>
      <c r="C467" s="62">
        <f>IF(INPUT_SYSTEM!D481="","",INPUT_SYSTEM!D481)</f>
        <v/>
      </c>
      <c r="D467" s="62">
        <f>IF(C467="","",INPUT_SYSTEM!E481)</f>
        <v/>
      </c>
      <c r="E467" s="62">
        <f>IF(C467="","",INPUT_SYSTEM!F481)</f>
        <v/>
      </c>
      <c r="F467" s="62">
        <f t="array" ref="F467">IFERROR(INDEX(PRODUCT!$D:$D,MATCH(C467,PRODUCT!$B:$B,0)),"")</f>
        <v/>
      </c>
      <c r="G467" s="62">
        <f t="array" ref="G467">IFERROR(INDEX(PRODUCT!$E:$E,MATCH(C467,PRODUCT!$B:$B,0)),"")</f>
        <v/>
      </c>
      <c r="H467" s="62">
        <f t="array" ref="H467">IFERROR(INDEX(PRODUCT!$F:$F,MATCH(C467,PRODUCT!$B:$B,0)),"")</f>
        <v/>
      </c>
      <c r="I467" s="62">
        <f>IF(C467="","",INPUT_SYSTEM!G481)</f>
        <v/>
      </c>
      <c r="J467" s="62">
        <f>IF(C467="","",INPUT_SYSTEM!H481)</f>
        <v/>
      </c>
      <c r="K467" s="60">
        <f>IF(C467="","",INPUT_SYSTEM!J481)</f>
        <v/>
      </c>
      <c r="L467" s="62">
        <f>IF(C467="","",INPUT_SYSTEM!K481)</f>
        <v/>
      </c>
      <c r="M467" s="62">
        <f>IF(C467="","",INPUT_SYSTEM!L481)</f>
        <v/>
      </c>
      <c r="N467" s="62">
        <f>IF(U467&lt;&gt;"SI","",IF(M467&lt;&gt;"",M467,IFERROR(I467*J467*(1+K467)*L467,"")))</f>
        <v/>
      </c>
      <c r="O467" s="62">
        <f>IF(N467="","",IF(OR(H467="",H467=0),N467,ROUNDUP(N467/H467,0)))</f>
        <v/>
      </c>
      <c r="P467" s="63">
        <f t="array" ref="P467">IFERROR(INDEX(PRODUCT!$I:$I,MATCH(C467,PRODUCT!$B:$B,0)),"")</f>
        <v/>
      </c>
      <c r="Q467" s="63">
        <f>IF(C467="","",INPUT_SYSTEM!M481)</f>
        <v/>
      </c>
      <c r="R467" s="63">
        <f>IF(P467="","",P467*(1+Q467))</f>
        <v/>
      </c>
      <c r="S467" s="63">
        <f>IF(O467="","",IF(OR(H467="",H467=0),O467*P467,O467*H467*P467))</f>
        <v/>
      </c>
      <c r="T467" s="63">
        <f>IF(O467="","",IF(OR(H467="",H467=0),O467*R467,O467*H467*R467))</f>
        <v/>
      </c>
      <c r="U467" s="62">
        <f>IF(C467="","",INPUT_SYSTEM!C481)</f>
        <v/>
      </c>
      <c r="V467" s="2" t="n"/>
    </row>
    <row r="468" ht="15.75" customHeight="1" s="125">
      <c r="A468" s="62">
        <f>IF(INPUT_SYSTEM!D482="","",INPUT_SYSTEM!A482)</f>
        <v/>
      </c>
      <c r="B468" s="62">
        <f>IF(INPUT_SYSTEM!D482="","",INPUT_SYSTEM!B482)</f>
        <v/>
      </c>
      <c r="C468" s="62">
        <f>IF(INPUT_SYSTEM!D482="","",INPUT_SYSTEM!D482)</f>
        <v/>
      </c>
      <c r="D468" s="62">
        <f>IF(C468="","",INPUT_SYSTEM!E482)</f>
        <v/>
      </c>
      <c r="E468" s="62">
        <f>IF(C468="","",INPUT_SYSTEM!F482)</f>
        <v/>
      </c>
      <c r="F468" s="62">
        <f t="array" ref="F468">IFERROR(INDEX(PRODUCT!$D:$D,MATCH(C468,PRODUCT!$B:$B,0)),"")</f>
        <v/>
      </c>
      <c r="G468" s="62">
        <f t="array" ref="G468">IFERROR(INDEX(PRODUCT!$E:$E,MATCH(C468,PRODUCT!$B:$B,0)),"")</f>
        <v/>
      </c>
      <c r="H468" s="62">
        <f t="array" ref="H468">IFERROR(INDEX(PRODUCT!$F:$F,MATCH(C468,PRODUCT!$B:$B,0)),"")</f>
        <v/>
      </c>
      <c r="I468" s="62">
        <f>IF(C468="","",INPUT_SYSTEM!G482)</f>
        <v/>
      </c>
      <c r="J468" s="62">
        <f>IF(C468="","",INPUT_SYSTEM!H482)</f>
        <v/>
      </c>
      <c r="K468" s="60">
        <f>IF(C468="","",INPUT_SYSTEM!J482)</f>
        <v/>
      </c>
      <c r="L468" s="62">
        <f>IF(C468="","",INPUT_SYSTEM!K482)</f>
        <v/>
      </c>
      <c r="M468" s="62">
        <f>IF(C468="","",INPUT_SYSTEM!L482)</f>
        <v/>
      </c>
      <c r="N468" s="62">
        <f>IF(U468&lt;&gt;"SI","",IF(M468&lt;&gt;"",M468,IFERROR(I468*J468*(1+K468)*L468,"")))</f>
        <v/>
      </c>
      <c r="O468" s="62">
        <f>IF(N468="","",IF(OR(H468="",H468=0),N468,ROUNDUP(N468/H468,0)))</f>
        <v/>
      </c>
      <c r="P468" s="63">
        <f t="array" ref="P468">IFERROR(INDEX(PRODUCT!$I:$I,MATCH(C468,PRODUCT!$B:$B,0)),"")</f>
        <v/>
      </c>
      <c r="Q468" s="63">
        <f>IF(C468="","",INPUT_SYSTEM!M482)</f>
        <v/>
      </c>
      <c r="R468" s="63">
        <f>IF(P468="","",P468*(1+Q468))</f>
        <v/>
      </c>
      <c r="S468" s="63">
        <f>IF(O468="","",IF(OR(H468="",H468=0),O468*P468,O468*H468*P468))</f>
        <v/>
      </c>
      <c r="T468" s="63">
        <f>IF(O468="","",IF(OR(H468="",H468=0),O468*R468,O468*H468*R468))</f>
        <v/>
      </c>
      <c r="U468" s="62">
        <f>IF(C468="","",INPUT_SYSTEM!C482)</f>
        <v/>
      </c>
      <c r="V468" s="2" t="n"/>
    </row>
    <row r="469" ht="15.75" customHeight="1" s="125">
      <c r="A469" s="62">
        <f>IF(INPUT_SYSTEM!D483="","",INPUT_SYSTEM!A483)</f>
        <v/>
      </c>
      <c r="B469" s="62">
        <f>IF(INPUT_SYSTEM!D483="","",INPUT_SYSTEM!B483)</f>
        <v/>
      </c>
      <c r="C469" s="62">
        <f>IF(INPUT_SYSTEM!D483="","",INPUT_SYSTEM!D483)</f>
        <v/>
      </c>
      <c r="D469" s="62">
        <f>IF(C469="","",INPUT_SYSTEM!E483)</f>
        <v/>
      </c>
      <c r="E469" s="62">
        <f>IF(C469="","",INPUT_SYSTEM!F483)</f>
        <v/>
      </c>
      <c r="F469" s="62">
        <f t="array" ref="F469">IFERROR(INDEX(PRODUCT!$D:$D,MATCH(C469,PRODUCT!$B:$B,0)),"")</f>
        <v/>
      </c>
      <c r="G469" s="62">
        <f t="array" ref="G469">IFERROR(INDEX(PRODUCT!$E:$E,MATCH(C469,PRODUCT!$B:$B,0)),"")</f>
        <v/>
      </c>
      <c r="H469" s="62">
        <f t="array" ref="H469">IFERROR(INDEX(PRODUCT!$F:$F,MATCH(C469,PRODUCT!$B:$B,0)),"")</f>
        <v/>
      </c>
      <c r="I469" s="62">
        <f>IF(C469="","",INPUT_SYSTEM!G483)</f>
        <v/>
      </c>
      <c r="J469" s="62">
        <f>IF(C469="","",INPUT_SYSTEM!H483)</f>
        <v/>
      </c>
      <c r="K469" s="60">
        <f>IF(C469="","",INPUT_SYSTEM!J483)</f>
        <v/>
      </c>
      <c r="L469" s="62">
        <f>IF(C469="","",INPUT_SYSTEM!K483)</f>
        <v/>
      </c>
      <c r="M469" s="62">
        <f>IF(C469="","",INPUT_SYSTEM!L483)</f>
        <v/>
      </c>
      <c r="N469" s="62">
        <f>IF(U469&lt;&gt;"SI","",IF(M469&lt;&gt;"",M469,IFERROR(I469*J469*(1+K469)*L469,"")))</f>
        <v/>
      </c>
      <c r="O469" s="62">
        <f>IF(N469="","",IF(OR(H469="",H469=0),N469,ROUNDUP(N469/H469,0)))</f>
        <v/>
      </c>
      <c r="P469" s="63">
        <f t="array" ref="P469">IFERROR(INDEX(PRODUCT!$I:$I,MATCH(C469,PRODUCT!$B:$B,0)),"")</f>
        <v/>
      </c>
      <c r="Q469" s="63">
        <f>IF(C469="","",INPUT_SYSTEM!M483)</f>
        <v/>
      </c>
      <c r="R469" s="63">
        <f>IF(P469="","",P469*(1+Q469))</f>
        <v/>
      </c>
      <c r="S469" s="63">
        <f>IF(O469="","",IF(OR(H469="",H469=0),O469*P469,O469*H469*P469))</f>
        <v/>
      </c>
      <c r="T469" s="63">
        <f>IF(O469="","",IF(OR(H469="",H469=0),O469*R469,O469*H469*R469))</f>
        <v/>
      </c>
      <c r="U469" s="62">
        <f>IF(C469="","",INPUT_SYSTEM!C483)</f>
        <v/>
      </c>
      <c r="V469" s="2" t="n"/>
    </row>
    <row r="470" ht="15.75" customHeight="1" s="125">
      <c r="A470" s="62">
        <f>IF(INPUT_SYSTEM!D484="","",INPUT_SYSTEM!A484)</f>
        <v/>
      </c>
      <c r="B470" s="62">
        <f>IF(INPUT_SYSTEM!D484="","",INPUT_SYSTEM!B484)</f>
        <v/>
      </c>
      <c r="C470" s="62">
        <f>IF(INPUT_SYSTEM!D484="","",INPUT_SYSTEM!D484)</f>
        <v/>
      </c>
      <c r="D470" s="62">
        <f>IF(C470="","",INPUT_SYSTEM!E484)</f>
        <v/>
      </c>
      <c r="E470" s="62">
        <f>IF(C470="","",INPUT_SYSTEM!F484)</f>
        <v/>
      </c>
      <c r="F470" s="62">
        <f t="array" ref="F470">IFERROR(INDEX(PRODUCT!$D:$D,MATCH(C470,PRODUCT!$B:$B,0)),"")</f>
        <v/>
      </c>
      <c r="G470" s="62">
        <f t="array" ref="G470">IFERROR(INDEX(PRODUCT!$E:$E,MATCH(C470,PRODUCT!$B:$B,0)),"")</f>
        <v/>
      </c>
      <c r="H470" s="62">
        <f t="array" ref="H470">IFERROR(INDEX(PRODUCT!$F:$F,MATCH(C470,PRODUCT!$B:$B,0)),"")</f>
        <v/>
      </c>
      <c r="I470" s="62">
        <f>IF(C470="","",INPUT_SYSTEM!G484)</f>
        <v/>
      </c>
      <c r="J470" s="62">
        <f>IF(C470="","",INPUT_SYSTEM!H484)</f>
        <v/>
      </c>
      <c r="K470" s="60">
        <f>IF(C470="","",INPUT_SYSTEM!J484)</f>
        <v/>
      </c>
      <c r="L470" s="62">
        <f>IF(C470="","",INPUT_SYSTEM!K484)</f>
        <v/>
      </c>
      <c r="M470" s="62">
        <f>IF(C470="","",INPUT_SYSTEM!L484)</f>
        <v/>
      </c>
      <c r="N470" s="62">
        <f>IF(U470&lt;&gt;"SI","",IF(M470&lt;&gt;"",M470,IFERROR(I470*J470*(1+K470)*L470,"")))</f>
        <v/>
      </c>
      <c r="O470" s="62">
        <f>IF(N470="","",IF(OR(H470="",H470=0),N470,ROUNDUP(N470/H470,0)))</f>
        <v/>
      </c>
      <c r="P470" s="63">
        <f t="array" ref="P470">IFERROR(INDEX(PRODUCT!$I:$I,MATCH(C470,PRODUCT!$B:$B,0)),"")</f>
        <v/>
      </c>
      <c r="Q470" s="63">
        <f>IF(C470="","",INPUT_SYSTEM!M484)</f>
        <v/>
      </c>
      <c r="R470" s="63">
        <f>IF(P470="","",P470*(1+Q470))</f>
        <v/>
      </c>
      <c r="S470" s="63">
        <f>IF(O470="","",IF(OR(H470="",H470=0),O470*P470,O470*H470*P470))</f>
        <v/>
      </c>
      <c r="T470" s="63">
        <f>IF(O470="","",IF(OR(H470="",H470=0),O470*R470,O470*H470*R470))</f>
        <v/>
      </c>
      <c r="U470" s="62">
        <f>IF(C470="","",INPUT_SYSTEM!C484)</f>
        <v/>
      </c>
      <c r="V470" s="2" t="n"/>
    </row>
    <row r="471" ht="15.75" customHeight="1" s="125">
      <c r="A471" s="62">
        <f>IF(INPUT_SYSTEM!D485="","",INPUT_SYSTEM!A485)</f>
        <v/>
      </c>
      <c r="B471" s="62">
        <f>IF(INPUT_SYSTEM!D485="","",INPUT_SYSTEM!B485)</f>
        <v/>
      </c>
      <c r="C471" s="62">
        <f>IF(INPUT_SYSTEM!D485="","",INPUT_SYSTEM!D485)</f>
        <v/>
      </c>
      <c r="D471" s="62">
        <f>IF(C471="","",INPUT_SYSTEM!E485)</f>
        <v/>
      </c>
      <c r="E471" s="62">
        <f>IF(C471="","",INPUT_SYSTEM!F485)</f>
        <v/>
      </c>
      <c r="F471" s="62">
        <f t="array" ref="F471">IFERROR(INDEX(PRODUCT!$D:$D,MATCH(C471,PRODUCT!$B:$B,0)),"")</f>
        <v/>
      </c>
      <c r="G471" s="62">
        <f t="array" ref="G471">IFERROR(INDEX(PRODUCT!$E:$E,MATCH(C471,PRODUCT!$B:$B,0)),"")</f>
        <v/>
      </c>
      <c r="H471" s="62">
        <f t="array" ref="H471">IFERROR(INDEX(PRODUCT!$F:$F,MATCH(C471,PRODUCT!$B:$B,0)),"")</f>
        <v/>
      </c>
      <c r="I471" s="62">
        <f>IF(C471="","",INPUT_SYSTEM!G485)</f>
        <v/>
      </c>
      <c r="J471" s="62">
        <f>IF(C471="","",INPUT_SYSTEM!H485)</f>
        <v/>
      </c>
      <c r="K471" s="60">
        <f>IF(C471="","",INPUT_SYSTEM!J485)</f>
        <v/>
      </c>
      <c r="L471" s="62">
        <f>IF(C471="","",INPUT_SYSTEM!K485)</f>
        <v/>
      </c>
      <c r="M471" s="62">
        <f>IF(C471="","",INPUT_SYSTEM!L485)</f>
        <v/>
      </c>
      <c r="N471" s="62">
        <f>IF(U471&lt;&gt;"SI","",IF(M471&lt;&gt;"",M471,IFERROR(I471*J471*(1+K471)*L471,"")))</f>
        <v/>
      </c>
      <c r="O471" s="62">
        <f>IF(N471="","",IF(OR(H471="",H471=0),N471,ROUNDUP(N471/H471,0)))</f>
        <v/>
      </c>
      <c r="P471" s="63">
        <f t="array" ref="P471">IFERROR(INDEX(PRODUCT!$I:$I,MATCH(C471,PRODUCT!$B:$B,0)),"")</f>
        <v/>
      </c>
      <c r="Q471" s="63">
        <f>IF(C471="","",INPUT_SYSTEM!M485)</f>
        <v/>
      </c>
      <c r="R471" s="63">
        <f>IF(P471="","",P471*(1+Q471))</f>
        <v/>
      </c>
      <c r="S471" s="63">
        <f>IF(O471="","",IF(OR(H471="",H471=0),O471*P471,O471*H471*P471))</f>
        <v/>
      </c>
      <c r="T471" s="63">
        <f>IF(O471="","",IF(OR(H471="",H471=0),O471*R471,O471*H471*R471))</f>
        <v/>
      </c>
      <c r="U471" s="62">
        <f>IF(C471="","",INPUT_SYSTEM!C485)</f>
        <v/>
      </c>
      <c r="V471" s="2" t="n"/>
    </row>
    <row r="472" ht="15.75" customHeight="1" s="125">
      <c r="A472" s="62">
        <f>IF(INPUT_SYSTEM!D486="","",INPUT_SYSTEM!A486)</f>
        <v/>
      </c>
      <c r="B472" s="62">
        <f>IF(INPUT_SYSTEM!D486="","",INPUT_SYSTEM!B486)</f>
        <v/>
      </c>
      <c r="C472" s="62">
        <f>IF(INPUT_SYSTEM!D486="","",INPUT_SYSTEM!D486)</f>
        <v/>
      </c>
      <c r="D472" s="62">
        <f>IF(C472="","",INPUT_SYSTEM!E486)</f>
        <v/>
      </c>
      <c r="E472" s="62">
        <f>IF(C472="","",INPUT_SYSTEM!F486)</f>
        <v/>
      </c>
      <c r="F472" s="62">
        <f t="array" ref="F472">IFERROR(INDEX(PRODUCT!$D:$D,MATCH(C472,PRODUCT!$B:$B,0)),"")</f>
        <v/>
      </c>
      <c r="G472" s="62">
        <f t="array" ref="G472">IFERROR(INDEX(PRODUCT!$E:$E,MATCH(C472,PRODUCT!$B:$B,0)),"")</f>
        <v/>
      </c>
      <c r="H472" s="62">
        <f t="array" ref="H472">IFERROR(INDEX(PRODUCT!$F:$F,MATCH(C472,PRODUCT!$B:$B,0)),"")</f>
        <v/>
      </c>
      <c r="I472" s="62">
        <f>IF(C472="","",INPUT_SYSTEM!G486)</f>
        <v/>
      </c>
      <c r="J472" s="62">
        <f>IF(C472="","",INPUT_SYSTEM!H486)</f>
        <v/>
      </c>
      <c r="K472" s="60">
        <f>IF(C472="","",INPUT_SYSTEM!J486)</f>
        <v/>
      </c>
      <c r="L472" s="62">
        <f>IF(C472="","",INPUT_SYSTEM!K486)</f>
        <v/>
      </c>
      <c r="M472" s="62">
        <f>IF(C472="","",INPUT_SYSTEM!L486)</f>
        <v/>
      </c>
      <c r="N472" s="62">
        <f>IF(U472&lt;&gt;"SI","",IF(M472&lt;&gt;"",M472,IFERROR(I472*J472*(1+K472)*L472,"")))</f>
        <v/>
      </c>
      <c r="O472" s="62">
        <f>IF(N472="","",IF(OR(H472="",H472=0),N472,ROUNDUP(N472/H472,0)))</f>
        <v/>
      </c>
      <c r="P472" s="63">
        <f t="array" ref="P472">IFERROR(INDEX(PRODUCT!$I:$I,MATCH(C472,PRODUCT!$B:$B,0)),"")</f>
        <v/>
      </c>
      <c r="Q472" s="63">
        <f>IF(C472="","",INPUT_SYSTEM!M486)</f>
        <v/>
      </c>
      <c r="R472" s="63">
        <f>IF(P472="","",P472*(1+Q472))</f>
        <v/>
      </c>
      <c r="S472" s="63">
        <f>IF(O472="","",IF(OR(H472="",H472=0),O472*P472,O472*H472*P472))</f>
        <v/>
      </c>
      <c r="T472" s="63">
        <f>IF(O472="","",IF(OR(H472="",H472=0),O472*R472,O472*H472*R472))</f>
        <v/>
      </c>
      <c r="U472" s="62">
        <f>IF(C472="","",INPUT_SYSTEM!C486)</f>
        <v/>
      </c>
      <c r="V472" s="2" t="n"/>
    </row>
    <row r="473" ht="15.75" customHeight="1" s="125">
      <c r="A473" s="62">
        <f>IF(INPUT_SYSTEM!D487="","",INPUT_SYSTEM!A487)</f>
        <v/>
      </c>
      <c r="B473" s="62">
        <f>IF(INPUT_SYSTEM!D487="","",INPUT_SYSTEM!B487)</f>
        <v/>
      </c>
      <c r="C473" s="62">
        <f>IF(INPUT_SYSTEM!D487="","",INPUT_SYSTEM!D487)</f>
        <v/>
      </c>
      <c r="D473" s="62">
        <f>IF(C473="","",INPUT_SYSTEM!E487)</f>
        <v/>
      </c>
      <c r="E473" s="62">
        <f>IF(C473="","",INPUT_SYSTEM!F487)</f>
        <v/>
      </c>
      <c r="F473" s="62">
        <f t="array" ref="F473">IFERROR(INDEX(PRODUCT!$D:$D,MATCH(C473,PRODUCT!$B:$B,0)),"")</f>
        <v/>
      </c>
      <c r="G473" s="62">
        <f t="array" ref="G473">IFERROR(INDEX(PRODUCT!$E:$E,MATCH(C473,PRODUCT!$B:$B,0)),"")</f>
        <v/>
      </c>
      <c r="H473" s="62">
        <f t="array" ref="H473">IFERROR(INDEX(PRODUCT!$F:$F,MATCH(C473,PRODUCT!$B:$B,0)),"")</f>
        <v/>
      </c>
      <c r="I473" s="62">
        <f>IF(C473="","",INPUT_SYSTEM!G487)</f>
        <v/>
      </c>
      <c r="J473" s="62">
        <f>IF(C473="","",INPUT_SYSTEM!H487)</f>
        <v/>
      </c>
      <c r="K473" s="60">
        <f>IF(C473="","",INPUT_SYSTEM!J487)</f>
        <v/>
      </c>
      <c r="L473" s="62">
        <f>IF(C473="","",INPUT_SYSTEM!K487)</f>
        <v/>
      </c>
      <c r="M473" s="62">
        <f>IF(C473="","",INPUT_SYSTEM!L487)</f>
        <v/>
      </c>
      <c r="N473" s="62">
        <f>IF(U473&lt;&gt;"SI","",IF(M473&lt;&gt;"",M473,IFERROR(I473*J473*(1+K473)*L473,"")))</f>
        <v/>
      </c>
      <c r="O473" s="62">
        <f>IF(N473="","",IF(OR(H473="",H473=0),N473,ROUNDUP(N473/H473,0)))</f>
        <v/>
      </c>
      <c r="P473" s="63">
        <f t="array" ref="P473">IFERROR(INDEX(PRODUCT!$I:$I,MATCH(C473,PRODUCT!$B:$B,0)),"")</f>
        <v/>
      </c>
      <c r="Q473" s="63">
        <f>IF(C473="","",INPUT_SYSTEM!M487)</f>
        <v/>
      </c>
      <c r="R473" s="63">
        <f>IF(P473="","",P473*(1+Q473))</f>
        <v/>
      </c>
      <c r="S473" s="63">
        <f>IF(O473="","",IF(OR(H473="",H473=0),O473*P473,O473*H473*P473))</f>
        <v/>
      </c>
      <c r="T473" s="63">
        <f>IF(O473="","",IF(OR(H473="",H473=0),O473*R473,O473*H473*R473))</f>
        <v/>
      </c>
      <c r="U473" s="62">
        <f>IF(C473="","",INPUT_SYSTEM!C487)</f>
        <v/>
      </c>
      <c r="V473" s="2" t="n"/>
    </row>
    <row r="474" ht="15.75" customHeight="1" s="125">
      <c r="A474" s="62">
        <f>IF(INPUT_SYSTEM!D488="","",INPUT_SYSTEM!A488)</f>
        <v/>
      </c>
      <c r="B474" s="62">
        <f>IF(INPUT_SYSTEM!D488="","",INPUT_SYSTEM!B488)</f>
        <v/>
      </c>
      <c r="C474" s="62">
        <f>IF(INPUT_SYSTEM!D488="","",INPUT_SYSTEM!D488)</f>
        <v/>
      </c>
      <c r="D474" s="62">
        <f>IF(C474="","",INPUT_SYSTEM!E488)</f>
        <v/>
      </c>
      <c r="E474" s="62">
        <f>IF(C474="","",INPUT_SYSTEM!F488)</f>
        <v/>
      </c>
      <c r="F474" s="62">
        <f t="array" ref="F474">IFERROR(INDEX(PRODUCT!$D:$D,MATCH(C474,PRODUCT!$B:$B,0)),"")</f>
        <v/>
      </c>
      <c r="G474" s="62">
        <f t="array" ref="G474">IFERROR(INDEX(PRODUCT!$E:$E,MATCH(C474,PRODUCT!$B:$B,0)),"")</f>
        <v/>
      </c>
      <c r="H474" s="62">
        <f t="array" ref="H474">IFERROR(INDEX(PRODUCT!$F:$F,MATCH(C474,PRODUCT!$B:$B,0)),"")</f>
        <v/>
      </c>
      <c r="I474" s="62">
        <f>IF(C474="","",INPUT_SYSTEM!G488)</f>
        <v/>
      </c>
      <c r="J474" s="62">
        <f>IF(C474="","",INPUT_SYSTEM!H488)</f>
        <v/>
      </c>
      <c r="K474" s="60">
        <f>IF(C474="","",INPUT_SYSTEM!J488)</f>
        <v/>
      </c>
      <c r="L474" s="62">
        <f>IF(C474="","",INPUT_SYSTEM!K488)</f>
        <v/>
      </c>
      <c r="M474" s="62">
        <f>IF(C474="","",INPUT_SYSTEM!L488)</f>
        <v/>
      </c>
      <c r="N474" s="62">
        <f>IF(U474&lt;&gt;"SI","",IF(M474&lt;&gt;"",M474,IFERROR(I474*J474*(1+K474)*L474,"")))</f>
        <v/>
      </c>
      <c r="O474" s="62">
        <f>IF(N474="","",IF(OR(H474="",H474=0),N474,ROUNDUP(N474/H474,0)))</f>
        <v/>
      </c>
      <c r="P474" s="63">
        <f t="array" ref="P474">IFERROR(INDEX(PRODUCT!$I:$I,MATCH(C474,PRODUCT!$B:$B,0)),"")</f>
        <v/>
      </c>
      <c r="Q474" s="63">
        <f>IF(C474="","",INPUT_SYSTEM!M488)</f>
        <v/>
      </c>
      <c r="R474" s="63">
        <f>IF(P474="","",P474*(1+Q474))</f>
        <v/>
      </c>
      <c r="S474" s="63">
        <f>IF(O474="","",IF(OR(H474="",H474=0),O474*P474,O474*H474*P474))</f>
        <v/>
      </c>
      <c r="T474" s="63">
        <f>IF(O474="","",IF(OR(H474="",H474=0),O474*R474,O474*H474*R474))</f>
        <v/>
      </c>
      <c r="U474" s="62">
        <f>IF(C474="","",INPUT_SYSTEM!C488)</f>
        <v/>
      </c>
      <c r="V474" s="2" t="n"/>
    </row>
    <row r="475" ht="15.75" customHeight="1" s="125">
      <c r="A475" s="62">
        <f>IF(INPUT_SYSTEM!D489="","",INPUT_SYSTEM!A489)</f>
        <v/>
      </c>
      <c r="B475" s="62">
        <f>IF(INPUT_SYSTEM!D489="","",INPUT_SYSTEM!B489)</f>
        <v/>
      </c>
      <c r="C475" s="62">
        <f>IF(INPUT_SYSTEM!D489="","",INPUT_SYSTEM!D489)</f>
        <v/>
      </c>
      <c r="D475" s="62">
        <f>IF(C475="","",INPUT_SYSTEM!E489)</f>
        <v/>
      </c>
      <c r="E475" s="62">
        <f>IF(C475="","",INPUT_SYSTEM!F489)</f>
        <v/>
      </c>
      <c r="F475" s="62">
        <f t="array" ref="F475">IFERROR(INDEX(PRODUCT!$D:$D,MATCH(C475,PRODUCT!$B:$B,0)),"")</f>
        <v/>
      </c>
      <c r="G475" s="62">
        <f t="array" ref="G475">IFERROR(INDEX(PRODUCT!$E:$E,MATCH(C475,PRODUCT!$B:$B,0)),"")</f>
        <v/>
      </c>
      <c r="H475" s="62">
        <f t="array" ref="H475">IFERROR(INDEX(PRODUCT!$F:$F,MATCH(C475,PRODUCT!$B:$B,0)),"")</f>
        <v/>
      </c>
      <c r="I475" s="62">
        <f>IF(C475="","",INPUT_SYSTEM!G489)</f>
        <v/>
      </c>
      <c r="J475" s="62">
        <f>IF(C475="","",INPUT_SYSTEM!H489)</f>
        <v/>
      </c>
      <c r="K475" s="60">
        <f>IF(C475="","",INPUT_SYSTEM!J489)</f>
        <v/>
      </c>
      <c r="L475" s="62">
        <f>IF(C475="","",INPUT_SYSTEM!K489)</f>
        <v/>
      </c>
      <c r="M475" s="62">
        <f>IF(C475="","",INPUT_SYSTEM!L489)</f>
        <v/>
      </c>
      <c r="N475" s="62">
        <f>IF(U475&lt;&gt;"SI","",IF(M475&lt;&gt;"",M475,IFERROR(I475*J475*(1+K475)*L475,"")))</f>
        <v/>
      </c>
      <c r="O475" s="62">
        <f>IF(N475="","",IF(OR(H475="",H475=0),N475,ROUNDUP(N475/H475,0)))</f>
        <v/>
      </c>
      <c r="P475" s="63">
        <f t="array" ref="P475">IFERROR(INDEX(PRODUCT!$I:$I,MATCH(C475,PRODUCT!$B:$B,0)),"")</f>
        <v/>
      </c>
      <c r="Q475" s="63">
        <f>IF(C475="","",INPUT_SYSTEM!M489)</f>
        <v/>
      </c>
      <c r="R475" s="63">
        <f>IF(P475="","",P475*(1+Q475))</f>
        <v/>
      </c>
      <c r="S475" s="63">
        <f>IF(O475="","",IF(OR(H475="",H475=0),O475*P475,O475*H475*P475))</f>
        <v/>
      </c>
      <c r="T475" s="63">
        <f>IF(O475="","",IF(OR(H475="",H475=0),O475*R475,O475*H475*R475))</f>
        <v/>
      </c>
      <c r="U475" s="62">
        <f>IF(C475="","",INPUT_SYSTEM!C489)</f>
        <v/>
      </c>
      <c r="V475" s="2" t="n"/>
    </row>
    <row r="476" ht="15.75" customHeight="1" s="125">
      <c r="A476" s="62">
        <f>IF(INPUT_SYSTEM!D490="","",INPUT_SYSTEM!A490)</f>
        <v/>
      </c>
      <c r="B476" s="62">
        <f>IF(INPUT_SYSTEM!D490="","",INPUT_SYSTEM!B490)</f>
        <v/>
      </c>
      <c r="C476" s="62">
        <f>IF(INPUT_SYSTEM!D490="","",INPUT_SYSTEM!D490)</f>
        <v/>
      </c>
      <c r="D476" s="62">
        <f>IF(C476="","",INPUT_SYSTEM!E490)</f>
        <v/>
      </c>
      <c r="E476" s="62">
        <f>IF(C476="","",INPUT_SYSTEM!F490)</f>
        <v/>
      </c>
      <c r="F476" s="62">
        <f t="array" ref="F476">IFERROR(INDEX(PRODUCT!$D:$D,MATCH(C476,PRODUCT!$B:$B,0)),"")</f>
        <v/>
      </c>
      <c r="G476" s="62">
        <f t="array" ref="G476">IFERROR(INDEX(PRODUCT!$E:$E,MATCH(C476,PRODUCT!$B:$B,0)),"")</f>
        <v/>
      </c>
      <c r="H476" s="62">
        <f t="array" ref="H476">IFERROR(INDEX(PRODUCT!$F:$F,MATCH(C476,PRODUCT!$B:$B,0)),"")</f>
        <v/>
      </c>
      <c r="I476" s="62">
        <f>IF(C476="","",INPUT_SYSTEM!G490)</f>
        <v/>
      </c>
      <c r="J476" s="62">
        <f>IF(C476="","",INPUT_SYSTEM!H490)</f>
        <v/>
      </c>
      <c r="K476" s="60">
        <f>IF(C476="","",INPUT_SYSTEM!J490)</f>
        <v/>
      </c>
      <c r="L476" s="62">
        <f>IF(C476="","",INPUT_SYSTEM!K490)</f>
        <v/>
      </c>
      <c r="M476" s="62">
        <f>IF(C476="","",INPUT_SYSTEM!L490)</f>
        <v/>
      </c>
      <c r="N476" s="62">
        <f>IF(U476&lt;&gt;"SI","",IF(M476&lt;&gt;"",M476,IFERROR(I476*J476*(1+K476)*L476,"")))</f>
        <v/>
      </c>
      <c r="O476" s="62">
        <f>IF(N476="","",IF(OR(H476="",H476=0),N476,ROUNDUP(N476/H476,0)))</f>
        <v/>
      </c>
      <c r="P476" s="63">
        <f t="array" ref="P476">IFERROR(INDEX(PRODUCT!$I:$I,MATCH(C476,PRODUCT!$B:$B,0)),"")</f>
        <v/>
      </c>
      <c r="Q476" s="63">
        <f>IF(C476="","",INPUT_SYSTEM!M490)</f>
        <v/>
      </c>
      <c r="R476" s="63">
        <f>IF(P476="","",P476*(1+Q476))</f>
        <v/>
      </c>
      <c r="S476" s="63">
        <f>IF(O476="","",IF(OR(H476="",H476=0),O476*P476,O476*H476*P476))</f>
        <v/>
      </c>
      <c r="T476" s="63">
        <f>IF(O476="","",IF(OR(H476="",H476=0),O476*R476,O476*H476*R476))</f>
        <v/>
      </c>
      <c r="U476" s="62">
        <f>IF(C476="","",INPUT_SYSTEM!C490)</f>
        <v/>
      </c>
      <c r="V476" s="2" t="n"/>
    </row>
    <row r="477" ht="15.75" customHeight="1" s="125">
      <c r="A477" s="62">
        <f>IF(INPUT_SYSTEM!D491="","",INPUT_SYSTEM!A491)</f>
        <v/>
      </c>
      <c r="B477" s="62">
        <f>IF(INPUT_SYSTEM!D491="","",INPUT_SYSTEM!B491)</f>
        <v/>
      </c>
      <c r="C477" s="62">
        <f>IF(INPUT_SYSTEM!D491="","",INPUT_SYSTEM!D491)</f>
        <v/>
      </c>
      <c r="D477" s="62">
        <f>IF(C477="","",INPUT_SYSTEM!E491)</f>
        <v/>
      </c>
      <c r="E477" s="62">
        <f>IF(C477="","",INPUT_SYSTEM!F491)</f>
        <v/>
      </c>
      <c r="F477" s="62">
        <f t="array" ref="F477">IFERROR(INDEX(PRODUCT!$D:$D,MATCH(C477,PRODUCT!$B:$B,0)),"")</f>
        <v/>
      </c>
      <c r="G477" s="62">
        <f t="array" ref="G477">IFERROR(INDEX(PRODUCT!$E:$E,MATCH(C477,PRODUCT!$B:$B,0)),"")</f>
        <v/>
      </c>
      <c r="H477" s="62">
        <f t="array" ref="H477">IFERROR(INDEX(PRODUCT!$F:$F,MATCH(C477,PRODUCT!$B:$B,0)),"")</f>
        <v/>
      </c>
      <c r="I477" s="62">
        <f>IF(C477="","",INPUT_SYSTEM!G491)</f>
        <v/>
      </c>
      <c r="J477" s="62">
        <f>IF(C477="","",INPUT_SYSTEM!H491)</f>
        <v/>
      </c>
      <c r="K477" s="60">
        <f>IF(C477="","",INPUT_SYSTEM!J491)</f>
        <v/>
      </c>
      <c r="L477" s="62">
        <f>IF(C477="","",INPUT_SYSTEM!K491)</f>
        <v/>
      </c>
      <c r="M477" s="62">
        <f>IF(C477="","",INPUT_SYSTEM!L491)</f>
        <v/>
      </c>
      <c r="N477" s="62">
        <f>IF(U477&lt;&gt;"SI","",IF(M477&lt;&gt;"",M477,IFERROR(I477*J477*(1+K477)*L477,"")))</f>
        <v/>
      </c>
      <c r="O477" s="62">
        <f>IF(N477="","",IF(OR(H477="",H477=0),N477,ROUNDUP(N477/H477,0)))</f>
        <v/>
      </c>
      <c r="P477" s="63">
        <f t="array" ref="P477">IFERROR(INDEX(PRODUCT!$I:$I,MATCH(C477,PRODUCT!$B:$B,0)),"")</f>
        <v/>
      </c>
      <c r="Q477" s="63">
        <f>IF(C477="","",INPUT_SYSTEM!M491)</f>
        <v/>
      </c>
      <c r="R477" s="63">
        <f>IF(P477="","",P477*(1+Q477))</f>
        <v/>
      </c>
      <c r="S477" s="63">
        <f>IF(O477="","",IF(OR(H477="",H477=0),O477*P477,O477*H477*P477))</f>
        <v/>
      </c>
      <c r="T477" s="63">
        <f>IF(O477="","",IF(OR(H477="",H477=0),O477*R477,O477*H477*R477))</f>
        <v/>
      </c>
      <c r="U477" s="62">
        <f>IF(C477="","",INPUT_SYSTEM!C491)</f>
        <v/>
      </c>
      <c r="V477" s="2" t="n"/>
    </row>
    <row r="478" ht="15.75" customHeight="1" s="125">
      <c r="A478" s="62">
        <f>IF(INPUT_SYSTEM!D492="","",INPUT_SYSTEM!A492)</f>
        <v/>
      </c>
      <c r="B478" s="62">
        <f>IF(INPUT_SYSTEM!D492="","",INPUT_SYSTEM!B492)</f>
        <v/>
      </c>
      <c r="C478" s="62">
        <f>IF(INPUT_SYSTEM!D492="","",INPUT_SYSTEM!D492)</f>
        <v/>
      </c>
      <c r="D478" s="62">
        <f>IF(C478="","",INPUT_SYSTEM!E492)</f>
        <v/>
      </c>
      <c r="E478" s="62">
        <f>IF(C478="","",INPUT_SYSTEM!F492)</f>
        <v/>
      </c>
      <c r="F478" s="62">
        <f t="array" ref="F478">IFERROR(INDEX(PRODUCT!$D:$D,MATCH(C478,PRODUCT!$B:$B,0)),"")</f>
        <v/>
      </c>
      <c r="G478" s="62">
        <f t="array" ref="G478">IFERROR(INDEX(PRODUCT!$E:$E,MATCH(C478,PRODUCT!$B:$B,0)),"")</f>
        <v/>
      </c>
      <c r="H478" s="62">
        <f t="array" ref="H478">IFERROR(INDEX(PRODUCT!$F:$F,MATCH(C478,PRODUCT!$B:$B,0)),"")</f>
        <v/>
      </c>
      <c r="I478" s="62">
        <f>IF(C478="","",INPUT_SYSTEM!G492)</f>
        <v/>
      </c>
      <c r="J478" s="62">
        <f>IF(C478="","",INPUT_SYSTEM!H492)</f>
        <v/>
      </c>
      <c r="K478" s="60">
        <f>IF(C478="","",INPUT_SYSTEM!J492)</f>
        <v/>
      </c>
      <c r="L478" s="62">
        <f>IF(C478="","",INPUT_SYSTEM!K492)</f>
        <v/>
      </c>
      <c r="M478" s="62">
        <f>IF(C478="","",INPUT_SYSTEM!L492)</f>
        <v/>
      </c>
      <c r="N478" s="62">
        <f>IF(U478&lt;&gt;"SI","",IF(M478&lt;&gt;"",M478,IFERROR(I478*J478*(1+K478)*L478,"")))</f>
        <v/>
      </c>
      <c r="O478" s="62">
        <f>IF(N478="","",IF(OR(H478="",H478=0),N478,ROUNDUP(N478/H478,0)))</f>
        <v/>
      </c>
      <c r="P478" s="63">
        <f t="array" ref="P478">IFERROR(INDEX(PRODUCT!$I:$I,MATCH(C478,PRODUCT!$B:$B,0)),"")</f>
        <v/>
      </c>
      <c r="Q478" s="63">
        <f>IF(C478="","",INPUT_SYSTEM!M492)</f>
        <v/>
      </c>
      <c r="R478" s="63">
        <f>IF(P478="","",P478*(1+Q478))</f>
        <v/>
      </c>
      <c r="S478" s="63">
        <f>IF(O478="","",IF(OR(H478="",H478=0),O478*P478,O478*H478*P478))</f>
        <v/>
      </c>
      <c r="T478" s="63">
        <f>IF(O478="","",IF(OR(H478="",H478=0),O478*R478,O478*H478*R478))</f>
        <v/>
      </c>
      <c r="U478" s="62">
        <f>IF(C478="","",INPUT_SYSTEM!C492)</f>
        <v/>
      </c>
      <c r="V478" s="2" t="n"/>
    </row>
    <row r="479" ht="15.75" customHeight="1" s="125">
      <c r="A479" s="62">
        <f>IF(INPUT_SYSTEM!D493="","",INPUT_SYSTEM!A493)</f>
        <v/>
      </c>
      <c r="B479" s="62">
        <f>IF(INPUT_SYSTEM!D493="","",INPUT_SYSTEM!B493)</f>
        <v/>
      </c>
      <c r="C479" s="62">
        <f>IF(INPUT_SYSTEM!D493="","",INPUT_SYSTEM!D493)</f>
        <v/>
      </c>
      <c r="D479" s="62">
        <f>IF(C479="","",INPUT_SYSTEM!E493)</f>
        <v/>
      </c>
      <c r="E479" s="62">
        <f>IF(C479="","",INPUT_SYSTEM!F493)</f>
        <v/>
      </c>
      <c r="F479" s="62">
        <f t="array" ref="F479">IFERROR(INDEX(PRODUCT!$D:$D,MATCH(C479,PRODUCT!$B:$B,0)),"")</f>
        <v/>
      </c>
      <c r="G479" s="62">
        <f t="array" ref="G479">IFERROR(INDEX(PRODUCT!$E:$E,MATCH(C479,PRODUCT!$B:$B,0)),"")</f>
        <v/>
      </c>
      <c r="H479" s="62">
        <f t="array" ref="H479">IFERROR(INDEX(PRODUCT!$F:$F,MATCH(C479,PRODUCT!$B:$B,0)),"")</f>
        <v/>
      </c>
      <c r="I479" s="62">
        <f>IF(C479="","",INPUT_SYSTEM!G493)</f>
        <v/>
      </c>
      <c r="J479" s="62">
        <f>IF(C479="","",INPUT_SYSTEM!H493)</f>
        <v/>
      </c>
      <c r="K479" s="60">
        <f>IF(C479="","",INPUT_SYSTEM!J493)</f>
        <v/>
      </c>
      <c r="L479" s="62">
        <f>IF(C479="","",INPUT_SYSTEM!K493)</f>
        <v/>
      </c>
      <c r="M479" s="62">
        <f>IF(C479="","",INPUT_SYSTEM!L493)</f>
        <v/>
      </c>
      <c r="N479" s="62">
        <f>IF(U479&lt;&gt;"SI","",IF(M479&lt;&gt;"",M479,IFERROR(I479*J479*(1+K479)*L479,"")))</f>
        <v/>
      </c>
      <c r="O479" s="62">
        <f>IF(N479="","",IF(OR(H479="",H479=0),N479,ROUNDUP(N479/H479,0)))</f>
        <v/>
      </c>
      <c r="P479" s="63">
        <f t="array" ref="P479">IFERROR(INDEX(PRODUCT!$I:$I,MATCH(C479,PRODUCT!$B:$B,0)),"")</f>
        <v/>
      </c>
      <c r="Q479" s="63">
        <f>IF(C479="","",INPUT_SYSTEM!M493)</f>
        <v/>
      </c>
      <c r="R479" s="63">
        <f>IF(P479="","",P479*(1+Q479))</f>
        <v/>
      </c>
      <c r="S479" s="63">
        <f>IF(O479="","",IF(OR(H479="",H479=0),O479*P479,O479*H479*P479))</f>
        <v/>
      </c>
      <c r="T479" s="63">
        <f>IF(O479="","",IF(OR(H479="",H479=0),O479*R479,O479*H479*R479))</f>
        <v/>
      </c>
      <c r="U479" s="62">
        <f>IF(C479="","",INPUT_SYSTEM!C493)</f>
        <v/>
      </c>
      <c r="V479" s="2" t="n"/>
    </row>
    <row r="480" ht="15.75" customHeight="1" s="125">
      <c r="A480" s="62">
        <f>IF(INPUT_SYSTEM!D494="","",INPUT_SYSTEM!A494)</f>
        <v/>
      </c>
      <c r="B480" s="62">
        <f>IF(INPUT_SYSTEM!D494="","",INPUT_SYSTEM!B494)</f>
        <v/>
      </c>
      <c r="C480" s="62">
        <f>IF(INPUT_SYSTEM!D494="","",INPUT_SYSTEM!D494)</f>
        <v/>
      </c>
      <c r="D480" s="62">
        <f>IF(C480="","",INPUT_SYSTEM!E494)</f>
        <v/>
      </c>
      <c r="E480" s="62">
        <f>IF(C480="","",INPUT_SYSTEM!F494)</f>
        <v/>
      </c>
      <c r="F480" s="62">
        <f t="array" ref="F480">IFERROR(INDEX(PRODUCT!$D:$D,MATCH(C480,PRODUCT!$B:$B,0)),"")</f>
        <v/>
      </c>
      <c r="G480" s="62">
        <f t="array" ref="G480">IFERROR(INDEX(PRODUCT!$E:$E,MATCH(C480,PRODUCT!$B:$B,0)),"")</f>
        <v/>
      </c>
      <c r="H480" s="62">
        <f t="array" ref="H480">IFERROR(INDEX(PRODUCT!$F:$F,MATCH(C480,PRODUCT!$B:$B,0)),"")</f>
        <v/>
      </c>
      <c r="I480" s="62">
        <f>IF(C480="","",INPUT_SYSTEM!G494)</f>
        <v/>
      </c>
      <c r="J480" s="62">
        <f>IF(C480="","",INPUT_SYSTEM!H494)</f>
        <v/>
      </c>
      <c r="K480" s="60">
        <f>IF(C480="","",INPUT_SYSTEM!J494)</f>
        <v/>
      </c>
      <c r="L480" s="62">
        <f>IF(C480="","",INPUT_SYSTEM!K494)</f>
        <v/>
      </c>
      <c r="M480" s="62">
        <f>IF(C480="","",INPUT_SYSTEM!L494)</f>
        <v/>
      </c>
      <c r="N480" s="62">
        <f>IF(U480&lt;&gt;"SI","",IF(M480&lt;&gt;"",M480,IFERROR(I480*J480*(1+K480)*L480,"")))</f>
        <v/>
      </c>
      <c r="O480" s="62">
        <f>IF(N480="","",IF(OR(H480="",H480=0),N480,ROUNDUP(N480/H480,0)))</f>
        <v/>
      </c>
      <c r="P480" s="63">
        <f t="array" ref="P480">IFERROR(INDEX(PRODUCT!$I:$I,MATCH(C480,PRODUCT!$B:$B,0)),"")</f>
        <v/>
      </c>
      <c r="Q480" s="63">
        <f>IF(C480="","",INPUT_SYSTEM!M494)</f>
        <v/>
      </c>
      <c r="R480" s="63">
        <f>IF(P480="","",P480*(1+Q480))</f>
        <v/>
      </c>
      <c r="S480" s="63">
        <f>IF(O480="","",IF(OR(H480="",H480=0),O480*P480,O480*H480*P480))</f>
        <v/>
      </c>
      <c r="T480" s="63">
        <f>IF(O480="","",IF(OR(H480="",H480=0),O480*R480,O480*H480*R480))</f>
        <v/>
      </c>
      <c r="U480" s="62">
        <f>IF(C480="","",INPUT_SYSTEM!C494)</f>
        <v/>
      </c>
      <c r="V480" s="2" t="n"/>
    </row>
    <row r="481" ht="15.75" customHeight="1" s="125">
      <c r="A481" s="62">
        <f>IF(INPUT_SYSTEM!D495="","",INPUT_SYSTEM!A495)</f>
        <v/>
      </c>
      <c r="B481" s="62">
        <f>IF(INPUT_SYSTEM!D495="","",INPUT_SYSTEM!B495)</f>
        <v/>
      </c>
      <c r="C481" s="62">
        <f>IF(INPUT_SYSTEM!D495="","",INPUT_SYSTEM!D495)</f>
        <v/>
      </c>
      <c r="D481" s="62">
        <f>IF(C481="","",INPUT_SYSTEM!E495)</f>
        <v/>
      </c>
      <c r="E481" s="62">
        <f>IF(C481="","",INPUT_SYSTEM!F495)</f>
        <v/>
      </c>
      <c r="F481" s="62">
        <f t="array" ref="F481">IFERROR(INDEX(PRODUCT!$D:$D,MATCH(C481,PRODUCT!$B:$B,0)),"")</f>
        <v/>
      </c>
      <c r="G481" s="62">
        <f t="array" ref="G481">IFERROR(INDEX(PRODUCT!$E:$E,MATCH(C481,PRODUCT!$B:$B,0)),"")</f>
        <v/>
      </c>
      <c r="H481" s="62">
        <f t="array" ref="H481">IFERROR(INDEX(PRODUCT!$F:$F,MATCH(C481,PRODUCT!$B:$B,0)),"")</f>
        <v/>
      </c>
      <c r="I481" s="62">
        <f>IF(C481="","",INPUT_SYSTEM!G495)</f>
        <v/>
      </c>
      <c r="J481" s="62">
        <f>IF(C481="","",INPUT_SYSTEM!H495)</f>
        <v/>
      </c>
      <c r="K481" s="60">
        <f>IF(C481="","",INPUT_SYSTEM!J495)</f>
        <v/>
      </c>
      <c r="L481" s="62">
        <f>IF(C481="","",INPUT_SYSTEM!K495)</f>
        <v/>
      </c>
      <c r="M481" s="62">
        <f>IF(C481="","",INPUT_SYSTEM!L495)</f>
        <v/>
      </c>
      <c r="N481" s="62">
        <f>IF(U481&lt;&gt;"SI","",IF(M481&lt;&gt;"",M481,IFERROR(I481*J481*(1+K481)*L481,"")))</f>
        <v/>
      </c>
      <c r="O481" s="62">
        <f>IF(N481="","",IF(OR(H481="",H481=0),N481,ROUNDUP(N481/H481,0)))</f>
        <v/>
      </c>
      <c r="P481" s="63">
        <f t="array" ref="P481">IFERROR(INDEX(PRODUCT!$I:$I,MATCH(C481,PRODUCT!$B:$B,0)),"")</f>
        <v/>
      </c>
      <c r="Q481" s="63">
        <f>IF(C481="","",INPUT_SYSTEM!M495)</f>
        <v/>
      </c>
      <c r="R481" s="63">
        <f>IF(P481="","",P481*(1+Q481))</f>
        <v/>
      </c>
      <c r="S481" s="63">
        <f>IF(O481="","",IF(OR(H481="",H481=0),O481*P481,O481*H481*P481))</f>
        <v/>
      </c>
      <c r="T481" s="63">
        <f>IF(O481="","",IF(OR(H481="",H481=0),O481*R481,O481*H481*R481))</f>
        <v/>
      </c>
      <c r="U481" s="62">
        <f>IF(C481="","",INPUT_SYSTEM!C495)</f>
        <v/>
      </c>
      <c r="V481" s="2" t="n"/>
    </row>
    <row r="482" ht="15.75" customHeight="1" s="125">
      <c r="A482" s="62">
        <f>IF(INPUT_SYSTEM!D496="","",INPUT_SYSTEM!A496)</f>
        <v/>
      </c>
      <c r="B482" s="62">
        <f>IF(INPUT_SYSTEM!D496="","",INPUT_SYSTEM!B496)</f>
        <v/>
      </c>
      <c r="C482" s="62">
        <f>IF(INPUT_SYSTEM!D496="","",INPUT_SYSTEM!D496)</f>
        <v/>
      </c>
      <c r="D482" s="62">
        <f>IF(C482="","",INPUT_SYSTEM!E496)</f>
        <v/>
      </c>
      <c r="E482" s="62">
        <f>IF(C482="","",INPUT_SYSTEM!F496)</f>
        <v/>
      </c>
      <c r="F482" s="62">
        <f t="array" ref="F482">IFERROR(INDEX(PRODUCT!$D:$D,MATCH(C482,PRODUCT!$B:$B,0)),"")</f>
        <v/>
      </c>
      <c r="G482" s="62">
        <f t="array" ref="G482">IFERROR(INDEX(PRODUCT!$E:$E,MATCH(C482,PRODUCT!$B:$B,0)),"")</f>
        <v/>
      </c>
      <c r="H482" s="62">
        <f t="array" ref="H482">IFERROR(INDEX(PRODUCT!$F:$F,MATCH(C482,PRODUCT!$B:$B,0)),"")</f>
        <v/>
      </c>
      <c r="I482" s="62">
        <f>IF(C482="","",INPUT_SYSTEM!G496)</f>
        <v/>
      </c>
      <c r="J482" s="62">
        <f>IF(C482="","",INPUT_SYSTEM!H496)</f>
        <v/>
      </c>
      <c r="K482" s="60">
        <f>IF(C482="","",INPUT_SYSTEM!J496)</f>
        <v/>
      </c>
      <c r="L482" s="62">
        <f>IF(C482="","",INPUT_SYSTEM!K496)</f>
        <v/>
      </c>
      <c r="M482" s="62">
        <f>IF(C482="","",INPUT_SYSTEM!L496)</f>
        <v/>
      </c>
      <c r="N482" s="62">
        <f>IF(U482&lt;&gt;"SI","",IF(M482&lt;&gt;"",M482,IFERROR(I482*J482*(1+K482)*L482,"")))</f>
        <v/>
      </c>
      <c r="O482" s="62">
        <f>IF(N482="","",IF(OR(H482="",H482=0),N482,ROUNDUP(N482/H482,0)))</f>
        <v/>
      </c>
      <c r="P482" s="63">
        <f t="array" ref="P482">IFERROR(INDEX(PRODUCT!$I:$I,MATCH(C482,PRODUCT!$B:$B,0)),"")</f>
        <v/>
      </c>
      <c r="Q482" s="63">
        <f>IF(C482="","",INPUT_SYSTEM!M496)</f>
        <v/>
      </c>
      <c r="R482" s="63">
        <f>IF(P482="","",P482*(1+Q482))</f>
        <v/>
      </c>
      <c r="S482" s="63">
        <f>IF(O482="","",IF(OR(H482="",H482=0),O482*P482,O482*H482*P482))</f>
        <v/>
      </c>
      <c r="T482" s="63">
        <f>IF(O482="","",IF(OR(H482="",H482=0),O482*R482,O482*H482*R482))</f>
        <v/>
      </c>
      <c r="U482" s="62">
        <f>IF(C482="","",INPUT_SYSTEM!C496)</f>
        <v/>
      </c>
      <c r="V482" s="2" t="n"/>
    </row>
    <row r="483" ht="15.75" customHeight="1" s="125">
      <c r="A483" s="62">
        <f>IF(INPUT_SYSTEM!D497="","",INPUT_SYSTEM!A497)</f>
        <v/>
      </c>
      <c r="B483" s="62">
        <f>IF(INPUT_SYSTEM!D497="","",INPUT_SYSTEM!B497)</f>
        <v/>
      </c>
      <c r="C483" s="62">
        <f>IF(INPUT_SYSTEM!D497="","",INPUT_SYSTEM!D497)</f>
        <v/>
      </c>
      <c r="D483" s="62">
        <f>IF(C483="","",INPUT_SYSTEM!E497)</f>
        <v/>
      </c>
      <c r="E483" s="62">
        <f>IF(C483="","",INPUT_SYSTEM!F497)</f>
        <v/>
      </c>
      <c r="F483" s="62">
        <f t="array" ref="F483">IFERROR(INDEX(PRODUCT!$D:$D,MATCH(C483,PRODUCT!$B:$B,0)),"")</f>
        <v/>
      </c>
      <c r="G483" s="62">
        <f t="array" ref="G483">IFERROR(INDEX(PRODUCT!$E:$E,MATCH(C483,PRODUCT!$B:$B,0)),"")</f>
        <v/>
      </c>
      <c r="H483" s="62">
        <f t="array" ref="H483">IFERROR(INDEX(PRODUCT!$F:$F,MATCH(C483,PRODUCT!$B:$B,0)),"")</f>
        <v/>
      </c>
      <c r="I483" s="62">
        <f>IF(C483="","",INPUT_SYSTEM!G497)</f>
        <v/>
      </c>
      <c r="J483" s="62">
        <f>IF(C483="","",INPUT_SYSTEM!H497)</f>
        <v/>
      </c>
      <c r="K483" s="60">
        <f>IF(C483="","",INPUT_SYSTEM!J497)</f>
        <v/>
      </c>
      <c r="L483" s="62">
        <f>IF(C483="","",INPUT_SYSTEM!K497)</f>
        <v/>
      </c>
      <c r="M483" s="62">
        <f>IF(C483="","",INPUT_SYSTEM!L497)</f>
        <v/>
      </c>
      <c r="N483" s="62">
        <f>IF(U483&lt;&gt;"SI","",IF(M483&lt;&gt;"",M483,IFERROR(I483*J483*(1+K483)*L483,"")))</f>
        <v/>
      </c>
      <c r="O483" s="62">
        <f>IF(N483="","",IF(OR(H483="",H483=0),N483,ROUNDUP(N483/H483,0)))</f>
        <v/>
      </c>
      <c r="P483" s="63">
        <f t="array" ref="P483">IFERROR(INDEX(PRODUCT!$I:$I,MATCH(C483,PRODUCT!$B:$B,0)),"")</f>
        <v/>
      </c>
      <c r="Q483" s="63">
        <f>IF(C483="","",INPUT_SYSTEM!M497)</f>
        <v/>
      </c>
      <c r="R483" s="63">
        <f>IF(P483="","",P483*(1+Q483))</f>
        <v/>
      </c>
      <c r="S483" s="63">
        <f>IF(O483="","",IF(OR(H483="",H483=0),O483*P483,O483*H483*P483))</f>
        <v/>
      </c>
      <c r="T483" s="63">
        <f>IF(O483="","",IF(OR(H483="",H483=0),O483*R483,O483*H483*R483))</f>
        <v/>
      </c>
      <c r="U483" s="62">
        <f>IF(C483="","",INPUT_SYSTEM!C497)</f>
        <v/>
      </c>
      <c r="V483" s="2" t="n"/>
    </row>
    <row r="484" ht="15.75" customHeight="1" s="125">
      <c r="A484" s="62">
        <f>IF(INPUT_SYSTEM!D498="","",INPUT_SYSTEM!A498)</f>
        <v/>
      </c>
      <c r="B484" s="62">
        <f>IF(INPUT_SYSTEM!D498="","",INPUT_SYSTEM!B498)</f>
        <v/>
      </c>
      <c r="C484" s="62">
        <f>IF(INPUT_SYSTEM!D498="","",INPUT_SYSTEM!D498)</f>
        <v/>
      </c>
      <c r="D484" s="62">
        <f>IF(C484="","",INPUT_SYSTEM!E498)</f>
        <v/>
      </c>
      <c r="E484" s="62">
        <f>IF(C484="","",INPUT_SYSTEM!F498)</f>
        <v/>
      </c>
      <c r="F484" s="62">
        <f t="array" ref="F484">IFERROR(INDEX(PRODUCT!$D:$D,MATCH(C484,PRODUCT!$B:$B,0)),"")</f>
        <v/>
      </c>
      <c r="G484" s="62">
        <f t="array" ref="G484">IFERROR(INDEX(PRODUCT!$E:$E,MATCH(C484,PRODUCT!$B:$B,0)),"")</f>
        <v/>
      </c>
      <c r="H484" s="62">
        <f t="array" ref="H484">IFERROR(INDEX(PRODUCT!$F:$F,MATCH(C484,PRODUCT!$B:$B,0)),"")</f>
        <v/>
      </c>
      <c r="I484" s="62">
        <f>IF(C484="","",INPUT_SYSTEM!G498)</f>
        <v/>
      </c>
      <c r="J484" s="62">
        <f>IF(C484="","",INPUT_SYSTEM!H498)</f>
        <v/>
      </c>
      <c r="K484" s="60">
        <f>IF(C484="","",INPUT_SYSTEM!J498)</f>
        <v/>
      </c>
      <c r="L484" s="62">
        <f>IF(C484="","",INPUT_SYSTEM!K498)</f>
        <v/>
      </c>
      <c r="M484" s="62">
        <f>IF(C484="","",INPUT_SYSTEM!L498)</f>
        <v/>
      </c>
      <c r="N484" s="62">
        <f>IF(U484&lt;&gt;"SI","",IF(M484&lt;&gt;"",M484,IFERROR(I484*J484*(1+K484)*L484,"")))</f>
        <v/>
      </c>
      <c r="O484" s="62">
        <f>IF(N484="","",IF(OR(H484="",H484=0),N484,ROUNDUP(N484/H484,0)))</f>
        <v/>
      </c>
      <c r="P484" s="63">
        <f t="array" ref="P484">IFERROR(INDEX(PRODUCT!$I:$I,MATCH(C484,PRODUCT!$B:$B,0)),"")</f>
        <v/>
      </c>
      <c r="Q484" s="63">
        <f>IF(C484="","",INPUT_SYSTEM!M498)</f>
        <v/>
      </c>
      <c r="R484" s="63">
        <f>IF(P484="","",P484*(1+Q484))</f>
        <v/>
      </c>
      <c r="S484" s="63">
        <f>IF(O484="","",IF(OR(H484="",H484=0),O484*P484,O484*H484*P484))</f>
        <v/>
      </c>
      <c r="T484" s="63">
        <f>IF(O484="","",IF(OR(H484="",H484=0),O484*R484,O484*H484*R484))</f>
        <v/>
      </c>
      <c r="U484" s="62">
        <f>IF(C484="","",INPUT_SYSTEM!C498)</f>
        <v/>
      </c>
      <c r="V484" s="2" t="n"/>
    </row>
    <row r="485" ht="15.75" customHeight="1" s="125">
      <c r="A485" s="62">
        <f>IF(INPUT_SYSTEM!D499="","",INPUT_SYSTEM!A499)</f>
        <v/>
      </c>
      <c r="B485" s="62">
        <f>IF(INPUT_SYSTEM!D499="","",INPUT_SYSTEM!B499)</f>
        <v/>
      </c>
      <c r="C485" s="62">
        <f>IF(INPUT_SYSTEM!D499="","",INPUT_SYSTEM!D499)</f>
        <v/>
      </c>
      <c r="D485" s="62">
        <f>IF(C485="","",INPUT_SYSTEM!E499)</f>
        <v/>
      </c>
      <c r="E485" s="62">
        <f>IF(C485="","",INPUT_SYSTEM!F499)</f>
        <v/>
      </c>
      <c r="F485" s="62">
        <f t="array" ref="F485">IFERROR(INDEX(PRODUCT!$D:$D,MATCH(C485,PRODUCT!$B:$B,0)),"")</f>
        <v/>
      </c>
      <c r="G485" s="62">
        <f t="array" ref="G485">IFERROR(INDEX(PRODUCT!$E:$E,MATCH(C485,PRODUCT!$B:$B,0)),"")</f>
        <v/>
      </c>
      <c r="H485" s="62">
        <f t="array" ref="H485">IFERROR(INDEX(PRODUCT!$F:$F,MATCH(C485,PRODUCT!$B:$B,0)),"")</f>
        <v/>
      </c>
      <c r="I485" s="62">
        <f>IF(C485="","",INPUT_SYSTEM!G499)</f>
        <v/>
      </c>
      <c r="J485" s="62">
        <f>IF(C485="","",INPUT_SYSTEM!H499)</f>
        <v/>
      </c>
      <c r="K485" s="60">
        <f>IF(C485="","",INPUT_SYSTEM!J499)</f>
        <v/>
      </c>
      <c r="L485" s="62">
        <f>IF(C485="","",INPUT_SYSTEM!K499)</f>
        <v/>
      </c>
      <c r="M485" s="62">
        <f>IF(C485="","",INPUT_SYSTEM!L499)</f>
        <v/>
      </c>
      <c r="N485" s="62">
        <f>IF(U485&lt;&gt;"SI","",IF(M485&lt;&gt;"",M485,IFERROR(I485*J485*(1+K485)*L485,"")))</f>
        <v/>
      </c>
      <c r="O485" s="62">
        <f>IF(N485="","",IF(OR(H485="",H485=0),N485,ROUNDUP(N485/H485,0)))</f>
        <v/>
      </c>
      <c r="P485" s="63">
        <f t="array" ref="P485">IFERROR(INDEX(PRODUCT!$I:$I,MATCH(C485,PRODUCT!$B:$B,0)),"")</f>
        <v/>
      </c>
      <c r="Q485" s="63">
        <f>IF(C485="","",INPUT_SYSTEM!M499)</f>
        <v/>
      </c>
      <c r="R485" s="63">
        <f>IF(P485="","",P485*(1+Q485))</f>
        <v/>
      </c>
      <c r="S485" s="63">
        <f>IF(O485="","",IF(OR(H485="",H485=0),O485*P485,O485*H485*P485))</f>
        <v/>
      </c>
      <c r="T485" s="63">
        <f>IF(O485="","",IF(OR(H485="",H485=0),O485*R485,O485*H485*R485))</f>
        <v/>
      </c>
      <c r="U485" s="62">
        <f>IF(C485="","",INPUT_SYSTEM!C499)</f>
        <v/>
      </c>
      <c r="V485" s="2" t="n"/>
    </row>
    <row r="486" ht="15.75" customHeight="1" s="125">
      <c r="A486" s="62">
        <f>IF(INPUT_SYSTEM!D500="","",INPUT_SYSTEM!A500)</f>
        <v/>
      </c>
      <c r="B486" s="62">
        <f>IF(INPUT_SYSTEM!D500="","",INPUT_SYSTEM!B500)</f>
        <v/>
      </c>
      <c r="C486" s="62">
        <f>IF(INPUT_SYSTEM!D500="","",INPUT_SYSTEM!D500)</f>
        <v/>
      </c>
      <c r="D486" s="62">
        <f>IF(C486="","",INPUT_SYSTEM!E500)</f>
        <v/>
      </c>
      <c r="E486" s="62">
        <f>IF(C486="","",INPUT_SYSTEM!F500)</f>
        <v/>
      </c>
      <c r="F486" s="62">
        <f t="array" ref="F486">IFERROR(INDEX(PRODUCT!$D:$D,MATCH(C486,PRODUCT!$B:$B,0)),"")</f>
        <v/>
      </c>
      <c r="G486" s="62">
        <f t="array" ref="G486">IFERROR(INDEX(PRODUCT!$E:$E,MATCH(C486,PRODUCT!$B:$B,0)),"")</f>
        <v/>
      </c>
      <c r="H486" s="62">
        <f t="array" ref="H486">IFERROR(INDEX(PRODUCT!$F:$F,MATCH(C486,PRODUCT!$B:$B,0)),"")</f>
        <v/>
      </c>
      <c r="I486" s="62">
        <f>IF(C486="","",INPUT_SYSTEM!G500)</f>
        <v/>
      </c>
      <c r="J486" s="62">
        <f>IF(C486="","",INPUT_SYSTEM!H500)</f>
        <v/>
      </c>
      <c r="K486" s="60">
        <f>IF(C486="","",INPUT_SYSTEM!J500)</f>
        <v/>
      </c>
      <c r="L486" s="62">
        <f>IF(C486="","",INPUT_SYSTEM!K500)</f>
        <v/>
      </c>
      <c r="M486" s="62">
        <f>IF(C486="","",INPUT_SYSTEM!L500)</f>
        <v/>
      </c>
      <c r="N486" s="62">
        <f>IF(U486&lt;&gt;"SI","",IF(M486&lt;&gt;"",M486,IFERROR(I486*J486*(1+K486)*L486,"")))</f>
        <v/>
      </c>
      <c r="O486" s="62">
        <f>IF(N486="","",IF(OR(H486="",H486=0),N486,ROUNDUP(N486/H486,0)))</f>
        <v/>
      </c>
      <c r="P486" s="63">
        <f t="array" ref="P486">IFERROR(INDEX(PRODUCT!$I:$I,MATCH(C486,PRODUCT!$B:$B,0)),"")</f>
        <v/>
      </c>
      <c r="Q486" s="63">
        <f>IF(C486="","",INPUT_SYSTEM!M500)</f>
        <v/>
      </c>
      <c r="R486" s="63">
        <f>IF(P486="","",P486*(1+Q486))</f>
        <v/>
      </c>
      <c r="S486" s="63">
        <f>IF(O486="","",IF(OR(H486="",H486=0),O486*P486,O486*H486*P486))</f>
        <v/>
      </c>
      <c r="T486" s="63">
        <f>IF(O486="","",IF(OR(H486="",H486=0),O486*R486,O486*H486*R486))</f>
        <v/>
      </c>
      <c r="U486" s="62">
        <f>IF(C486="","",INPUT_SYSTEM!C500)</f>
        <v/>
      </c>
      <c r="V486" s="2" t="n"/>
    </row>
    <row r="487" ht="15.75" customHeight="1" s="125">
      <c r="A487" s="62">
        <f>IF(INPUT_SYSTEM!D501="","",INPUT_SYSTEM!A501)</f>
        <v/>
      </c>
      <c r="B487" s="62">
        <f>IF(INPUT_SYSTEM!D501="","",INPUT_SYSTEM!B501)</f>
        <v/>
      </c>
      <c r="C487" s="62">
        <f>IF(INPUT_SYSTEM!D501="","",INPUT_SYSTEM!D501)</f>
        <v/>
      </c>
      <c r="D487" s="62">
        <f>IF(C487="","",INPUT_SYSTEM!E501)</f>
        <v/>
      </c>
      <c r="E487" s="62">
        <f>IF(C487="","",INPUT_SYSTEM!F501)</f>
        <v/>
      </c>
      <c r="F487" s="62">
        <f t="array" ref="F487">IFERROR(INDEX(PRODUCT!$D:$D,MATCH(C487,PRODUCT!$B:$B,0)),"")</f>
        <v/>
      </c>
      <c r="G487" s="62">
        <f t="array" ref="G487">IFERROR(INDEX(PRODUCT!$E:$E,MATCH(C487,PRODUCT!$B:$B,0)),"")</f>
        <v/>
      </c>
      <c r="H487" s="62">
        <f t="array" ref="H487">IFERROR(INDEX(PRODUCT!$F:$F,MATCH(C487,PRODUCT!$B:$B,0)),"")</f>
        <v/>
      </c>
      <c r="I487" s="62">
        <f>IF(C487="","",INPUT_SYSTEM!G501)</f>
        <v/>
      </c>
      <c r="J487" s="62">
        <f>IF(C487="","",INPUT_SYSTEM!H501)</f>
        <v/>
      </c>
      <c r="K487" s="60">
        <f>IF(C487="","",INPUT_SYSTEM!J501)</f>
        <v/>
      </c>
      <c r="L487" s="62">
        <f>IF(C487="","",INPUT_SYSTEM!K501)</f>
        <v/>
      </c>
      <c r="M487" s="62">
        <f>IF(C487="","",INPUT_SYSTEM!L501)</f>
        <v/>
      </c>
      <c r="N487" s="62">
        <f>IF(U487&lt;&gt;"SI","",IF(M487&lt;&gt;"",M487,IFERROR(I487*J487*(1+K487)*L487,"")))</f>
        <v/>
      </c>
      <c r="O487" s="62">
        <f>IF(N487="","",IF(OR(H487="",H487=0),N487,ROUNDUP(N487/H487,0)))</f>
        <v/>
      </c>
      <c r="P487" s="63">
        <f t="array" ref="P487">IFERROR(INDEX(PRODUCT!$I:$I,MATCH(C487,PRODUCT!$B:$B,0)),"")</f>
        <v/>
      </c>
      <c r="Q487" s="63">
        <f>IF(C487="","",INPUT_SYSTEM!M501)</f>
        <v/>
      </c>
      <c r="R487" s="63">
        <f>IF(P487="","",P487*(1+Q487))</f>
        <v/>
      </c>
      <c r="S487" s="63">
        <f>IF(O487="","",IF(OR(H487="",H487=0),O487*P487,O487*H487*P487))</f>
        <v/>
      </c>
      <c r="T487" s="63">
        <f>IF(O487="","",IF(OR(H487="",H487=0),O487*R487,O487*H487*R487))</f>
        <v/>
      </c>
      <c r="U487" s="62">
        <f>IF(C487="","",INPUT_SYSTEM!C501)</f>
        <v/>
      </c>
      <c r="V487" s="2" t="n"/>
    </row>
    <row r="488" ht="15.75" customHeight="1" s="125">
      <c r="A488" s="62">
        <f>IF(INPUT_SYSTEM!D502="","",INPUT_SYSTEM!A502)</f>
        <v/>
      </c>
      <c r="B488" s="62">
        <f>IF(INPUT_SYSTEM!D502="","",INPUT_SYSTEM!B502)</f>
        <v/>
      </c>
      <c r="C488" s="62">
        <f>IF(INPUT_SYSTEM!D502="","",INPUT_SYSTEM!D502)</f>
        <v/>
      </c>
      <c r="D488" s="62">
        <f>IF(C488="","",INPUT_SYSTEM!E502)</f>
        <v/>
      </c>
      <c r="E488" s="62">
        <f>IF(C488="","",INPUT_SYSTEM!F502)</f>
        <v/>
      </c>
      <c r="F488" s="62">
        <f t="array" ref="F488">IFERROR(INDEX(PRODUCT!$D:$D,MATCH(C488,PRODUCT!$B:$B,0)),"")</f>
        <v/>
      </c>
      <c r="G488" s="62">
        <f t="array" ref="G488">IFERROR(INDEX(PRODUCT!$E:$E,MATCH(C488,PRODUCT!$B:$B,0)),"")</f>
        <v/>
      </c>
      <c r="H488" s="62">
        <f t="array" ref="H488">IFERROR(INDEX(PRODUCT!$F:$F,MATCH(C488,PRODUCT!$B:$B,0)),"")</f>
        <v/>
      </c>
      <c r="I488" s="62">
        <f>IF(C488="","",INPUT_SYSTEM!G502)</f>
        <v/>
      </c>
      <c r="J488" s="62">
        <f>IF(C488="","",INPUT_SYSTEM!H502)</f>
        <v/>
      </c>
      <c r="K488" s="60">
        <f>IF(C488="","",INPUT_SYSTEM!J502)</f>
        <v/>
      </c>
      <c r="L488" s="62">
        <f>IF(C488="","",INPUT_SYSTEM!K502)</f>
        <v/>
      </c>
      <c r="M488" s="62">
        <f>IF(C488="","",INPUT_SYSTEM!L502)</f>
        <v/>
      </c>
      <c r="N488" s="62">
        <f>IF(U488&lt;&gt;"SI","",IF(M488&lt;&gt;"",M488,IFERROR(I488*J488*(1+K488)*L488,"")))</f>
        <v/>
      </c>
      <c r="O488" s="62">
        <f>IF(N488="","",IF(OR(H488="",H488=0),N488,ROUNDUP(N488/H488,0)))</f>
        <v/>
      </c>
      <c r="P488" s="63">
        <f t="array" ref="P488">IFERROR(INDEX(PRODUCT!$I:$I,MATCH(C488,PRODUCT!$B:$B,0)),"")</f>
        <v/>
      </c>
      <c r="Q488" s="63">
        <f>IF(C488="","",INPUT_SYSTEM!M502)</f>
        <v/>
      </c>
      <c r="R488" s="63">
        <f>IF(P488="","",P488*(1+Q488))</f>
        <v/>
      </c>
      <c r="S488" s="63">
        <f>IF(O488="","",IF(OR(H488="",H488=0),O488*P488,O488*H488*P488))</f>
        <v/>
      </c>
      <c r="T488" s="63">
        <f>IF(O488="","",IF(OR(H488="",H488=0),O488*R488,O488*H488*R488))</f>
        <v/>
      </c>
      <c r="U488" s="62">
        <f>IF(C488="","",INPUT_SYSTEM!C502)</f>
        <v/>
      </c>
      <c r="V488" s="2" t="n"/>
    </row>
    <row r="489" ht="15.75" customHeight="1" s="125">
      <c r="A489" s="62">
        <f>IF(INPUT_SYSTEM!D503="","",INPUT_SYSTEM!A503)</f>
        <v/>
      </c>
      <c r="B489" s="62">
        <f>IF(INPUT_SYSTEM!D503="","",INPUT_SYSTEM!B503)</f>
        <v/>
      </c>
      <c r="C489" s="62">
        <f>IF(INPUT_SYSTEM!D503="","",INPUT_SYSTEM!D503)</f>
        <v/>
      </c>
      <c r="D489" s="62">
        <f>IF(C489="","",INPUT_SYSTEM!E503)</f>
        <v/>
      </c>
      <c r="E489" s="62">
        <f>IF(C489="","",INPUT_SYSTEM!F503)</f>
        <v/>
      </c>
      <c r="F489" s="62">
        <f t="array" ref="F489">IFERROR(INDEX(PRODUCT!$D:$D,MATCH(C489,PRODUCT!$B:$B,0)),"")</f>
        <v/>
      </c>
      <c r="G489" s="62">
        <f t="array" ref="G489">IFERROR(INDEX(PRODUCT!$E:$E,MATCH(C489,PRODUCT!$B:$B,0)),"")</f>
        <v/>
      </c>
      <c r="H489" s="62">
        <f t="array" ref="H489">IFERROR(INDEX(PRODUCT!$F:$F,MATCH(C489,PRODUCT!$B:$B,0)),"")</f>
        <v/>
      </c>
      <c r="I489" s="62">
        <f>IF(C489="","",INPUT_SYSTEM!G503)</f>
        <v/>
      </c>
      <c r="J489" s="62">
        <f>IF(C489="","",INPUT_SYSTEM!H503)</f>
        <v/>
      </c>
      <c r="K489" s="60">
        <f>IF(C489="","",INPUT_SYSTEM!J503)</f>
        <v/>
      </c>
      <c r="L489" s="62">
        <f>IF(C489="","",INPUT_SYSTEM!K503)</f>
        <v/>
      </c>
      <c r="M489" s="62">
        <f>IF(C489="","",INPUT_SYSTEM!L503)</f>
        <v/>
      </c>
      <c r="N489" s="62">
        <f>IF(U489&lt;&gt;"SI","",IF(M489&lt;&gt;"",M489,IFERROR(I489*J489*(1+K489)*L489,"")))</f>
        <v/>
      </c>
      <c r="O489" s="62">
        <f>IF(N489="","",IF(OR(H489="",H489=0),N489,ROUNDUP(N489/H489,0)))</f>
        <v/>
      </c>
      <c r="P489" s="63">
        <f t="array" ref="P489">IFERROR(INDEX(PRODUCT!$I:$I,MATCH(C489,PRODUCT!$B:$B,0)),"")</f>
        <v/>
      </c>
      <c r="Q489" s="63">
        <f>IF(C489="","",INPUT_SYSTEM!M503)</f>
        <v/>
      </c>
      <c r="R489" s="63">
        <f>IF(P489="","",P489*(1+Q489))</f>
        <v/>
      </c>
      <c r="S489" s="63">
        <f>IF(O489="","",IF(OR(H489="",H489=0),O489*P489,O489*H489*P489))</f>
        <v/>
      </c>
      <c r="T489" s="63">
        <f>IF(O489="","",IF(OR(H489="",H489=0),O489*R489,O489*H489*R489))</f>
        <v/>
      </c>
      <c r="U489" s="62">
        <f>IF(C489="","",INPUT_SYSTEM!C503)</f>
        <v/>
      </c>
      <c r="V489" s="2" t="n"/>
    </row>
    <row r="490" ht="15.75" customHeight="1" s="125">
      <c r="A490" s="62">
        <f>IF(INPUT_SYSTEM!D504="","",INPUT_SYSTEM!A504)</f>
        <v/>
      </c>
      <c r="B490" s="62">
        <f>IF(INPUT_SYSTEM!D504="","",INPUT_SYSTEM!B504)</f>
        <v/>
      </c>
      <c r="C490" s="62">
        <f>IF(INPUT_SYSTEM!D504="","",INPUT_SYSTEM!D504)</f>
        <v/>
      </c>
      <c r="D490" s="62">
        <f>IF(C490="","",INPUT_SYSTEM!E504)</f>
        <v/>
      </c>
      <c r="E490" s="62">
        <f>IF(C490="","",INPUT_SYSTEM!F504)</f>
        <v/>
      </c>
      <c r="F490" s="62">
        <f t="array" ref="F490">IFERROR(INDEX(PRODUCT!$D:$D,MATCH(C490,PRODUCT!$B:$B,0)),"")</f>
        <v/>
      </c>
      <c r="G490" s="62">
        <f t="array" ref="G490">IFERROR(INDEX(PRODUCT!$E:$E,MATCH(C490,PRODUCT!$B:$B,0)),"")</f>
        <v/>
      </c>
      <c r="H490" s="62">
        <f t="array" ref="H490">IFERROR(INDEX(PRODUCT!$F:$F,MATCH(C490,PRODUCT!$B:$B,0)),"")</f>
        <v/>
      </c>
      <c r="I490" s="62">
        <f>IF(C490="","",INPUT_SYSTEM!G504)</f>
        <v/>
      </c>
      <c r="J490" s="62">
        <f>IF(C490="","",INPUT_SYSTEM!H504)</f>
        <v/>
      </c>
      <c r="K490" s="60">
        <f>IF(C490="","",INPUT_SYSTEM!J504)</f>
        <v/>
      </c>
      <c r="L490" s="62">
        <f>IF(C490="","",INPUT_SYSTEM!K504)</f>
        <v/>
      </c>
      <c r="M490" s="62">
        <f>IF(C490="","",INPUT_SYSTEM!L504)</f>
        <v/>
      </c>
      <c r="N490" s="62">
        <f>IF(U490&lt;&gt;"SI","",IF(M490&lt;&gt;"",M490,IFERROR(I490*J490*(1+K490)*L490,"")))</f>
        <v/>
      </c>
      <c r="O490" s="62">
        <f>IF(N490="","",IF(OR(H490="",H490=0),N490,ROUNDUP(N490/H490,0)))</f>
        <v/>
      </c>
      <c r="P490" s="63">
        <f t="array" ref="P490">IFERROR(INDEX(PRODUCT!$I:$I,MATCH(C490,PRODUCT!$B:$B,0)),"")</f>
        <v/>
      </c>
      <c r="Q490" s="63">
        <f>IF(C490="","",INPUT_SYSTEM!M504)</f>
        <v/>
      </c>
      <c r="R490" s="63">
        <f>IF(P490="","",P490*(1+Q490))</f>
        <v/>
      </c>
      <c r="S490" s="63">
        <f>IF(O490="","",IF(OR(H490="",H490=0),O490*P490,O490*H490*P490))</f>
        <v/>
      </c>
      <c r="T490" s="63">
        <f>IF(O490="","",IF(OR(H490="",H490=0),O490*R490,O490*H490*R490))</f>
        <v/>
      </c>
      <c r="U490" s="62">
        <f>IF(C490="","",INPUT_SYSTEM!C504)</f>
        <v/>
      </c>
      <c r="V490" s="2" t="n"/>
    </row>
    <row r="491" ht="15.75" customHeight="1" s="125">
      <c r="A491" s="62">
        <f>IF(INPUT_SYSTEM!D505="","",INPUT_SYSTEM!A505)</f>
        <v/>
      </c>
      <c r="B491" s="62">
        <f>IF(INPUT_SYSTEM!D505="","",INPUT_SYSTEM!B505)</f>
        <v/>
      </c>
      <c r="C491" s="62">
        <f>IF(INPUT_SYSTEM!D505="","",INPUT_SYSTEM!D505)</f>
        <v/>
      </c>
      <c r="D491" s="62">
        <f>IF(C491="","",INPUT_SYSTEM!E505)</f>
        <v/>
      </c>
      <c r="E491" s="62">
        <f>IF(C491="","",INPUT_SYSTEM!F505)</f>
        <v/>
      </c>
      <c r="F491" s="62">
        <f t="array" ref="F491">IFERROR(INDEX(PRODUCT!$D:$D,MATCH(C491,PRODUCT!$B:$B,0)),"")</f>
        <v/>
      </c>
      <c r="G491" s="62">
        <f t="array" ref="G491">IFERROR(INDEX(PRODUCT!$E:$E,MATCH(C491,PRODUCT!$B:$B,0)),"")</f>
        <v/>
      </c>
      <c r="H491" s="62">
        <f t="array" ref="H491">IFERROR(INDEX(PRODUCT!$F:$F,MATCH(C491,PRODUCT!$B:$B,0)),"")</f>
        <v/>
      </c>
      <c r="I491" s="62">
        <f>IF(C491="","",INPUT_SYSTEM!G505)</f>
        <v/>
      </c>
      <c r="J491" s="62">
        <f>IF(C491="","",INPUT_SYSTEM!H505)</f>
        <v/>
      </c>
      <c r="K491" s="60">
        <f>IF(C491="","",INPUT_SYSTEM!J505)</f>
        <v/>
      </c>
      <c r="L491" s="62">
        <f>IF(C491="","",INPUT_SYSTEM!K505)</f>
        <v/>
      </c>
      <c r="M491" s="62">
        <f>IF(C491="","",INPUT_SYSTEM!L505)</f>
        <v/>
      </c>
      <c r="N491" s="62">
        <f>IF(U491&lt;&gt;"SI","",IF(M491&lt;&gt;"",M491,IFERROR(I491*J491*(1+K491)*L491,"")))</f>
        <v/>
      </c>
      <c r="O491" s="62">
        <f>IF(N491="","",IF(OR(H491="",H491=0),N491,ROUNDUP(N491/H491,0)))</f>
        <v/>
      </c>
      <c r="P491" s="63">
        <f t="array" ref="P491">IFERROR(INDEX(PRODUCT!$I:$I,MATCH(C491,PRODUCT!$B:$B,0)),"")</f>
        <v/>
      </c>
      <c r="Q491" s="63">
        <f>IF(C491="","",INPUT_SYSTEM!M505)</f>
        <v/>
      </c>
      <c r="R491" s="63">
        <f>IF(P491="","",P491*(1+Q491))</f>
        <v/>
      </c>
      <c r="S491" s="63">
        <f>IF(O491="","",IF(OR(H491="",H491=0),O491*P491,O491*H491*P491))</f>
        <v/>
      </c>
      <c r="T491" s="63">
        <f>IF(O491="","",IF(OR(H491="",H491=0),O491*R491,O491*H491*R491))</f>
        <v/>
      </c>
      <c r="U491" s="62">
        <f>IF(C491="","",INPUT_SYSTEM!C505)</f>
        <v/>
      </c>
      <c r="V491" s="2" t="n"/>
    </row>
    <row r="492" ht="15.75" customHeight="1" s="125">
      <c r="A492" s="62">
        <f>IF(INPUT_SYSTEM!D506="","",INPUT_SYSTEM!A506)</f>
        <v/>
      </c>
      <c r="B492" s="62">
        <f>IF(INPUT_SYSTEM!D506="","",INPUT_SYSTEM!B506)</f>
        <v/>
      </c>
      <c r="C492" s="62">
        <f>IF(INPUT_SYSTEM!D506="","",INPUT_SYSTEM!D506)</f>
        <v/>
      </c>
      <c r="D492" s="62">
        <f>IF(C492="","",INPUT_SYSTEM!E506)</f>
        <v/>
      </c>
      <c r="E492" s="62">
        <f>IF(C492="","",INPUT_SYSTEM!F506)</f>
        <v/>
      </c>
      <c r="F492" s="62">
        <f t="array" ref="F492">IFERROR(INDEX(PRODUCT!$D:$D,MATCH(C492,PRODUCT!$B:$B,0)),"")</f>
        <v/>
      </c>
      <c r="G492" s="62">
        <f t="array" ref="G492">IFERROR(INDEX(PRODUCT!$E:$E,MATCH(C492,PRODUCT!$B:$B,0)),"")</f>
        <v/>
      </c>
      <c r="H492" s="62">
        <f t="array" ref="H492">IFERROR(INDEX(PRODUCT!$F:$F,MATCH(C492,PRODUCT!$B:$B,0)),"")</f>
        <v/>
      </c>
      <c r="I492" s="62">
        <f>IF(C492="","",INPUT_SYSTEM!G506)</f>
        <v/>
      </c>
      <c r="J492" s="62">
        <f>IF(C492="","",INPUT_SYSTEM!H506)</f>
        <v/>
      </c>
      <c r="K492" s="60">
        <f>IF(C492="","",INPUT_SYSTEM!J506)</f>
        <v/>
      </c>
      <c r="L492" s="62">
        <f>IF(C492="","",INPUT_SYSTEM!K506)</f>
        <v/>
      </c>
      <c r="M492" s="62">
        <f>IF(C492="","",INPUT_SYSTEM!L506)</f>
        <v/>
      </c>
      <c r="N492" s="62">
        <f>IF(U492&lt;&gt;"SI","",IF(M492&lt;&gt;"",M492,IFERROR(I492*J492*(1+K492)*L492,"")))</f>
        <v/>
      </c>
      <c r="O492" s="62">
        <f>IF(N492="","",IF(OR(H492="",H492=0),N492,ROUNDUP(N492/H492,0)))</f>
        <v/>
      </c>
      <c r="P492" s="63">
        <f t="array" ref="P492">IFERROR(INDEX(PRODUCT!$I:$I,MATCH(C492,PRODUCT!$B:$B,0)),"")</f>
        <v/>
      </c>
      <c r="Q492" s="63">
        <f>IF(C492="","",INPUT_SYSTEM!M506)</f>
        <v/>
      </c>
      <c r="R492" s="63">
        <f>IF(P492="","",P492*(1+Q492))</f>
        <v/>
      </c>
      <c r="S492" s="63">
        <f>IF(O492="","",IF(OR(H492="",H492=0),O492*P492,O492*H492*P492))</f>
        <v/>
      </c>
      <c r="T492" s="63">
        <f>IF(O492="","",IF(OR(H492="",H492=0),O492*R492,O492*H492*R492))</f>
        <v/>
      </c>
      <c r="U492" s="62">
        <f>IF(C492="","",INPUT_SYSTEM!C506)</f>
        <v/>
      </c>
      <c r="V492" s="2" t="n"/>
    </row>
    <row r="493" ht="15.75" customHeight="1" s="125">
      <c r="A493" s="62">
        <f>IF(INPUT_SYSTEM!D507="","",INPUT_SYSTEM!A507)</f>
        <v/>
      </c>
      <c r="B493" s="62">
        <f>IF(INPUT_SYSTEM!D507="","",INPUT_SYSTEM!B507)</f>
        <v/>
      </c>
      <c r="C493" s="62">
        <f>IF(INPUT_SYSTEM!D507="","",INPUT_SYSTEM!D507)</f>
        <v/>
      </c>
      <c r="D493" s="62">
        <f>IF(C493="","",INPUT_SYSTEM!E507)</f>
        <v/>
      </c>
      <c r="E493" s="62">
        <f>IF(C493="","",INPUT_SYSTEM!F507)</f>
        <v/>
      </c>
      <c r="F493" s="62">
        <f t="array" ref="F493">IFERROR(INDEX(PRODUCT!$D:$D,MATCH(C493,PRODUCT!$B:$B,0)),"")</f>
        <v/>
      </c>
      <c r="G493" s="62">
        <f t="array" ref="G493">IFERROR(INDEX(PRODUCT!$E:$E,MATCH(C493,PRODUCT!$B:$B,0)),"")</f>
        <v/>
      </c>
      <c r="H493" s="62">
        <f t="array" ref="H493">IFERROR(INDEX(PRODUCT!$F:$F,MATCH(C493,PRODUCT!$B:$B,0)),"")</f>
        <v/>
      </c>
      <c r="I493" s="62">
        <f>IF(C493="","",INPUT_SYSTEM!G507)</f>
        <v/>
      </c>
      <c r="J493" s="62">
        <f>IF(C493="","",INPUT_SYSTEM!H507)</f>
        <v/>
      </c>
      <c r="K493" s="60">
        <f>IF(C493="","",INPUT_SYSTEM!J507)</f>
        <v/>
      </c>
      <c r="L493" s="62">
        <f>IF(C493="","",INPUT_SYSTEM!K507)</f>
        <v/>
      </c>
      <c r="M493" s="62">
        <f>IF(C493="","",INPUT_SYSTEM!L507)</f>
        <v/>
      </c>
      <c r="N493" s="62">
        <f>IF(U493&lt;&gt;"SI","",IF(M493&lt;&gt;"",M493,IFERROR(I493*J493*(1+K493)*L493,"")))</f>
        <v/>
      </c>
      <c r="O493" s="62">
        <f>IF(N493="","",IF(OR(H493="",H493=0),N493,ROUNDUP(N493/H493,0)))</f>
        <v/>
      </c>
      <c r="P493" s="63">
        <f t="array" ref="P493">IFERROR(INDEX(PRODUCT!$I:$I,MATCH(C493,PRODUCT!$B:$B,0)),"")</f>
        <v/>
      </c>
      <c r="Q493" s="63">
        <f>IF(C493="","",INPUT_SYSTEM!M507)</f>
        <v/>
      </c>
      <c r="R493" s="63">
        <f>IF(P493="","",P493*(1+Q493))</f>
        <v/>
      </c>
      <c r="S493" s="63">
        <f>IF(O493="","",IF(OR(H493="",H493=0),O493*P493,O493*H493*P493))</f>
        <v/>
      </c>
      <c r="T493" s="63">
        <f>IF(O493="","",IF(OR(H493="",H493=0),O493*R493,O493*H493*R493))</f>
        <v/>
      </c>
      <c r="U493" s="62">
        <f>IF(C493="","",INPUT_SYSTEM!C507)</f>
        <v/>
      </c>
      <c r="V493" s="2" t="n"/>
    </row>
    <row r="494" ht="15.75" customHeight="1" s="125">
      <c r="A494" s="62">
        <f>IF(INPUT_SYSTEM!D508="","",INPUT_SYSTEM!A508)</f>
        <v/>
      </c>
      <c r="B494" s="62">
        <f>IF(INPUT_SYSTEM!D508="","",INPUT_SYSTEM!B508)</f>
        <v/>
      </c>
      <c r="C494" s="62">
        <f>IF(INPUT_SYSTEM!D508="","",INPUT_SYSTEM!D508)</f>
        <v/>
      </c>
      <c r="D494" s="62">
        <f>IF(C494="","",INPUT_SYSTEM!E508)</f>
        <v/>
      </c>
      <c r="E494" s="62">
        <f>IF(C494="","",INPUT_SYSTEM!F508)</f>
        <v/>
      </c>
      <c r="F494" s="62">
        <f t="array" ref="F494">IFERROR(INDEX(PRODUCT!$D:$D,MATCH(C494,PRODUCT!$B:$B,0)),"")</f>
        <v/>
      </c>
      <c r="G494" s="62">
        <f t="array" ref="G494">IFERROR(INDEX(PRODUCT!$E:$E,MATCH(C494,PRODUCT!$B:$B,0)),"")</f>
        <v/>
      </c>
      <c r="H494" s="62">
        <f t="array" ref="H494">IFERROR(INDEX(PRODUCT!$F:$F,MATCH(C494,PRODUCT!$B:$B,0)),"")</f>
        <v/>
      </c>
      <c r="I494" s="62">
        <f>IF(C494="","",INPUT_SYSTEM!G508)</f>
        <v/>
      </c>
      <c r="J494" s="62">
        <f>IF(C494="","",INPUT_SYSTEM!H508)</f>
        <v/>
      </c>
      <c r="K494" s="60">
        <f>IF(C494="","",INPUT_SYSTEM!J508)</f>
        <v/>
      </c>
      <c r="L494" s="62">
        <f>IF(C494="","",INPUT_SYSTEM!K508)</f>
        <v/>
      </c>
      <c r="M494" s="62">
        <f>IF(C494="","",INPUT_SYSTEM!L508)</f>
        <v/>
      </c>
      <c r="N494" s="62">
        <f>IF(U494&lt;&gt;"SI","",IF(M494&lt;&gt;"",M494,IFERROR(I494*J494*(1+K494)*L494,"")))</f>
        <v/>
      </c>
      <c r="O494" s="62">
        <f>IF(N494="","",IF(OR(H494="",H494=0),N494,ROUNDUP(N494/H494,0)))</f>
        <v/>
      </c>
      <c r="P494" s="63">
        <f t="array" ref="P494">IFERROR(INDEX(PRODUCT!$I:$I,MATCH(C494,PRODUCT!$B:$B,0)),"")</f>
        <v/>
      </c>
      <c r="Q494" s="63">
        <f>IF(C494="","",INPUT_SYSTEM!M508)</f>
        <v/>
      </c>
      <c r="R494" s="63">
        <f>IF(P494="","",P494*(1+Q494))</f>
        <v/>
      </c>
      <c r="S494" s="63">
        <f>IF(O494="","",IF(OR(H494="",H494=0),O494*P494,O494*H494*P494))</f>
        <v/>
      </c>
      <c r="T494" s="63">
        <f>IF(O494="","",IF(OR(H494="",H494=0),O494*R494,O494*H494*R494))</f>
        <v/>
      </c>
      <c r="U494" s="62">
        <f>IF(C494="","",INPUT_SYSTEM!C508)</f>
        <v/>
      </c>
      <c r="V494" s="2" t="n"/>
    </row>
    <row r="495" ht="15.75" customHeight="1" s="125">
      <c r="A495" s="62">
        <f>IF(INPUT_SYSTEM!D509="","",INPUT_SYSTEM!A509)</f>
        <v/>
      </c>
      <c r="B495" s="62">
        <f>IF(INPUT_SYSTEM!D509="","",INPUT_SYSTEM!B509)</f>
        <v/>
      </c>
      <c r="C495" s="62">
        <f>IF(INPUT_SYSTEM!D509="","",INPUT_SYSTEM!D509)</f>
        <v/>
      </c>
      <c r="D495" s="62">
        <f>IF(C495="","",INPUT_SYSTEM!E509)</f>
        <v/>
      </c>
      <c r="E495" s="62">
        <f>IF(C495="","",INPUT_SYSTEM!F509)</f>
        <v/>
      </c>
      <c r="F495" s="62">
        <f t="array" ref="F495">IFERROR(INDEX(PRODUCT!$D:$D,MATCH(C495,PRODUCT!$B:$B,0)),"")</f>
        <v/>
      </c>
      <c r="G495" s="62">
        <f t="array" ref="G495">IFERROR(INDEX(PRODUCT!$E:$E,MATCH(C495,PRODUCT!$B:$B,0)),"")</f>
        <v/>
      </c>
      <c r="H495" s="62">
        <f t="array" ref="H495">IFERROR(INDEX(PRODUCT!$F:$F,MATCH(C495,PRODUCT!$B:$B,0)),"")</f>
        <v/>
      </c>
      <c r="I495" s="62">
        <f>IF(C495="","",INPUT_SYSTEM!G509)</f>
        <v/>
      </c>
      <c r="J495" s="62">
        <f>IF(C495="","",INPUT_SYSTEM!H509)</f>
        <v/>
      </c>
      <c r="K495" s="60">
        <f>IF(C495="","",INPUT_SYSTEM!J509)</f>
        <v/>
      </c>
      <c r="L495" s="62">
        <f>IF(C495="","",INPUT_SYSTEM!K509)</f>
        <v/>
      </c>
      <c r="M495" s="62">
        <f>IF(C495="","",INPUT_SYSTEM!L509)</f>
        <v/>
      </c>
      <c r="N495" s="62">
        <f>IF(U495&lt;&gt;"SI","",IF(M495&lt;&gt;"",M495,IFERROR(I495*J495*(1+K495)*L495,"")))</f>
        <v/>
      </c>
      <c r="O495" s="62">
        <f>IF(N495="","",IF(OR(H495="",H495=0),N495,ROUNDUP(N495/H495,0)))</f>
        <v/>
      </c>
      <c r="P495" s="63">
        <f t="array" ref="P495">IFERROR(INDEX(PRODUCT!$I:$I,MATCH(C495,PRODUCT!$B:$B,0)),"")</f>
        <v/>
      </c>
      <c r="Q495" s="63">
        <f>IF(C495="","",INPUT_SYSTEM!M509)</f>
        <v/>
      </c>
      <c r="R495" s="63">
        <f>IF(P495="","",P495*(1+Q495))</f>
        <v/>
      </c>
      <c r="S495" s="63">
        <f>IF(O495="","",IF(OR(H495="",H495=0),O495*P495,O495*H495*P495))</f>
        <v/>
      </c>
      <c r="T495" s="63">
        <f>IF(O495="","",IF(OR(H495="",H495=0),O495*R495,O495*H495*R495))</f>
        <v/>
      </c>
      <c r="U495" s="62">
        <f>IF(C495="","",INPUT_SYSTEM!C509)</f>
        <v/>
      </c>
      <c r="V495" s="2" t="n"/>
    </row>
    <row r="496" ht="15.75" customHeight="1" s="125">
      <c r="A496" s="62">
        <f>IF(INPUT_SYSTEM!D510="","",INPUT_SYSTEM!A510)</f>
        <v/>
      </c>
      <c r="B496" s="62">
        <f>IF(INPUT_SYSTEM!D510="","",INPUT_SYSTEM!B510)</f>
        <v/>
      </c>
      <c r="C496" s="62">
        <f>IF(INPUT_SYSTEM!D510="","",INPUT_SYSTEM!D510)</f>
        <v/>
      </c>
      <c r="D496" s="62">
        <f>IF(C496="","",INPUT_SYSTEM!E510)</f>
        <v/>
      </c>
      <c r="E496" s="62">
        <f>IF(C496="","",INPUT_SYSTEM!F510)</f>
        <v/>
      </c>
      <c r="F496" s="62">
        <f t="array" ref="F496">IFERROR(INDEX(PRODUCT!$D:$D,MATCH(C496,PRODUCT!$B:$B,0)),"")</f>
        <v/>
      </c>
      <c r="G496" s="62">
        <f t="array" ref="G496">IFERROR(INDEX(PRODUCT!$E:$E,MATCH(C496,PRODUCT!$B:$B,0)),"")</f>
        <v/>
      </c>
      <c r="H496" s="62">
        <f t="array" ref="H496">IFERROR(INDEX(PRODUCT!$F:$F,MATCH(C496,PRODUCT!$B:$B,0)),"")</f>
        <v/>
      </c>
      <c r="I496" s="62">
        <f>IF(C496="","",INPUT_SYSTEM!G510)</f>
        <v/>
      </c>
      <c r="J496" s="62">
        <f>IF(C496="","",INPUT_SYSTEM!H510)</f>
        <v/>
      </c>
      <c r="K496" s="60">
        <f>IF(C496="","",INPUT_SYSTEM!J510)</f>
        <v/>
      </c>
      <c r="L496" s="62">
        <f>IF(C496="","",INPUT_SYSTEM!K510)</f>
        <v/>
      </c>
      <c r="M496" s="62">
        <f>IF(C496="","",INPUT_SYSTEM!L510)</f>
        <v/>
      </c>
      <c r="N496" s="62">
        <f>IF(U496&lt;&gt;"SI","",IF(M496&lt;&gt;"",M496,IFERROR(I496*J496*(1+K496)*L496,"")))</f>
        <v/>
      </c>
      <c r="O496" s="62">
        <f>IF(N496="","",IF(OR(H496="",H496=0),N496,ROUNDUP(N496/H496,0)))</f>
        <v/>
      </c>
      <c r="P496" s="63">
        <f t="array" ref="P496">IFERROR(INDEX(PRODUCT!$I:$I,MATCH(C496,PRODUCT!$B:$B,0)),"")</f>
        <v/>
      </c>
      <c r="Q496" s="63">
        <f>IF(C496="","",INPUT_SYSTEM!M510)</f>
        <v/>
      </c>
      <c r="R496" s="63">
        <f>IF(P496="","",P496*(1+Q496))</f>
        <v/>
      </c>
      <c r="S496" s="63">
        <f>IF(O496="","",IF(OR(H496="",H496=0),O496*P496,O496*H496*P496))</f>
        <v/>
      </c>
      <c r="T496" s="63">
        <f>IF(O496="","",IF(OR(H496="",H496=0),O496*R496,O496*H496*R496))</f>
        <v/>
      </c>
      <c r="U496" s="62">
        <f>IF(C496="","",INPUT_SYSTEM!C510)</f>
        <v/>
      </c>
      <c r="V496" s="2" t="n"/>
    </row>
    <row r="497" ht="15.75" customHeight="1" s="125">
      <c r="A497" s="62">
        <f>IF(INPUT_SYSTEM!D511="","",INPUT_SYSTEM!A511)</f>
        <v/>
      </c>
      <c r="B497" s="62">
        <f>IF(INPUT_SYSTEM!D511="","",INPUT_SYSTEM!B511)</f>
        <v/>
      </c>
      <c r="C497" s="62">
        <f>IF(INPUT_SYSTEM!D511="","",INPUT_SYSTEM!D511)</f>
        <v/>
      </c>
      <c r="D497" s="62">
        <f>IF(C497="","",INPUT_SYSTEM!E511)</f>
        <v/>
      </c>
      <c r="E497" s="62">
        <f>IF(C497="","",INPUT_SYSTEM!F511)</f>
        <v/>
      </c>
      <c r="F497" s="62">
        <f t="array" ref="F497">IFERROR(INDEX(PRODUCT!$D:$D,MATCH(C497,PRODUCT!$B:$B,0)),"")</f>
        <v/>
      </c>
      <c r="G497" s="62">
        <f t="array" ref="G497">IFERROR(INDEX(PRODUCT!$E:$E,MATCH(C497,PRODUCT!$B:$B,0)),"")</f>
        <v/>
      </c>
      <c r="H497" s="62">
        <f t="array" ref="H497">IFERROR(INDEX(PRODUCT!$F:$F,MATCH(C497,PRODUCT!$B:$B,0)),"")</f>
        <v/>
      </c>
      <c r="I497" s="62">
        <f>IF(C497="","",INPUT_SYSTEM!G511)</f>
        <v/>
      </c>
      <c r="J497" s="62">
        <f>IF(C497="","",INPUT_SYSTEM!H511)</f>
        <v/>
      </c>
      <c r="K497" s="60">
        <f>IF(C497="","",INPUT_SYSTEM!J511)</f>
        <v/>
      </c>
      <c r="L497" s="62">
        <f>IF(C497="","",INPUT_SYSTEM!K511)</f>
        <v/>
      </c>
      <c r="M497" s="62">
        <f>IF(C497="","",INPUT_SYSTEM!L511)</f>
        <v/>
      </c>
      <c r="N497" s="62">
        <f>IF(U497&lt;&gt;"SI","",IF(M497&lt;&gt;"",M497,IFERROR(I497*J497*(1+K497)*L497,"")))</f>
        <v/>
      </c>
      <c r="O497" s="62">
        <f>IF(N497="","",IF(OR(H497="",H497=0),N497,ROUNDUP(N497/H497,0)))</f>
        <v/>
      </c>
      <c r="P497" s="63">
        <f t="array" ref="P497">IFERROR(INDEX(PRODUCT!$I:$I,MATCH(C497,PRODUCT!$B:$B,0)),"")</f>
        <v/>
      </c>
      <c r="Q497" s="63">
        <f>IF(C497="","",INPUT_SYSTEM!M511)</f>
        <v/>
      </c>
      <c r="R497" s="63">
        <f>IF(P497="","",P497*(1+Q497))</f>
        <v/>
      </c>
      <c r="S497" s="63">
        <f>IF(O497="","",IF(OR(H497="",H497=0),O497*P497,O497*H497*P497))</f>
        <v/>
      </c>
      <c r="T497" s="63">
        <f>IF(O497="","",IF(OR(H497="",H497=0),O497*R497,O497*H497*R497))</f>
        <v/>
      </c>
      <c r="U497" s="62">
        <f>IF(C497="","",INPUT_SYSTEM!C511)</f>
        <v/>
      </c>
      <c r="V497" s="2" t="n"/>
    </row>
    <row r="498" ht="15.75" customHeight="1" s="125">
      <c r="A498" s="62">
        <f>IF(INPUT_SYSTEM!D512="","",INPUT_SYSTEM!A512)</f>
        <v/>
      </c>
      <c r="B498" s="62">
        <f>IF(INPUT_SYSTEM!D512="","",INPUT_SYSTEM!B512)</f>
        <v/>
      </c>
      <c r="C498" s="62">
        <f>IF(INPUT_SYSTEM!D512="","",INPUT_SYSTEM!D512)</f>
        <v/>
      </c>
      <c r="D498" s="62">
        <f>IF(C498="","",INPUT_SYSTEM!E512)</f>
        <v/>
      </c>
      <c r="E498" s="62">
        <f>IF(C498="","",INPUT_SYSTEM!F512)</f>
        <v/>
      </c>
      <c r="F498" s="62">
        <f t="array" ref="F498">IFERROR(INDEX(PRODUCT!$D:$D,MATCH(C498,PRODUCT!$B:$B,0)),"")</f>
        <v/>
      </c>
      <c r="G498" s="62">
        <f t="array" ref="G498">IFERROR(INDEX(PRODUCT!$E:$E,MATCH(C498,PRODUCT!$B:$B,0)),"")</f>
        <v/>
      </c>
      <c r="H498" s="62">
        <f t="array" ref="H498">IFERROR(INDEX(PRODUCT!$F:$F,MATCH(C498,PRODUCT!$B:$B,0)),"")</f>
        <v/>
      </c>
      <c r="I498" s="62">
        <f>IF(C498="","",INPUT_SYSTEM!G512)</f>
        <v/>
      </c>
      <c r="J498" s="62">
        <f>IF(C498="","",INPUT_SYSTEM!H512)</f>
        <v/>
      </c>
      <c r="K498" s="60">
        <f>IF(C498="","",INPUT_SYSTEM!J512)</f>
        <v/>
      </c>
      <c r="L498" s="62">
        <f>IF(C498="","",INPUT_SYSTEM!K512)</f>
        <v/>
      </c>
      <c r="M498" s="62">
        <f>IF(C498="","",INPUT_SYSTEM!L512)</f>
        <v/>
      </c>
      <c r="N498" s="62">
        <f>IF(U498&lt;&gt;"SI","",IF(M498&lt;&gt;"",M498,IFERROR(I498*J498*(1+K498)*L498,"")))</f>
        <v/>
      </c>
      <c r="O498" s="62">
        <f>IF(N498="","",IF(OR(H498="",H498=0),N498,ROUNDUP(N498/H498,0)))</f>
        <v/>
      </c>
      <c r="P498" s="63">
        <f t="array" ref="P498">IFERROR(INDEX(PRODUCT!$I:$I,MATCH(C498,PRODUCT!$B:$B,0)),"")</f>
        <v/>
      </c>
      <c r="Q498" s="63">
        <f>IF(C498="","",INPUT_SYSTEM!M512)</f>
        <v/>
      </c>
      <c r="R498" s="63">
        <f>IF(P498="","",P498*(1+Q498))</f>
        <v/>
      </c>
      <c r="S498" s="63">
        <f>IF(O498="","",IF(OR(H498="",H498=0),O498*P498,O498*H498*P498))</f>
        <v/>
      </c>
      <c r="T498" s="63">
        <f>IF(O498="","",IF(OR(H498="",H498=0),O498*R498,O498*H498*R498))</f>
        <v/>
      </c>
      <c r="U498" s="62">
        <f>IF(C498="","",INPUT_SYSTEM!C512)</f>
        <v/>
      </c>
      <c r="V498" s="2" t="n"/>
    </row>
    <row r="499" ht="15.75" customHeight="1" s="125">
      <c r="A499" s="62">
        <f>IF(INPUT_SYSTEM!D513="","",INPUT_SYSTEM!A513)</f>
        <v/>
      </c>
      <c r="B499" s="62">
        <f>IF(INPUT_SYSTEM!D513="","",INPUT_SYSTEM!B513)</f>
        <v/>
      </c>
      <c r="C499" s="62">
        <f>IF(INPUT_SYSTEM!D513="","",INPUT_SYSTEM!D513)</f>
        <v/>
      </c>
      <c r="D499" s="62">
        <f>IF(C499="","",INPUT_SYSTEM!E513)</f>
        <v/>
      </c>
      <c r="E499" s="62">
        <f>IF(C499="","",INPUT_SYSTEM!F513)</f>
        <v/>
      </c>
      <c r="F499" s="62">
        <f t="array" ref="F499">IFERROR(INDEX(PRODUCT!$D:$D,MATCH(C499,PRODUCT!$B:$B,0)),"")</f>
        <v/>
      </c>
      <c r="G499" s="62">
        <f t="array" ref="G499">IFERROR(INDEX(PRODUCT!$E:$E,MATCH(C499,PRODUCT!$B:$B,0)),"")</f>
        <v/>
      </c>
      <c r="H499" s="62">
        <f t="array" ref="H499">IFERROR(INDEX(PRODUCT!$F:$F,MATCH(C499,PRODUCT!$B:$B,0)),"")</f>
        <v/>
      </c>
      <c r="I499" s="62">
        <f>IF(C499="","",INPUT_SYSTEM!G513)</f>
        <v/>
      </c>
      <c r="J499" s="62">
        <f>IF(C499="","",INPUT_SYSTEM!H513)</f>
        <v/>
      </c>
      <c r="K499" s="60">
        <f>IF(C499="","",INPUT_SYSTEM!J513)</f>
        <v/>
      </c>
      <c r="L499" s="62">
        <f>IF(C499="","",INPUT_SYSTEM!K513)</f>
        <v/>
      </c>
      <c r="M499" s="62">
        <f>IF(C499="","",INPUT_SYSTEM!L513)</f>
        <v/>
      </c>
      <c r="N499" s="62">
        <f>IF(U499&lt;&gt;"SI","",IF(M499&lt;&gt;"",M499,IFERROR(I499*J499*(1+K499)*L499,"")))</f>
        <v/>
      </c>
      <c r="O499" s="62">
        <f>IF(N499="","",IF(OR(H499="",H499=0),N499,ROUNDUP(N499/H499,0)))</f>
        <v/>
      </c>
      <c r="P499" s="63">
        <f t="array" ref="P499">IFERROR(INDEX(PRODUCT!$I:$I,MATCH(C499,PRODUCT!$B:$B,0)),"")</f>
        <v/>
      </c>
      <c r="Q499" s="63">
        <f>IF(C499="","",INPUT_SYSTEM!M513)</f>
        <v/>
      </c>
      <c r="R499" s="63">
        <f>IF(P499="","",P499*(1+Q499))</f>
        <v/>
      </c>
      <c r="S499" s="63">
        <f>IF(O499="","",IF(OR(H499="",H499=0),O499*P499,O499*H499*P499))</f>
        <v/>
      </c>
      <c r="T499" s="63">
        <f>IF(O499="","",IF(OR(H499="",H499=0),O499*R499,O499*H499*R499))</f>
        <v/>
      </c>
      <c r="U499" s="62">
        <f>IF(C499="","",INPUT_SYSTEM!C513)</f>
        <v/>
      </c>
      <c r="V499" s="2" t="n"/>
    </row>
    <row r="500" ht="15.75" customHeight="1" s="125">
      <c r="A500" s="62">
        <f>IF(INPUT_SYSTEM!D514="","",INPUT_SYSTEM!A514)</f>
        <v/>
      </c>
      <c r="B500" s="62">
        <f>IF(INPUT_SYSTEM!D514="","",INPUT_SYSTEM!B514)</f>
        <v/>
      </c>
      <c r="C500" s="62">
        <f>IF(INPUT_SYSTEM!D514="","",INPUT_SYSTEM!D514)</f>
        <v/>
      </c>
      <c r="D500" s="62">
        <f>IF(C500="","",INPUT_SYSTEM!E514)</f>
        <v/>
      </c>
      <c r="E500" s="62">
        <f>IF(C500="","",INPUT_SYSTEM!F514)</f>
        <v/>
      </c>
      <c r="F500" s="62">
        <f t="array" ref="F500">IF(C500="","",xlookup(C500,PRODUCT!$B:$B,PRODUCT!$D:$D,""))</f>
        <v/>
      </c>
      <c r="G500" s="62">
        <f t="array" ref="G500">IF(C500="","",xlookup(C500,PRODUCT!$B:$B,PRODUCT!$E:$E,""))</f>
        <v/>
      </c>
      <c r="H500" s="62">
        <f t="array" ref="H500">IF(C500="","",xlookup(C500,PRODUCT!$B:$B,PRODUCT!$F:$F,""))</f>
        <v/>
      </c>
      <c r="I500" s="62">
        <f>IF(C500="","",INPUT_SYSTEM!G514)</f>
        <v/>
      </c>
      <c r="J500" s="62">
        <f>IF(C500="","",INPUT_SYSTEM!H514)</f>
        <v/>
      </c>
      <c r="K500" s="60">
        <f>IF(C500="","",INPUT_SYSTEM!J514)</f>
        <v/>
      </c>
      <c r="L500" s="62">
        <f>IF(C500="","",INPUT_SYSTEM!K514)</f>
        <v/>
      </c>
      <c r="M500" s="62">
        <f>IF(C500="","",INPUT_SYSTEM!L514)</f>
        <v/>
      </c>
      <c r="N500" s="62">
        <f>IF(U500&lt;&gt;"SI","",IF(M500&lt;&gt;"",M500,IFERROR(I500*J500*(1+K500)*L500,"")))</f>
        <v/>
      </c>
      <c r="O500" s="62">
        <f>IF(N500="","",IF(OR(H500="",H500=0),N500,ROUNDUP(N500/H500,0)))</f>
        <v/>
      </c>
      <c r="P500" s="63">
        <f t="array" ref="P500">IF(C500="","",xlookup(C500,PRODUCT!$B:$B,PRODUCT!$I:$I,""))</f>
        <v/>
      </c>
      <c r="Q500" s="63">
        <f>IF(C500="","",INPUT_SYSTEM!M514)</f>
        <v/>
      </c>
      <c r="R500" s="63">
        <f>IF(P500="","",P500*(1+Q500))</f>
        <v/>
      </c>
      <c r="S500" s="63">
        <f>IF(O500="","",IF(OR(H500="",H500=0),O500*P500,O500*H500*P500))</f>
        <v/>
      </c>
      <c r="T500" s="63">
        <f>IF(O500="","",IF(OR(H500="",H500=0),O500*R500,O500*H500*R500))</f>
        <v/>
      </c>
      <c r="U500" s="62">
        <f>IF(C500="","",INPUT_SYSTEM!C514)</f>
        <v/>
      </c>
      <c r="V500" s="2" t="n"/>
    </row>
    <row r="501" ht="15.75" customHeight="1" s="125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125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125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125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12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125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125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125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125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125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125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125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125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125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12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125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125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125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125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125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125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125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125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125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1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125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125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125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125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125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125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125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125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125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12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125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125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125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125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125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125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125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125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125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12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125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125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125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125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125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125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125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125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125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12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125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125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125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125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125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125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125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125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125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12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125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125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125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125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125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125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125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125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125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12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125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125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125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125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125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125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125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125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125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12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125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125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125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125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125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125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125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125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125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12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125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125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125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125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125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125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125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125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125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12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125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125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125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125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125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125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125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125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125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12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125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125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125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125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125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125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125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125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125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1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125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125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125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125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125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125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125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125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125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12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125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125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125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125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125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125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125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125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125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12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125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125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125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125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125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125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125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125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125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12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125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125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125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125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125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125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125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125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125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12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125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125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125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125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125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125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125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125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125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12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125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125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125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125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125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125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125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125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125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12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125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125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125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125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125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125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125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125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125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12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125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125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125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125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125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125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125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125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125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12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125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125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125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125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125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125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125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125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125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12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125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125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125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125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125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125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125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125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125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1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125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125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125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125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125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125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125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125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125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12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125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125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125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125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125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125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125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125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125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12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125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125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125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125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125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125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125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125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125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12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125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125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125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125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125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125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125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125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125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12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125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125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125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125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125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125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125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125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125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12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125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125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125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125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125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125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125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125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125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12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125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125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125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125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125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125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125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125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125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12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125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125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125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125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125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125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125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125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125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12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125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125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125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125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125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125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125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125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125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12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125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125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125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125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125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125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125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125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125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1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125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125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125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125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125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125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125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125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125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12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125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125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125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125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125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125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125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125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125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12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125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125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125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125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125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125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125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125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125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12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125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125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125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125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125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125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125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125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125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12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125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125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125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125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125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125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125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125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125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12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125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125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125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125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125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125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125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125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125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12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125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125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125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125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125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125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125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125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125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12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125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125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125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125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125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125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125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125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125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12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125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125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125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125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125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125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125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125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125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12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125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125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125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125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125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125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125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125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125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1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125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125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125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125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125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125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125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125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125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12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125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125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125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125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125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125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125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125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125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12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125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125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125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125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125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125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125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125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125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12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125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125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125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125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125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125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125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125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125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12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125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125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125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125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125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125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125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125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125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12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125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125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125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125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125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125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125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125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125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12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125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125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125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125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125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125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125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125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125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12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125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125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125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125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125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125" min="1" max="1"/>
    <col width="17.88" customWidth="1" style="125" min="2" max="2"/>
    <col width="12.5" customWidth="1" style="125" min="3" max="3"/>
    <col width="13" customWidth="1" style="125" min="4" max="4"/>
    <col width="39" customWidth="1" style="125" min="5" max="5"/>
    <col width="14.5" customWidth="1" style="125" min="6" max="6"/>
    <col width="14.25" customWidth="1" style="125" min="7" max="7"/>
    <col width="23" customWidth="1" style="125" min="8" max="8"/>
    <col width="16.38" customWidth="1" style="125" min="9" max="9"/>
    <col width="22.25" customWidth="1" style="125" min="10" max="10"/>
    <col width="8.75" customWidth="1" style="125" min="11" max="11"/>
    <col width="16.75" customWidth="1" style="125" min="12" max="12"/>
    <col width="30.13" customWidth="1" style="125" min="13" max="13"/>
    <col width="19.75" customWidth="1" style="125" min="14" max="14"/>
    <col width="23.13" customWidth="1" style="125" min="15" max="15"/>
    <col width="20.13" customWidth="1" style="125" min="16" max="16"/>
    <col width="18" customWidth="1" style="125" min="17" max="17"/>
    <col width="25.13" customWidth="1" style="125" min="18" max="18"/>
    <col width="20" customWidth="1" style="125" min="19" max="19"/>
    <col width="19.63" customWidth="1" style="125" min="20" max="20"/>
    <col width="8.380000000000001" customWidth="1" style="125" min="21" max="21"/>
    <col width="19.88" customWidth="1" style="125" min="22" max="22"/>
  </cols>
  <sheetData>
    <row r="1" ht="15.75" customHeight="1" s="125">
      <c r="A1" s="1" t="inlineStr">
        <is>
          <t>ITEM</t>
        </is>
      </c>
      <c r="B1" s="1" t="inlineStr">
        <is>
          <t>INCLUIR</t>
        </is>
      </c>
      <c r="C1" s="1" t="inlineStr">
        <is>
          <t>SKU_FASSA</t>
        </is>
      </c>
      <c r="D1" s="1" t="inlineStr">
        <is>
          <t>FAMILIA</t>
        </is>
      </c>
      <c r="E1" s="1" t="inlineStr">
        <is>
          <t>NOMBRE_PRODUCTO</t>
        </is>
      </c>
      <c r="F1" s="1" t="inlineStr">
        <is>
          <t>CANTIDAD_FINAL_INPUT</t>
        </is>
      </c>
      <c r="G1" s="1" t="inlineStr">
        <is>
          <t>UNIDAD_INPUT</t>
        </is>
      </c>
      <c r="H1" s="1" t="inlineStr">
        <is>
          <t>CONTENIDO_VENTA</t>
        </is>
      </c>
      <c r="I1" s="1" t="inlineStr">
        <is>
          <t>UNIDAD_MATERIAL</t>
        </is>
      </c>
      <c r="J1" s="1" t="inlineStr">
        <is>
          <t>M2_UNIDAD</t>
        </is>
      </c>
      <c r="K1" s="1" t="inlineStr">
        <is>
          <t>UDS_POR_PALET</t>
        </is>
      </c>
      <c r="L1" s="1" t="inlineStr">
        <is>
          <t>PESO_NETO_UNIDAD</t>
        </is>
      </c>
      <c r="M1" s="1" t="inlineStr">
        <is>
          <t>PESO_NETO_PALET</t>
        </is>
      </c>
      <c r="N1" s="1" t="inlineStr">
        <is>
          <t>M2_PALE</t>
        </is>
      </c>
      <c r="O1" s="1" t="inlineStr">
        <is>
          <t>PRECIO_ARIAS_EUR</t>
        </is>
      </c>
      <c r="P1" s="1" t="inlineStr">
        <is>
          <t>UNIDAD_PRECIO</t>
        </is>
      </c>
      <c r="Q1" s="1" t="inlineStr">
        <is>
          <t>MARGEN_%_APLICADO</t>
        </is>
      </c>
      <c r="R1" s="1" t="inlineStr">
        <is>
          <t>RECARGO_LOGISTICO_%</t>
        </is>
      </c>
      <c r="S1" s="1" t="inlineStr">
        <is>
          <t>PRECIO_CLIENTE_EUR</t>
        </is>
      </c>
      <c r="T1" s="1" t="inlineStr">
        <is>
          <t>SUBTOTAL_EUR</t>
        </is>
      </c>
      <c r="U1" s="1" t="inlineStr">
        <is>
          <t>TC_EUR_USD</t>
        </is>
      </c>
      <c r="V1" s="1" t="inlineStr">
        <is>
          <t>PRECIO_CLIENTE_USD</t>
        </is>
      </c>
      <c r="W1" s="0" t="inlineStr">
        <is>
          <t>SUBTOTAL_USD</t>
        </is>
      </c>
      <c r="X1" s="0" t="inlineStr">
        <is>
          <t>ACTIVO_LINEA</t>
        </is>
      </c>
      <c r="Y1" s="0" t="inlineStr">
        <is>
          <t>OBSERVACIONES</t>
        </is>
      </c>
    </row>
    <row r="2" ht="15.75" customHeight="1" s="125">
      <c r="A2" s="62">
        <f>IF(INPUT_PRODUCT!C15="";"";INPUT_PRODUCT!A15)</f>
        <v/>
      </c>
      <c r="B2" s="62">
        <f>IF(INPUT_PRODUCT!C15="";"";INPUT_PRODUCT!B15)</f>
        <v/>
      </c>
      <c r="C2" s="58">
        <f>IF(INPUT_PRODUCT!C15="";"";INPUT_PRODUCT!C15)</f>
        <v/>
      </c>
      <c r="D2" s="62">
        <f>IF(INPUT_PRODUCT!C15="";"";INDEX(PRODUCT!A:A;MATCH(INPUT_PRODUCT!C15;PRODUCT!B:B;0)))</f>
        <v/>
      </c>
      <c r="E2" s="62">
        <f>IF(INPUT_PRODUCT!C15="";"";VLOOKUP(INPUT_PRODUCT!C15;PRODUCT!B:C;2;FALSE))</f>
        <v/>
      </c>
      <c r="F2" s="63">
        <f>IF(INPUT_PRODUCT!C15="";"";INPUT_PRODUCT!J15)</f>
        <v/>
      </c>
      <c r="G2" s="18">
        <f>IF(INPUT_PRODUCT!C15="";"";INPUT_PRODUCT!G15)</f>
        <v/>
      </c>
      <c r="H2" s="18">
        <f>IF(INPUT_PRODUCT!C15="";"";VLOOKUP(INPUT_PRODUCT!C15;PRODUCT!B:F;5;FALSE))</f>
        <v/>
      </c>
      <c r="I2" s="63">
        <f>IF(INPUT_PRODUCT!C15="";"";VLOOKUP(INPUT_PRODUCT!C15;PRODUCT!B:G;6;FALSE))</f>
        <v/>
      </c>
      <c r="J2" s="63">
        <f>IF(INPUT_PRODUCT!C15="";"";VLOOKUP(INPUT_PRODUCT!C15;PRODUCT!B:H;7;FALSE))</f>
        <v/>
      </c>
      <c r="K2" s="60">
        <f>IF(INPUT_PRODUCT!C15="";"";VLOOKUP(INPUT_PRODUCT!C15;PRODUCT!B:I;8;FALSE))</f>
        <v/>
      </c>
      <c r="L2" s="61">
        <f>IF(INPUT_PRODUCT!C15="";"";VLOOKUP(INPUT_PRODUCT!C15;PRODUCT!B:J;9;FALSE))</f>
        <v/>
      </c>
      <c r="M2" s="61">
        <f>IF(INPUT_PRODUCT!C15="";"";VLOOKUP(INPUT_PRODUCT!C15;PRODUCT!B:K;10;FALSE))</f>
        <v/>
      </c>
      <c r="N2" s="62">
        <f>IF(INPUT_PRODUCT!C15="";"";VLOOKUP(INPUT_PRODUCT!C15;PRODUCT!B:L;11;FALSE))</f>
        <v/>
      </c>
      <c r="O2" s="62">
        <f>IF(INPUT_PRODUCT!C15="";"";VLOOKUP(INPUT_PRODUCT!C15;PRODUCT!B:O;14;FALSE))</f>
        <v/>
      </c>
      <c r="P2" s="63">
        <f>IF(INPUT_PRODUCT!C15="";"";VLOOKUP(INPUT_PRODUCT!C15;PRODUCT!B:P;15;FALSE))</f>
        <v/>
      </c>
      <c r="Q2" s="63">
        <f>IF(INPUT_PRODUCT!C15="";"";INPUT_PRODUCT!K15)</f>
        <v/>
      </c>
      <c r="R2" s="63" t="inlineStr"/>
      <c r="S2" s="63">
        <f>IF(INPUT_PRODUCT!C15="";"";IF(O2="";"";O2*(1+Q2+R2)))</f>
        <v/>
      </c>
      <c r="T2" s="63">
        <f>IF(INPUT_PRODUCT!C15="";"";IF(S2="";"";S2*F2))</f>
        <v/>
      </c>
      <c r="U2" s="62">
        <f>CONFIG!$B$2</f>
        <v/>
      </c>
      <c r="V2" s="62">
        <f>IF(INPUT_PRODUCT!C15="";"";IF(S2="";"";S2*U2))</f>
        <v/>
      </c>
      <c r="W2" s="0">
        <f>IF(INPUT_PRODUCT!C15="";"";IF(T2="";"";T2*U2))</f>
        <v/>
      </c>
      <c r="X2" s="0">
        <f>IF(INPUT_PRODUCT!C15="";"";VLOOKUP(INPUT_PRODUCT!C15;PRODUCT!B:T;19;FALSE))</f>
        <v/>
      </c>
      <c r="Y2" s="0">
        <f>IF(INPUT_PRODUCT!C15="";"";INPUT_PRODUCT!L15)</f>
        <v/>
      </c>
    </row>
    <row r="3" ht="15.75" customHeight="1" s="125">
      <c r="A3" s="62">
        <f>IF(INPUT_PRODUCT!C16="";"";INPUT_PRODUCT!A16)</f>
        <v/>
      </c>
      <c r="B3" s="62">
        <f>IF(INPUT_PRODUCT!C16="";"";INPUT_PRODUCT!B16)</f>
        <v/>
      </c>
      <c r="C3" s="58">
        <f>IF(INPUT_PRODUCT!C16="";"";INPUT_PRODUCT!C16)</f>
        <v/>
      </c>
      <c r="D3" s="62">
        <f>IF(INPUT_PRODUCT!C16="";"";INDEX(PRODUCT!A:A;MATCH(INPUT_PRODUCT!C16;PRODUCT!B:B;0)))</f>
        <v/>
      </c>
      <c r="E3" s="62">
        <f>IF(INPUT_PRODUCT!C16="";"";VLOOKUP(INPUT_PRODUCT!C16;PRODUCT!B:C;2;FALSE))</f>
        <v/>
      </c>
      <c r="F3" s="62">
        <f>IF(INPUT_PRODUCT!C16="";"";INPUT_PRODUCT!J16)</f>
        <v/>
      </c>
      <c r="G3" s="14">
        <f>IF(INPUT_PRODUCT!C16="";"";INPUT_PRODUCT!G16)</f>
        <v/>
      </c>
      <c r="H3" s="18">
        <f>IF(INPUT_PRODUCT!C16="";"";VLOOKUP(INPUT_PRODUCT!C16;PRODUCT!B:F;5;FALSE))</f>
        <v/>
      </c>
      <c r="I3" s="61">
        <f>IF(INPUT_PRODUCT!C16="";"";VLOOKUP(INPUT_PRODUCT!C16;PRODUCT!B:G;6;FALSE))</f>
        <v/>
      </c>
      <c r="J3" s="61">
        <f>IF(INPUT_PRODUCT!C16="";"";VLOOKUP(INPUT_PRODUCT!C16;PRODUCT!B:H;7;FALSE))</f>
        <v/>
      </c>
      <c r="K3" s="60">
        <f>IF(INPUT_PRODUCT!C16="";"";VLOOKUP(INPUT_PRODUCT!C16;PRODUCT!B:I;8;FALSE))</f>
        <v/>
      </c>
      <c r="L3" s="61">
        <f>IF(INPUT_PRODUCT!C16="";"";VLOOKUP(INPUT_PRODUCT!C16;PRODUCT!B:J;9;FALSE))</f>
        <v/>
      </c>
      <c r="M3" s="61">
        <f>IF(INPUT_PRODUCT!C16="";"";VLOOKUP(INPUT_PRODUCT!C16;PRODUCT!B:K;10;FALSE))</f>
        <v/>
      </c>
      <c r="N3" s="61">
        <f>IF(INPUT_PRODUCT!C16="";"";VLOOKUP(INPUT_PRODUCT!C16;PRODUCT!B:L;11;FALSE))</f>
        <v/>
      </c>
      <c r="O3" s="61">
        <f>IF(INPUT_PRODUCT!C16="";"";VLOOKUP(INPUT_PRODUCT!C16;PRODUCT!B:O;14;FALSE))</f>
        <v/>
      </c>
      <c r="P3" s="63">
        <f>IF(INPUT_PRODUCT!C16="";"";VLOOKUP(INPUT_PRODUCT!C16;PRODUCT!B:P;15;FALSE))</f>
        <v/>
      </c>
      <c r="Q3" s="63">
        <f>IF(INPUT_PRODUCT!C16="";"";INPUT_PRODUCT!K16)</f>
        <v/>
      </c>
      <c r="R3" s="63" t="inlineStr"/>
      <c r="S3" s="63">
        <f>IF(INPUT_PRODUCT!C16="";"";IF(O3="";"";O3*(1+Q3+R3)))</f>
        <v/>
      </c>
      <c r="T3" s="63">
        <f>IF(INPUT_PRODUCT!C16="";"";IF(S3="";"";S3*F3))</f>
        <v/>
      </c>
      <c r="U3" s="62">
        <f>CONFIG!$B$2</f>
        <v/>
      </c>
      <c r="V3" s="62">
        <f>IF(INPUT_PRODUCT!C16="";"";IF(S3="";"";S3*U3))</f>
        <v/>
      </c>
      <c r="W3" s="0">
        <f>IF(INPUT_PRODUCT!C16="";"";IF(T3="";"";T3*U3))</f>
        <v/>
      </c>
      <c r="X3" s="0">
        <f>IF(INPUT_PRODUCT!C16="";"";VLOOKUP(INPUT_PRODUCT!C16;PRODUCT!B:T;19;FALSE))</f>
        <v/>
      </c>
      <c r="Y3" s="0">
        <f>IF(INPUT_PRODUCT!C16="";"";INPUT_PRODUCT!L16)</f>
        <v/>
      </c>
    </row>
    <row r="4" ht="15.75" customHeight="1" s="125">
      <c r="A4" s="62">
        <f>IF(INPUT_PRODUCT!C17="";"";INPUT_PRODUCT!A17)</f>
        <v/>
      </c>
      <c r="B4" s="62">
        <f>IF(INPUT_PRODUCT!C17="";"";INPUT_PRODUCT!B17)</f>
        <v/>
      </c>
      <c r="C4" s="58">
        <f>IF(INPUT_PRODUCT!C17="";"";INPUT_PRODUCT!C17)</f>
        <v/>
      </c>
      <c r="D4" s="62">
        <f>IF(INPUT_PRODUCT!C17="";"";INDEX(PRODUCT!A:A;MATCH(INPUT_PRODUCT!C17;PRODUCT!B:B;0)))</f>
        <v/>
      </c>
      <c r="E4" s="62">
        <f>IF(INPUT_PRODUCT!C17="";"";VLOOKUP(INPUT_PRODUCT!C17;PRODUCT!B:C;2;FALSE))</f>
        <v/>
      </c>
      <c r="F4" s="62">
        <f>IF(INPUT_PRODUCT!C17="";"";INPUT_PRODUCT!J17)</f>
        <v/>
      </c>
      <c r="G4" s="14">
        <f>IF(INPUT_PRODUCT!C17="";"";INPUT_PRODUCT!G17)</f>
        <v/>
      </c>
      <c r="H4" s="18">
        <f>IF(INPUT_PRODUCT!C17="";"";VLOOKUP(INPUT_PRODUCT!C17;PRODUCT!B:F;5;FALSE))</f>
        <v/>
      </c>
      <c r="I4" s="61">
        <f>IF(INPUT_PRODUCT!C17="";"";VLOOKUP(INPUT_PRODUCT!C17;PRODUCT!B:G;6;FALSE))</f>
        <v/>
      </c>
      <c r="J4" s="61">
        <f>IF(INPUT_PRODUCT!C17="";"";VLOOKUP(INPUT_PRODUCT!C17;PRODUCT!B:H;7;FALSE))</f>
        <v/>
      </c>
      <c r="K4" s="60">
        <f>IF(INPUT_PRODUCT!C17="";"";VLOOKUP(INPUT_PRODUCT!C17;PRODUCT!B:I;8;FALSE))</f>
        <v/>
      </c>
      <c r="L4" s="61">
        <f>IF(INPUT_PRODUCT!C17="";"";VLOOKUP(INPUT_PRODUCT!C17;PRODUCT!B:J;9;FALSE))</f>
        <v/>
      </c>
      <c r="M4" s="61">
        <f>IF(INPUT_PRODUCT!C17="";"";VLOOKUP(INPUT_PRODUCT!C17;PRODUCT!B:K;10;FALSE))</f>
        <v/>
      </c>
      <c r="N4" s="61">
        <f>IF(INPUT_PRODUCT!C17="";"";VLOOKUP(INPUT_PRODUCT!C17;PRODUCT!B:L;11;FALSE))</f>
        <v/>
      </c>
      <c r="O4" s="61">
        <f>IF(INPUT_PRODUCT!C17="";"";VLOOKUP(INPUT_PRODUCT!C17;PRODUCT!B:O;14;FALSE))</f>
        <v/>
      </c>
      <c r="P4" s="63">
        <f>IF(INPUT_PRODUCT!C17="";"";VLOOKUP(INPUT_PRODUCT!C17;PRODUCT!B:P;15;FALSE))</f>
        <v/>
      </c>
      <c r="Q4" s="63">
        <f>IF(INPUT_PRODUCT!C17="";"";INPUT_PRODUCT!K17)</f>
        <v/>
      </c>
      <c r="R4" s="63" t="inlineStr"/>
      <c r="S4" s="63">
        <f>IF(INPUT_PRODUCT!C17="";"";IF(O4="";"";O4*(1+Q4+R4)))</f>
        <v/>
      </c>
      <c r="T4" s="63">
        <f>IF(INPUT_PRODUCT!C17="";"";IF(S4="";"";S4*F4))</f>
        <v/>
      </c>
      <c r="U4" s="62">
        <f>CONFIG!$B$2</f>
        <v/>
      </c>
      <c r="V4" s="62">
        <f>IF(INPUT_PRODUCT!C17="";"";IF(S4="";"";S4*U4))</f>
        <v/>
      </c>
      <c r="W4" s="0">
        <f>IF(INPUT_PRODUCT!C17="";"";IF(T4="";"";T4*U4))</f>
        <v/>
      </c>
      <c r="X4" s="0">
        <f>IF(INPUT_PRODUCT!C17="";"";VLOOKUP(INPUT_PRODUCT!C17;PRODUCT!B:T;19;FALSE))</f>
        <v/>
      </c>
      <c r="Y4" s="0">
        <f>IF(INPUT_PRODUCT!C17="";"";INPUT_PRODUCT!L17)</f>
        <v/>
      </c>
    </row>
    <row r="5" ht="15.75" customHeight="1" s="125">
      <c r="A5" s="62">
        <f>IF(INPUT_PRODUCT!C18="";"";INPUT_PRODUCT!A18)</f>
        <v/>
      </c>
      <c r="B5" s="62">
        <f>IF(INPUT_PRODUCT!C18="";"";INPUT_PRODUCT!B18)</f>
        <v/>
      </c>
      <c r="C5" s="58">
        <f>IF(INPUT_PRODUCT!C18="";"";INPUT_PRODUCT!C18)</f>
        <v/>
      </c>
      <c r="D5" s="62">
        <f>IF(INPUT_PRODUCT!C18="";"";INDEX(PRODUCT!A:A;MATCH(INPUT_PRODUCT!C18;PRODUCT!B:B;0)))</f>
        <v/>
      </c>
      <c r="E5" s="62">
        <f>IF(INPUT_PRODUCT!C18="";"";VLOOKUP(INPUT_PRODUCT!C18;PRODUCT!B:C;2;FALSE))</f>
        <v/>
      </c>
      <c r="F5" s="62">
        <f>IF(INPUT_PRODUCT!C18="";"";INPUT_PRODUCT!J18)</f>
        <v/>
      </c>
      <c r="G5" s="14">
        <f>IF(INPUT_PRODUCT!C18="";"";INPUT_PRODUCT!G18)</f>
        <v/>
      </c>
      <c r="H5" s="18">
        <f>IF(INPUT_PRODUCT!C18="";"";VLOOKUP(INPUT_PRODUCT!C18;PRODUCT!B:F;5;FALSE))</f>
        <v/>
      </c>
      <c r="I5" s="61">
        <f>IF(INPUT_PRODUCT!C18="";"";VLOOKUP(INPUT_PRODUCT!C18;PRODUCT!B:G;6;FALSE))</f>
        <v/>
      </c>
      <c r="J5" s="61">
        <f>IF(INPUT_PRODUCT!C18="";"";VLOOKUP(INPUT_PRODUCT!C18;PRODUCT!B:H;7;FALSE))</f>
        <v/>
      </c>
      <c r="K5" s="60">
        <f>IF(INPUT_PRODUCT!C18="";"";VLOOKUP(INPUT_PRODUCT!C18;PRODUCT!B:I;8;FALSE))</f>
        <v/>
      </c>
      <c r="L5" s="61">
        <f>IF(INPUT_PRODUCT!C18="";"";VLOOKUP(INPUT_PRODUCT!C18;PRODUCT!B:J;9;FALSE))</f>
        <v/>
      </c>
      <c r="M5" s="61">
        <f>IF(INPUT_PRODUCT!C18="";"";VLOOKUP(INPUT_PRODUCT!C18;PRODUCT!B:K;10;FALSE))</f>
        <v/>
      </c>
      <c r="N5" s="61">
        <f>IF(INPUT_PRODUCT!C18="";"";VLOOKUP(INPUT_PRODUCT!C18;PRODUCT!B:L;11;FALSE))</f>
        <v/>
      </c>
      <c r="O5" s="61">
        <f>IF(INPUT_PRODUCT!C18="";"";VLOOKUP(INPUT_PRODUCT!C18;PRODUCT!B:O;14;FALSE))</f>
        <v/>
      </c>
      <c r="P5" s="63">
        <f>IF(INPUT_PRODUCT!C18="";"";VLOOKUP(INPUT_PRODUCT!C18;PRODUCT!B:P;15;FALSE))</f>
        <v/>
      </c>
      <c r="Q5" s="63">
        <f>IF(INPUT_PRODUCT!C18="";"";INPUT_PRODUCT!K18)</f>
        <v/>
      </c>
      <c r="R5" s="63" t="inlineStr"/>
      <c r="S5" s="63">
        <f>IF(INPUT_PRODUCT!C18="";"";IF(O5="";"";O5*(1+Q5+R5)))</f>
        <v/>
      </c>
      <c r="T5" s="63">
        <f>IF(INPUT_PRODUCT!C18="";"";IF(S5="";"";S5*F5))</f>
        <v/>
      </c>
      <c r="U5" s="62">
        <f>CONFIG!$B$2</f>
        <v/>
      </c>
      <c r="V5" s="62">
        <f>IF(INPUT_PRODUCT!C18="";"";IF(S5="";"";S5*U5))</f>
        <v/>
      </c>
      <c r="W5" s="0">
        <f>IF(INPUT_PRODUCT!C18="";"";IF(T5="";"";T5*U5))</f>
        <v/>
      </c>
      <c r="X5" s="0">
        <f>IF(INPUT_PRODUCT!C18="";"";VLOOKUP(INPUT_PRODUCT!C18;PRODUCT!B:T;19;FALSE))</f>
        <v/>
      </c>
      <c r="Y5" s="0">
        <f>IF(INPUT_PRODUCT!C18="";"";INPUT_PRODUCT!L18)</f>
        <v/>
      </c>
    </row>
    <row r="6" ht="15.75" customHeight="1" s="125">
      <c r="A6" s="62">
        <f>IF(INPUT_PRODUCT!C19="";"";INPUT_PRODUCT!A19)</f>
        <v/>
      </c>
      <c r="B6" s="62">
        <f>IF(INPUT_PRODUCT!C19="";"";INPUT_PRODUCT!B19)</f>
        <v/>
      </c>
      <c r="C6" s="58">
        <f>IF(INPUT_PRODUCT!C19="";"";INPUT_PRODUCT!C19)</f>
        <v/>
      </c>
      <c r="D6" s="62">
        <f>IF(INPUT_PRODUCT!C19="";"";INDEX(PRODUCT!A:A;MATCH(INPUT_PRODUCT!C19;PRODUCT!B:B;0)))</f>
        <v/>
      </c>
      <c r="E6" s="62">
        <f>IF(INPUT_PRODUCT!C19="";"";VLOOKUP(INPUT_PRODUCT!C19;PRODUCT!B:C;2;FALSE))</f>
        <v/>
      </c>
      <c r="F6" s="62">
        <f>IF(INPUT_PRODUCT!C19="";"";INPUT_PRODUCT!J19)</f>
        <v/>
      </c>
      <c r="G6" s="14">
        <f>IF(INPUT_PRODUCT!C19="";"";INPUT_PRODUCT!G19)</f>
        <v/>
      </c>
      <c r="H6" s="18">
        <f>IF(INPUT_PRODUCT!C19="";"";VLOOKUP(INPUT_PRODUCT!C19;PRODUCT!B:F;5;FALSE))</f>
        <v/>
      </c>
      <c r="I6" s="61">
        <f>IF(INPUT_PRODUCT!C19="";"";VLOOKUP(INPUT_PRODUCT!C19;PRODUCT!B:G;6;FALSE))</f>
        <v/>
      </c>
      <c r="J6" s="61">
        <f>IF(INPUT_PRODUCT!C19="";"";VLOOKUP(INPUT_PRODUCT!C19;PRODUCT!B:H;7;FALSE))</f>
        <v/>
      </c>
      <c r="K6" s="60">
        <f>IF(INPUT_PRODUCT!C19="";"";VLOOKUP(INPUT_PRODUCT!C19;PRODUCT!B:I;8;FALSE))</f>
        <v/>
      </c>
      <c r="L6" s="61">
        <f>IF(INPUT_PRODUCT!C19="";"";VLOOKUP(INPUT_PRODUCT!C19;PRODUCT!B:J;9;FALSE))</f>
        <v/>
      </c>
      <c r="M6" s="61">
        <f>IF(INPUT_PRODUCT!C19="";"";VLOOKUP(INPUT_PRODUCT!C19;PRODUCT!B:K;10;FALSE))</f>
        <v/>
      </c>
      <c r="N6" s="61">
        <f>IF(INPUT_PRODUCT!C19="";"";VLOOKUP(INPUT_PRODUCT!C19;PRODUCT!B:L;11;FALSE))</f>
        <v/>
      </c>
      <c r="O6" s="61">
        <f>IF(INPUT_PRODUCT!C19="";"";VLOOKUP(INPUT_PRODUCT!C19;PRODUCT!B:O;14;FALSE))</f>
        <v/>
      </c>
      <c r="P6" s="63">
        <f>IF(INPUT_PRODUCT!C19="";"";VLOOKUP(INPUT_PRODUCT!C19;PRODUCT!B:P;15;FALSE))</f>
        <v/>
      </c>
      <c r="Q6" s="63">
        <f>IF(INPUT_PRODUCT!C19="";"";INPUT_PRODUCT!K19)</f>
        <v/>
      </c>
      <c r="R6" s="63" t="inlineStr"/>
      <c r="S6" s="63">
        <f>IF(INPUT_PRODUCT!C19="";"";IF(O6="";"";O6*(1+Q6+R6)))</f>
        <v/>
      </c>
      <c r="T6" s="63">
        <f>IF(INPUT_PRODUCT!C19="";"";IF(S6="";"";S6*F6))</f>
        <v/>
      </c>
      <c r="U6" s="62">
        <f>CONFIG!$B$2</f>
        <v/>
      </c>
      <c r="V6" s="62">
        <f>IF(INPUT_PRODUCT!C19="";"";IF(S6="";"";S6*U6))</f>
        <v/>
      </c>
      <c r="W6" s="0">
        <f>IF(INPUT_PRODUCT!C19="";"";IF(T6="";"";T6*U6))</f>
        <v/>
      </c>
      <c r="X6" s="0">
        <f>IF(INPUT_PRODUCT!C19="";"";VLOOKUP(INPUT_PRODUCT!C19;PRODUCT!B:T;19;FALSE))</f>
        <v/>
      </c>
      <c r="Y6" s="0">
        <f>IF(INPUT_PRODUCT!C19="";"";INPUT_PRODUCT!L19)</f>
        <v/>
      </c>
    </row>
    <row r="7" ht="15.75" customHeight="1" s="125">
      <c r="A7" s="62">
        <f>IF(INPUT_PRODUCT!C20="";"";INPUT_PRODUCT!A20)</f>
        <v/>
      </c>
      <c r="B7" s="62">
        <f>IF(INPUT_PRODUCT!C20="";"";INPUT_PRODUCT!B20)</f>
        <v/>
      </c>
      <c r="C7" s="58">
        <f>IF(INPUT_PRODUCT!C20="";"";INPUT_PRODUCT!C20)</f>
        <v/>
      </c>
      <c r="D7" s="62">
        <f>IF(INPUT_PRODUCT!C20="";"";INDEX(PRODUCT!A:A;MATCH(INPUT_PRODUCT!C20;PRODUCT!B:B;0)))</f>
        <v/>
      </c>
      <c r="E7" s="62">
        <f>IF(INPUT_PRODUCT!C20="";"";VLOOKUP(INPUT_PRODUCT!C20;PRODUCT!B:C;2;FALSE))</f>
        <v/>
      </c>
      <c r="F7" s="62">
        <f>IF(INPUT_PRODUCT!C20="";"";INPUT_PRODUCT!J20)</f>
        <v/>
      </c>
      <c r="G7" s="14">
        <f>IF(INPUT_PRODUCT!C20="";"";INPUT_PRODUCT!G20)</f>
        <v/>
      </c>
      <c r="H7" s="18">
        <f>IF(INPUT_PRODUCT!C20="";"";VLOOKUP(INPUT_PRODUCT!C20;PRODUCT!B:F;5;FALSE))</f>
        <v/>
      </c>
      <c r="I7" s="61">
        <f>IF(INPUT_PRODUCT!C20="";"";VLOOKUP(INPUT_PRODUCT!C20;PRODUCT!B:G;6;FALSE))</f>
        <v/>
      </c>
      <c r="J7" s="61">
        <f>IF(INPUT_PRODUCT!C20="";"";VLOOKUP(INPUT_PRODUCT!C20;PRODUCT!B:H;7;FALSE))</f>
        <v/>
      </c>
      <c r="K7" s="60">
        <f>IF(INPUT_PRODUCT!C20="";"";VLOOKUP(INPUT_PRODUCT!C20;PRODUCT!B:I;8;FALSE))</f>
        <v/>
      </c>
      <c r="L7" s="61">
        <f>IF(INPUT_PRODUCT!C20="";"";VLOOKUP(INPUT_PRODUCT!C20;PRODUCT!B:J;9;FALSE))</f>
        <v/>
      </c>
      <c r="M7" s="61">
        <f>IF(INPUT_PRODUCT!C20="";"";VLOOKUP(INPUT_PRODUCT!C20;PRODUCT!B:K;10;FALSE))</f>
        <v/>
      </c>
      <c r="N7" s="61">
        <f>IF(INPUT_PRODUCT!C20="";"";VLOOKUP(INPUT_PRODUCT!C20;PRODUCT!B:L;11;FALSE))</f>
        <v/>
      </c>
      <c r="O7" s="61">
        <f>IF(INPUT_PRODUCT!C20="";"";VLOOKUP(INPUT_PRODUCT!C20;PRODUCT!B:O;14;FALSE))</f>
        <v/>
      </c>
      <c r="P7" s="63">
        <f>IF(INPUT_PRODUCT!C20="";"";VLOOKUP(INPUT_PRODUCT!C20;PRODUCT!B:P;15;FALSE))</f>
        <v/>
      </c>
      <c r="Q7" s="63">
        <f>IF(INPUT_PRODUCT!C20="";"";INPUT_PRODUCT!K20)</f>
        <v/>
      </c>
      <c r="R7" s="63" t="inlineStr"/>
      <c r="S7" s="63">
        <f>IF(INPUT_PRODUCT!C20="";"";IF(O7="";"";O7*(1+Q7+R7)))</f>
        <v/>
      </c>
      <c r="T7" s="63">
        <f>IF(INPUT_PRODUCT!C20="";"";IF(S7="";"";S7*F7))</f>
        <v/>
      </c>
      <c r="U7" s="62">
        <f>CONFIG!$B$2</f>
        <v/>
      </c>
      <c r="V7" s="62">
        <f>IF(INPUT_PRODUCT!C20="";"";IF(S7="";"";S7*U7))</f>
        <v/>
      </c>
      <c r="W7" s="0">
        <f>IF(INPUT_PRODUCT!C20="";"";IF(T7="";"";T7*U7))</f>
        <v/>
      </c>
      <c r="X7" s="0">
        <f>IF(INPUT_PRODUCT!C20="";"";VLOOKUP(INPUT_PRODUCT!C20;PRODUCT!B:T;19;FALSE))</f>
        <v/>
      </c>
      <c r="Y7" s="0">
        <f>IF(INPUT_PRODUCT!C20="";"";INPUT_PRODUCT!L20)</f>
        <v/>
      </c>
    </row>
    <row r="8" ht="15.75" customHeight="1" s="125">
      <c r="A8" s="62">
        <f>IF(INPUT_PRODUCT!C21="";"";INPUT_PRODUCT!A21)</f>
        <v/>
      </c>
      <c r="B8" s="62">
        <f>IF(INPUT_PRODUCT!C21="";"";INPUT_PRODUCT!B21)</f>
        <v/>
      </c>
      <c r="C8" s="58">
        <f>IF(INPUT_PRODUCT!C21="";"";INPUT_PRODUCT!C21)</f>
        <v/>
      </c>
      <c r="D8" s="62">
        <f>IF(INPUT_PRODUCT!C21="";"";INDEX(PRODUCT!A:A;MATCH(INPUT_PRODUCT!C21;PRODUCT!B:B;0)))</f>
        <v/>
      </c>
      <c r="E8" s="62">
        <f>IF(INPUT_PRODUCT!C21="";"";VLOOKUP(INPUT_PRODUCT!C21;PRODUCT!B:C;2;FALSE))</f>
        <v/>
      </c>
      <c r="F8" s="62">
        <f>IF(INPUT_PRODUCT!C21="";"";INPUT_PRODUCT!J21)</f>
        <v/>
      </c>
      <c r="G8" s="14">
        <f>IF(INPUT_PRODUCT!C21="";"";INPUT_PRODUCT!G21)</f>
        <v/>
      </c>
      <c r="H8" s="18">
        <f>IF(INPUT_PRODUCT!C21="";"";VLOOKUP(INPUT_PRODUCT!C21;PRODUCT!B:F;5;FALSE))</f>
        <v/>
      </c>
      <c r="I8" s="61">
        <f>IF(INPUT_PRODUCT!C21="";"";VLOOKUP(INPUT_PRODUCT!C21;PRODUCT!B:G;6;FALSE))</f>
        <v/>
      </c>
      <c r="J8" s="61">
        <f>IF(INPUT_PRODUCT!C21="";"";VLOOKUP(INPUT_PRODUCT!C21;PRODUCT!B:H;7;FALSE))</f>
        <v/>
      </c>
      <c r="K8" s="60">
        <f>IF(INPUT_PRODUCT!C21="";"";VLOOKUP(INPUT_PRODUCT!C21;PRODUCT!B:I;8;FALSE))</f>
        <v/>
      </c>
      <c r="L8" s="61">
        <f>IF(INPUT_PRODUCT!C21="";"";VLOOKUP(INPUT_PRODUCT!C21;PRODUCT!B:J;9;FALSE))</f>
        <v/>
      </c>
      <c r="M8" s="61">
        <f>IF(INPUT_PRODUCT!C21="";"";VLOOKUP(INPUT_PRODUCT!C21;PRODUCT!B:K;10;FALSE))</f>
        <v/>
      </c>
      <c r="N8" s="61">
        <f>IF(INPUT_PRODUCT!C21="";"";VLOOKUP(INPUT_PRODUCT!C21;PRODUCT!B:L;11;FALSE))</f>
        <v/>
      </c>
      <c r="O8" s="61">
        <f>IF(INPUT_PRODUCT!C21="";"";VLOOKUP(INPUT_PRODUCT!C21;PRODUCT!B:O;14;FALSE))</f>
        <v/>
      </c>
      <c r="P8" s="63">
        <f>IF(INPUT_PRODUCT!C21="";"";VLOOKUP(INPUT_PRODUCT!C21;PRODUCT!B:P;15;FALSE))</f>
        <v/>
      </c>
      <c r="Q8" s="63">
        <f>IF(INPUT_PRODUCT!C21="";"";INPUT_PRODUCT!K21)</f>
        <v/>
      </c>
      <c r="R8" s="63" t="inlineStr"/>
      <c r="S8" s="63">
        <f>IF(INPUT_PRODUCT!C21="";"";IF(O8="";"";O8*(1+Q8+R8)))</f>
        <v/>
      </c>
      <c r="T8" s="63">
        <f>IF(INPUT_PRODUCT!C21="";"";IF(S8="";"";S8*F8))</f>
        <v/>
      </c>
      <c r="U8" s="62">
        <f>CONFIG!$B$2</f>
        <v/>
      </c>
      <c r="V8" s="62">
        <f>IF(INPUT_PRODUCT!C21="";"";IF(S8="";"";S8*U8))</f>
        <v/>
      </c>
      <c r="W8" s="0">
        <f>IF(INPUT_PRODUCT!C21="";"";IF(T8="";"";T8*U8))</f>
        <v/>
      </c>
      <c r="X8" s="0">
        <f>IF(INPUT_PRODUCT!C21="";"";VLOOKUP(INPUT_PRODUCT!C21;PRODUCT!B:T;19;FALSE))</f>
        <v/>
      </c>
      <c r="Y8" s="0">
        <f>IF(INPUT_PRODUCT!C21="";"";INPUT_PRODUCT!L21)</f>
        <v/>
      </c>
    </row>
    <row r="9" ht="15.75" customHeight="1" s="125">
      <c r="A9" s="62">
        <f>IF(INPUT_PRODUCT!C22="";"";INPUT_PRODUCT!A22)</f>
        <v/>
      </c>
      <c r="B9" s="62">
        <f>IF(INPUT_PRODUCT!C22="";"";INPUT_PRODUCT!B22)</f>
        <v/>
      </c>
      <c r="C9" s="62">
        <f>IF(INPUT_PRODUCT!C22="";"";INPUT_PRODUCT!C22)</f>
        <v/>
      </c>
      <c r="D9" s="62">
        <f>IF(INPUT_PRODUCT!C22="";"";INDEX(PRODUCT!A:A;MATCH(INPUT_PRODUCT!C22;PRODUCT!B:B;0)))</f>
        <v/>
      </c>
      <c r="E9" s="62">
        <f>IF(INPUT_PRODUCT!C22="";"";VLOOKUP(INPUT_PRODUCT!C22;PRODUCT!B:C;2;FALSE))</f>
        <v/>
      </c>
      <c r="F9" s="62">
        <f>IF(INPUT_PRODUCT!C22="";"";INPUT_PRODUCT!J22)</f>
        <v/>
      </c>
      <c r="G9" s="62">
        <f>IF(INPUT_PRODUCT!C22="";"";INPUT_PRODUCT!G22)</f>
        <v/>
      </c>
      <c r="H9" s="62">
        <f>IF(INPUT_PRODUCT!C22="";"";VLOOKUP(INPUT_PRODUCT!C22;PRODUCT!B:F;5;FALSE))</f>
        <v/>
      </c>
      <c r="I9" s="62">
        <f>IF(INPUT_PRODUCT!C22="";"";VLOOKUP(INPUT_PRODUCT!C22;PRODUCT!B:G;6;FALSE))</f>
        <v/>
      </c>
      <c r="J9" s="62">
        <f>IF(INPUT_PRODUCT!C22="";"";VLOOKUP(INPUT_PRODUCT!C22;PRODUCT!B:H;7;FALSE))</f>
        <v/>
      </c>
      <c r="K9" s="60">
        <f>IF(INPUT_PRODUCT!C22="";"";VLOOKUP(INPUT_PRODUCT!C22;PRODUCT!B:I;8;FALSE))</f>
        <v/>
      </c>
      <c r="L9" s="62">
        <f>IF(INPUT_PRODUCT!C22="";"";VLOOKUP(INPUT_PRODUCT!C22;PRODUCT!B:J;9;FALSE))</f>
        <v/>
      </c>
      <c r="M9" s="62">
        <f>IF(INPUT_PRODUCT!C22="";"";VLOOKUP(INPUT_PRODUCT!C22;PRODUCT!B:K;10;FALSE))</f>
        <v/>
      </c>
      <c r="N9" s="62">
        <f>IF(INPUT_PRODUCT!C22="";"";VLOOKUP(INPUT_PRODUCT!C22;PRODUCT!B:L;11;FALSE))</f>
        <v/>
      </c>
      <c r="O9" s="62">
        <f>IF(INPUT_PRODUCT!C22="";"";VLOOKUP(INPUT_PRODUCT!C22;PRODUCT!B:O;14;FALSE))</f>
        <v/>
      </c>
      <c r="P9" s="63">
        <f>IF(INPUT_PRODUCT!C22="";"";VLOOKUP(INPUT_PRODUCT!C22;PRODUCT!B:P;15;FALSE))</f>
        <v/>
      </c>
      <c r="Q9" s="63">
        <f>IF(INPUT_PRODUCT!C22="";"";INPUT_PRODUCT!K22)</f>
        <v/>
      </c>
      <c r="R9" s="63" t="inlineStr"/>
      <c r="S9" s="63">
        <f>IF(INPUT_PRODUCT!C22="";"";IF(O9="";"";O9*(1+Q9+R9)))</f>
        <v/>
      </c>
      <c r="T9" s="63">
        <f>IF(INPUT_PRODUCT!C22="";"";IF(S9="";"";S9*F9))</f>
        <v/>
      </c>
      <c r="U9" s="62">
        <f>CONFIG!$B$2</f>
        <v/>
      </c>
      <c r="V9" s="62">
        <f>IF(INPUT_PRODUCT!C22="";"";IF(S9="";"";S9*U9))</f>
        <v/>
      </c>
      <c r="W9" s="0">
        <f>IF(INPUT_PRODUCT!C22="";"";IF(T9="";"";T9*U9))</f>
        <v/>
      </c>
      <c r="X9" s="0">
        <f>IF(INPUT_PRODUCT!C22="";"";VLOOKUP(INPUT_PRODUCT!C22;PRODUCT!B:T;19;FALSE))</f>
        <v/>
      </c>
      <c r="Y9" s="0">
        <f>IF(INPUT_PRODUCT!C22="";"";INPUT_PRODUCT!L22)</f>
        <v/>
      </c>
    </row>
    <row r="10" ht="15.75" customHeight="1" s="125">
      <c r="A10" s="62">
        <f>IF(INPUT_PRODUCT!C23="";"";INPUT_PRODUCT!A23)</f>
        <v/>
      </c>
      <c r="B10" s="62">
        <f>IF(INPUT_PRODUCT!C23="";"";INPUT_PRODUCT!B23)</f>
        <v/>
      </c>
      <c r="C10" s="62">
        <f>IF(INPUT_PRODUCT!C23="";"";INPUT_PRODUCT!C23)</f>
        <v/>
      </c>
      <c r="D10" s="62">
        <f>IF(INPUT_PRODUCT!C23="";"";INDEX(PRODUCT!A:A;MATCH(INPUT_PRODUCT!C23;PRODUCT!B:B;0)))</f>
        <v/>
      </c>
      <c r="E10" s="62">
        <f>IF(INPUT_PRODUCT!C23="";"";VLOOKUP(INPUT_PRODUCT!C23;PRODUCT!B:C;2;FALSE))</f>
        <v/>
      </c>
      <c r="F10" s="62">
        <f>IF(INPUT_PRODUCT!C23="";"";INPUT_PRODUCT!J23)</f>
        <v/>
      </c>
      <c r="G10" s="62">
        <f>IF(INPUT_PRODUCT!C23="";"";INPUT_PRODUCT!G23)</f>
        <v/>
      </c>
      <c r="H10" s="62">
        <f>IF(INPUT_PRODUCT!C23="";"";VLOOKUP(INPUT_PRODUCT!C23;PRODUCT!B:F;5;FALSE))</f>
        <v/>
      </c>
      <c r="I10" s="62">
        <f>IF(INPUT_PRODUCT!C23="";"";VLOOKUP(INPUT_PRODUCT!C23;PRODUCT!B:G;6;FALSE))</f>
        <v/>
      </c>
      <c r="J10" s="62">
        <f>IF(INPUT_PRODUCT!C23="";"";VLOOKUP(INPUT_PRODUCT!C23;PRODUCT!B:H;7;FALSE))</f>
        <v/>
      </c>
      <c r="K10" s="60">
        <f>IF(INPUT_PRODUCT!C23="";"";VLOOKUP(INPUT_PRODUCT!C23;PRODUCT!B:I;8;FALSE))</f>
        <v/>
      </c>
      <c r="L10" s="62">
        <f>IF(INPUT_PRODUCT!C23="";"";VLOOKUP(INPUT_PRODUCT!C23;PRODUCT!B:J;9;FALSE))</f>
        <v/>
      </c>
      <c r="M10" s="62">
        <f>IF(INPUT_PRODUCT!C23="";"";VLOOKUP(INPUT_PRODUCT!C23;PRODUCT!B:K;10;FALSE))</f>
        <v/>
      </c>
      <c r="N10" s="62">
        <f>IF(INPUT_PRODUCT!C23="";"";VLOOKUP(INPUT_PRODUCT!C23;PRODUCT!B:L;11;FALSE))</f>
        <v/>
      </c>
      <c r="O10" s="62">
        <f>IF(INPUT_PRODUCT!C23="";"";VLOOKUP(INPUT_PRODUCT!C23;PRODUCT!B:O;14;FALSE))</f>
        <v/>
      </c>
      <c r="P10" s="63">
        <f>IF(INPUT_PRODUCT!C23="";"";VLOOKUP(INPUT_PRODUCT!C23;PRODUCT!B:P;15;FALSE))</f>
        <v/>
      </c>
      <c r="Q10" s="63">
        <f>IF(INPUT_PRODUCT!C23="";"";INPUT_PRODUCT!K23)</f>
        <v/>
      </c>
      <c r="R10" s="63" t="inlineStr"/>
      <c r="S10" s="63">
        <f>IF(INPUT_PRODUCT!C23="";"";IF(O10="";"";O10*(1+Q10+R10)))</f>
        <v/>
      </c>
      <c r="T10" s="63">
        <f>IF(INPUT_PRODUCT!C23="";"";IF(S10="";"";S10*F10))</f>
        <v/>
      </c>
      <c r="U10" s="62">
        <f>CONFIG!$B$2</f>
        <v/>
      </c>
      <c r="V10" s="62">
        <f>IF(INPUT_PRODUCT!C23="";"";IF(S10="";"";S10*U10))</f>
        <v/>
      </c>
      <c r="W10" s="0">
        <f>IF(INPUT_PRODUCT!C23="";"";IF(T10="";"";T10*U10))</f>
        <v/>
      </c>
      <c r="X10" s="0">
        <f>IF(INPUT_PRODUCT!C23="";"";VLOOKUP(INPUT_PRODUCT!C23;PRODUCT!B:T;19;FALSE))</f>
        <v/>
      </c>
      <c r="Y10" s="0">
        <f>IF(INPUT_PRODUCT!C23="";"";INPUT_PRODUCT!L23)</f>
        <v/>
      </c>
    </row>
    <row r="11" ht="15.75" customHeight="1" s="125">
      <c r="A11" s="62">
        <f>IF(INPUT_PRODUCT!C24="";"";INPUT_PRODUCT!A24)</f>
        <v/>
      </c>
      <c r="B11" s="62">
        <f>IF(INPUT_PRODUCT!C24="";"";INPUT_PRODUCT!B24)</f>
        <v/>
      </c>
      <c r="C11" s="62">
        <f>IF(INPUT_PRODUCT!C24="";"";INPUT_PRODUCT!C24)</f>
        <v/>
      </c>
      <c r="D11" s="62">
        <f>IF(INPUT_PRODUCT!C24="";"";INDEX(PRODUCT!A:A;MATCH(INPUT_PRODUCT!C24;PRODUCT!B:B;0)))</f>
        <v/>
      </c>
      <c r="E11" s="62">
        <f>IF(INPUT_PRODUCT!C24="";"";VLOOKUP(INPUT_PRODUCT!C24;PRODUCT!B:C;2;FALSE))</f>
        <v/>
      </c>
      <c r="F11" s="62">
        <f>IF(INPUT_PRODUCT!C24="";"";INPUT_PRODUCT!J24)</f>
        <v/>
      </c>
      <c r="G11" s="62">
        <f>IF(INPUT_PRODUCT!C24="";"";INPUT_PRODUCT!G24)</f>
        <v/>
      </c>
      <c r="H11" s="62">
        <f>IF(INPUT_PRODUCT!C24="";"";VLOOKUP(INPUT_PRODUCT!C24;PRODUCT!B:F;5;FALSE))</f>
        <v/>
      </c>
      <c r="I11" s="62">
        <f>IF(INPUT_PRODUCT!C24="";"";VLOOKUP(INPUT_PRODUCT!C24;PRODUCT!B:G;6;FALSE))</f>
        <v/>
      </c>
      <c r="J11" s="62">
        <f>IF(INPUT_PRODUCT!C24="";"";VLOOKUP(INPUT_PRODUCT!C24;PRODUCT!B:H;7;FALSE))</f>
        <v/>
      </c>
      <c r="K11" s="60">
        <f>IF(INPUT_PRODUCT!C24="";"";VLOOKUP(INPUT_PRODUCT!C24;PRODUCT!B:I;8;FALSE))</f>
        <v/>
      </c>
      <c r="L11" s="62">
        <f>IF(INPUT_PRODUCT!C24="";"";VLOOKUP(INPUT_PRODUCT!C24;PRODUCT!B:J;9;FALSE))</f>
        <v/>
      </c>
      <c r="M11" s="62">
        <f>IF(INPUT_PRODUCT!C24="";"";VLOOKUP(INPUT_PRODUCT!C24;PRODUCT!B:K;10;FALSE))</f>
        <v/>
      </c>
      <c r="N11" s="62">
        <f>IF(INPUT_PRODUCT!C24="";"";VLOOKUP(INPUT_PRODUCT!C24;PRODUCT!B:L;11;FALSE))</f>
        <v/>
      </c>
      <c r="O11" s="62">
        <f>IF(INPUT_PRODUCT!C24="";"";VLOOKUP(INPUT_PRODUCT!C24;PRODUCT!B:O;14;FALSE))</f>
        <v/>
      </c>
      <c r="P11" s="63">
        <f>IF(INPUT_PRODUCT!C24="";"";VLOOKUP(INPUT_PRODUCT!C24;PRODUCT!B:P;15;FALSE))</f>
        <v/>
      </c>
      <c r="Q11" s="63">
        <f>IF(INPUT_PRODUCT!C24="";"";INPUT_PRODUCT!K24)</f>
        <v/>
      </c>
      <c r="R11" s="63" t="inlineStr"/>
      <c r="S11" s="63">
        <f>IF(INPUT_PRODUCT!C24="";"";IF(O11="";"";O11*(1+Q11+R11)))</f>
        <v/>
      </c>
      <c r="T11" s="63">
        <f>IF(INPUT_PRODUCT!C24="";"";IF(S11="";"";S11*F11))</f>
        <v/>
      </c>
      <c r="U11" s="62">
        <f>CONFIG!$B$2</f>
        <v/>
      </c>
      <c r="V11" s="62">
        <f>IF(INPUT_PRODUCT!C24="";"";IF(S11="";"";S11*U11))</f>
        <v/>
      </c>
      <c r="W11" s="0">
        <f>IF(INPUT_PRODUCT!C24="";"";IF(T11="";"";T11*U11))</f>
        <v/>
      </c>
      <c r="X11" s="0">
        <f>IF(INPUT_PRODUCT!C24="";"";VLOOKUP(INPUT_PRODUCT!C24;PRODUCT!B:T;19;FALSE))</f>
        <v/>
      </c>
      <c r="Y11" s="0">
        <f>IF(INPUT_PRODUCT!C24="";"";INPUT_PRODUCT!L24)</f>
        <v/>
      </c>
    </row>
    <row r="12" ht="15.75" customHeight="1" s="125">
      <c r="A12" s="62">
        <f>IF(INPUT_PRODUCT!C25="";"";INPUT_PRODUCT!A25)</f>
        <v/>
      </c>
      <c r="B12" s="62">
        <f>IF(INPUT_PRODUCT!C25="";"";INPUT_PRODUCT!B25)</f>
        <v/>
      </c>
      <c r="C12" s="62">
        <f>IF(INPUT_PRODUCT!C25="";"";INPUT_PRODUCT!C25)</f>
        <v/>
      </c>
      <c r="D12" s="62">
        <f>IF(INPUT_PRODUCT!C25="";"";INDEX(PRODUCT!A:A;MATCH(INPUT_PRODUCT!C25;PRODUCT!B:B;0)))</f>
        <v/>
      </c>
      <c r="E12" s="62">
        <f>IF(INPUT_PRODUCT!C25="";"";VLOOKUP(INPUT_PRODUCT!C25;PRODUCT!B:C;2;FALSE))</f>
        <v/>
      </c>
      <c r="F12" s="62">
        <f>IF(INPUT_PRODUCT!C25="";"";INPUT_PRODUCT!J25)</f>
        <v/>
      </c>
      <c r="G12" s="62">
        <f>IF(INPUT_PRODUCT!C25="";"";INPUT_PRODUCT!G25)</f>
        <v/>
      </c>
      <c r="H12" s="62">
        <f>IF(INPUT_PRODUCT!C25="";"";VLOOKUP(INPUT_PRODUCT!C25;PRODUCT!B:F;5;FALSE))</f>
        <v/>
      </c>
      <c r="I12" s="62">
        <f>IF(INPUT_PRODUCT!C25="";"";VLOOKUP(INPUT_PRODUCT!C25;PRODUCT!B:G;6;FALSE))</f>
        <v/>
      </c>
      <c r="J12" s="62">
        <f>IF(INPUT_PRODUCT!C25="";"";VLOOKUP(INPUT_PRODUCT!C25;PRODUCT!B:H;7;FALSE))</f>
        <v/>
      </c>
      <c r="K12" s="60">
        <f>IF(INPUT_PRODUCT!C25="";"";VLOOKUP(INPUT_PRODUCT!C25;PRODUCT!B:I;8;FALSE))</f>
        <v/>
      </c>
      <c r="L12" s="62">
        <f>IF(INPUT_PRODUCT!C25="";"";VLOOKUP(INPUT_PRODUCT!C25;PRODUCT!B:J;9;FALSE))</f>
        <v/>
      </c>
      <c r="M12" s="62">
        <f>IF(INPUT_PRODUCT!C25="";"";VLOOKUP(INPUT_PRODUCT!C25;PRODUCT!B:K;10;FALSE))</f>
        <v/>
      </c>
      <c r="N12" s="62">
        <f>IF(INPUT_PRODUCT!C25="";"";VLOOKUP(INPUT_PRODUCT!C25;PRODUCT!B:L;11;FALSE))</f>
        <v/>
      </c>
      <c r="O12" s="62">
        <f>IF(INPUT_PRODUCT!C25="";"";VLOOKUP(INPUT_PRODUCT!C25;PRODUCT!B:O;14;FALSE))</f>
        <v/>
      </c>
      <c r="P12" s="63">
        <f>IF(INPUT_PRODUCT!C25="";"";VLOOKUP(INPUT_PRODUCT!C25;PRODUCT!B:P;15;FALSE))</f>
        <v/>
      </c>
      <c r="Q12" s="63">
        <f>IF(INPUT_PRODUCT!C25="";"";INPUT_PRODUCT!K25)</f>
        <v/>
      </c>
      <c r="R12" s="63" t="inlineStr"/>
      <c r="S12" s="63">
        <f>IF(INPUT_PRODUCT!C25="";"";IF(O12="";"";O12*(1+Q12+R12)))</f>
        <v/>
      </c>
      <c r="T12" s="63">
        <f>IF(INPUT_PRODUCT!C25="";"";IF(S12="";"";S12*F12))</f>
        <v/>
      </c>
      <c r="U12" s="62">
        <f>CONFIG!$B$2</f>
        <v/>
      </c>
      <c r="V12" s="62">
        <f>IF(INPUT_PRODUCT!C25="";"";IF(S12="";"";S12*U12))</f>
        <v/>
      </c>
      <c r="W12" s="0">
        <f>IF(INPUT_PRODUCT!C25="";"";IF(T12="";"";T12*U12))</f>
        <v/>
      </c>
      <c r="X12" s="0">
        <f>IF(INPUT_PRODUCT!C25="";"";VLOOKUP(INPUT_PRODUCT!C25;PRODUCT!B:T;19;FALSE))</f>
        <v/>
      </c>
      <c r="Y12" s="0">
        <f>IF(INPUT_PRODUCT!C25="";"";INPUT_PRODUCT!L25)</f>
        <v/>
      </c>
    </row>
    <row r="13" ht="15.75" customHeight="1" s="125">
      <c r="A13" s="62">
        <f>IF(INPUT_PRODUCT!C26="";"";INPUT_PRODUCT!A26)</f>
        <v/>
      </c>
      <c r="B13" s="62">
        <f>IF(INPUT_PRODUCT!C26="";"";INPUT_PRODUCT!B26)</f>
        <v/>
      </c>
      <c r="C13" s="62">
        <f>IF(INPUT_PRODUCT!C26="";"";INPUT_PRODUCT!C26)</f>
        <v/>
      </c>
      <c r="D13" s="62">
        <f>IF(INPUT_PRODUCT!C26="";"";INDEX(PRODUCT!A:A;MATCH(INPUT_PRODUCT!C26;PRODUCT!B:B;0)))</f>
        <v/>
      </c>
      <c r="E13" s="62">
        <f>IF(INPUT_PRODUCT!C26="";"";VLOOKUP(INPUT_PRODUCT!C26;PRODUCT!B:C;2;FALSE))</f>
        <v/>
      </c>
      <c r="F13" s="62">
        <f>IF(INPUT_PRODUCT!C26="";"";INPUT_PRODUCT!J26)</f>
        <v/>
      </c>
      <c r="G13" s="62">
        <f>IF(INPUT_PRODUCT!C26="";"";INPUT_PRODUCT!G26)</f>
        <v/>
      </c>
      <c r="H13" s="62">
        <f>IF(INPUT_PRODUCT!C26="";"";VLOOKUP(INPUT_PRODUCT!C26;PRODUCT!B:F;5;FALSE))</f>
        <v/>
      </c>
      <c r="I13" s="62">
        <f>IF(INPUT_PRODUCT!C26="";"";VLOOKUP(INPUT_PRODUCT!C26;PRODUCT!B:G;6;FALSE))</f>
        <v/>
      </c>
      <c r="J13" s="62">
        <f>IF(INPUT_PRODUCT!C26="";"";VLOOKUP(INPUT_PRODUCT!C26;PRODUCT!B:H;7;FALSE))</f>
        <v/>
      </c>
      <c r="K13" s="60">
        <f>IF(INPUT_PRODUCT!C26="";"";VLOOKUP(INPUT_PRODUCT!C26;PRODUCT!B:I;8;FALSE))</f>
        <v/>
      </c>
      <c r="L13" s="62">
        <f>IF(INPUT_PRODUCT!C26="";"";VLOOKUP(INPUT_PRODUCT!C26;PRODUCT!B:J;9;FALSE))</f>
        <v/>
      </c>
      <c r="M13" s="62">
        <f>IF(INPUT_PRODUCT!C26="";"";VLOOKUP(INPUT_PRODUCT!C26;PRODUCT!B:K;10;FALSE))</f>
        <v/>
      </c>
      <c r="N13" s="62">
        <f>IF(INPUT_PRODUCT!C26="";"";VLOOKUP(INPUT_PRODUCT!C26;PRODUCT!B:L;11;FALSE))</f>
        <v/>
      </c>
      <c r="O13" s="62">
        <f>IF(INPUT_PRODUCT!C26="";"";VLOOKUP(INPUT_PRODUCT!C26;PRODUCT!B:O;14;FALSE))</f>
        <v/>
      </c>
      <c r="P13" s="63">
        <f>IF(INPUT_PRODUCT!C26="";"";VLOOKUP(INPUT_PRODUCT!C26;PRODUCT!B:P;15;FALSE))</f>
        <v/>
      </c>
      <c r="Q13" s="63">
        <f>IF(INPUT_PRODUCT!C26="";"";INPUT_PRODUCT!K26)</f>
        <v/>
      </c>
      <c r="R13" s="63" t="inlineStr"/>
      <c r="S13" s="63">
        <f>IF(INPUT_PRODUCT!C26="";"";IF(O13="";"";O13*(1+Q13+R13)))</f>
        <v/>
      </c>
      <c r="T13" s="63">
        <f>IF(INPUT_PRODUCT!C26="";"";IF(S13="";"";S13*F13))</f>
        <v/>
      </c>
      <c r="U13" s="62">
        <f>CONFIG!$B$2</f>
        <v/>
      </c>
      <c r="V13" s="62">
        <f>IF(INPUT_PRODUCT!C26="";"";IF(S13="";"";S13*U13))</f>
        <v/>
      </c>
      <c r="W13" s="0">
        <f>IF(INPUT_PRODUCT!C26="";"";IF(T13="";"";T13*U13))</f>
        <v/>
      </c>
      <c r="X13" s="0">
        <f>IF(INPUT_PRODUCT!C26="";"";VLOOKUP(INPUT_PRODUCT!C26;PRODUCT!B:T;19;FALSE))</f>
        <v/>
      </c>
      <c r="Y13" s="0">
        <f>IF(INPUT_PRODUCT!C26="";"";INPUT_PRODUCT!L26)</f>
        <v/>
      </c>
    </row>
    <row r="14" ht="15.75" customHeight="1" s="125">
      <c r="A14" s="62">
        <f>IF(INPUT_PRODUCT!C27="";"";INPUT_PRODUCT!A27)</f>
        <v/>
      </c>
      <c r="B14" s="62">
        <f>IF(INPUT_PRODUCT!C27="";"";INPUT_PRODUCT!B27)</f>
        <v/>
      </c>
      <c r="C14" s="62">
        <f>IF(INPUT_PRODUCT!C27="";"";INPUT_PRODUCT!C27)</f>
        <v/>
      </c>
      <c r="D14" s="62">
        <f>IF(INPUT_PRODUCT!C27="";"";INDEX(PRODUCT!A:A;MATCH(INPUT_PRODUCT!C27;PRODUCT!B:B;0)))</f>
        <v/>
      </c>
      <c r="E14" s="62">
        <f>IF(INPUT_PRODUCT!C27="";"";VLOOKUP(INPUT_PRODUCT!C27;PRODUCT!B:C;2;FALSE))</f>
        <v/>
      </c>
      <c r="F14" s="62">
        <f>IF(INPUT_PRODUCT!C27="";"";INPUT_PRODUCT!J27)</f>
        <v/>
      </c>
      <c r="G14" s="62">
        <f>IF(INPUT_PRODUCT!C27="";"";INPUT_PRODUCT!G27)</f>
        <v/>
      </c>
      <c r="H14" s="62">
        <f>IF(INPUT_PRODUCT!C27="";"";VLOOKUP(INPUT_PRODUCT!C27;PRODUCT!B:F;5;FALSE))</f>
        <v/>
      </c>
      <c r="I14" s="62">
        <f>IF(INPUT_PRODUCT!C27="";"";VLOOKUP(INPUT_PRODUCT!C27;PRODUCT!B:G;6;FALSE))</f>
        <v/>
      </c>
      <c r="J14" s="62">
        <f>IF(INPUT_PRODUCT!C27="";"";VLOOKUP(INPUT_PRODUCT!C27;PRODUCT!B:H;7;FALSE))</f>
        <v/>
      </c>
      <c r="K14" s="60">
        <f>IF(INPUT_PRODUCT!C27="";"";VLOOKUP(INPUT_PRODUCT!C27;PRODUCT!B:I;8;FALSE))</f>
        <v/>
      </c>
      <c r="L14" s="62">
        <f>IF(INPUT_PRODUCT!C27="";"";VLOOKUP(INPUT_PRODUCT!C27;PRODUCT!B:J;9;FALSE))</f>
        <v/>
      </c>
      <c r="M14" s="62">
        <f>IF(INPUT_PRODUCT!C27="";"";VLOOKUP(INPUT_PRODUCT!C27;PRODUCT!B:K;10;FALSE))</f>
        <v/>
      </c>
      <c r="N14" s="62">
        <f>IF(INPUT_PRODUCT!C27="";"";VLOOKUP(INPUT_PRODUCT!C27;PRODUCT!B:L;11;FALSE))</f>
        <v/>
      </c>
      <c r="O14" s="62">
        <f>IF(INPUT_PRODUCT!C27="";"";VLOOKUP(INPUT_PRODUCT!C27;PRODUCT!B:O;14;FALSE))</f>
        <v/>
      </c>
      <c r="P14" s="63">
        <f>IF(INPUT_PRODUCT!C27="";"";VLOOKUP(INPUT_PRODUCT!C27;PRODUCT!B:P;15;FALSE))</f>
        <v/>
      </c>
      <c r="Q14" s="63">
        <f>IF(INPUT_PRODUCT!C27="";"";INPUT_PRODUCT!K27)</f>
        <v/>
      </c>
      <c r="R14" s="63" t="inlineStr"/>
      <c r="S14" s="63">
        <f>IF(INPUT_PRODUCT!C27="";"";IF(O14="";"";O14*(1+Q14+R14)))</f>
        <v/>
      </c>
      <c r="T14" s="63">
        <f>IF(INPUT_PRODUCT!C27="";"";IF(S14="";"";S14*F14))</f>
        <v/>
      </c>
      <c r="U14" s="62">
        <f>CONFIG!$B$2</f>
        <v/>
      </c>
      <c r="V14" s="62">
        <f>IF(INPUT_PRODUCT!C27="";"";IF(S14="";"";S14*U14))</f>
        <v/>
      </c>
      <c r="W14" s="0">
        <f>IF(INPUT_PRODUCT!C27="";"";IF(T14="";"";T14*U14))</f>
        <v/>
      </c>
      <c r="X14" s="0">
        <f>IF(INPUT_PRODUCT!C27="";"";VLOOKUP(INPUT_PRODUCT!C27;PRODUCT!B:T;19;FALSE))</f>
        <v/>
      </c>
      <c r="Y14" s="0">
        <f>IF(INPUT_PRODUCT!C27="";"";INPUT_PRODUCT!L27)</f>
        <v/>
      </c>
    </row>
    <row r="15" ht="15.75" customHeight="1" s="125">
      <c r="A15" s="62">
        <f>IF(INPUT_PRODUCT!C28="";"";INPUT_PRODUCT!A28)</f>
        <v/>
      </c>
      <c r="B15" s="62">
        <f>IF(INPUT_PRODUCT!C28="";"";INPUT_PRODUCT!B28)</f>
        <v/>
      </c>
      <c r="C15" s="62">
        <f>IF(INPUT_PRODUCT!C28="";"";INPUT_PRODUCT!C28)</f>
        <v/>
      </c>
      <c r="D15" s="62">
        <f>IF(INPUT_PRODUCT!C28="";"";INDEX(PRODUCT!A:A;MATCH(INPUT_PRODUCT!C28;PRODUCT!B:B;0)))</f>
        <v/>
      </c>
      <c r="E15" s="62">
        <f>IF(INPUT_PRODUCT!C28="";"";VLOOKUP(INPUT_PRODUCT!C28;PRODUCT!B:C;2;FALSE))</f>
        <v/>
      </c>
      <c r="F15" s="62">
        <f>IF(INPUT_PRODUCT!C28="";"";INPUT_PRODUCT!J28)</f>
        <v/>
      </c>
      <c r="G15" s="62">
        <f>IF(INPUT_PRODUCT!C28="";"";INPUT_PRODUCT!G28)</f>
        <v/>
      </c>
      <c r="H15" s="62">
        <f>IF(INPUT_PRODUCT!C28="";"";VLOOKUP(INPUT_PRODUCT!C28;PRODUCT!B:F;5;FALSE))</f>
        <v/>
      </c>
      <c r="I15" s="62">
        <f>IF(INPUT_PRODUCT!C28="";"";VLOOKUP(INPUT_PRODUCT!C28;PRODUCT!B:G;6;FALSE))</f>
        <v/>
      </c>
      <c r="J15" s="62">
        <f>IF(INPUT_PRODUCT!C28="";"";VLOOKUP(INPUT_PRODUCT!C28;PRODUCT!B:H;7;FALSE))</f>
        <v/>
      </c>
      <c r="K15" s="60">
        <f>IF(INPUT_PRODUCT!C28="";"";VLOOKUP(INPUT_PRODUCT!C28;PRODUCT!B:I;8;FALSE))</f>
        <v/>
      </c>
      <c r="L15" s="62">
        <f>IF(INPUT_PRODUCT!C28="";"";VLOOKUP(INPUT_PRODUCT!C28;PRODUCT!B:J;9;FALSE))</f>
        <v/>
      </c>
      <c r="M15" s="62">
        <f>IF(INPUT_PRODUCT!C28="";"";VLOOKUP(INPUT_PRODUCT!C28;PRODUCT!B:K;10;FALSE))</f>
        <v/>
      </c>
      <c r="N15" s="62">
        <f>IF(INPUT_PRODUCT!C28="";"";VLOOKUP(INPUT_PRODUCT!C28;PRODUCT!B:L;11;FALSE))</f>
        <v/>
      </c>
      <c r="O15" s="62">
        <f>IF(INPUT_PRODUCT!C28="";"";VLOOKUP(INPUT_PRODUCT!C28;PRODUCT!B:O;14;FALSE))</f>
        <v/>
      </c>
      <c r="P15" s="63">
        <f>IF(INPUT_PRODUCT!C28="";"";VLOOKUP(INPUT_PRODUCT!C28;PRODUCT!B:P;15;FALSE))</f>
        <v/>
      </c>
      <c r="Q15" s="63">
        <f>IF(INPUT_PRODUCT!C28="";"";INPUT_PRODUCT!K28)</f>
        <v/>
      </c>
      <c r="R15" s="63" t="inlineStr"/>
      <c r="S15" s="63">
        <f>IF(INPUT_PRODUCT!C28="";"";IF(O15="";"";O15*(1+Q15+R15)))</f>
        <v/>
      </c>
      <c r="T15" s="63">
        <f>IF(INPUT_PRODUCT!C28="";"";IF(S15="";"";S15*F15))</f>
        <v/>
      </c>
      <c r="U15" s="62">
        <f>CONFIG!$B$2</f>
        <v/>
      </c>
      <c r="V15" s="62">
        <f>IF(INPUT_PRODUCT!C28="";"";IF(S15="";"";S15*U15))</f>
        <v/>
      </c>
      <c r="W15" s="0">
        <f>IF(INPUT_PRODUCT!C28="";"";IF(T15="";"";T15*U15))</f>
        <v/>
      </c>
      <c r="X15" s="0">
        <f>IF(INPUT_PRODUCT!C28="";"";VLOOKUP(INPUT_PRODUCT!C28;PRODUCT!B:T;19;FALSE))</f>
        <v/>
      </c>
      <c r="Y15" s="0">
        <f>IF(INPUT_PRODUCT!C28="";"";INPUT_PRODUCT!L28)</f>
        <v/>
      </c>
    </row>
    <row r="16" ht="15.75" customHeight="1" s="125">
      <c r="A16" s="62">
        <f>IF(INPUT_PRODUCT!C29="";"";INPUT_PRODUCT!A29)</f>
        <v/>
      </c>
      <c r="B16" s="62">
        <f>IF(INPUT_PRODUCT!C29="";"";INPUT_PRODUCT!B29)</f>
        <v/>
      </c>
      <c r="C16" s="62">
        <f>IF(INPUT_PRODUCT!C29="";"";INPUT_PRODUCT!C29)</f>
        <v/>
      </c>
      <c r="D16" s="62">
        <f>IF(INPUT_PRODUCT!C29="";"";INDEX(PRODUCT!A:A;MATCH(INPUT_PRODUCT!C29;PRODUCT!B:B;0)))</f>
        <v/>
      </c>
      <c r="E16" s="62">
        <f>IF(INPUT_PRODUCT!C29="";"";VLOOKUP(INPUT_PRODUCT!C29;PRODUCT!B:C;2;FALSE))</f>
        <v/>
      </c>
      <c r="F16" s="62">
        <f>IF(INPUT_PRODUCT!C29="";"";INPUT_PRODUCT!J29)</f>
        <v/>
      </c>
      <c r="G16" s="62">
        <f>IF(INPUT_PRODUCT!C29="";"";INPUT_PRODUCT!G29)</f>
        <v/>
      </c>
      <c r="H16" s="62">
        <f>IF(INPUT_PRODUCT!C29="";"";VLOOKUP(INPUT_PRODUCT!C29;PRODUCT!B:F;5;FALSE))</f>
        <v/>
      </c>
      <c r="I16" s="62">
        <f>IF(INPUT_PRODUCT!C29="";"";VLOOKUP(INPUT_PRODUCT!C29;PRODUCT!B:G;6;FALSE))</f>
        <v/>
      </c>
      <c r="J16" s="62">
        <f>IF(INPUT_PRODUCT!C29="";"";VLOOKUP(INPUT_PRODUCT!C29;PRODUCT!B:H;7;FALSE))</f>
        <v/>
      </c>
      <c r="K16" s="60">
        <f>IF(INPUT_PRODUCT!C29="";"";VLOOKUP(INPUT_PRODUCT!C29;PRODUCT!B:I;8;FALSE))</f>
        <v/>
      </c>
      <c r="L16" s="62">
        <f>IF(INPUT_PRODUCT!C29="";"";VLOOKUP(INPUT_PRODUCT!C29;PRODUCT!B:J;9;FALSE))</f>
        <v/>
      </c>
      <c r="M16" s="62">
        <f>IF(INPUT_PRODUCT!C29="";"";VLOOKUP(INPUT_PRODUCT!C29;PRODUCT!B:K;10;FALSE))</f>
        <v/>
      </c>
      <c r="N16" s="62">
        <f>IF(INPUT_PRODUCT!C29="";"";VLOOKUP(INPUT_PRODUCT!C29;PRODUCT!B:L;11;FALSE))</f>
        <v/>
      </c>
      <c r="O16" s="62">
        <f>IF(INPUT_PRODUCT!C29="";"";VLOOKUP(INPUT_PRODUCT!C29;PRODUCT!B:O;14;FALSE))</f>
        <v/>
      </c>
      <c r="P16" s="63">
        <f>IF(INPUT_PRODUCT!C29="";"";VLOOKUP(INPUT_PRODUCT!C29;PRODUCT!B:P;15;FALSE))</f>
        <v/>
      </c>
      <c r="Q16" s="63">
        <f>IF(INPUT_PRODUCT!C29="";"";INPUT_PRODUCT!K29)</f>
        <v/>
      </c>
      <c r="R16" s="63" t="inlineStr"/>
      <c r="S16" s="63">
        <f>IF(INPUT_PRODUCT!C29="";"";IF(O16="";"";O16*(1+Q16+R16)))</f>
        <v/>
      </c>
      <c r="T16" s="63">
        <f>IF(INPUT_PRODUCT!C29="";"";IF(S16="";"";S16*F16))</f>
        <v/>
      </c>
      <c r="U16" s="62">
        <f>CONFIG!$B$2</f>
        <v/>
      </c>
      <c r="V16" s="62">
        <f>IF(INPUT_PRODUCT!C29="";"";IF(S16="";"";S16*U16))</f>
        <v/>
      </c>
      <c r="W16" s="0">
        <f>IF(INPUT_PRODUCT!C29="";"";IF(T16="";"";T16*U16))</f>
        <v/>
      </c>
      <c r="X16" s="0">
        <f>IF(INPUT_PRODUCT!C29="";"";VLOOKUP(INPUT_PRODUCT!C29;PRODUCT!B:T;19;FALSE))</f>
        <v/>
      </c>
      <c r="Y16" s="0">
        <f>IF(INPUT_PRODUCT!C29="";"";INPUT_PRODUCT!L29)</f>
        <v/>
      </c>
    </row>
    <row r="17" ht="15.75" customHeight="1" s="125">
      <c r="A17" s="62">
        <f>IF(INPUT_PRODUCT!C30="";"";INPUT_PRODUCT!A30)</f>
        <v/>
      </c>
      <c r="B17" s="62">
        <f>IF(INPUT_PRODUCT!C30="";"";INPUT_PRODUCT!B30)</f>
        <v/>
      </c>
      <c r="C17" s="62">
        <f>IF(INPUT_PRODUCT!C30="";"";INPUT_PRODUCT!C30)</f>
        <v/>
      </c>
      <c r="D17" s="62">
        <f>IF(INPUT_PRODUCT!C30="";"";INDEX(PRODUCT!A:A;MATCH(INPUT_PRODUCT!C30;PRODUCT!B:B;0)))</f>
        <v/>
      </c>
      <c r="E17" s="62">
        <f>IF(INPUT_PRODUCT!C30="";"";VLOOKUP(INPUT_PRODUCT!C30;PRODUCT!B:C;2;FALSE))</f>
        <v/>
      </c>
      <c r="F17" s="62">
        <f>IF(INPUT_PRODUCT!C30="";"";INPUT_PRODUCT!J30)</f>
        <v/>
      </c>
      <c r="G17" s="62">
        <f>IF(INPUT_PRODUCT!C30="";"";INPUT_PRODUCT!G30)</f>
        <v/>
      </c>
      <c r="H17" s="62">
        <f>IF(INPUT_PRODUCT!C30="";"";VLOOKUP(INPUT_PRODUCT!C30;PRODUCT!B:F;5;FALSE))</f>
        <v/>
      </c>
      <c r="I17" s="62">
        <f>IF(INPUT_PRODUCT!C30="";"";VLOOKUP(INPUT_PRODUCT!C30;PRODUCT!B:G;6;FALSE))</f>
        <v/>
      </c>
      <c r="J17" s="62">
        <f>IF(INPUT_PRODUCT!C30="";"";VLOOKUP(INPUT_PRODUCT!C30;PRODUCT!B:H;7;FALSE))</f>
        <v/>
      </c>
      <c r="K17" s="60">
        <f>IF(INPUT_PRODUCT!C30="";"";VLOOKUP(INPUT_PRODUCT!C30;PRODUCT!B:I;8;FALSE))</f>
        <v/>
      </c>
      <c r="L17" s="62">
        <f>IF(INPUT_PRODUCT!C30="";"";VLOOKUP(INPUT_PRODUCT!C30;PRODUCT!B:J;9;FALSE))</f>
        <v/>
      </c>
      <c r="M17" s="62">
        <f>IF(INPUT_PRODUCT!C30="";"";VLOOKUP(INPUT_PRODUCT!C30;PRODUCT!B:K;10;FALSE))</f>
        <v/>
      </c>
      <c r="N17" s="62">
        <f>IF(INPUT_PRODUCT!C30="";"";VLOOKUP(INPUT_PRODUCT!C30;PRODUCT!B:L;11;FALSE))</f>
        <v/>
      </c>
      <c r="O17" s="62">
        <f>IF(INPUT_PRODUCT!C30="";"";VLOOKUP(INPUT_PRODUCT!C30;PRODUCT!B:O;14;FALSE))</f>
        <v/>
      </c>
      <c r="P17" s="63">
        <f>IF(INPUT_PRODUCT!C30="";"";VLOOKUP(INPUT_PRODUCT!C30;PRODUCT!B:P;15;FALSE))</f>
        <v/>
      </c>
      <c r="Q17" s="63">
        <f>IF(INPUT_PRODUCT!C30="";"";INPUT_PRODUCT!K30)</f>
        <v/>
      </c>
      <c r="R17" s="63" t="inlineStr"/>
      <c r="S17" s="63">
        <f>IF(INPUT_PRODUCT!C30="";"";IF(O17="";"";O17*(1+Q17+R17)))</f>
        <v/>
      </c>
      <c r="T17" s="63">
        <f>IF(INPUT_PRODUCT!C30="";"";IF(S17="";"";S17*F17))</f>
        <v/>
      </c>
      <c r="U17" s="62">
        <f>CONFIG!$B$2</f>
        <v/>
      </c>
      <c r="V17" s="62">
        <f>IF(INPUT_PRODUCT!C30="";"";IF(S17="";"";S17*U17))</f>
        <v/>
      </c>
      <c r="W17" s="0">
        <f>IF(INPUT_PRODUCT!C30="";"";IF(T17="";"";T17*U17))</f>
        <v/>
      </c>
      <c r="X17" s="0">
        <f>IF(INPUT_PRODUCT!C30="";"";VLOOKUP(INPUT_PRODUCT!C30;PRODUCT!B:T;19;FALSE))</f>
        <v/>
      </c>
      <c r="Y17" s="0">
        <f>IF(INPUT_PRODUCT!C30="";"";INPUT_PRODUCT!L30)</f>
        <v/>
      </c>
    </row>
    <row r="18" ht="15.75" customHeight="1" s="125">
      <c r="A18" s="62">
        <f>IF(INPUT_PRODUCT!C31="";"";INPUT_PRODUCT!A31)</f>
        <v/>
      </c>
      <c r="B18" s="62">
        <f>IF(INPUT_PRODUCT!C31="";"";INPUT_PRODUCT!B31)</f>
        <v/>
      </c>
      <c r="C18" s="62">
        <f>IF(INPUT_PRODUCT!C31="";"";INPUT_PRODUCT!C31)</f>
        <v/>
      </c>
      <c r="D18" s="62">
        <f>IF(INPUT_PRODUCT!C31="";"";INDEX(PRODUCT!A:A;MATCH(INPUT_PRODUCT!C31;PRODUCT!B:B;0)))</f>
        <v/>
      </c>
      <c r="E18" s="62">
        <f>IF(INPUT_PRODUCT!C31="";"";VLOOKUP(INPUT_PRODUCT!C31;PRODUCT!B:C;2;FALSE))</f>
        <v/>
      </c>
      <c r="F18" s="62">
        <f>IF(INPUT_PRODUCT!C31="";"";INPUT_PRODUCT!J31)</f>
        <v/>
      </c>
      <c r="G18" s="62">
        <f>IF(INPUT_PRODUCT!C31="";"";INPUT_PRODUCT!G31)</f>
        <v/>
      </c>
      <c r="H18" s="62">
        <f>IF(INPUT_PRODUCT!C31="";"";VLOOKUP(INPUT_PRODUCT!C31;PRODUCT!B:F;5;FALSE))</f>
        <v/>
      </c>
      <c r="I18" s="62">
        <f>IF(INPUT_PRODUCT!C31="";"";VLOOKUP(INPUT_PRODUCT!C31;PRODUCT!B:G;6;FALSE))</f>
        <v/>
      </c>
      <c r="J18" s="62">
        <f>IF(INPUT_PRODUCT!C31="";"";VLOOKUP(INPUT_PRODUCT!C31;PRODUCT!B:H;7;FALSE))</f>
        <v/>
      </c>
      <c r="K18" s="60">
        <f>IF(INPUT_PRODUCT!C31="";"";VLOOKUP(INPUT_PRODUCT!C31;PRODUCT!B:I;8;FALSE))</f>
        <v/>
      </c>
      <c r="L18" s="62">
        <f>IF(INPUT_PRODUCT!C31="";"";VLOOKUP(INPUT_PRODUCT!C31;PRODUCT!B:J;9;FALSE))</f>
        <v/>
      </c>
      <c r="M18" s="62">
        <f>IF(INPUT_PRODUCT!C31="";"";VLOOKUP(INPUT_PRODUCT!C31;PRODUCT!B:K;10;FALSE))</f>
        <v/>
      </c>
      <c r="N18" s="62">
        <f>IF(INPUT_PRODUCT!C31="";"";VLOOKUP(INPUT_PRODUCT!C31;PRODUCT!B:L;11;FALSE))</f>
        <v/>
      </c>
      <c r="O18" s="62">
        <f>IF(INPUT_PRODUCT!C31="";"";VLOOKUP(INPUT_PRODUCT!C31;PRODUCT!B:O;14;FALSE))</f>
        <v/>
      </c>
      <c r="P18" s="63">
        <f>IF(INPUT_PRODUCT!C31="";"";VLOOKUP(INPUT_PRODUCT!C31;PRODUCT!B:P;15;FALSE))</f>
        <v/>
      </c>
      <c r="Q18" s="63">
        <f>IF(INPUT_PRODUCT!C31="";"";INPUT_PRODUCT!K31)</f>
        <v/>
      </c>
      <c r="R18" s="63" t="inlineStr"/>
      <c r="S18" s="63">
        <f>IF(INPUT_PRODUCT!C31="";"";IF(O18="";"";O18*(1+Q18+R18)))</f>
        <v/>
      </c>
      <c r="T18" s="63">
        <f>IF(INPUT_PRODUCT!C31="";"";IF(S18="";"";S18*F18))</f>
        <v/>
      </c>
      <c r="U18" s="62">
        <f>CONFIG!$B$2</f>
        <v/>
      </c>
      <c r="V18" s="62">
        <f>IF(INPUT_PRODUCT!C31="";"";IF(S18="";"";S18*U18))</f>
        <v/>
      </c>
      <c r="W18" s="0">
        <f>IF(INPUT_PRODUCT!C31="";"";IF(T18="";"";T18*U18))</f>
        <v/>
      </c>
      <c r="X18" s="0">
        <f>IF(INPUT_PRODUCT!C31="";"";VLOOKUP(INPUT_PRODUCT!C31;PRODUCT!B:T;19;FALSE))</f>
        <v/>
      </c>
      <c r="Y18" s="0">
        <f>IF(INPUT_PRODUCT!C31="";"";INPUT_PRODUCT!L31)</f>
        <v/>
      </c>
    </row>
    <row r="19" ht="15.75" customHeight="1" s="125">
      <c r="A19" s="62">
        <f>IF(INPUT_PRODUCT!C32="";"";INPUT_PRODUCT!A32)</f>
        <v/>
      </c>
      <c r="B19" s="62">
        <f>IF(INPUT_PRODUCT!C32="";"";INPUT_PRODUCT!B32)</f>
        <v/>
      </c>
      <c r="C19" s="62">
        <f>IF(INPUT_PRODUCT!C32="";"";INPUT_PRODUCT!C32)</f>
        <v/>
      </c>
      <c r="D19" s="62">
        <f>IF(INPUT_PRODUCT!C32="";"";INDEX(PRODUCT!A:A;MATCH(INPUT_PRODUCT!C32;PRODUCT!B:B;0)))</f>
        <v/>
      </c>
      <c r="E19" s="62">
        <f>IF(INPUT_PRODUCT!C32="";"";VLOOKUP(INPUT_PRODUCT!C32;PRODUCT!B:C;2;FALSE))</f>
        <v/>
      </c>
      <c r="F19" s="62">
        <f>IF(INPUT_PRODUCT!C32="";"";INPUT_PRODUCT!J32)</f>
        <v/>
      </c>
      <c r="G19" s="62">
        <f>IF(INPUT_PRODUCT!C32="";"";INPUT_PRODUCT!G32)</f>
        <v/>
      </c>
      <c r="H19" s="62">
        <f>IF(INPUT_PRODUCT!C32="";"";VLOOKUP(INPUT_PRODUCT!C32;PRODUCT!B:F;5;FALSE))</f>
        <v/>
      </c>
      <c r="I19" s="62">
        <f>IF(INPUT_PRODUCT!C32="";"";VLOOKUP(INPUT_PRODUCT!C32;PRODUCT!B:G;6;FALSE))</f>
        <v/>
      </c>
      <c r="J19" s="62">
        <f>IF(INPUT_PRODUCT!C32="";"";VLOOKUP(INPUT_PRODUCT!C32;PRODUCT!B:H;7;FALSE))</f>
        <v/>
      </c>
      <c r="K19" s="60">
        <f>IF(INPUT_PRODUCT!C32="";"";VLOOKUP(INPUT_PRODUCT!C32;PRODUCT!B:I;8;FALSE))</f>
        <v/>
      </c>
      <c r="L19" s="62">
        <f>IF(INPUT_PRODUCT!C32="";"";VLOOKUP(INPUT_PRODUCT!C32;PRODUCT!B:J;9;FALSE))</f>
        <v/>
      </c>
      <c r="M19" s="62">
        <f>IF(INPUT_PRODUCT!C32="";"";VLOOKUP(INPUT_PRODUCT!C32;PRODUCT!B:K;10;FALSE))</f>
        <v/>
      </c>
      <c r="N19" s="62">
        <f>IF(INPUT_PRODUCT!C32="";"";VLOOKUP(INPUT_PRODUCT!C32;PRODUCT!B:L;11;FALSE))</f>
        <v/>
      </c>
      <c r="O19" s="62">
        <f>IF(INPUT_PRODUCT!C32="";"";VLOOKUP(INPUT_PRODUCT!C32;PRODUCT!B:O;14;FALSE))</f>
        <v/>
      </c>
      <c r="P19" s="63">
        <f>IF(INPUT_PRODUCT!C32="";"";VLOOKUP(INPUT_PRODUCT!C32;PRODUCT!B:P;15;FALSE))</f>
        <v/>
      </c>
      <c r="Q19" s="63">
        <f>IF(INPUT_PRODUCT!C32="";"";INPUT_PRODUCT!K32)</f>
        <v/>
      </c>
      <c r="R19" s="63" t="inlineStr"/>
      <c r="S19" s="63">
        <f>IF(INPUT_PRODUCT!C32="";"";IF(O19="";"";O19*(1+Q19+R19)))</f>
        <v/>
      </c>
      <c r="T19" s="63">
        <f>IF(INPUT_PRODUCT!C32="";"";IF(S19="";"";S19*F19))</f>
        <v/>
      </c>
      <c r="U19" s="62">
        <f>CONFIG!$B$2</f>
        <v/>
      </c>
      <c r="V19" s="62">
        <f>IF(INPUT_PRODUCT!C32="";"";IF(S19="";"";S19*U19))</f>
        <v/>
      </c>
      <c r="W19" s="0">
        <f>IF(INPUT_PRODUCT!C32="";"";IF(T19="";"";T19*U19))</f>
        <v/>
      </c>
      <c r="X19" s="0">
        <f>IF(INPUT_PRODUCT!C32="";"";VLOOKUP(INPUT_PRODUCT!C32;PRODUCT!B:T;19;FALSE))</f>
        <v/>
      </c>
      <c r="Y19" s="0">
        <f>IF(INPUT_PRODUCT!C32="";"";INPUT_PRODUCT!L32)</f>
        <v/>
      </c>
    </row>
    <row r="20" ht="15.75" customHeight="1" s="125">
      <c r="A20" s="62">
        <f>IF(INPUT_PRODUCT!C33="";"";INPUT_PRODUCT!A33)</f>
        <v/>
      </c>
      <c r="B20" s="62">
        <f>IF(INPUT_PRODUCT!C33="";"";INPUT_PRODUCT!B33)</f>
        <v/>
      </c>
      <c r="C20" s="62">
        <f>IF(INPUT_PRODUCT!C33="";"";INPUT_PRODUCT!C33)</f>
        <v/>
      </c>
      <c r="D20" s="62">
        <f>IF(INPUT_PRODUCT!C33="";"";INDEX(PRODUCT!A:A;MATCH(INPUT_PRODUCT!C33;PRODUCT!B:B;0)))</f>
        <v/>
      </c>
      <c r="E20" s="62">
        <f>IF(INPUT_PRODUCT!C33="";"";VLOOKUP(INPUT_PRODUCT!C33;PRODUCT!B:C;2;FALSE))</f>
        <v/>
      </c>
      <c r="F20" s="62">
        <f>IF(INPUT_PRODUCT!C33="";"";INPUT_PRODUCT!J33)</f>
        <v/>
      </c>
      <c r="G20" s="62">
        <f>IF(INPUT_PRODUCT!C33="";"";INPUT_PRODUCT!G33)</f>
        <v/>
      </c>
      <c r="H20" s="62">
        <f>IF(INPUT_PRODUCT!C33="";"";VLOOKUP(INPUT_PRODUCT!C33;PRODUCT!B:F;5;FALSE))</f>
        <v/>
      </c>
      <c r="I20" s="62">
        <f>IF(INPUT_PRODUCT!C33="";"";VLOOKUP(INPUT_PRODUCT!C33;PRODUCT!B:G;6;FALSE))</f>
        <v/>
      </c>
      <c r="J20" s="62">
        <f>IF(INPUT_PRODUCT!C33="";"";VLOOKUP(INPUT_PRODUCT!C33;PRODUCT!B:H;7;FALSE))</f>
        <v/>
      </c>
      <c r="K20" s="60">
        <f>IF(INPUT_PRODUCT!C33="";"";VLOOKUP(INPUT_PRODUCT!C33;PRODUCT!B:I;8;FALSE))</f>
        <v/>
      </c>
      <c r="L20" s="62">
        <f>IF(INPUT_PRODUCT!C33="";"";VLOOKUP(INPUT_PRODUCT!C33;PRODUCT!B:J;9;FALSE))</f>
        <v/>
      </c>
      <c r="M20" s="62">
        <f>IF(INPUT_PRODUCT!C33="";"";VLOOKUP(INPUT_PRODUCT!C33;PRODUCT!B:K;10;FALSE))</f>
        <v/>
      </c>
      <c r="N20" s="62">
        <f>IF(INPUT_PRODUCT!C33="";"";VLOOKUP(INPUT_PRODUCT!C33;PRODUCT!B:L;11;FALSE))</f>
        <v/>
      </c>
      <c r="O20" s="62">
        <f>IF(INPUT_PRODUCT!C33="";"";VLOOKUP(INPUT_PRODUCT!C33;PRODUCT!B:O;14;FALSE))</f>
        <v/>
      </c>
      <c r="P20" s="63">
        <f>IF(INPUT_PRODUCT!C33="";"";VLOOKUP(INPUT_PRODUCT!C33;PRODUCT!B:P;15;FALSE))</f>
        <v/>
      </c>
      <c r="Q20" s="63">
        <f>IF(INPUT_PRODUCT!C33="";"";INPUT_PRODUCT!K33)</f>
        <v/>
      </c>
      <c r="R20" s="63" t="inlineStr"/>
      <c r="S20" s="63">
        <f>IF(INPUT_PRODUCT!C33="";"";IF(O20="";"";O20*(1+Q20+R20)))</f>
        <v/>
      </c>
      <c r="T20" s="63">
        <f>IF(INPUT_PRODUCT!C33="";"";IF(S20="";"";S20*F20))</f>
        <v/>
      </c>
      <c r="U20" s="62">
        <f>CONFIG!$B$2</f>
        <v/>
      </c>
      <c r="V20" s="62">
        <f>IF(INPUT_PRODUCT!C33="";"";IF(S20="";"";S20*U20))</f>
        <v/>
      </c>
      <c r="W20" s="0">
        <f>IF(INPUT_PRODUCT!C33="";"";IF(T20="";"";T20*U20))</f>
        <v/>
      </c>
      <c r="X20" s="0">
        <f>IF(INPUT_PRODUCT!C33="";"";VLOOKUP(INPUT_PRODUCT!C33;PRODUCT!B:T;19;FALSE))</f>
        <v/>
      </c>
      <c r="Y20" s="0">
        <f>IF(INPUT_PRODUCT!C33="";"";INPUT_PRODUCT!L33)</f>
        <v/>
      </c>
    </row>
    <row r="21" ht="15.75" customHeight="1" s="125">
      <c r="A21" s="62">
        <f>IF(INPUT_PRODUCT!C34="";"";INPUT_PRODUCT!A34)</f>
        <v/>
      </c>
      <c r="B21" s="62">
        <f>IF(INPUT_PRODUCT!C34="";"";INPUT_PRODUCT!B34)</f>
        <v/>
      </c>
      <c r="C21" s="62">
        <f>IF(INPUT_PRODUCT!C34="";"";INPUT_PRODUCT!C34)</f>
        <v/>
      </c>
      <c r="D21" s="62">
        <f>IF(INPUT_PRODUCT!C34="";"";INDEX(PRODUCT!A:A;MATCH(INPUT_PRODUCT!C34;PRODUCT!B:B;0)))</f>
        <v/>
      </c>
      <c r="E21" s="62">
        <f>IF(INPUT_PRODUCT!C34="";"";VLOOKUP(INPUT_PRODUCT!C34;PRODUCT!B:C;2;FALSE))</f>
        <v/>
      </c>
      <c r="F21" s="62">
        <f>IF(INPUT_PRODUCT!C34="";"";INPUT_PRODUCT!J34)</f>
        <v/>
      </c>
      <c r="G21" s="62">
        <f>IF(INPUT_PRODUCT!C34="";"";INPUT_PRODUCT!G34)</f>
        <v/>
      </c>
      <c r="H21" s="62">
        <f>IF(INPUT_PRODUCT!C34="";"";VLOOKUP(INPUT_PRODUCT!C34;PRODUCT!B:F;5;FALSE))</f>
        <v/>
      </c>
      <c r="I21" s="62">
        <f>IF(INPUT_PRODUCT!C34="";"";VLOOKUP(INPUT_PRODUCT!C34;PRODUCT!B:G;6;FALSE))</f>
        <v/>
      </c>
      <c r="J21" s="62">
        <f>IF(INPUT_PRODUCT!C34="";"";VLOOKUP(INPUT_PRODUCT!C34;PRODUCT!B:H;7;FALSE))</f>
        <v/>
      </c>
      <c r="K21" s="60">
        <f>IF(INPUT_PRODUCT!C34="";"";VLOOKUP(INPUT_PRODUCT!C34;PRODUCT!B:I;8;FALSE))</f>
        <v/>
      </c>
      <c r="L21" s="62">
        <f>IF(INPUT_PRODUCT!C34="";"";VLOOKUP(INPUT_PRODUCT!C34;PRODUCT!B:J;9;FALSE))</f>
        <v/>
      </c>
      <c r="M21" s="62">
        <f>IF(INPUT_PRODUCT!C34="";"";VLOOKUP(INPUT_PRODUCT!C34;PRODUCT!B:K;10;FALSE))</f>
        <v/>
      </c>
      <c r="N21" s="62">
        <f>IF(INPUT_PRODUCT!C34="";"";VLOOKUP(INPUT_PRODUCT!C34;PRODUCT!B:L;11;FALSE))</f>
        <v/>
      </c>
      <c r="O21" s="62">
        <f>IF(INPUT_PRODUCT!C34="";"";VLOOKUP(INPUT_PRODUCT!C34;PRODUCT!B:O;14;FALSE))</f>
        <v/>
      </c>
      <c r="P21" s="63">
        <f>IF(INPUT_PRODUCT!C34="";"";VLOOKUP(INPUT_PRODUCT!C34;PRODUCT!B:P;15;FALSE))</f>
        <v/>
      </c>
      <c r="Q21" s="63">
        <f>IF(INPUT_PRODUCT!C34="";"";INPUT_PRODUCT!K34)</f>
        <v/>
      </c>
      <c r="R21" s="63" t="inlineStr"/>
      <c r="S21" s="63">
        <f>IF(INPUT_PRODUCT!C34="";"";IF(O21="";"";O21*(1+Q21+R21)))</f>
        <v/>
      </c>
      <c r="T21" s="63">
        <f>IF(INPUT_PRODUCT!C34="";"";IF(S21="";"";S21*F21))</f>
        <v/>
      </c>
      <c r="U21" s="62">
        <f>CONFIG!$B$2</f>
        <v/>
      </c>
      <c r="V21" s="62">
        <f>IF(INPUT_PRODUCT!C34="";"";IF(S21="";"";S21*U21))</f>
        <v/>
      </c>
      <c r="W21" s="0">
        <f>IF(INPUT_PRODUCT!C34="";"";IF(T21="";"";T21*U21))</f>
        <v/>
      </c>
      <c r="X21" s="0">
        <f>IF(INPUT_PRODUCT!C34="";"";VLOOKUP(INPUT_PRODUCT!C34;PRODUCT!B:T;19;FALSE))</f>
        <v/>
      </c>
      <c r="Y21" s="0">
        <f>IF(INPUT_PRODUCT!C34="";"";INPUT_PRODUCT!L34)</f>
        <v/>
      </c>
    </row>
    <row r="22" ht="15.75" customHeight="1" s="125">
      <c r="A22" s="62">
        <f>IF(INPUT_PRODUCT!C35="";"";INPUT_PRODUCT!A35)</f>
        <v/>
      </c>
      <c r="B22" s="62">
        <f>IF(INPUT_PRODUCT!C35="";"";INPUT_PRODUCT!B35)</f>
        <v/>
      </c>
      <c r="C22" s="62">
        <f>IF(INPUT_PRODUCT!C35="";"";INPUT_PRODUCT!C35)</f>
        <v/>
      </c>
      <c r="D22" s="62">
        <f>IF(INPUT_PRODUCT!C35="";"";INDEX(PRODUCT!A:A;MATCH(INPUT_PRODUCT!C35;PRODUCT!B:B;0)))</f>
        <v/>
      </c>
      <c r="E22" s="62">
        <f>IF(INPUT_PRODUCT!C35="";"";VLOOKUP(INPUT_PRODUCT!C35;PRODUCT!B:C;2;FALSE))</f>
        <v/>
      </c>
      <c r="F22" s="62">
        <f>IF(INPUT_PRODUCT!C35="";"";INPUT_PRODUCT!J35)</f>
        <v/>
      </c>
      <c r="G22" s="62">
        <f>IF(INPUT_PRODUCT!C35="";"";INPUT_PRODUCT!G35)</f>
        <v/>
      </c>
      <c r="H22" s="62">
        <f>IF(INPUT_PRODUCT!C35="";"";VLOOKUP(INPUT_PRODUCT!C35;PRODUCT!B:F;5;FALSE))</f>
        <v/>
      </c>
      <c r="I22" s="62">
        <f>IF(INPUT_PRODUCT!C35="";"";VLOOKUP(INPUT_PRODUCT!C35;PRODUCT!B:G;6;FALSE))</f>
        <v/>
      </c>
      <c r="J22" s="62">
        <f>IF(INPUT_PRODUCT!C35="";"";VLOOKUP(INPUT_PRODUCT!C35;PRODUCT!B:H;7;FALSE))</f>
        <v/>
      </c>
      <c r="K22" s="60">
        <f>IF(INPUT_PRODUCT!C35="";"";VLOOKUP(INPUT_PRODUCT!C35;PRODUCT!B:I;8;FALSE))</f>
        <v/>
      </c>
      <c r="L22" s="62">
        <f>IF(INPUT_PRODUCT!C35="";"";VLOOKUP(INPUT_PRODUCT!C35;PRODUCT!B:J;9;FALSE))</f>
        <v/>
      </c>
      <c r="M22" s="62">
        <f>IF(INPUT_PRODUCT!C35="";"";VLOOKUP(INPUT_PRODUCT!C35;PRODUCT!B:K;10;FALSE))</f>
        <v/>
      </c>
      <c r="N22" s="62">
        <f>IF(INPUT_PRODUCT!C35="";"";VLOOKUP(INPUT_PRODUCT!C35;PRODUCT!B:L;11;FALSE))</f>
        <v/>
      </c>
      <c r="O22" s="62">
        <f>IF(INPUT_PRODUCT!C35="";"";VLOOKUP(INPUT_PRODUCT!C35;PRODUCT!B:O;14;FALSE))</f>
        <v/>
      </c>
      <c r="P22" s="63">
        <f>IF(INPUT_PRODUCT!C35="";"";VLOOKUP(INPUT_PRODUCT!C35;PRODUCT!B:P;15;FALSE))</f>
        <v/>
      </c>
      <c r="Q22" s="63">
        <f>IF(INPUT_PRODUCT!C35="";"";INPUT_PRODUCT!K35)</f>
        <v/>
      </c>
      <c r="R22" s="63" t="inlineStr"/>
      <c r="S22" s="63">
        <f>IF(INPUT_PRODUCT!C35="";"";IF(O22="";"";O22*(1+Q22+R22)))</f>
        <v/>
      </c>
      <c r="T22" s="63">
        <f>IF(INPUT_PRODUCT!C35="";"";IF(S22="";"";S22*F22))</f>
        <v/>
      </c>
      <c r="U22" s="62">
        <f>CONFIG!$B$2</f>
        <v/>
      </c>
      <c r="V22" s="62">
        <f>IF(INPUT_PRODUCT!C35="";"";IF(S22="";"";S22*U22))</f>
        <v/>
      </c>
      <c r="W22" s="0">
        <f>IF(INPUT_PRODUCT!C35="";"";IF(T22="";"";T22*U22))</f>
        <v/>
      </c>
      <c r="X22" s="0">
        <f>IF(INPUT_PRODUCT!C35="";"";VLOOKUP(INPUT_PRODUCT!C35;PRODUCT!B:T;19;FALSE))</f>
        <v/>
      </c>
      <c r="Y22" s="0">
        <f>IF(INPUT_PRODUCT!C35="";"";INPUT_PRODUCT!L35)</f>
        <v/>
      </c>
    </row>
    <row r="23" ht="15.75" customHeight="1" s="125">
      <c r="A23" s="62">
        <f>IF(INPUT_PRODUCT!C36="";"";INPUT_PRODUCT!A36)</f>
        <v/>
      </c>
      <c r="B23" s="62">
        <f>IF(INPUT_PRODUCT!C36="";"";INPUT_PRODUCT!B36)</f>
        <v/>
      </c>
      <c r="C23" s="62">
        <f>IF(INPUT_PRODUCT!C36="";"";INPUT_PRODUCT!C36)</f>
        <v/>
      </c>
      <c r="D23" s="62">
        <f>IF(INPUT_PRODUCT!C36="";"";INDEX(PRODUCT!A:A;MATCH(INPUT_PRODUCT!C36;PRODUCT!B:B;0)))</f>
        <v/>
      </c>
      <c r="E23" s="62">
        <f>IF(INPUT_PRODUCT!C36="";"";VLOOKUP(INPUT_PRODUCT!C36;PRODUCT!B:C;2;FALSE))</f>
        <v/>
      </c>
      <c r="F23" s="62">
        <f>IF(INPUT_PRODUCT!C36="";"";INPUT_PRODUCT!J36)</f>
        <v/>
      </c>
      <c r="G23" s="62">
        <f>IF(INPUT_PRODUCT!C36="";"";INPUT_PRODUCT!G36)</f>
        <v/>
      </c>
      <c r="H23" s="62">
        <f>IF(INPUT_PRODUCT!C36="";"";VLOOKUP(INPUT_PRODUCT!C36;PRODUCT!B:F;5;FALSE))</f>
        <v/>
      </c>
      <c r="I23" s="62">
        <f>IF(INPUT_PRODUCT!C36="";"";VLOOKUP(INPUT_PRODUCT!C36;PRODUCT!B:G;6;FALSE))</f>
        <v/>
      </c>
      <c r="J23" s="62">
        <f>IF(INPUT_PRODUCT!C36="";"";VLOOKUP(INPUT_PRODUCT!C36;PRODUCT!B:H;7;FALSE))</f>
        <v/>
      </c>
      <c r="K23" s="60">
        <f>IF(INPUT_PRODUCT!C36="";"";VLOOKUP(INPUT_PRODUCT!C36;PRODUCT!B:I;8;FALSE))</f>
        <v/>
      </c>
      <c r="L23" s="62">
        <f>IF(INPUT_PRODUCT!C36="";"";VLOOKUP(INPUT_PRODUCT!C36;PRODUCT!B:J;9;FALSE))</f>
        <v/>
      </c>
      <c r="M23" s="62">
        <f>IF(INPUT_PRODUCT!C36="";"";VLOOKUP(INPUT_PRODUCT!C36;PRODUCT!B:K;10;FALSE))</f>
        <v/>
      </c>
      <c r="N23" s="62">
        <f>IF(INPUT_PRODUCT!C36="";"";VLOOKUP(INPUT_PRODUCT!C36;PRODUCT!B:L;11;FALSE))</f>
        <v/>
      </c>
      <c r="O23" s="62">
        <f>IF(INPUT_PRODUCT!C36="";"";VLOOKUP(INPUT_PRODUCT!C36;PRODUCT!B:O;14;FALSE))</f>
        <v/>
      </c>
      <c r="P23" s="63">
        <f>IF(INPUT_PRODUCT!C36="";"";VLOOKUP(INPUT_PRODUCT!C36;PRODUCT!B:P;15;FALSE))</f>
        <v/>
      </c>
      <c r="Q23" s="63">
        <f>IF(INPUT_PRODUCT!C36="";"";INPUT_PRODUCT!K36)</f>
        <v/>
      </c>
      <c r="R23" s="63" t="inlineStr"/>
      <c r="S23" s="63">
        <f>IF(INPUT_PRODUCT!C36="";"";IF(O23="";"";O23*(1+Q23+R23)))</f>
        <v/>
      </c>
      <c r="T23" s="63">
        <f>IF(INPUT_PRODUCT!C36="";"";IF(S23="";"";S23*F23))</f>
        <v/>
      </c>
      <c r="U23" s="62">
        <f>CONFIG!$B$2</f>
        <v/>
      </c>
      <c r="V23" s="62">
        <f>IF(INPUT_PRODUCT!C36="";"";IF(S23="";"";S23*U23))</f>
        <v/>
      </c>
      <c r="W23" s="0">
        <f>IF(INPUT_PRODUCT!C36="";"";IF(T23="";"";T23*U23))</f>
        <v/>
      </c>
      <c r="X23" s="0">
        <f>IF(INPUT_PRODUCT!C36="";"";VLOOKUP(INPUT_PRODUCT!C36;PRODUCT!B:T;19;FALSE))</f>
        <v/>
      </c>
      <c r="Y23" s="0">
        <f>IF(INPUT_PRODUCT!C36="";"";INPUT_PRODUCT!L36)</f>
        <v/>
      </c>
    </row>
    <row r="24" ht="15.75" customHeight="1" s="125">
      <c r="A24" s="62">
        <f>IF(INPUT_PRODUCT!C37="";"";INPUT_PRODUCT!A37)</f>
        <v/>
      </c>
      <c r="B24" s="62">
        <f>IF(INPUT_PRODUCT!C37="";"";INPUT_PRODUCT!B37)</f>
        <v/>
      </c>
      <c r="C24" s="62">
        <f>IF(INPUT_PRODUCT!C37="";"";INPUT_PRODUCT!C37)</f>
        <v/>
      </c>
      <c r="D24" s="62">
        <f>IF(INPUT_PRODUCT!C37="";"";INDEX(PRODUCT!A:A;MATCH(INPUT_PRODUCT!C37;PRODUCT!B:B;0)))</f>
        <v/>
      </c>
      <c r="E24" s="62">
        <f>IF(INPUT_PRODUCT!C37="";"";VLOOKUP(INPUT_PRODUCT!C37;PRODUCT!B:C;2;FALSE))</f>
        <v/>
      </c>
      <c r="F24" s="62">
        <f>IF(INPUT_PRODUCT!C37="";"";INPUT_PRODUCT!J37)</f>
        <v/>
      </c>
      <c r="G24" s="62">
        <f>IF(INPUT_PRODUCT!C37="";"";INPUT_PRODUCT!G37)</f>
        <v/>
      </c>
      <c r="H24" s="62">
        <f>IF(INPUT_PRODUCT!C37="";"";VLOOKUP(INPUT_PRODUCT!C37;PRODUCT!B:F;5;FALSE))</f>
        <v/>
      </c>
      <c r="I24" s="62">
        <f>IF(INPUT_PRODUCT!C37="";"";VLOOKUP(INPUT_PRODUCT!C37;PRODUCT!B:G;6;FALSE))</f>
        <v/>
      </c>
      <c r="J24" s="62">
        <f>IF(INPUT_PRODUCT!C37="";"";VLOOKUP(INPUT_PRODUCT!C37;PRODUCT!B:H;7;FALSE))</f>
        <v/>
      </c>
      <c r="K24" s="60">
        <f>IF(INPUT_PRODUCT!C37="";"";VLOOKUP(INPUT_PRODUCT!C37;PRODUCT!B:I;8;FALSE))</f>
        <v/>
      </c>
      <c r="L24" s="62">
        <f>IF(INPUT_PRODUCT!C37="";"";VLOOKUP(INPUT_PRODUCT!C37;PRODUCT!B:J;9;FALSE))</f>
        <v/>
      </c>
      <c r="M24" s="62">
        <f>IF(INPUT_PRODUCT!C37="";"";VLOOKUP(INPUT_PRODUCT!C37;PRODUCT!B:K;10;FALSE))</f>
        <v/>
      </c>
      <c r="N24" s="62">
        <f>IF(INPUT_PRODUCT!C37="";"";VLOOKUP(INPUT_PRODUCT!C37;PRODUCT!B:L;11;FALSE))</f>
        <v/>
      </c>
      <c r="O24" s="62">
        <f>IF(INPUT_PRODUCT!C37="";"";VLOOKUP(INPUT_PRODUCT!C37;PRODUCT!B:O;14;FALSE))</f>
        <v/>
      </c>
      <c r="P24" s="63">
        <f>IF(INPUT_PRODUCT!C37="";"";VLOOKUP(INPUT_PRODUCT!C37;PRODUCT!B:P;15;FALSE))</f>
        <v/>
      </c>
      <c r="Q24" s="63">
        <f>IF(INPUT_PRODUCT!C37="";"";INPUT_PRODUCT!K37)</f>
        <v/>
      </c>
      <c r="R24" s="63" t="inlineStr"/>
      <c r="S24" s="63">
        <f>IF(INPUT_PRODUCT!C37="";"";IF(O24="";"";O24*(1+Q24+R24)))</f>
        <v/>
      </c>
      <c r="T24" s="63">
        <f>IF(INPUT_PRODUCT!C37="";"";IF(S24="";"";S24*F24))</f>
        <v/>
      </c>
      <c r="U24" s="62">
        <f>CONFIG!$B$2</f>
        <v/>
      </c>
      <c r="V24" s="62">
        <f>IF(INPUT_PRODUCT!C37="";"";IF(S24="";"";S24*U24))</f>
        <v/>
      </c>
      <c r="W24" s="0">
        <f>IF(INPUT_PRODUCT!C37="";"";IF(T24="";"";T24*U24))</f>
        <v/>
      </c>
      <c r="X24" s="0">
        <f>IF(INPUT_PRODUCT!C37="";"";VLOOKUP(INPUT_PRODUCT!C37;PRODUCT!B:T;19;FALSE))</f>
        <v/>
      </c>
      <c r="Y24" s="0">
        <f>IF(INPUT_PRODUCT!C37="";"";INPUT_PRODUCT!L37)</f>
        <v/>
      </c>
    </row>
    <row r="25" ht="15.75" customHeight="1" s="125">
      <c r="A25" s="62">
        <f>IF(INPUT_PRODUCT!C38="";"";INPUT_PRODUCT!A38)</f>
        <v/>
      </c>
      <c r="B25" s="62">
        <f>IF(INPUT_PRODUCT!C38="";"";INPUT_PRODUCT!B38)</f>
        <v/>
      </c>
      <c r="C25" s="62">
        <f>IF(INPUT_PRODUCT!C38="";"";INPUT_PRODUCT!C38)</f>
        <v/>
      </c>
      <c r="D25" s="62">
        <f>IF(INPUT_PRODUCT!C38="";"";INDEX(PRODUCT!A:A;MATCH(INPUT_PRODUCT!C38;PRODUCT!B:B;0)))</f>
        <v/>
      </c>
      <c r="E25" s="62">
        <f>IF(INPUT_PRODUCT!C38="";"";VLOOKUP(INPUT_PRODUCT!C38;PRODUCT!B:C;2;FALSE))</f>
        <v/>
      </c>
      <c r="F25" s="62">
        <f>IF(INPUT_PRODUCT!C38="";"";INPUT_PRODUCT!J38)</f>
        <v/>
      </c>
      <c r="G25" s="62">
        <f>IF(INPUT_PRODUCT!C38="";"";INPUT_PRODUCT!G38)</f>
        <v/>
      </c>
      <c r="H25" s="62">
        <f>IF(INPUT_PRODUCT!C38="";"";VLOOKUP(INPUT_PRODUCT!C38;PRODUCT!B:F;5;FALSE))</f>
        <v/>
      </c>
      <c r="I25" s="62">
        <f>IF(INPUT_PRODUCT!C38="";"";VLOOKUP(INPUT_PRODUCT!C38;PRODUCT!B:G;6;FALSE))</f>
        <v/>
      </c>
      <c r="J25" s="62">
        <f>IF(INPUT_PRODUCT!C38="";"";VLOOKUP(INPUT_PRODUCT!C38;PRODUCT!B:H;7;FALSE))</f>
        <v/>
      </c>
      <c r="K25" s="60">
        <f>IF(INPUT_PRODUCT!C38="";"";VLOOKUP(INPUT_PRODUCT!C38;PRODUCT!B:I;8;FALSE))</f>
        <v/>
      </c>
      <c r="L25" s="62">
        <f>IF(INPUT_PRODUCT!C38="";"";VLOOKUP(INPUT_PRODUCT!C38;PRODUCT!B:J;9;FALSE))</f>
        <v/>
      </c>
      <c r="M25" s="62">
        <f>IF(INPUT_PRODUCT!C38="";"";VLOOKUP(INPUT_PRODUCT!C38;PRODUCT!B:K;10;FALSE))</f>
        <v/>
      </c>
      <c r="N25" s="62">
        <f>IF(INPUT_PRODUCT!C38="";"";VLOOKUP(INPUT_PRODUCT!C38;PRODUCT!B:L;11;FALSE))</f>
        <v/>
      </c>
      <c r="O25" s="62">
        <f>IF(INPUT_PRODUCT!C38="";"";VLOOKUP(INPUT_PRODUCT!C38;PRODUCT!B:O;14;FALSE))</f>
        <v/>
      </c>
      <c r="P25" s="63">
        <f>IF(INPUT_PRODUCT!C38="";"";VLOOKUP(INPUT_PRODUCT!C38;PRODUCT!B:P;15;FALSE))</f>
        <v/>
      </c>
      <c r="Q25" s="63">
        <f>IF(INPUT_PRODUCT!C38="";"";INPUT_PRODUCT!K38)</f>
        <v/>
      </c>
      <c r="R25" s="63" t="inlineStr"/>
      <c r="S25" s="63">
        <f>IF(INPUT_PRODUCT!C38="";"";IF(O25="";"";O25*(1+Q25+R25)))</f>
        <v/>
      </c>
      <c r="T25" s="63">
        <f>IF(INPUT_PRODUCT!C38="";"";IF(S25="";"";S25*F25))</f>
        <v/>
      </c>
      <c r="U25" s="62">
        <f>CONFIG!$B$2</f>
        <v/>
      </c>
      <c r="V25" s="62">
        <f>IF(INPUT_PRODUCT!C38="";"";IF(S25="";"";S25*U25))</f>
        <v/>
      </c>
      <c r="W25" s="0">
        <f>IF(INPUT_PRODUCT!C38="";"";IF(T25="";"";T25*U25))</f>
        <v/>
      </c>
      <c r="X25" s="0">
        <f>IF(INPUT_PRODUCT!C38="";"";VLOOKUP(INPUT_PRODUCT!C38;PRODUCT!B:T;19;FALSE))</f>
        <v/>
      </c>
      <c r="Y25" s="0">
        <f>IF(INPUT_PRODUCT!C38="";"";INPUT_PRODUCT!L38)</f>
        <v/>
      </c>
    </row>
    <row r="26" ht="15.75" customHeight="1" s="125">
      <c r="A26" s="62">
        <f>IF(INPUT_PRODUCT!C39="";"";INPUT_PRODUCT!A39)</f>
        <v/>
      </c>
      <c r="B26" s="62">
        <f>IF(INPUT_PRODUCT!C39="";"";INPUT_PRODUCT!B39)</f>
        <v/>
      </c>
      <c r="C26" s="62">
        <f>IF(INPUT_PRODUCT!C39="";"";INPUT_PRODUCT!C39)</f>
        <v/>
      </c>
      <c r="D26" s="62">
        <f>IF(INPUT_PRODUCT!C39="";"";INDEX(PRODUCT!A:A;MATCH(INPUT_PRODUCT!C39;PRODUCT!B:B;0)))</f>
        <v/>
      </c>
      <c r="E26" s="62">
        <f>IF(INPUT_PRODUCT!C39="";"";VLOOKUP(INPUT_PRODUCT!C39;PRODUCT!B:C;2;FALSE))</f>
        <v/>
      </c>
      <c r="F26" s="62">
        <f>IF(INPUT_PRODUCT!C39="";"";INPUT_PRODUCT!J39)</f>
        <v/>
      </c>
      <c r="G26" s="62">
        <f>IF(INPUT_PRODUCT!C39="";"";INPUT_PRODUCT!G39)</f>
        <v/>
      </c>
      <c r="H26" s="62">
        <f>IF(INPUT_PRODUCT!C39="";"";VLOOKUP(INPUT_PRODUCT!C39;PRODUCT!B:F;5;FALSE))</f>
        <v/>
      </c>
      <c r="I26" s="62">
        <f>IF(INPUT_PRODUCT!C39="";"";VLOOKUP(INPUT_PRODUCT!C39;PRODUCT!B:G;6;FALSE))</f>
        <v/>
      </c>
      <c r="J26" s="62">
        <f>IF(INPUT_PRODUCT!C39="";"";VLOOKUP(INPUT_PRODUCT!C39;PRODUCT!B:H;7;FALSE))</f>
        <v/>
      </c>
      <c r="K26" s="60">
        <f>IF(INPUT_PRODUCT!C39="";"";VLOOKUP(INPUT_PRODUCT!C39;PRODUCT!B:I;8;FALSE))</f>
        <v/>
      </c>
      <c r="L26" s="62">
        <f>IF(INPUT_PRODUCT!C39="";"";VLOOKUP(INPUT_PRODUCT!C39;PRODUCT!B:J;9;FALSE))</f>
        <v/>
      </c>
      <c r="M26" s="62">
        <f>IF(INPUT_PRODUCT!C39="";"";VLOOKUP(INPUT_PRODUCT!C39;PRODUCT!B:K;10;FALSE))</f>
        <v/>
      </c>
      <c r="N26" s="62">
        <f>IF(INPUT_PRODUCT!C39="";"";VLOOKUP(INPUT_PRODUCT!C39;PRODUCT!B:L;11;FALSE))</f>
        <v/>
      </c>
      <c r="O26" s="62">
        <f>IF(INPUT_PRODUCT!C39="";"";VLOOKUP(INPUT_PRODUCT!C39;PRODUCT!B:O;14;FALSE))</f>
        <v/>
      </c>
      <c r="P26" s="63">
        <f>IF(INPUT_PRODUCT!C39="";"";VLOOKUP(INPUT_PRODUCT!C39;PRODUCT!B:P;15;FALSE))</f>
        <v/>
      </c>
      <c r="Q26" s="63">
        <f>IF(INPUT_PRODUCT!C39="";"";INPUT_PRODUCT!K39)</f>
        <v/>
      </c>
      <c r="R26" s="63" t="inlineStr"/>
      <c r="S26" s="63">
        <f>IF(INPUT_PRODUCT!C39="";"";IF(O26="";"";O26*(1+Q26+R26)))</f>
        <v/>
      </c>
      <c r="T26" s="63">
        <f>IF(INPUT_PRODUCT!C39="";"";IF(S26="";"";S26*F26))</f>
        <v/>
      </c>
      <c r="U26" s="62">
        <f>CONFIG!$B$2</f>
        <v/>
      </c>
      <c r="V26" s="62">
        <f>IF(INPUT_PRODUCT!C39="";"";IF(S26="";"";S26*U26))</f>
        <v/>
      </c>
      <c r="W26" s="0">
        <f>IF(INPUT_PRODUCT!C39="";"";IF(T26="";"";T26*U26))</f>
        <v/>
      </c>
      <c r="X26" s="0">
        <f>IF(INPUT_PRODUCT!C39="";"";VLOOKUP(INPUT_PRODUCT!C39;PRODUCT!B:T;19;FALSE))</f>
        <v/>
      </c>
      <c r="Y26" s="0">
        <f>IF(INPUT_PRODUCT!C39="";"";INPUT_PRODUCT!L39)</f>
        <v/>
      </c>
    </row>
    <row r="27" ht="15.75" customHeight="1" s="125">
      <c r="A27" s="62">
        <f>IF(INPUT_PRODUCT!C40="";"";INPUT_PRODUCT!A40)</f>
        <v/>
      </c>
      <c r="B27" s="62">
        <f>IF(INPUT_PRODUCT!C40="";"";INPUT_PRODUCT!B40)</f>
        <v/>
      </c>
      <c r="C27" s="62">
        <f>IF(INPUT_PRODUCT!C40="";"";INPUT_PRODUCT!C40)</f>
        <v/>
      </c>
      <c r="D27" s="62">
        <f>IF(INPUT_PRODUCT!C40="";"";INDEX(PRODUCT!A:A;MATCH(INPUT_PRODUCT!C40;PRODUCT!B:B;0)))</f>
        <v/>
      </c>
      <c r="E27" s="62">
        <f>IF(INPUT_PRODUCT!C40="";"";VLOOKUP(INPUT_PRODUCT!C40;PRODUCT!B:C;2;FALSE))</f>
        <v/>
      </c>
      <c r="F27" s="62">
        <f>IF(INPUT_PRODUCT!C40="";"";INPUT_PRODUCT!J40)</f>
        <v/>
      </c>
      <c r="G27" s="62">
        <f>IF(INPUT_PRODUCT!C40="";"";INPUT_PRODUCT!G40)</f>
        <v/>
      </c>
      <c r="H27" s="62">
        <f>IF(INPUT_PRODUCT!C40="";"";VLOOKUP(INPUT_PRODUCT!C40;PRODUCT!B:F;5;FALSE))</f>
        <v/>
      </c>
      <c r="I27" s="62">
        <f>IF(INPUT_PRODUCT!C40="";"";VLOOKUP(INPUT_PRODUCT!C40;PRODUCT!B:G;6;FALSE))</f>
        <v/>
      </c>
      <c r="J27" s="62">
        <f>IF(INPUT_PRODUCT!C40="";"";VLOOKUP(INPUT_PRODUCT!C40;PRODUCT!B:H;7;FALSE))</f>
        <v/>
      </c>
      <c r="K27" s="60">
        <f>IF(INPUT_PRODUCT!C40="";"";VLOOKUP(INPUT_PRODUCT!C40;PRODUCT!B:I;8;FALSE))</f>
        <v/>
      </c>
      <c r="L27" s="62">
        <f>IF(INPUT_PRODUCT!C40="";"";VLOOKUP(INPUT_PRODUCT!C40;PRODUCT!B:J;9;FALSE))</f>
        <v/>
      </c>
      <c r="M27" s="62">
        <f>IF(INPUT_PRODUCT!C40="";"";VLOOKUP(INPUT_PRODUCT!C40;PRODUCT!B:K;10;FALSE))</f>
        <v/>
      </c>
      <c r="N27" s="62">
        <f>IF(INPUT_PRODUCT!C40="";"";VLOOKUP(INPUT_PRODUCT!C40;PRODUCT!B:L;11;FALSE))</f>
        <v/>
      </c>
      <c r="O27" s="62">
        <f>IF(INPUT_PRODUCT!C40="";"";VLOOKUP(INPUT_PRODUCT!C40;PRODUCT!B:O;14;FALSE))</f>
        <v/>
      </c>
      <c r="P27" s="63">
        <f>IF(INPUT_PRODUCT!C40="";"";VLOOKUP(INPUT_PRODUCT!C40;PRODUCT!B:P;15;FALSE))</f>
        <v/>
      </c>
      <c r="Q27" s="63">
        <f>IF(INPUT_PRODUCT!C40="";"";INPUT_PRODUCT!K40)</f>
        <v/>
      </c>
      <c r="R27" s="63" t="inlineStr"/>
      <c r="S27" s="63">
        <f>IF(INPUT_PRODUCT!C40="";"";IF(O27="";"";O27*(1+Q27+R27)))</f>
        <v/>
      </c>
      <c r="T27" s="63">
        <f>IF(INPUT_PRODUCT!C40="";"";IF(S27="";"";S27*F27))</f>
        <v/>
      </c>
      <c r="U27" s="62">
        <f>CONFIG!$B$2</f>
        <v/>
      </c>
      <c r="V27" s="62">
        <f>IF(INPUT_PRODUCT!C40="";"";IF(S27="";"";S27*U27))</f>
        <v/>
      </c>
      <c r="W27" s="0">
        <f>IF(INPUT_PRODUCT!C40="";"";IF(T27="";"";T27*U27))</f>
        <v/>
      </c>
      <c r="X27" s="0">
        <f>IF(INPUT_PRODUCT!C40="";"";VLOOKUP(INPUT_PRODUCT!C40;PRODUCT!B:T;19;FALSE))</f>
        <v/>
      </c>
      <c r="Y27" s="0">
        <f>IF(INPUT_PRODUCT!C40="";"";INPUT_PRODUCT!L40)</f>
        <v/>
      </c>
    </row>
    <row r="28" ht="15.75" customHeight="1" s="125">
      <c r="A28" s="62">
        <f>IF(INPUT_PRODUCT!C41="";"";INPUT_PRODUCT!A41)</f>
        <v/>
      </c>
      <c r="B28" s="62">
        <f>IF(INPUT_PRODUCT!C41="";"";INPUT_PRODUCT!B41)</f>
        <v/>
      </c>
      <c r="C28" s="62">
        <f>IF(INPUT_PRODUCT!C41="";"";INPUT_PRODUCT!C41)</f>
        <v/>
      </c>
      <c r="D28" s="62">
        <f>IF(INPUT_PRODUCT!C41="";"";INDEX(PRODUCT!A:A;MATCH(INPUT_PRODUCT!C41;PRODUCT!B:B;0)))</f>
        <v/>
      </c>
      <c r="E28" s="62">
        <f>IF(INPUT_PRODUCT!C41="";"";VLOOKUP(INPUT_PRODUCT!C41;PRODUCT!B:C;2;FALSE))</f>
        <v/>
      </c>
      <c r="F28" s="62">
        <f>IF(INPUT_PRODUCT!C41="";"";INPUT_PRODUCT!J41)</f>
        <v/>
      </c>
      <c r="G28" s="62">
        <f>IF(INPUT_PRODUCT!C41="";"";INPUT_PRODUCT!G41)</f>
        <v/>
      </c>
      <c r="H28" s="62">
        <f>IF(INPUT_PRODUCT!C41="";"";VLOOKUP(INPUT_PRODUCT!C41;PRODUCT!B:F;5;FALSE))</f>
        <v/>
      </c>
      <c r="I28" s="62">
        <f>IF(INPUT_PRODUCT!C41="";"";VLOOKUP(INPUT_PRODUCT!C41;PRODUCT!B:G;6;FALSE))</f>
        <v/>
      </c>
      <c r="J28" s="62">
        <f>IF(INPUT_PRODUCT!C41="";"";VLOOKUP(INPUT_PRODUCT!C41;PRODUCT!B:H;7;FALSE))</f>
        <v/>
      </c>
      <c r="K28" s="60">
        <f>IF(INPUT_PRODUCT!C41="";"";VLOOKUP(INPUT_PRODUCT!C41;PRODUCT!B:I;8;FALSE))</f>
        <v/>
      </c>
      <c r="L28" s="62">
        <f>IF(INPUT_PRODUCT!C41="";"";VLOOKUP(INPUT_PRODUCT!C41;PRODUCT!B:J;9;FALSE))</f>
        <v/>
      </c>
      <c r="M28" s="62">
        <f>IF(INPUT_PRODUCT!C41="";"";VLOOKUP(INPUT_PRODUCT!C41;PRODUCT!B:K;10;FALSE))</f>
        <v/>
      </c>
      <c r="N28" s="62">
        <f>IF(INPUT_PRODUCT!C41="";"";VLOOKUP(INPUT_PRODUCT!C41;PRODUCT!B:L;11;FALSE))</f>
        <v/>
      </c>
      <c r="O28" s="62">
        <f>IF(INPUT_PRODUCT!C41="";"";VLOOKUP(INPUT_PRODUCT!C41;PRODUCT!B:O;14;FALSE))</f>
        <v/>
      </c>
      <c r="P28" s="63">
        <f>IF(INPUT_PRODUCT!C41="";"";VLOOKUP(INPUT_PRODUCT!C41;PRODUCT!B:P;15;FALSE))</f>
        <v/>
      </c>
      <c r="Q28" s="63">
        <f>IF(INPUT_PRODUCT!C41="";"";INPUT_PRODUCT!K41)</f>
        <v/>
      </c>
      <c r="R28" s="63" t="inlineStr"/>
      <c r="S28" s="63">
        <f>IF(INPUT_PRODUCT!C41="";"";IF(O28="";"";O28*(1+Q28+R28)))</f>
        <v/>
      </c>
      <c r="T28" s="63">
        <f>IF(INPUT_PRODUCT!C41="";"";IF(S28="";"";S28*F28))</f>
        <v/>
      </c>
      <c r="U28" s="62">
        <f>CONFIG!$B$2</f>
        <v/>
      </c>
      <c r="V28" s="62">
        <f>IF(INPUT_PRODUCT!C41="";"";IF(S28="";"";S28*U28))</f>
        <v/>
      </c>
      <c r="W28" s="0">
        <f>IF(INPUT_PRODUCT!C41="";"";IF(T28="";"";T28*U28))</f>
        <v/>
      </c>
      <c r="X28" s="0">
        <f>IF(INPUT_PRODUCT!C41="";"";VLOOKUP(INPUT_PRODUCT!C41;PRODUCT!B:T;19;FALSE))</f>
        <v/>
      </c>
      <c r="Y28" s="0">
        <f>IF(INPUT_PRODUCT!C41="";"";INPUT_PRODUCT!L41)</f>
        <v/>
      </c>
    </row>
    <row r="29" ht="15.75" customHeight="1" s="125">
      <c r="A29" s="62">
        <f>IF(INPUT_PRODUCT!C42="";"";INPUT_PRODUCT!A42)</f>
        <v/>
      </c>
      <c r="B29" s="62">
        <f>IF(INPUT_PRODUCT!C42="";"";INPUT_PRODUCT!B42)</f>
        <v/>
      </c>
      <c r="C29" s="62">
        <f>IF(INPUT_PRODUCT!C42="";"";INPUT_PRODUCT!C42)</f>
        <v/>
      </c>
      <c r="D29" s="62">
        <f>IF(INPUT_PRODUCT!C42="";"";INDEX(PRODUCT!A:A;MATCH(INPUT_PRODUCT!C42;PRODUCT!B:B;0)))</f>
        <v/>
      </c>
      <c r="E29" s="62">
        <f>IF(INPUT_PRODUCT!C42="";"";VLOOKUP(INPUT_PRODUCT!C42;PRODUCT!B:C;2;FALSE))</f>
        <v/>
      </c>
      <c r="F29" s="62">
        <f>IF(INPUT_PRODUCT!C42="";"";INPUT_PRODUCT!J42)</f>
        <v/>
      </c>
      <c r="G29" s="62">
        <f>IF(INPUT_PRODUCT!C42="";"";INPUT_PRODUCT!G42)</f>
        <v/>
      </c>
      <c r="H29" s="62">
        <f>IF(INPUT_PRODUCT!C42="";"";VLOOKUP(INPUT_PRODUCT!C42;PRODUCT!B:F;5;FALSE))</f>
        <v/>
      </c>
      <c r="I29" s="62">
        <f>IF(INPUT_PRODUCT!C42="";"";VLOOKUP(INPUT_PRODUCT!C42;PRODUCT!B:G;6;FALSE))</f>
        <v/>
      </c>
      <c r="J29" s="62">
        <f>IF(INPUT_PRODUCT!C42="";"";VLOOKUP(INPUT_PRODUCT!C42;PRODUCT!B:H;7;FALSE))</f>
        <v/>
      </c>
      <c r="K29" s="60">
        <f>IF(INPUT_PRODUCT!C42="";"";VLOOKUP(INPUT_PRODUCT!C42;PRODUCT!B:I;8;FALSE))</f>
        <v/>
      </c>
      <c r="L29" s="62">
        <f>IF(INPUT_PRODUCT!C42="";"";VLOOKUP(INPUT_PRODUCT!C42;PRODUCT!B:J;9;FALSE))</f>
        <v/>
      </c>
      <c r="M29" s="62">
        <f>IF(INPUT_PRODUCT!C42="";"";VLOOKUP(INPUT_PRODUCT!C42;PRODUCT!B:K;10;FALSE))</f>
        <v/>
      </c>
      <c r="N29" s="62">
        <f>IF(INPUT_PRODUCT!C42="";"";VLOOKUP(INPUT_PRODUCT!C42;PRODUCT!B:L;11;FALSE))</f>
        <v/>
      </c>
      <c r="O29" s="62">
        <f>IF(INPUT_PRODUCT!C42="";"";VLOOKUP(INPUT_PRODUCT!C42;PRODUCT!B:O;14;FALSE))</f>
        <v/>
      </c>
      <c r="P29" s="63">
        <f>IF(INPUT_PRODUCT!C42="";"";VLOOKUP(INPUT_PRODUCT!C42;PRODUCT!B:P;15;FALSE))</f>
        <v/>
      </c>
      <c r="Q29" s="63">
        <f>IF(INPUT_PRODUCT!C42="";"";INPUT_PRODUCT!K42)</f>
        <v/>
      </c>
      <c r="R29" s="63" t="inlineStr"/>
      <c r="S29" s="63">
        <f>IF(INPUT_PRODUCT!C42="";"";IF(O29="";"";O29*(1+Q29+R29)))</f>
        <v/>
      </c>
      <c r="T29" s="63">
        <f>IF(INPUT_PRODUCT!C42="";"";IF(S29="";"";S29*F29))</f>
        <v/>
      </c>
      <c r="U29" s="62">
        <f>CONFIG!$B$2</f>
        <v/>
      </c>
      <c r="V29" s="62">
        <f>IF(INPUT_PRODUCT!C42="";"";IF(S29="";"";S29*U29))</f>
        <v/>
      </c>
      <c r="W29" s="0">
        <f>IF(INPUT_PRODUCT!C42="";"";IF(T29="";"";T29*U29))</f>
        <v/>
      </c>
      <c r="X29" s="0">
        <f>IF(INPUT_PRODUCT!C42="";"";VLOOKUP(INPUT_PRODUCT!C42;PRODUCT!B:T;19;FALSE))</f>
        <v/>
      </c>
      <c r="Y29" s="0">
        <f>IF(INPUT_PRODUCT!C42="";"";INPUT_PRODUCT!L42)</f>
        <v/>
      </c>
    </row>
    <row r="30" ht="15.75" customHeight="1" s="125">
      <c r="A30" s="62">
        <f>IF(INPUT_PRODUCT!C43="";"";INPUT_PRODUCT!A43)</f>
        <v/>
      </c>
      <c r="B30" s="62">
        <f>IF(INPUT_PRODUCT!C43="";"";INPUT_PRODUCT!B43)</f>
        <v/>
      </c>
      <c r="C30" s="62">
        <f>IF(INPUT_PRODUCT!C43="";"";INPUT_PRODUCT!C43)</f>
        <v/>
      </c>
      <c r="D30" s="62">
        <f>IF(INPUT_PRODUCT!C43="";"";INDEX(PRODUCT!A:A;MATCH(INPUT_PRODUCT!C43;PRODUCT!B:B;0)))</f>
        <v/>
      </c>
      <c r="E30" s="62">
        <f>IF(INPUT_PRODUCT!C43="";"";VLOOKUP(INPUT_PRODUCT!C43;PRODUCT!B:C;2;FALSE))</f>
        <v/>
      </c>
      <c r="F30" s="62">
        <f>IF(INPUT_PRODUCT!C43="";"";INPUT_PRODUCT!J43)</f>
        <v/>
      </c>
      <c r="G30" s="62">
        <f>IF(INPUT_PRODUCT!C43="";"";INPUT_PRODUCT!G43)</f>
        <v/>
      </c>
      <c r="H30" s="62">
        <f>IF(INPUT_PRODUCT!C43="";"";VLOOKUP(INPUT_PRODUCT!C43;PRODUCT!B:F;5;FALSE))</f>
        <v/>
      </c>
      <c r="I30" s="62">
        <f>IF(INPUT_PRODUCT!C43="";"";VLOOKUP(INPUT_PRODUCT!C43;PRODUCT!B:G;6;FALSE))</f>
        <v/>
      </c>
      <c r="J30" s="62">
        <f>IF(INPUT_PRODUCT!C43="";"";VLOOKUP(INPUT_PRODUCT!C43;PRODUCT!B:H;7;FALSE))</f>
        <v/>
      </c>
      <c r="K30" s="60">
        <f>IF(INPUT_PRODUCT!C43="";"";VLOOKUP(INPUT_PRODUCT!C43;PRODUCT!B:I;8;FALSE))</f>
        <v/>
      </c>
      <c r="L30" s="62">
        <f>IF(INPUT_PRODUCT!C43="";"";VLOOKUP(INPUT_PRODUCT!C43;PRODUCT!B:J;9;FALSE))</f>
        <v/>
      </c>
      <c r="M30" s="62">
        <f>IF(INPUT_PRODUCT!C43="";"";VLOOKUP(INPUT_PRODUCT!C43;PRODUCT!B:K;10;FALSE))</f>
        <v/>
      </c>
      <c r="N30" s="62">
        <f>IF(INPUT_PRODUCT!C43="";"";VLOOKUP(INPUT_PRODUCT!C43;PRODUCT!B:L;11;FALSE))</f>
        <v/>
      </c>
      <c r="O30" s="62">
        <f>IF(INPUT_PRODUCT!C43="";"";VLOOKUP(INPUT_PRODUCT!C43;PRODUCT!B:O;14;FALSE))</f>
        <v/>
      </c>
      <c r="P30" s="63">
        <f>IF(INPUT_PRODUCT!C43="";"";VLOOKUP(INPUT_PRODUCT!C43;PRODUCT!B:P;15;FALSE))</f>
        <v/>
      </c>
      <c r="Q30" s="63">
        <f>IF(INPUT_PRODUCT!C43="";"";INPUT_PRODUCT!K43)</f>
        <v/>
      </c>
      <c r="R30" s="63" t="inlineStr"/>
      <c r="S30" s="63">
        <f>IF(INPUT_PRODUCT!C43="";"";IF(O30="";"";O30*(1+Q30+R30)))</f>
        <v/>
      </c>
      <c r="T30" s="63">
        <f>IF(INPUT_PRODUCT!C43="";"";IF(S30="";"";S30*F30))</f>
        <v/>
      </c>
      <c r="U30" s="62">
        <f>CONFIG!$B$2</f>
        <v/>
      </c>
      <c r="V30" s="62">
        <f>IF(INPUT_PRODUCT!C43="";"";IF(S30="";"";S30*U30))</f>
        <v/>
      </c>
      <c r="W30" s="0">
        <f>IF(INPUT_PRODUCT!C43="";"";IF(T30="";"";T30*U30))</f>
        <v/>
      </c>
      <c r="X30" s="0">
        <f>IF(INPUT_PRODUCT!C43="";"";VLOOKUP(INPUT_PRODUCT!C43;PRODUCT!B:T;19;FALSE))</f>
        <v/>
      </c>
      <c r="Y30" s="0">
        <f>IF(INPUT_PRODUCT!C43="";"";INPUT_PRODUCT!L43)</f>
        <v/>
      </c>
    </row>
    <row r="31" ht="15.75" customHeight="1" s="125">
      <c r="A31" s="62">
        <f>IF(INPUT_PRODUCT!C44="";"";INPUT_PRODUCT!A44)</f>
        <v/>
      </c>
      <c r="B31" s="62">
        <f>IF(INPUT_PRODUCT!C44="";"";INPUT_PRODUCT!B44)</f>
        <v/>
      </c>
      <c r="C31" s="62">
        <f>IF(INPUT_PRODUCT!C44="";"";INPUT_PRODUCT!C44)</f>
        <v/>
      </c>
      <c r="D31" s="62">
        <f>IF(INPUT_PRODUCT!C44="";"";INDEX(PRODUCT!A:A;MATCH(INPUT_PRODUCT!C44;PRODUCT!B:B;0)))</f>
        <v/>
      </c>
      <c r="E31" s="62">
        <f>IF(INPUT_PRODUCT!C44="";"";VLOOKUP(INPUT_PRODUCT!C44;PRODUCT!B:C;2;FALSE))</f>
        <v/>
      </c>
      <c r="F31" s="62">
        <f>IF(INPUT_PRODUCT!C44="";"";INPUT_PRODUCT!J44)</f>
        <v/>
      </c>
      <c r="G31" s="62">
        <f>IF(INPUT_PRODUCT!C44="";"";INPUT_PRODUCT!G44)</f>
        <v/>
      </c>
      <c r="H31" s="62">
        <f>IF(INPUT_PRODUCT!C44="";"";VLOOKUP(INPUT_PRODUCT!C44;PRODUCT!B:F;5;FALSE))</f>
        <v/>
      </c>
      <c r="I31" s="62">
        <f>IF(INPUT_PRODUCT!C44="";"";VLOOKUP(INPUT_PRODUCT!C44;PRODUCT!B:G;6;FALSE))</f>
        <v/>
      </c>
      <c r="J31" s="62">
        <f>IF(INPUT_PRODUCT!C44="";"";VLOOKUP(INPUT_PRODUCT!C44;PRODUCT!B:H;7;FALSE))</f>
        <v/>
      </c>
      <c r="K31" s="60">
        <f>IF(INPUT_PRODUCT!C44="";"";VLOOKUP(INPUT_PRODUCT!C44;PRODUCT!B:I;8;FALSE))</f>
        <v/>
      </c>
      <c r="L31" s="62">
        <f>IF(INPUT_PRODUCT!C44="";"";VLOOKUP(INPUT_PRODUCT!C44;PRODUCT!B:J;9;FALSE))</f>
        <v/>
      </c>
      <c r="M31" s="62">
        <f>IF(INPUT_PRODUCT!C44="";"";VLOOKUP(INPUT_PRODUCT!C44;PRODUCT!B:K;10;FALSE))</f>
        <v/>
      </c>
      <c r="N31" s="62">
        <f>IF(INPUT_PRODUCT!C44="";"";VLOOKUP(INPUT_PRODUCT!C44;PRODUCT!B:L;11;FALSE))</f>
        <v/>
      </c>
      <c r="O31" s="62">
        <f>IF(INPUT_PRODUCT!C44="";"";VLOOKUP(INPUT_PRODUCT!C44;PRODUCT!B:O;14;FALSE))</f>
        <v/>
      </c>
      <c r="P31" s="63">
        <f>IF(INPUT_PRODUCT!C44="";"";VLOOKUP(INPUT_PRODUCT!C44;PRODUCT!B:P;15;FALSE))</f>
        <v/>
      </c>
      <c r="Q31" s="63">
        <f>IF(INPUT_PRODUCT!C44="";"";INPUT_PRODUCT!K44)</f>
        <v/>
      </c>
      <c r="R31" s="63" t="inlineStr"/>
      <c r="S31" s="63">
        <f>IF(INPUT_PRODUCT!C44="";"";IF(O31="";"";O31*(1+Q31+R31)))</f>
        <v/>
      </c>
      <c r="T31" s="63">
        <f>IF(INPUT_PRODUCT!C44="";"";IF(S31="";"";S31*F31))</f>
        <v/>
      </c>
      <c r="U31" s="62">
        <f>CONFIG!$B$2</f>
        <v/>
      </c>
      <c r="V31" s="62">
        <f>IF(INPUT_PRODUCT!C44="";"";IF(S31="";"";S31*U31))</f>
        <v/>
      </c>
      <c r="W31" s="0">
        <f>IF(INPUT_PRODUCT!C44="";"";IF(T31="";"";T31*U31))</f>
        <v/>
      </c>
      <c r="X31" s="0">
        <f>IF(INPUT_PRODUCT!C44="";"";VLOOKUP(INPUT_PRODUCT!C44;PRODUCT!B:T;19;FALSE))</f>
        <v/>
      </c>
      <c r="Y31" s="0">
        <f>IF(INPUT_PRODUCT!C44="";"";INPUT_PRODUCT!L44)</f>
        <v/>
      </c>
    </row>
    <row r="32" ht="15.75" customHeight="1" s="125">
      <c r="A32" s="62">
        <f>IF(INPUT_PRODUCT!C45="";"";INPUT_PRODUCT!A45)</f>
        <v/>
      </c>
      <c r="B32" s="62">
        <f>IF(INPUT_PRODUCT!C45="";"";INPUT_PRODUCT!B45)</f>
        <v/>
      </c>
      <c r="C32" s="62">
        <f>IF(INPUT_PRODUCT!C45="";"";INPUT_PRODUCT!C45)</f>
        <v/>
      </c>
      <c r="D32" s="62">
        <f>IF(INPUT_PRODUCT!C45="";"";INDEX(PRODUCT!A:A;MATCH(INPUT_PRODUCT!C45;PRODUCT!B:B;0)))</f>
        <v/>
      </c>
      <c r="E32" s="62">
        <f>IF(INPUT_PRODUCT!C45="";"";VLOOKUP(INPUT_PRODUCT!C45;PRODUCT!B:C;2;FALSE))</f>
        <v/>
      </c>
      <c r="F32" s="62">
        <f>IF(INPUT_PRODUCT!C45="";"";INPUT_PRODUCT!J45)</f>
        <v/>
      </c>
      <c r="G32" s="62">
        <f>IF(INPUT_PRODUCT!C45="";"";INPUT_PRODUCT!G45)</f>
        <v/>
      </c>
      <c r="H32" s="62">
        <f>IF(INPUT_PRODUCT!C45="";"";VLOOKUP(INPUT_PRODUCT!C45;PRODUCT!B:F;5;FALSE))</f>
        <v/>
      </c>
      <c r="I32" s="62">
        <f>IF(INPUT_PRODUCT!C45="";"";VLOOKUP(INPUT_PRODUCT!C45;PRODUCT!B:G;6;FALSE))</f>
        <v/>
      </c>
      <c r="J32" s="62">
        <f>IF(INPUT_PRODUCT!C45="";"";VLOOKUP(INPUT_PRODUCT!C45;PRODUCT!B:H;7;FALSE))</f>
        <v/>
      </c>
      <c r="K32" s="60">
        <f>IF(INPUT_PRODUCT!C45="";"";VLOOKUP(INPUT_PRODUCT!C45;PRODUCT!B:I;8;FALSE))</f>
        <v/>
      </c>
      <c r="L32" s="62">
        <f>IF(INPUT_PRODUCT!C45="";"";VLOOKUP(INPUT_PRODUCT!C45;PRODUCT!B:J;9;FALSE))</f>
        <v/>
      </c>
      <c r="M32" s="62">
        <f>IF(INPUT_PRODUCT!C45="";"";VLOOKUP(INPUT_PRODUCT!C45;PRODUCT!B:K;10;FALSE))</f>
        <v/>
      </c>
      <c r="N32" s="62">
        <f>IF(INPUT_PRODUCT!C45="";"";VLOOKUP(INPUT_PRODUCT!C45;PRODUCT!B:L;11;FALSE))</f>
        <v/>
      </c>
      <c r="O32" s="62">
        <f>IF(INPUT_PRODUCT!C45="";"";VLOOKUP(INPUT_PRODUCT!C45;PRODUCT!B:O;14;FALSE))</f>
        <v/>
      </c>
      <c r="P32" s="63">
        <f>IF(INPUT_PRODUCT!C45="";"";VLOOKUP(INPUT_PRODUCT!C45;PRODUCT!B:P;15;FALSE))</f>
        <v/>
      </c>
      <c r="Q32" s="63">
        <f>IF(INPUT_PRODUCT!C45="";"";INPUT_PRODUCT!K45)</f>
        <v/>
      </c>
      <c r="R32" s="63" t="inlineStr"/>
      <c r="S32" s="63">
        <f>IF(INPUT_PRODUCT!C45="";"";IF(O32="";"";O32*(1+Q32+R32)))</f>
        <v/>
      </c>
      <c r="T32" s="63">
        <f>IF(INPUT_PRODUCT!C45="";"";IF(S32="";"";S32*F32))</f>
        <v/>
      </c>
      <c r="U32" s="62">
        <f>CONFIG!$B$2</f>
        <v/>
      </c>
      <c r="V32" s="62">
        <f>IF(INPUT_PRODUCT!C45="";"";IF(S32="";"";S32*U32))</f>
        <v/>
      </c>
      <c r="W32" s="0">
        <f>IF(INPUT_PRODUCT!C45="";"";IF(T32="";"";T32*U32))</f>
        <v/>
      </c>
      <c r="X32" s="0">
        <f>IF(INPUT_PRODUCT!C45="";"";VLOOKUP(INPUT_PRODUCT!C45;PRODUCT!B:T;19;FALSE))</f>
        <v/>
      </c>
      <c r="Y32" s="0">
        <f>IF(INPUT_PRODUCT!C45="";"";INPUT_PRODUCT!L45)</f>
        <v/>
      </c>
    </row>
    <row r="33" ht="15.75" customHeight="1" s="125">
      <c r="A33" s="62">
        <f>IF(INPUT_PRODUCT!C46="";"";INPUT_PRODUCT!A46)</f>
        <v/>
      </c>
      <c r="B33" s="62">
        <f>IF(INPUT_PRODUCT!C46="";"";INPUT_PRODUCT!B46)</f>
        <v/>
      </c>
      <c r="C33" s="62">
        <f>IF(INPUT_PRODUCT!C46="";"";INPUT_PRODUCT!C46)</f>
        <v/>
      </c>
      <c r="D33" s="62">
        <f>IF(INPUT_PRODUCT!C46="";"";INDEX(PRODUCT!A:A;MATCH(INPUT_PRODUCT!C46;PRODUCT!B:B;0)))</f>
        <v/>
      </c>
      <c r="E33" s="62">
        <f>IF(INPUT_PRODUCT!C46="";"";VLOOKUP(INPUT_PRODUCT!C46;PRODUCT!B:C;2;FALSE))</f>
        <v/>
      </c>
      <c r="F33" s="62">
        <f>IF(INPUT_PRODUCT!C46="";"";INPUT_PRODUCT!J46)</f>
        <v/>
      </c>
      <c r="G33" s="62">
        <f>IF(INPUT_PRODUCT!C46="";"";INPUT_PRODUCT!G46)</f>
        <v/>
      </c>
      <c r="H33" s="62">
        <f>IF(INPUT_PRODUCT!C46="";"";VLOOKUP(INPUT_PRODUCT!C46;PRODUCT!B:F;5;FALSE))</f>
        <v/>
      </c>
      <c r="I33" s="62">
        <f>IF(INPUT_PRODUCT!C46="";"";VLOOKUP(INPUT_PRODUCT!C46;PRODUCT!B:G;6;FALSE))</f>
        <v/>
      </c>
      <c r="J33" s="62">
        <f>IF(INPUT_PRODUCT!C46="";"";VLOOKUP(INPUT_PRODUCT!C46;PRODUCT!B:H;7;FALSE))</f>
        <v/>
      </c>
      <c r="K33" s="60">
        <f>IF(INPUT_PRODUCT!C46="";"";VLOOKUP(INPUT_PRODUCT!C46;PRODUCT!B:I;8;FALSE))</f>
        <v/>
      </c>
      <c r="L33" s="62">
        <f>IF(INPUT_PRODUCT!C46="";"";VLOOKUP(INPUT_PRODUCT!C46;PRODUCT!B:J;9;FALSE))</f>
        <v/>
      </c>
      <c r="M33" s="62">
        <f>IF(INPUT_PRODUCT!C46="";"";VLOOKUP(INPUT_PRODUCT!C46;PRODUCT!B:K;10;FALSE))</f>
        <v/>
      </c>
      <c r="N33" s="62">
        <f>IF(INPUT_PRODUCT!C46="";"";VLOOKUP(INPUT_PRODUCT!C46;PRODUCT!B:L;11;FALSE))</f>
        <v/>
      </c>
      <c r="O33" s="62">
        <f>IF(INPUT_PRODUCT!C46="";"";VLOOKUP(INPUT_PRODUCT!C46;PRODUCT!B:O;14;FALSE))</f>
        <v/>
      </c>
      <c r="P33" s="63">
        <f>IF(INPUT_PRODUCT!C46="";"";VLOOKUP(INPUT_PRODUCT!C46;PRODUCT!B:P;15;FALSE))</f>
        <v/>
      </c>
      <c r="Q33" s="63">
        <f>IF(INPUT_PRODUCT!C46="";"";INPUT_PRODUCT!K46)</f>
        <v/>
      </c>
      <c r="R33" s="63" t="inlineStr"/>
      <c r="S33" s="63">
        <f>IF(INPUT_PRODUCT!C46="";"";IF(O33="";"";O33*(1+Q33+R33)))</f>
        <v/>
      </c>
      <c r="T33" s="63">
        <f>IF(INPUT_PRODUCT!C46="";"";IF(S33="";"";S33*F33))</f>
        <v/>
      </c>
      <c r="U33" s="62">
        <f>CONFIG!$B$2</f>
        <v/>
      </c>
      <c r="V33" s="62">
        <f>IF(INPUT_PRODUCT!C46="";"";IF(S33="";"";S33*U33))</f>
        <v/>
      </c>
      <c r="W33" s="0">
        <f>IF(INPUT_PRODUCT!C46="";"";IF(T33="";"";T33*U33))</f>
        <v/>
      </c>
      <c r="X33" s="0">
        <f>IF(INPUT_PRODUCT!C46="";"";VLOOKUP(INPUT_PRODUCT!C46;PRODUCT!B:T;19;FALSE))</f>
        <v/>
      </c>
      <c r="Y33" s="0">
        <f>IF(INPUT_PRODUCT!C46="";"";INPUT_PRODUCT!L46)</f>
        <v/>
      </c>
    </row>
    <row r="34" ht="15.75" customHeight="1" s="125">
      <c r="A34" s="62">
        <f>IF(INPUT_PRODUCT!C47="";"";INPUT_PRODUCT!A47)</f>
        <v/>
      </c>
      <c r="B34" s="62">
        <f>IF(INPUT_PRODUCT!C47="";"";INPUT_PRODUCT!B47)</f>
        <v/>
      </c>
      <c r="C34" s="62">
        <f>IF(INPUT_PRODUCT!C47="";"";INPUT_PRODUCT!C47)</f>
        <v/>
      </c>
      <c r="D34" s="62">
        <f>IF(INPUT_PRODUCT!C47="";"";INDEX(PRODUCT!A:A;MATCH(INPUT_PRODUCT!C47;PRODUCT!B:B;0)))</f>
        <v/>
      </c>
      <c r="E34" s="62">
        <f>IF(INPUT_PRODUCT!C47="";"";VLOOKUP(INPUT_PRODUCT!C47;PRODUCT!B:C;2;FALSE))</f>
        <v/>
      </c>
      <c r="F34" s="62">
        <f>IF(INPUT_PRODUCT!C47="";"";INPUT_PRODUCT!J47)</f>
        <v/>
      </c>
      <c r="G34" s="62">
        <f>IF(INPUT_PRODUCT!C47="";"";INPUT_PRODUCT!G47)</f>
        <v/>
      </c>
      <c r="H34" s="62">
        <f>IF(INPUT_PRODUCT!C47="";"";VLOOKUP(INPUT_PRODUCT!C47;PRODUCT!B:F;5;FALSE))</f>
        <v/>
      </c>
      <c r="I34" s="62">
        <f>IF(INPUT_PRODUCT!C47="";"";VLOOKUP(INPUT_PRODUCT!C47;PRODUCT!B:G;6;FALSE))</f>
        <v/>
      </c>
      <c r="J34" s="62">
        <f>IF(INPUT_PRODUCT!C47="";"";VLOOKUP(INPUT_PRODUCT!C47;PRODUCT!B:H;7;FALSE))</f>
        <v/>
      </c>
      <c r="K34" s="60">
        <f>IF(INPUT_PRODUCT!C47="";"";VLOOKUP(INPUT_PRODUCT!C47;PRODUCT!B:I;8;FALSE))</f>
        <v/>
      </c>
      <c r="L34" s="62">
        <f>IF(INPUT_PRODUCT!C47="";"";VLOOKUP(INPUT_PRODUCT!C47;PRODUCT!B:J;9;FALSE))</f>
        <v/>
      </c>
      <c r="M34" s="62">
        <f>IF(INPUT_PRODUCT!C47="";"";VLOOKUP(INPUT_PRODUCT!C47;PRODUCT!B:K;10;FALSE))</f>
        <v/>
      </c>
      <c r="N34" s="62">
        <f>IF(INPUT_PRODUCT!C47="";"";VLOOKUP(INPUT_PRODUCT!C47;PRODUCT!B:L;11;FALSE))</f>
        <v/>
      </c>
      <c r="O34" s="62">
        <f>IF(INPUT_PRODUCT!C47="";"";VLOOKUP(INPUT_PRODUCT!C47;PRODUCT!B:O;14;FALSE))</f>
        <v/>
      </c>
      <c r="P34" s="63">
        <f>IF(INPUT_PRODUCT!C47="";"";VLOOKUP(INPUT_PRODUCT!C47;PRODUCT!B:P;15;FALSE))</f>
        <v/>
      </c>
      <c r="Q34" s="63">
        <f>IF(INPUT_PRODUCT!C47="";"";INPUT_PRODUCT!K47)</f>
        <v/>
      </c>
      <c r="R34" s="63" t="inlineStr"/>
      <c r="S34" s="63">
        <f>IF(INPUT_PRODUCT!C47="";"";IF(O34="";"";O34*(1+Q34+R34)))</f>
        <v/>
      </c>
      <c r="T34" s="63">
        <f>IF(INPUT_PRODUCT!C47="";"";IF(S34="";"";S34*F34))</f>
        <v/>
      </c>
      <c r="U34" s="62">
        <f>CONFIG!$B$2</f>
        <v/>
      </c>
      <c r="V34" s="62">
        <f>IF(INPUT_PRODUCT!C47="";"";IF(S34="";"";S34*U34))</f>
        <v/>
      </c>
      <c r="W34" s="0">
        <f>IF(INPUT_PRODUCT!C47="";"";IF(T34="";"";T34*U34))</f>
        <v/>
      </c>
      <c r="X34" s="0">
        <f>IF(INPUT_PRODUCT!C47="";"";VLOOKUP(INPUT_PRODUCT!C47;PRODUCT!B:T;19;FALSE))</f>
        <v/>
      </c>
      <c r="Y34" s="0">
        <f>IF(INPUT_PRODUCT!C47="";"";INPUT_PRODUCT!L47)</f>
        <v/>
      </c>
    </row>
    <row r="35" ht="15.75" customHeight="1" s="125">
      <c r="A35" s="62">
        <f>IF(INPUT_PRODUCT!C48="";"";INPUT_PRODUCT!A48)</f>
        <v/>
      </c>
      <c r="B35" s="62">
        <f>IF(INPUT_PRODUCT!C48="";"";INPUT_PRODUCT!B48)</f>
        <v/>
      </c>
      <c r="C35" s="62">
        <f>IF(INPUT_PRODUCT!C48="";"";INPUT_PRODUCT!C48)</f>
        <v/>
      </c>
      <c r="D35" s="62">
        <f>IF(INPUT_PRODUCT!C48="";"";INDEX(PRODUCT!A:A;MATCH(INPUT_PRODUCT!C48;PRODUCT!B:B;0)))</f>
        <v/>
      </c>
      <c r="E35" s="62">
        <f>IF(INPUT_PRODUCT!C48="";"";VLOOKUP(INPUT_PRODUCT!C48;PRODUCT!B:C;2;FALSE))</f>
        <v/>
      </c>
      <c r="F35" s="62">
        <f>IF(INPUT_PRODUCT!C48="";"";INPUT_PRODUCT!J48)</f>
        <v/>
      </c>
      <c r="G35" s="62">
        <f>IF(INPUT_PRODUCT!C48="";"";INPUT_PRODUCT!G48)</f>
        <v/>
      </c>
      <c r="H35" s="62">
        <f>IF(INPUT_PRODUCT!C48="";"";VLOOKUP(INPUT_PRODUCT!C48;PRODUCT!B:F;5;FALSE))</f>
        <v/>
      </c>
      <c r="I35" s="62">
        <f>IF(INPUT_PRODUCT!C48="";"";VLOOKUP(INPUT_PRODUCT!C48;PRODUCT!B:G;6;FALSE))</f>
        <v/>
      </c>
      <c r="J35" s="62">
        <f>IF(INPUT_PRODUCT!C48="";"";VLOOKUP(INPUT_PRODUCT!C48;PRODUCT!B:H;7;FALSE))</f>
        <v/>
      </c>
      <c r="K35" s="60">
        <f>IF(INPUT_PRODUCT!C48="";"";VLOOKUP(INPUT_PRODUCT!C48;PRODUCT!B:I;8;FALSE))</f>
        <v/>
      </c>
      <c r="L35" s="62">
        <f>IF(INPUT_PRODUCT!C48="";"";VLOOKUP(INPUT_PRODUCT!C48;PRODUCT!B:J;9;FALSE))</f>
        <v/>
      </c>
      <c r="M35" s="62">
        <f>IF(INPUT_PRODUCT!C48="";"";VLOOKUP(INPUT_PRODUCT!C48;PRODUCT!B:K;10;FALSE))</f>
        <v/>
      </c>
      <c r="N35" s="62">
        <f>IF(INPUT_PRODUCT!C48="";"";VLOOKUP(INPUT_PRODUCT!C48;PRODUCT!B:L;11;FALSE))</f>
        <v/>
      </c>
      <c r="O35" s="62">
        <f>IF(INPUT_PRODUCT!C48="";"";VLOOKUP(INPUT_PRODUCT!C48;PRODUCT!B:O;14;FALSE))</f>
        <v/>
      </c>
      <c r="P35" s="63">
        <f>IF(INPUT_PRODUCT!C48="";"";VLOOKUP(INPUT_PRODUCT!C48;PRODUCT!B:P;15;FALSE))</f>
        <v/>
      </c>
      <c r="Q35" s="63">
        <f>IF(INPUT_PRODUCT!C48="";"";INPUT_PRODUCT!K48)</f>
        <v/>
      </c>
      <c r="R35" s="63" t="inlineStr"/>
      <c r="S35" s="63">
        <f>IF(INPUT_PRODUCT!C48="";"";IF(O35="";"";O35*(1+Q35+R35)))</f>
        <v/>
      </c>
      <c r="T35" s="63">
        <f>IF(INPUT_PRODUCT!C48="";"";IF(S35="";"";S35*F35))</f>
        <v/>
      </c>
      <c r="U35" s="62">
        <f>CONFIG!$B$2</f>
        <v/>
      </c>
      <c r="V35" s="62">
        <f>IF(INPUT_PRODUCT!C48="";"";IF(S35="";"";S35*U35))</f>
        <v/>
      </c>
      <c r="W35" s="0">
        <f>IF(INPUT_PRODUCT!C48="";"";IF(T35="";"";T35*U35))</f>
        <v/>
      </c>
      <c r="X35" s="0">
        <f>IF(INPUT_PRODUCT!C48="";"";VLOOKUP(INPUT_PRODUCT!C48;PRODUCT!B:T;19;FALSE))</f>
        <v/>
      </c>
      <c r="Y35" s="0">
        <f>IF(INPUT_PRODUCT!C48="";"";INPUT_PRODUCT!L48)</f>
        <v/>
      </c>
    </row>
    <row r="36" ht="15.75" customHeight="1" s="125">
      <c r="A36" s="62">
        <f>IF(INPUT_PRODUCT!C49="";"";INPUT_PRODUCT!A49)</f>
        <v/>
      </c>
      <c r="B36" s="62">
        <f>IF(INPUT_PRODUCT!C49="";"";INPUT_PRODUCT!B49)</f>
        <v/>
      </c>
      <c r="C36" s="62">
        <f>IF(INPUT_PRODUCT!C49="";"";INPUT_PRODUCT!C49)</f>
        <v/>
      </c>
      <c r="D36" s="62">
        <f>IF(INPUT_PRODUCT!C49="";"";INDEX(PRODUCT!A:A;MATCH(INPUT_PRODUCT!C49;PRODUCT!B:B;0)))</f>
        <v/>
      </c>
      <c r="E36" s="62">
        <f>IF(INPUT_PRODUCT!C49="";"";VLOOKUP(INPUT_PRODUCT!C49;PRODUCT!B:C;2;FALSE))</f>
        <v/>
      </c>
      <c r="F36" s="62">
        <f>IF(INPUT_PRODUCT!C49="";"";INPUT_PRODUCT!J49)</f>
        <v/>
      </c>
      <c r="G36" s="62">
        <f>IF(INPUT_PRODUCT!C49="";"";INPUT_PRODUCT!G49)</f>
        <v/>
      </c>
      <c r="H36" s="62">
        <f>IF(INPUT_PRODUCT!C49="";"";VLOOKUP(INPUT_PRODUCT!C49;PRODUCT!B:F;5;FALSE))</f>
        <v/>
      </c>
      <c r="I36" s="62">
        <f>IF(INPUT_PRODUCT!C49="";"";VLOOKUP(INPUT_PRODUCT!C49;PRODUCT!B:G;6;FALSE))</f>
        <v/>
      </c>
      <c r="J36" s="62">
        <f>IF(INPUT_PRODUCT!C49="";"";VLOOKUP(INPUT_PRODUCT!C49;PRODUCT!B:H;7;FALSE))</f>
        <v/>
      </c>
      <c r="K36" s="60">
        <f>IF(INPUT_PRODUCT!C49="";"";VLOOKUP(INPUT_PRODUCT!C49;PRODUCT!B:I;8;FALSE))</f>
        <v/>
      </c>
      <c r="L36" s="62">
        <f>IF(INPUT_PRODUCT!C49="";"";VLOOKUP(INPUT_PRODUCT!C49;PRODUCT!B:J;9;FALSE))</f>
        <v/>
      </c>
      <c r="M36" s="62">
        <f>IF(INPUT_PRODUCT!C49="";"";VLOOKUP(INPUT_PRODUCT!C49;PRODUCT!B:K;10;FALSE))</f>
        <v/>
      </c>
      <c r="N36" s="62">
        <f>IF(INPUT_PRODUCT!C49="";"";VLOOKUP(INPUT_PRODUCT!C49;PRODUCT!B:L;11;FALSE))</f>
        <v/>
      </c>
      <c r="O36" s="62">
        <f>IF(INPUT_PRODUCT!C49="";"";VLOOKUP(INPUT_PRODUCT!C49;PRODUCT!B:O;14;FALSE))</f>
        <v/>
      </c>
      <c r="P36" s="63">
        <f>IF(INPUT_PRODUCT!C49="";"";VLOOKUP(INPUT_PRODUCT!C49;PRODUCT!B:P;15;FALSE))</f>
        <v/>
      </c>
      <c r="Q36" s="63">
        <f>IF(INPUT_PRODUCT!C49="";"";INPUT_PRODUCT!K49)</f>
        <v/>
      </c>
      <c r="R36" s="63" t="inlineStr"/>
      <c r="S36" s="63">
        <f>IF(INPUT_PRODUCT!C49="";"";IF(O36="";"";O36*(1+Q36+R36)))</f>
        <v/>
      </c>
      <c r="T36" s="63">
        <f>IF(INPUT_PRODUCT!C49="";"";IF(S36="";"";S36*F36))</f>
        <v/>
      </c>
      <c r="U36" s="62">
        <f>CONFIG!$B$2</f>
        <v/>
      </c>
      <c r="V36" s="62">
        <f>IF(INPUT_PRODUCT!C49="";"";IF(S36="";"";S36*U36))</f>
        <v/>
      </c>
      <c r="W36" s="0">
        <f>IF(INPUT_PRODUCT!C49="";"";IF(T36="";"";T36*U36))</f>
        <v/>
      </c>
      <c r="X36" s="0">
        <f>IF(INPUT_PRODUCT!C49="";"";VLOOKUP(INPUT_PRODUCT!C49;PRODUCT!B:T;19;FALSE))</f>
        <v/>
      </c>
      <c r="Y36" s="0">
        <f>IF(INPUT_PRODUCT!C49="";"";INPUT_PRODUCT!L49)</f>
        <v/>
      </c>
    </row>
    <row r="37" ht="15.75" customHeight="1" s="125">
      <c r="A37" s="62">
        <f>IF(INPUT_PRODUCT!C50="";"";INPUT_PRODUCT!A50)</f>
        <v/>
      </c>
      <c r="B37" s="62">
        <f>IF(INPUT_PRODUCT!C50="";"";INPUT_PRODUCT!B50)</f>
        <v/>
      </c>
      <c r="C37" s="62">
        <f>IF(INPUT_PRODUCT!C50="";"";INPUT_PRODUCT!C50)</f>
        <v/>
      </c>
      <c r="D37" s="62">
        <f>IF(INPUT_PRODUCT!C50="";"";INDEX(PRODUCT!A:A;MATCH(INPUT_PRODUCT!C50;PRODUCT!B:B;0)))</f>
        <v/>
      </c>
      <c r="E37" s="62">
        <f>IF(INPUT_PRODUCT!C50="";"";VLOOKUP(INPUT_PRODUCT!C50;PRODUCT!B:C;2;FALSE))</f>
        <v/>
      </c>
      <c r="F37" s="62">
        <f>IF(INPUT_PRODUCT!C50="";"";INPUT_PRODUCT!J50)</f>
        <v/>
      </c>
      <c r="G37" s="62">
        <f>IF(INPUT_PRODUCT!C50="";"";INPUT_PRODUCT!G50)</f>
        <v/>
      </c>
      <c r="H37" s="62">
        <f>IF(INPUT_PRODUCT!C50="";"";VLOOKUP(INPUT_PRODUCT!C50;PRODUCT!B:F;5;FALSE))</f>
        <v/>
      </c>
      <c r="I37" s="62">
        <f>IF(INPUT_PRODUCT!C50="";"";VLOOKUP(INPUT_PRODUCT!C50;PRODUCT!B:G;6;FALSE))</f>
        <v/>
      </c>
      <c r="J37" s="62">
        <f>IF(INPUT_PRODUCT!C50="";"";VLOOKUP(INPUT_PRODUCT!C50;PRODUCT!B:H;7;FALSE))</f>
        <v/>
      </c>
      <c r="K37" s="60">
        <f>IF(INPUT_PRODUCT!C50="";"";VLOOKUP(INPUT_PRODUCT!C50;PRODUCT!B:I;8;FALSE))</f>
        <v/>
      </c>
      <c r="L37" s="62">
        <f>IF(INPUT_PRODUCT!C50="";"";VLOOKUP(INPUT_PRODUCT!C50;PRODUCT!B:J;9;FALSE))</f>
        <v/>
      </c>
      <c r="M37" s="62">
        <f>IF(INPUT_PRODUCT!C50="";"";VLOOKUP(INPUT_PRODUCT!C50;PRODUCT!B:K;10;FALSE))</f>
        <v/>
      </c>
      <c r="N37" s="62">
        <f>IF(INPUT_PRODUCT!C50="";"";VLOOKUP(INPUT_PRODUCT!C50;PRODUCT!B:L;11;FALSE))</f>
        <v/>
      </c>
      <c r="O37" s="62">
        <f>IF(INPUT_PRODUCT!C50="";"";VLOOKUP(INPUT_PRODUCT!C50;PRODUCT!B:O;14;FALSE))</f>
        <v/>
      </c>
      <c r="P37" s="63">
        <f>IF(INPUT_PRODUCT!C50="";"";VLOOKUP(INPUT_PRODUCT!C50;PRODUCT!B:P;15;FALSE))</f>
        <v/>
      </c>
      <c r="Q37" s="63">
        <f>IF(INPUT_PRODUCT!C50="";"";INPUT_PRODUCT!K50)</f>
        <v/>
      </c>
      <c r="R37" s="63" t="inlineStr"/>
      <c r="S37" s="63">
        <f>IF(INPUT_PRODUCT!C50="";"";IF(O37="";"";O37*(1+Q37+R37)))</f>
        <v/>
      </c>
      <c r="T37" s="63">
        <f>IF(INPUT_PRODUCT!C50="";"";IF(S37="";"";S37*F37))</f>
        <v/>
      </c>
      <c r="U37" s="62">
        <f>CONFIG!$B$2</f>
        <v/>
      </c>
      <c r="V37" s="62">
        <f>IF(INPUT_PRODUCT!C50="";"";IF(S37="";"";S37*U37))</f>
        <v/>
      </c>
      <c r="W37" s="0">
        <f>IF(INPUT_PRODUCT!C50="";"";IF(T37="";"";T37*U37))</f>
        <v/>
      </c>
      <c r="X37" s="0">
        <f>IF(INPUT_PRODUCT!C50="";"";VLOOKUP(INPUT_PRODUCT!C50;PRODUCT!B:T;19;FALSE))</f>
        <v/>
      </c>
      <c r="Y37" s="0">
        <f>IF(INPUT_PRODUCT!C50="";"";INPUT_PRODUCT!L50)</f>
        <v/>
      </c>
    </row>
    <row r="38" ht="15.75" customHeight="1" s="125">
      <c r="A38" s="62">
        <f>IF(INPUT_PRODUCT!C51="";"";INPUT_PRODUCT!A51)</f>
        <v/>
      </c>
      <c r="B38" s="62">
        <f>IF(INPUT_PRODUCT!C51="";"";INPUT_PRODUCT!B51)</f>
        <v/>
      </c>
      <c r="C38" s="62">
        <f>IF(INPUT_PRODUCT!C51="";"";INPUT_PRODUCT!C51)</f>
        <v/>
      </c>
      <c r="D38" s="62">
        <f>IF(INPUT_PRODUCT!C51="";"";INDEX(PRODUCT!A:A;MATCH(INPUT_PRODUCT!C51;PRODUCT!B:B;0)))</f>
        <v/>
      </c>
      <c r="E38" s="62">
        <f>IF(INPUT_PRODUCT!C51="";"";VLOOKUP(INPUT_PRODUCT!C51;PRODUCT!B:C;2;FALSE))</f>
        <v/>
      </c>
      <c r="F38" s="62">
        <f>IF(INPUT_PRODUCT!C51="";"";INPUT_PRODUCT!J51)</f>
        <v/>
      </c>
      <c r="G38" s="62">
        <f>IF(INPUT_PRODUCT!C51="";"";INPUT_PRODUCT!G51)</f>
        <v/>
      </c>
      <c r="H38" s="62">
        <f>IF(INPUT_PRODUCT!C51="";"";VLOOKUP(INPUT_PRODUCT!C51;PRODUCT!B:F;5;FALSE))</f>
        <v/>
      </c>
      <c r="I38" s="62">
        <f>IF(INPUT_PRODUCT!C51="";"";VLOOKUP(INPUT_PRODUCT!C51;PRODUCT!B:G;6;FALSE))</f>
        <v/>
      </c>
      <c r="J38" s="62">
        <f>IF(INPUT_PRODUCT!C51="";"";VLOOKUP(INPUT_PRODUCT!C51;PRODUCT!B:H;7;FALSE))</f>
        <v/>
      </c>
      <c r="K38" s="60">
        <f>IF(INPUT_PRODUCT!C51="";"";VLOOKUP(INPUT_PRODUCT!C51;PRODUCT!B:I;8;FALSE))</f>
        <v/>
      </c>
      <c r="L38" s="62">
        <f>IF(INPUT_PRODUCT!C51="";"";VLOOKUP(INPUT_PRODUCT!C51;PRODUCT!B:J;9;FALSE))</f>
        <v/>
      </c>
      <c r="M38" s="62">
        <f>IF(INPUT_PRODUCT!C51="";"";VLOOKUP(INPUT_PRODUCT!C51;PRODUCT!B:K;10;FALSE))</f>
        <v/>
      </c>
      <c r="N38" s="62">
        <f>IF(INPUT_PRODUCT!C51="";"";VLOOKUP(INPUT_PRODUCT!C51;PRODUCT!B:L;11;FALSE))</f>
        <v/>
      </c>
      <c r="O38" s="62">
        <f>IF(INPUT_PRODUCT!C51="";"";VLOOKUP(INPUT_PRODUCT!C51;PRODUCT!B:O;14;FALSE))</f>
        <v/>
      </c>
      <c r="P38" s="63">
        <f>IF(INPUT_PRODUCT!C51="";"";VLOOKUP(INPUT_PRODUCT!C51;PRODUCT!B:P;15;FALSE))</f>
        <v/>
      </c>
      <c r="Q38" s="63">
        <f>IF(INPUT_PRODUCT!C51="";"";INPUT_PRODUCT!K51)</f>
        <v/>
      </c>
      <c r="R38" s="63" t="inlineStr"/>
      <c r="S38" s="63">
        <f>IF(INPUT_PRODUCT!C51="";"";IF(O38="";"";O38*(1+Q38+R38)))</f>
        <v/>
      </c>
      <c r="T38" s="63">
        <f>IF(INPUT_PRODUCT!C51="";"";IF(S38="";"";S38*F38))</f>
        <v/>
      </c>
      <c r="U38" s="62">
        <f>CONFIG!$B$2</f>
        <v/>
      </c>
      <c r="V38" s="62">
        <f>IF(INPUT_PRODUCT!C51="";"";IF(S38="";"";S38*U38))</f>
        <v/>
      </c>
      <c r="W38" s="0">
        <f>IF(INPUT_PRODUCT!C51="";"";IF(T38="";"";T38*U38))</f>
        <v/>
      </c>
      <c r="X38" s="0">
        <f>IF(INPUT_PRODUCT!C51="";"";VLOOKUP(INPUT_PRODUCT!C51;PRODUCT!B:T;19;FALSE))</f>
        <v/>
      </c>
      <c r="Y38" s="0">
        <f>IF(INPUT_PRODUCT!C51="";"";INPUT_PRODUCT!L51)</f>
        <v/>
      </c>
    </row>
    <row r="39" ht="15.75" customHeight="1" s="125">
      <c r="A39" s="62">
        <f>IF(INPUT_PRODUCT!C52="";"";INPUT_PRODUCT!A52)</f>
        <v/>
      </c>
      <c r="B39" s="62">
        <f>IF(INPUT_PRODUCT!C52="";"";INPUT_PRODUCT!B52)</f>
        <v/>
      </c>
      <c r="C39" s="62">
        <f>IF(INPUT_PRODUCT!C52="";"";INPUT_PRODUCT!C52)</f>
        <v/>
      </c>
      <c r="D39" s="62">
        <f>IF(INPUT_PRODUCT!C52="";"";INDEX(PRODUCT!A:A;MATCH(INPUT_PRODUCT!C52;PRODUCT!B:B;0)))</f>
        <v/>
      </c>
      <c r="E39" s="62">
        <f>IF(INPUT_PRODUCT!C52="";"";VLOOKUP(INPUT_PRODUCT!C52;PRODUCT!B:C;2;FALSE))</f>
        <v/>
      </c>
      <c r="F39" s="62">
        <f>IF(INPUT_PRODUCT!C52="";"";INPUT_PRODUCT!J52)</f>
        <v/>
      </c>
      <c r="G39" s="62">
        <f>IF(INPUT_PRODUCT!C52="";"";INPUT_PRODUCT!G52)</f>
        <v/>
      </c>
      <c r="H39" s="62">
        <f>IF(INPUT_PRODUCT!C52="";"";VLOOKUP(INPUT_PRODUCT!C52;PRODUCT!B:F;5;FALSE))</f>
        <v/>
      </c>
      <c r="I39" s="62">
        <f>IF(INPUT_PRODUCT!C52="";"";VLOOKUP(INPUT_PRODUCT!C52;PRODUCT!B:G;6;FALSE))</f>
        <v/>
      </c>
      <c r="J39" s="62">
        <f>IF(INPUT_PRODUCT!C52="";"";VLOOKUP(INPUT_PRODUCT!C52;PRODUCT!B:H;7;FALSE))</f>
        <v/>
      </c>
      <c r="K39" s="60">
        <f>IF(INPUT_PRODUCT!C52="";"";VLOOKUP(INPUT_PRODUCT!C52;PRODUCT!B:I;8;FALSE))</f>
        <v/>
      </c>
      <c r="L39" s="62">
        <f>IF(INPUT_PRODUCT!C52="";"";VLOOKUP(INPUT_PRODUCT!C52;PRODUCT!B:J;9;FALSE))</f>
        <v/>
      </c>
      <c r="M39" s="62">
        <f>IF(INPUT_PRODUCT!C52="";"";VLOOKUP(INPUT_PRODUCT!C52;PRODUCT!B:K;10;FALSE))</f>
        <v/>
      </c>
      <c r="N39" s="62">
        <f>IF(INPUT_PRODUCT!C52="";"";VLOOKUP(INPUT_PRODUCT!C52;PRODUCT!B:L;11;FALSE))</f>
        <v/>
      </c>
      <c r="O39" s="62">
        <f>IF(INPUT_PRODUCT!C52="";"";VLOOKUP(INPUT_PRODUCT!C52;PRODUCT!B:O;14;FALSE))</f>
        <v/>
      </c>
      <c r="P39" s="63">
        <f>IF(INPUT_PRODUCT!C52="";"";VLOOKUP(INPUT_PRODUCT!C52;PRODUCT!B:P;15;FALSE))</f>
        <v/>
      </c>
      <c r="Q39" s="63">
        <f>IF(INPUT_PRODUCT!C52="";"";INPUT_PRODUCT!K52)</f>
        <v/>
      </c>
      <c r="R39" s="63" t="inlineStr"/>
      <c r="S39" s="63">
        <f>IF(INPUT_PRODUCT!C52="";"";IF(O39="";"";O39*(1+Q39+R39)))</f>
        <v/>
      </c>
      <c r="T39" s="63">
        <f>IF(INPUT_PRODUCT!C52="";"";IF(S39="";"";S39*F39))</f>
        <v/>
      </c>
      <c r="U39" s="62">
        <f>CONFIG!$B$2</f>
        <v/>
      </c>
      <c r="V39" s="62">
        <f>IF(INPUT_PRODUCT!C52="";"";IF(S39="";"";S39*U39))</f>
        <v/>
      </c>
      <c r="W39" s="0">
        <f>IF(INPUT_PRODUCT!C52="";"";IF(T39="";"";T39*U39))</f>
        <v/>
      </c>
      <c r="X39" s="0">
        <f>IF(INPUT_PRODUCT!C52="";"";VLOOKUP(INPUT_PRODUCT!C52;PRODUCT!B:T;19;FALSE))</f>
        <v/>
      </c>
      <c r="Y39" s="0">
        <f>IF(INPUT_PRODUCT!C52="";"";INPUT_PRODUCT!L52)</f>
        <v/>
      </c>
    </row>
    <row r="40" ht="15.75" customHeight="1" s="125">
      <c r="A40" s="62">
        <f>IF(INPUT_PRODUCT!C53="";"";INPUT_PRODUCT!A53)</f>
        <v/>
      </c>
      <c r="B40" s="62">
        <f>IF(INPUT_PRODUCT!C53="";"";INPUT_PRODUCT!B53)</f>
        <v/>
      </c>
      <c r="C40" s="62">
        <f>IF(INPUT_PRODUCT!C53="";"";INPUT_PRODUCT!C53)</f>
        <v/>
      </c>
      <c r="D40" s="62">
        <f>IF(INPUT_PRODUCT!C53="";"";INDEX(PRODUCT!A:A;MATCH(INPUT_PRODUCT!C53;PRODUCT!B:B;0)))</f>
        <v/>
      </c>
      <c r="E40" s="62">
        <f>IF(INPUT_PRODUCT!C53="";"";VLOOKUP(INPUT_PRODUCT!C53;PRODUCT!B:C;2;FALSE))</f>
        <v/>
      </c>
      <c r="F40" s="62">
        <f>IF(INPUT_PRODUCT!C53="";"";INPUT_PRODUCT!J53)</f>
        <v/>
      </c>
      <c r="G40" s="62">
        <f>IF(INPUT_PRODUCT!C53="";"";INPUT_PRODUCT!G53)</f>
        <v/>
      </c>
      <c r="H40" s="62">
        <f>IF(INPUT_PRODUCT!C53="";"";VLOOKUP(INPUT_PRODUCT!C53;PRODUCT!B:F;5;FALSE))</f>
        <v/>
      </c>
      <c r="I40" s="62">
        <f>IF(INPUT_PRODUCT!C53="";"";VLOOKUP(INPUT_PRODUCT!C53;PRODUCT!B:G;6;FALSE))</f>
        <v/>
      </c>
      <c r="J40" s="62">
        <f>IF(INPUT_PRODUCT!C53="";"";VLOOKUP(INPUT_PRODUCT!C53;PRODUCT!B:H;7;FALSE))</f>
        <v/>
      </c>
      <c r="K40" s="60">
        <f>IF(INPUT_PRODUCT!C53="";"";VLOOKUP(INPUT_PRODUCT!C53;PRODUCT!B:I;8;FALSE))</f>
        <v/>
      </c>
      <c r="L40" s="62">
        <f>IF(INPUT_PRODUCT!C53="";"";VLOOKUP(INPUT_PRODUCT!C53;PRODUCT!B:J;9;FALSE))</f>
        <v/>
      </c>
      <c r="M40" s="62">
        <f>IF(INPUT_PRODUCT!C53="";"";VLOOKUP(INPUT_PRODUCT!C53;PRODUCT!B:K;10;FALSE))</f>
        <v/>
      </c>
      <c r="N40" s="62">
        <f>IF(INPUT_PRODUCT!C53="";"";VLOOKUP(INPUT_PRODUCT!C53;PRODUCT!B:L;11;FALSE))</f>
        <v/>
      </c>
      <c r="O40" s="62">
        <f>IF(INPUT_PRODUCT!C53="";"";VLOOKUP(INPUT_PRODUCT!C53;PRODUCT!B:O;14;FALSE))</f>
        <v/>
      </c>
      <c r="P40" s="63">
        <f>IF(INPUT_PRODUCT!C53="";"";VLOOKUP(INPUT_PRODUCT!C53;PRODUCT!B:P;15;FALSE))</f>
        <v/>
      </c>
      <c r="Q40" s="63">
        <f>IF(INPUT_PRODUCT!C53="";"";INPUT_PRODUCT!K53)</f>
        <v/>
      </c>
      <c r="R40" s="63" t="inlineStr"/>
      <c r="S40" s="63">
        <f>IF(INPUT_PRODUCT!C53="";"";IF(O40="";"";O40*(1+Q40+R40)))</f>
        <v/>
      </c>
      <c r="T40" s="63">
        <f>IF(INPUT_PRODUCT!C53="";"";IF(S40="";"";S40*F40))</f>
        <v/>
      </c>
      <c r="U40" s="62">
        <f>CONFIG!$B$2</f>
        <v/>
      </c>
      <c r="V40" s="62">
        <f>IF(INPUT_PRODUCT!C53="";"";IF(S40="";"";S40*U40))</f>
        <v/>
      </c>
      <c r="W40" s="0">
        <f>IF(INPUT_PRODUCT!C53="";"";IF(T40="";"";T40*U40))</f>
        <v/>
      </c>
      <c r="X40" s="0">
        <f>IF(INPUT_PRODUCT!C53="";"";VLOOKUP(INPUT_PRODUCT!C53;PRODUCT!B:T;19;FALSE))</f>
        <v/>
      </c>
      <c r="Y40" s="0">
        <f>IF(INPUT_PRODUCT!C53="";"";INPUT_PRODUCT!L53)</f>
        <v/>
      </c>
    </row>
    <row r="41" ht="15.75" customHeight="1" s="125">
      <c r="A41" s="62">
        <f>IF(INPUT_PRODUCT!C54="";"";INPUT_PRODUCT!A54)</f>
        <v/>
      </c>
      <c r="B41" s="62">
        <f>IF(INPUT_PRODUCT!C54="";"";INPUT_PRODUCT!B54)</f>
        <v/>
      </c>
      <c r="C41" s="62">
        <f>IF(INPUT_PRODUCT!C54="";"";INPUT_PRODUCT!C54)</f>
        <v/>
      </c>
      <c r="D41" s="62">
        <f>IF(INPUT_PRODUCT!C54="";"";INDEX(PRODUCT!A:A;MATCH(INPUT_PRODUCT!C54;PRODUCT!B:B;0)))</f>
        <v/>
      </c>
      <c r="E41" s="62">
        <f>IF(INPUT_PRODUCT!C54="";"";VLOOKUP(INPUT_PRODUCT!C54;PRODUCT!B:C;2;FALSE))</f>
        <v/>
      </c>
      <c r="F41" s="62">
        <f>IF(INPUT_PRODUCT!C54="";"";INPUT_PRODUCT!J54)</f>
        <v/>
      </c>
      <c r="G41" s="62">
        <f>IF(INPUT_PRODUCT!C54="";"";INPUT_PRODUCT!G54)</f>
        <v/>
      </c>
      <c r="H41" s="62">
        <f>IF(INPUT_PRODUCT!C54="";"";VLOOKUP(INPUT_PRODUCT!C54;PRODUCT!B:F;5;FALSE))</f>
        <v/>
      </c>
      <c r="I41" s="62">
        <f>IF(INPUT_PRODUCT!C54="";"";VLOOKUP(INPUT_PRODUCT!C54;PRODUCT!B:G;6;FALSE))</f>
        <v/>
      </c>
      <c r="J41" s="62">
        <f>IF(INPUT_PRODUCT!C54="";"";VLOOKUP(INPUT_PRODUCT!C54;PRODUCT!B:H;7;FALSE))</f>
        <v/>
      </c>
      <c r="K41" s="60">
        <f>IF(INPUT_PRODUCT!C54="";"";VLOOKUP(INPUT_PRODUCT!C54;PRODUCT!B:I;8;FALSE))</f>
        <v/>
      </c>
      <c r="L41" s="62">
        <f>IF(INPUT_PRODUCT!C54="";"";VLOOKUP(INPUT_PRODUCT!C54;PRODUCT!B:J;9;FALSE))</f>
        <v/>
      </c>
      <c r="M41" s="62">
        <f>IF(INPUT_PRODUCT!C54="";"";VLOOKUP(INPUT_PRODUCT!C54;PRODUCT!B:K;10;FALSE))</f>
        <v/>
      </c>
      <c r="N41" s="62">
        <f>IF(INPUT_PRODUCT!C54="";"";VLOOKUP(INPUT_PRODUCT!C54;PRODUCT!B:L;11;FALSE))</f>
        <v/>
      </c>
      <c r="O41" s="62">
        <f>IF(INPUT_PRODUCT!C54="";"";VLOOKUP(INPUT_PRODUCT!C54;PRODUCT!B:O;14;FALSE))</f>
        <v/>
      </c>
      <c r="P41" s="63">
        <f>IF(INPUT_PRODUCT!C54="";"";VLOOKUP(INPUT_PRODUCT!C54;PRODUCT!B:P;15;FALSE))</f>
        <v/>
      </c>
      <c r="Q41" s="63">
        <f>IF(INPUT_PRODUCT!C54="";"";INPUT_PRODUCT!K54)</f>
        <v/>
      </c>
      <c r="R41" s="63" t="inlineStr"/>
      <c r="S41" s="63">
        <f>IF(INPUT_PRODUCT!C54="";"";IF(O41="";"";O41*(1+Q41+R41)))</f>
        <v/>
      </c>
      <c r="T41" s="63">
        <f>IF(INPUT_PRODUCT!C54="";"";IF(S41="";"";S41*F41))</f>
        <v/>
      </c>
      <c r="U41" s="62">
        <f>CONFIG!$B$2</f>
        <v/>
      </c>
      <c r="V41" s="62">
        <f>IF(INPUT_PRODUCT!C54="";"";IF(S41="";"";S41*U41))</f>
        <v/>
      </c>
      <c r="W41" s="0">
        <f>IF(INPUT_PRODUCT!C54="";"";IF(T41="";"";T41*U41))</f>
        <v/>
      </c>
      <c r="X41" s="0">
        <f>IF(INPUT_PRODUCT!C54="";"";VLOOKUP(INPUT_PRODUCT!C54;PRODUCT!B:T;19;FALSE))</f>
        <v/>
      </c>
      <c r="Y41" s="0">
        <f>IF(INPUT_PRODUCT!C54="";"";INPUT_PRODUCT!L54)</f>
        <v/>
      </c>
    </row>
    <row r="42" ht="15.75" customHeight="1" s="125">
      <c r="A42" s="62">
        <f>IF(INPUT_PRODUCT!C55="";"";INPUT_PRODUCT!A55)</f>
        <v/>
      </c>
      <c r="B42" s="62">
        <f>IF(INPUT_PRODUCT!C55="";"";INPUT_PRODUCT!B55)</f>
        <v/>
      </c>
      <c r="C42" s="62">
        <f>IF(INPUT_PRODUCT!C55="";"";INPUT_PRODUCT!C55)</f>
        <v/>
      </c>
      <c r="D42" s="62">
        <f>IF(INPUT_PRODUCT!C55="";"";INDEX(PRODUCT!A:A;MATCH(INPUT_PRODUCT!C55;PRODUCT!B:B;0)))</f>
        <v/>
      </c>
      <c r="E42" s="62">
        <f>IF(INPUT_PRODUCT!C55="";"";VLOOKUP(INPUT_PRODUCT!C55;PRODUCT!B:C;2;FALSE))</f>
        <v/>
      </c>
      <c r="F42" s="62">
        <f>IF(INPUT_PRODUCT!C55="";"";INPUT_PRODUCT!J55)</f>
        <v/>
      </c>
      <c r="G42" s="62">
        <f>IF(INPUT_PRODUCT!C55="";"";INPUT_PRODUCT!G55)</f>
        <v/>
      </c>
      <c r="H42" s="62">
        <f>IF(INPUT_PRODUCT!C55="";"";VLOOKUP(INPUT_PRODUCT!C55;PRODUCT!B:F;5;FALSE))</f>
        <v/>
      </c>
      <c r="I42" s="62">
        <f>IF(INPUT_PRODUCT!C55="";"";VLOOKUP(INPUT_PRODUCT!C55;PRODUCT!B:G;6;FALSE))</f>
        <v/>
      </c>
      <c r="J42" s="62">
        <f>IF(INPUT_PRODUCT!C55="";"";VLOOKUP(INPUT_PRODUCT!C55;PRODUCT!B:H;7;FALSE))</f>
        <v/>
      </c>
      <c r="K42" s="60">
        <f>IF(INPUT_PRODUCT!C55="";"";VLOOKUP(INPUT_PRODUCT!C55;PRODUCT!B:I;8;FALSE))</f>
        <v/>
      </c>
      <c r="L42" s="62">
        <f>IF(INPUT_PRODUCT!C55="";"";VLOOKUP(INPUT_PRODUCT!C55;PRODUCT!B:J;9;FALSE))</f>
        <v/>
      </c>
      <c r="M42" s="62">
        <f>IF(INPUT_PRODUCT!C55="";"";VLOOKUP(INPUT_PRODUCT!C55;PRODUCT!B:K;10;FALSE))</f>
        <v/>
      </c>
      <c r="N42" s="62">
        <f>IF(INPUT_PRODUCT!C55="";"";VLOOKUP(INPUT_PRODUCT!C55;PRODUCT!B:L;11;FALSE))</f>
        <v/>
      </c>
      <c r="O42" s="62">
        <f>IF(INPUT_PRODUCT!C55="";"";VLOOKUP(INPUT_PRODUCT!C55;PRODUCT!B:O;14;FALSE))</f>
        <v/>
      </c>
      <c r="P42" s="63">
        <f>IF(INPUT_PRODUCT!C55="";"";VLOOKUP(INPUT_PRODUCT!C55;PRODUCT!B:P;15;FALSE))</f>
        <v/>
      </c>
      <c r="Q42" s="63">
        <f>IF(INPUT_PRODUCT!C55="";"";INPUT_PRODUCT!K55)</f>
        <v/>
      </c>
      <c r="R42" s="63" t="inlineStr"/>
      <c r="S42" s="63">
        <f>IF(INPUT_PRODUCT!C55="";"";IF(O42="";"";O42*(1+Q42+R42)))</f>
        <v/>
      </c>
      <c r="T42" s="63">
        <f>IF(INPUT_PRODUCT!C55="";"";IF(S42="";"";S42*F42))</f>
        <v/>
      </c>
      <c r="U42" s="62">
        <f>CONFIG!$B$2</f>
        <v/>
      </c>
      <c r="V42" s="62">
        <f>IF(INPUT_PRODUCT!C55="";"";IF(S42="";"";S42*U42))</f>
        <v/>
      </c>
      <c r="W42" s="0">
        <f>IF(INPUT_PRODUCT!C55="";"";IF(T42="";"";T42*U42))</f>
        <v/>
      </c>
      <c r="X42" s="0">
        <f>IF(INPUT_PRODUCT!C55="";"";VLOOKUP(INPUT_PRODUCT!C55;PRODUCT!B:T;19;FALSE))</f>
        <v/>
      </c>
      <c r="Y42" s="0">
        <f>IF(INPUT_PRODUCT!C55="";"";INPUT_PRODUCT!L55)</f>
        <v/>
      </c>
    </row>
    <row r="43" ht="15.75" customHeight="1" s="125">
      <c r="A43" s="62">
        <f>IF(INPUT_PRODUCT!C56="";"";INPUT_PRODUCT!A56)</f>
        <v/>
      </c>
      <c r="B43" s="62">
        <f>IF(INPUT_PRODUCT!C56="";"";INPUT_PRODUCT!B56)</f>
        <v/>
      </c>
      <c r="C43" s="62">
        <f>IF(INPUT_PRODUCT!C56="";"";INPUT_PRODUCT!C56)</f>
        <v/>
      </c>
      <c r="D43" s="62">
        <f>IF(INPUT_PRODUCT!C56="";"";INDEX(PRODUCT!A:A;MATCH(INPUT_PRODUCT!C56;PRODUCT!B:B;0)))</f>
        <v/>
      </c>
      <c r="E43" s="62">
        <f>IF(INPUT_PRODUCT!C56="";"";VLOOKUP(INPUT_PRODUCT!C56;PRODUCT!B:C;2;FALSE))</f>
        <v/>
      </c>
      <c r="F43" s="62">
        <f>IF(INPUT_PRODUCT!C56="";"";INPUT_PRODUCT!J56)</f>
        <v/>
      </c>
      <c r="G43" s="62">
        <f>IF(INPUT_PRODUCT!C56="";"";INPUT_PRODUCT!G56)</f>
        <v/>
      </c>
      <c r="H43" s="62">
        <f>IF(INPUT_PRODUCT!C56="";"";VLOOKUP(INPUT_PRODUCT!C56;PRODUCT!B:F;5;FALSE))</f>
        <v/>
      </c>
      <c r="I43" s="62">
        <f>IF(INPUT_PRODUCT!C56="";"";VLOOKUP(INPUT_PRODUCT!C56;PRODUCT!B:G;6;FALSE))</f>
        <v/>
      </c>
      <c r="J43" s="62">
        <f>IF(INPUT_PRODUCT!C56="";"";VLOOKUP(INPUT_PRODUCT!C56;PRODUCT!B:H;7;FALSE))</f>
        <v/>
      </c>
      <c r="K43" s="60">
        <f>IF(INPUT_PRODUCT!C56="";"";VLOOKUP(INPUT_PRODUCT!C56;PRODUCT!B:I;8;FALSE))</f>
        <v/>
      </c>
      <c r="L43" s="62">
        <f>IF(INPUT_PRODUCT!C56="";"";VLOOKUP(INPUT_PRODUCT!C56;PRODUCT!B:J;9;FALSE))</f>
        <v/>
      </c>
      <c r="M43" s="62">
        <f>IF(INPUT_PRODUCT!C56="";"";VLOOKUP(INPUT_PRODUCT!C56;PRODUCT!B:K;10;FALSE))</f>
        <v/>
      </c>
      <c r="N43" s="62">
        <f>IF(INPUT_PRODUCT!C56="";"";VLOOKUP(INPUT_PRODUCT!C56;PRODUCT!B:L;11;FALSE))</f>
        <v/>
      </c>
      <c r="O43" s="62">
        <f>IF(INPUT_PRODUCT!C56="";"";VLOOKUP(INPUT_PRODUCT!C56;PRODUCT!B:O;14;FALSE))</f>
        <v/>
      </c>
      <c r="P43" s="63">
        <f>IF(INPUT_PRODUCT!C56="";"";VLOOKUP(INPUT_PRODUCT!C56;PRODUCT!B:P;15;FALSE))</f>
        <v/>
      </c>
      <c r="Q43" s="63">
        <f>IF(INPUT_PRODUCT!C56="";"";INPUT_PRODUCT!K56)</f>
        <v/>
      </c>
      <c r="R43" s="63" t="inlineStr"/>
      <c r="S43" s="63">
        <f>IF(INPUT_PRODUCT!C56="";"";IF(O43="";"";O43*(1+Q43+R43)))</f>
        <v/>
      </c>
      <c r="T43" s="63">
        <f>IF(INPUT_PRODUCT!C56="";"";IF(S43="";"";S43*F43))</f>
        <v/>
      </c>
      <c r="U43" s="62">
        <f>CONFIG!$B$2</f>
        <v/>
      </c>
      <c r="V43" s="62">
        <f>IF(INPUT_PRODUCT!C56="";"";IF(S43="";"";S43*U43))</f>
        <v/>
      </c>
      <c r="W43" s="0">
        <f>IF(INPUT_PRODUCT!C56="";"";IF(T43="";"";T43*U43))</f>
        <v/>
      </c>
      <c r="X43" s="0">
        <f>IF(INPUT_PRODUCT!C56="";"";VLOOKUP(INPUT_PRODUCT!C56;PRODUCT!B:T;19;FALSE))</f>
        <v/>
      </c>
      <c r="Y43" s="0">
        <f>IF(INPUT_PRODUCT!C56="";"";INPUT_PRODUCT!L56)</f>
        <v/>
      </c>
    </row>
    <row r="44" ht="15.75" customHeight="1" s="125">
      <c r="A44" s="62">
        <f>IF(INPUT_PRODUCT!C57="";"";INPUT_PRODUCT!A57)</f>
        <v/>
      </c>
      <c r="B44" s="62">
        <f>IF(INPUT_PRODUCT!C57="";"";INPUT_PRODUCT!B57)</f>
        <v/>
      </c>
      <c r="C44" s="62">
        <f>IF(INPUT_PRODUCT!C57="";"";INPUT_PRODUCT!C57)</f>
        <v/>
      </c>
      <c r="D44" s="62">
        <f>IF(INPUT_PRODUCT!C57="";"";INDEX(PRODUCT!A:A;MATCH(INPUT_PRODUCT!C57;PRODUCT!B:B;0)))</f>
        <v/>
      </c>
      <c r="E44" s="62">
        <f>IF(INPUT_PRODUCT!C57="";"";VLOOKUP(INPUT_PRODUCT!C57;PRODUCT!B:C;2;FALSE))</f>
        <v/>
      </c>
      <c r="F44" s="62">
        <f>IF(INPUT_PRODUCT!C57="";"";INPUT_PRODUCT!J57)</f>
        <v/>
      </c>
      <c r="G44" s="62">
        <f>IF(INPUT_PRODUCT!C57="";"";INPUT_PRODUCT!G57)</f>
        <v/>
      </c>
      <c r="H44" s="62">
        <f>IF(INPUT_PRODUCT!C57="";"";VLOOKUP(INPUT_PRODUCT!C57;PRODUCT!B:F;5;FALSE))</f>
        <v/>
      </c>
      <c r="I44" s="62">
        <f>IF(INPUT_PRODUCT!C57="";"";VLOOKUP(INPUT_PRODUCT!C57;PRODUCT!B:G;6;FALSE))</f>
        <v/>
      </c>
      <c r="J44" s="62">
        <f>IF(INPUT_PRODUCT!C57="";"";VLOOKUP(INPUT_PRODUCT!C57;PRODUCT!B:H;7;FALSE))</f>
        <v/>
      </c>
      <c r="K44" s="60">
        <f>IF(INPUT_PRODUCT!C57="";"";VLOOKUP(INPUT_PRODUCT!C57;PRODUCT!B:I;8;FALSE))</f>
        <v/>
      </c>
      <c r="L44" s="62">
        <f>IF(INPUT_PRODUCT!C57="";"";VLOOKUP(INPUT_PRODUCT!C57;PRODUCT!B:J;9;FALSE))</f>
        <v/>
      </c>
      <c r="M44" s="62">
        <f>IF(INPUT_PRODUCT!C57="";"";VLOOKUP(INPUT_PRODUCT!C57;PRODUCT!B:K;10;FALSE))</f>
        <v/>
      </c>
      <c r="N44" s="62">
        <f>IF(INPUT_PRODUCT!C57="";"";VLOOKUP(INPUT_PRODUCT!C57;PRODUCT!B:L;11;FALSE))</f>
        <v/>
      </c>
      <c r="O44" s="62">
        <f>IF(INPUT_PRODUCT!C57="";"";VLOOKUP(INPUT_PRODUCT!C57;PRODUCT!B:O;14;FALSE))</f>
        <v/>
      </c>
      <c r="P44" s="63">
        <f>IF(INPUT_PRODUCT!C57="";"";VLOOKUP(INPUT_PRODUCT!C57;PRODUCT!B:P;15;FALSE))</f>
        <v/>
      </c>
      <c r="Q44" s="63">
        <f>IF(INPUT_PRODUCT!C57="";"";INPUT_PRODUCT!K57)</f>
        <v/>
      </c>
      <c r="R44" s="63" t="inlineStr"/>
      <c r="S44" s="63">
        <f>IF(INPUT_PRODUCT!C57="";"";IF(O44="";"";O44*(1+Q44+R44)))</f>
        <v/>
      </c>
      <c r="T44" s="63">
        <f>IF(INPUT_PRODUCT!C57="";"";IF(S44="";"";S44*F44))</f>
        <v/>
      </c>
      <c r="U44" s="62">
        <f>CONFIG!$B$2</f>
        <v/>
      </c>
      <c r="V44" s="62">
        <f>IF(INPUT_PRODUCT!C57="";"";IF(S44="";"";S44*U44))</f>
        <v/>
      </c>
      <c r="W44" s="0">
        <f>IF(INPUT_PRODUCT!C57="";"";IF(T44="";"";T44*U44))</f>
        <v/>
      </c>
      <c r="X44" s="0">
        <f>IF(INPUT_PRODUCT!C57="";"";VLOOKUP(INPUT_PRODUCT!C57;PRODUCT!B:T;19;FALSE))</f>
        <v/>
      </c>
      <c r="Y44" s="0">
        <f>IF(INPUT_PRODUCT!C57="";"";INPUT_PRODUCT!L57)</f>
        <v/>
      </c>
    </row>
    <row r="45" ht="15.75" customHeight="1" s="125">
      <c r="A45" s="62">
        <f>IF(INPUT_PRODUCT!C58="";"";INPUT_PRODUCT!A58)</f>
        <v/>
      </c>
      <c r="B45" s="62">
        <f>IF(INPUT_PRODUCT!C58="";"";INPUT_PRODUCT!B58)</f>
        <v/>
      </c>
      <c r="C45" s="62">
        <f>IF(INPUT_PRODUCT!C58="";"";INPUT_PRODUCT!C58)</f>
        <v/>
      </c>
      <c r="D45" s="62">
        <f>IF(INPUT_PRODUCT!C58="";"";INDEX(PRODUCT!A:A;MATCH(INPUT_PRODUCT!C58;PRODUCT!B:B;0)))</f>
        <v/>
      </c>
      <c r="E45" s="62">
        <f>IF(INPUT_PRODUCT!C58="";"";VLOOKUP(INPUT_PRODUCT!C58;PRODUCT!B:C;2;FALSE))</f>
        <v/>
      </c>
      <c r="F45" s="62">
        <f>IF(INPUT_PRODUCT!C58="";"";INPUT_PRODUCT!J58)</f>
        <v/>
      </c>
      <c r="G45" s="62">
        <f>IF(INPUT_PRODUCT!C58="";"";INPUT_PRODUCT!G58)</f>
        <v/>
      </c>
      <c r="H45" s="62">
        <f>IF(INPUT_PRODUCT!C58="";"";VLOOKUP(INPUT_PRODUCT!C58;PRODUCT!B:F;5;FALSE))</f>
        <v/>
      </c>
      <c r="I45" s="62">
        <f>IF(INPUT_PRODUCT!C58="";"";VLOOKUP(INPUT_PRODUCT!C58;PRODUCT!B:G;6;FALSE))</f>
        <v/>
      </c>
      <c r="J45" s="62">
        <f>IF(INPUT_PRODUCT!C58="";"";VLOOKUP(INPUT_PRODUCT!C58;PRODUCT!B:H;7;FALSE))</f>
        <v/>
      </c>
      <c r="K45" s="60">
        <f>IF(INPUT_PRODUCT!C58="";"";VLOOKUP(INPUT_PRODUCT!C58;PRODUCT!B:I;8;FALSE))</f>
        <v/>
      </c>
      <c r="L45" s="62">
        <f>IF(INPUT_PRODUCT!C58="";"";VLOOKUP(INPUT_PRODUCT!C58;PRODUCT!B:J;9;FALSE))</f>
        <v/>
      </c>
      <c r="M45" s="62">
        <f>IF(INPUT_PRODUCT!C58="";"";VLOOKUP(INPUT_PRODUCT!C58;PRODUCT!B:K;10;FALSE))</f>
        <v/>
      </c>
      <c r="N45" s="62">
        <f>IF(INPUT_PRODUCT!C58="";"";VLOOKUP(INPUT_PRODUCT!C58;PRODUCT!B:L;11;FALSE))</f>
        <v/>
      </c>
      <c r="O45" s="62">
        <f>IF(INPUT_PRODUCT!C58="";"";VLOOKUP(INPUT_PRODUCT!C58;PRODUCT!B:O;14;FALSE))</f>
        <v/>
      </c>
      <c r="P45" s="63">
        <f>IF(INPUT_PRODUCT!C58="";"";VLOOKUP(INPUT_PRODUCT!C58;PRODUCT!B:P;15;FALSE))</f>
        <v/>
      </c>
      <c r="Q45" s="63">
        <f>IF(INPUT_PRODUCT!C58="";"";INPUT_PRODUCT!K58)</f>
        <v/>
      </c>
      <c r="R45" s="63" t="inlineStr"/>
      <c r="S45" s="63">
        <f>IF(INPUT_PRODUCT!C58="";"";IF(O45="";"";O45*(1+Q45+R45)))</f>
        <v/>
      </c>
      <c r="T45" s="63">
        <f>IF(INPUT_PRODUCT!C58="";"";IF(S45="";"";S45*F45))</f>
        <v/>
      </c>
      <c r="U45" s="62">
        <f>CONFIG!$B$2</f>
        <v/>
      </c>
      <c r="V45" s="62">
        <f>IF(INPUT_PRODUCT!C58="";"";IF(S45="";"";S45*U45))</f>
        <v/>
      </c>
      <c r="W45" s="0">
        <f>IF(INPUT_PRODUCT!C58="";"";IF(T45="";"";T45*U45))</f>
        <v/>
      </c>
      <c r="X45" s="0">
        <f>IF(INPUT_PRODUCT!C58="";"";VLOOKUP(INPUT_PRODUCT!C58;PRODUCT!B:T;19;FALSE))</f>
        <v/>
      </c>
      <c r="Y45" s="0">
        <f>IF(INPUT_PRODUCT!C58="";"";INPUT_PRODUCT!L58)</f>
        <v/>
      </c>
    </row>
    <row r="46" ht="15.75" customHeight="1" s="125">
      <c r="A46" s="62">
        <f>IF(INPUT_PRODUCT!C59="";"";INPUT_PRODUCT!A59)</f>
        <v/>
      </c>
      <c r="B46" s="62">
        <f>IF(INPUT_PRODUCT!C59="";"";INPUT_PRODUCT!B59)</f>
        <v/>
      </c>
      <c r="C46" s="62">
        <f>IF(INPUT_PRODUCT!C59="";"";INPUT_PRODUCT!C59)</f>
        <v/>
      </c>
      <c r="D46" s="62">
        <f>IF(INPUT_PRODUCT!C59="";"";INDEX(PRODUCT!A:A;MATCH(INPUT_PRODUCT!C59;PRODUCT!B:B;0)))</f>
        <v/>
      </c>
      <c r="E46" s="62">
        <f>IF(INPUT_PRODUCT!C59="";"";VLOOKUP(INPUT_PRODUCT!C59;PRODUCT!B:C;2;FALSE))</f>
        <v/>
      </c>
      <c r="F46" s="62">
        <f>IF(INPUT_PRODUCT!C59="";"";INPUT_PRODUCT!J59)</f>
        <v/>
      </c>
      <c r="G46" s="62">
        <f>IF(INPUT_PRODUCT!C59="";"";INPUT_PRODUCT!G59)</f>
        <v/>
      </c>
      <c r="H46" s="62">
        <f>IF(INPUT_PRODUCT!C59="";"";VLOOKUP(INPUT_PRODUCT!C59;PRODUCT!B:F;5;FALSE))</f>
        <v/>
      </c>
      <c r="I46" s="62">
        <f>IF(INPUT_PRODUCT!C59="";"";VLOOKUP(INPUT_PRODUCT!C59;PRODUCT!B:G;6;FALSE))</f>
        <v/>
      </c>
      <c r="J46" s="62">
        <f>IF(INPUT_PRODUCT!C59="";"";VLOOKUP(INPUT_PRODUCT!C59;PRODUCT!B:H;7;FALSE))</f>
        <v/>
      </c>
      <c r="K46" s="60">
        <f>IF(INPUT_PRODUCT!C59="";"";VLOOKUP(INPUT_PRODUCT!C59;PRODUCT!B:I;8;FALSE))</f>
        <v/>
      </c>
      <c r="L46" s="62">
        <f>IF(INPUT_PRODUCT!C59="";"";VLOOKUP(INPUT_PRODUCT!C59;PRODUCT!B:J;9;FALSE))</f>
        <v/>
      </c>
      <c r="M46" s="62">
        <f>IF(INPUT_PRODUCT!C59="";"";VLOOKUP(INPUT_PRODUCT!C59;PRODUCT!B:K;10;FALSE))</f>
        <v/>
      </c>
      <c r="N46" s="62">
        <f>IF(INPUT_PRODUCT!C59="";"";VLOOKUP(INPUT_PRODUCT!C59;PRODUCT!B:L;11;FALSE))</f>
        <v/>
      </c>
      <c r="O46" s="62">
        <f>IF(INPUT_PRODUCT!C59="";"";VLOOKUP(INPUT_PRODUCT!C59;PRODUCT!B:O;14;FALSE))</f>
        <v/>
      </c>
      <c r="P46" s="63">
        <f>IF(INPUT_PRODUCT!C59="";"";VLOOKUP(INPUT_PRODUCT!C59;PRODUCT!B:P;15;FALSE))</f>
        <v/>
      </c>
      <c r="Q46" s="63">
        <f>IF(INPUT_PRODUCT!C59="";"";INPUT_PRODUCT!K59)</f>
        <v/>
      </c>
      <c r="R46" s="63" t="inlineStr"/>
      <c r="S46" s="63">
        <f>IF(INPUT_PRODUCT!C59="";"";IF(O46="";"";O46*(1+Q46+R46)))</f>
        <v/>
      </c>
      <c r="T46" s="63">
        <f>IF(INPUT_PRODUCT!C59="";"";IF(S46="";"";S46*F46))</f>
        <v/>
      </c>
      <c r="U46" s="62">
        <f>CONFIG!$B$2</f>
        <v/>
      </c>
      <c r="V46" s="62">
        <f>IF(INPUT_PRODUCT!C59="";"";IF(S46="";"";S46*U46))</f>
        <v/>
      </c>
      <c r="W46" s="0">
        <f>IF(INPUT_PRODUCT!C59="";"";IF(T46="";"";T46*U46))</f>
        <v/>
      </c>
      <c r="X46" s="0">
        <f>IF(INPUT_PRODUCT!C59="";"";VLOOKUP(INPUT_PRODUCT!C59;PRODUCT!B:T;19;FALSE))</f>
        <v/>
      </c>
      <c r="Y46" s="0">
        <f>IF(INPUT_PRODUCT!C59="";"";INPUT_PRODUCT!L59)</f>
        <v/>
      </c>
    </row>
    <row r="47" ht="15.75" customHeight="1" s="125">
      <c r="A47" s="62">
        <f>IF(INPUT_PRODUCT!C60="";"";INPUT_PRODUCT!A60)</f>
        <v/>
      </c>
      <c r="B47" s="62">
        <f>IF(INPUT_PRODUCT!C60="";"";INPUT_PRODUCT!B60)</f>
        <v/>
      </c>
      <c r="C47" s="62">
        <f>IF(INPUT_PRODUCT!C60="";"";INPUT_PRODUCT!C60)</f>
        <v/>
      </c>
      <c r="D47" s="62">
        <f>IF(INPUT_PRODUCT!C60="";"";INDEX(PRODUCT!A:A;MATCH(INPUT_PRODUCT!C60;PRODUCT!B:B;0)))</f>
        <v/>
      </c>
      <c r="E47" s="62">
        <f>IF(INPUT_PRODUCT!C60="";"";VLOOKUP(INPUT_PRODUCT!C60;PRODUCT!B:C;2;FALSE))</f>
        <v/>
      </c>
      <c r="F47" s="62">
        <f>IF(INPUT_PRODUCT!C60="";"";INPUT_PRODUCT!J60)</f>
        <v/>
      </c>
      <c r="G47" s="62">
        <f>IF(INPUT_PRODUCT!C60="";"";INPUT_PRODUCT!G60)</f>
        <v/>
      </c>
      <c r="H47" s="62">
        <f>IF(INPUT_PRODUCT!C60="";"";VLOOKUP(INPUT_PRODUCT!C60;PRODUCT!B:F;5;FALSE))</f>
        <v/>
      </c>
      <c r="I47" s="62">
        <f>IF(INPUT_PRODUCT!C60="";"";VLOOKUP(INPUT_PRODUCT!C60;PRODUCT!B:G;6;FALSE))</f>
        <v/>
      </c>
      <c r="J47" s="62">
        <f>IF(INPUT_PRODUCT!C60="";"";VLOOKUP(INPUT_PRODUCT!C60;PRODUCT!B:H;7;FALSE))</f>
        <v/>
      </c>
      <c r="K47" s="60">
        <f>IF(INPUT_PRODUCT!C60="";"";VLOOKUP(INPUT_PRODUCT!C60;PRODUCT!B:I;8;FALSE))</f>
        <v/>
      </c>
      <c r="L47" s="62">
        <f>IF(INPUT_PRODUCT!C60="";"";VLOOKUP(INPUT_PRODUCT!C60;PRODUCT!B:J;9;FALSE))</f>
        <v/>
      </c>
      <c r="M47" s="62">
        <f>IF(INPUT_PRODUCT!C60="";"";VLOOKUP(INPUT_PRODUCT!C60;PRODUCT!B:K;10;FALSE))</f>
        <v/>
      </c>
      <c r="N47" s="62">
        <f>IF(INPUT_PRODUCT!C60="";"";VLOOKUP(INPUT_PRODUCT!C60;PRODUCT!B:L;11;FALSE))</f>
        <v/>
      </c>
      <c r="O47" s="62">
        <f>IF(INPUT_PRODUCT!C60="";"";VLOOKUP(INPUT_PRODUCT!C60;PRODUCT!B:O;14;FALSE))</f>
        <v/>
      </c>
      <c r="P47" s="63">
        <f>IF(INPUT_PRODUCT!C60="";"";VLOOKUP(INPUT_PRODUCT!C60;PRODUCT!B:P;15;FALSE))</f>
        <v/>
      </c>
      <c r="Q47" s="63">
        <f>IF(INPUT_PRODUCT!C60="";"";INPUT_PRODUCT!K60)</f>
        <v/>
      </c>
      <c r="R47" s="63" t="inlineStr"/>
      <c r="S47" s="63">
        <f>IF(INPUT_PRODUCT!C60="";"";IF(O47="";"";O47*(1+Q47+R47)))</f>
        <v/>
      </c>
      <c r="T47" s="63">
        <f>IF(INPUT_PRODUCT!C60="";"";IF(S47="";"";S47*F47))</f>
        <v/>
      </c>
      <c r="U47" s="62">
        <f>CONFIG!$B$2</f>
        <v/>
      </c>
      <c r="V47" s="62">
        <f>IF(INPUT_PRODUCT!C60="";"";IF(S47="";"";S47*U47))</f>
        <v/>
      </c>
      <c r="W47" s="0">
        <f>IF(INPUT_PRODUCT!C60="";"";IF(T47="";"";T47*U47))</f>
        <v/>
      </c>
      <c r="X47" s="0">
        <f>IF(INPUT_PRODUCT!C60="";"";VLOOKUP(INPUT_PRODUCT!C60;PRODUCT!B:T;19;FALSE))</f>
        <v/>
      </c>
      <c r="Y47" s="0">
        <f>IF(INPUT_PRODUCT!C60="";"";INPUT_PRODUCT!L60)</f>
        <v/>
      </c>
    </row>
    <row r="48" ht="15.75" customHeight="1" s="125">
      <c r="A48" s="62">
        <f>IF(INPUT_PRODUCT!C61="";"";INPUT_PRODUCT!A61)</f>
        <v/>
      </c>
      <c r="B48" s="62">
        <f>IF(INPUT_PRODUCT!C61="";"";INPUT_PRODUCT!B61)</f>
        <v/>
      </c>
      <c r="C48" s="62">
        <f>IF(INPUT_PRODUCT!C61="";"";INPUT_PRODUCT!C61)</f>
        <v/>
      </c>
      <c r="D48" s="62">
        <f>IF(INPUT_PRODUCT!C61="";"";INDEX(PRODUCT!A:A;MATCH(INPUT_PRODUCT!C61;PRODUCT!B:B;0)))</f>
        <v/>
      </c>
      <c r="E48" s="62">
        <f>IF(INPUT_PRODUCT!C61="";"";VLOOKUP(INPUT_PRODUCT!C61;PRODUCT!B:C;2;FALSE))</f>
        <v/>
      </c>
      <c r="F48" s="62">
        <f>IF(INPUT_PRODUCT!C61="";"";INPUT_PRODUCT!J61)</f>
        <v/>
      </c>
      <c r="G48" s="62">
        <f>IF(INPUT_PRODUCT!C61="";"";INPUT_PRODUCT!G61)</f>
        <v/>
      </c>
      <c r="H48" s="62">
        <f>IF(INPUT_PRODUCT!C61="";"";VLOOKUP(INPUT_PRODUCT!C61;PRODUCT!B:F;5;FALSE))</f>
        <v/>
      </c>
      <c r="I48" s="62">
        <f>IF(INPUT_PRODUCT!C61="";"";VLOOKUP(INPUT_PRODUCT!C61;PRODUCT!B:G;6;FALSE))</f>
        <v/>
      </c>
      <c r="J48" s="62">
        <f>IF(INPUT_PRODUCT!C61="";"";VLOOKUP(INPUT_PRODUCT!C61;PRODUCT!B:H;7;FALSE))</f>
        <v/>
      </c>
      <c r="K48" s="60">
        <f>IF(INPUT_PRODUCT!C61="";"";VLOOKUP(INPUT_PRODUCT!C61;PRODUCT!B:I;8;FALSE))</f>
        <v/>
      </c>
      <c r="L48" s="62">
        <f>IF(INPUT_PRODUCT!C61="";"";VLOOKUP(INPUT_PRODUCT!C61;PRODUCT!B:J;9;FALSE))</f>
        <v/>
      </c>
      <c r="M48" s="62">
        <f>IF(INPUT_PRODUCT!C61="";"";VLOOKUP(INPUT_PRODUCT!C61;PRODUCT!B:K;10;FALSE))</f>
        <v/>
      </c>
      <c r="N48" s="62">
        <f>IF(INPUT_PRODUCT!C61="";"";VLOOKUP(INPUT_PRODUCT!C61;PRODUCT!B:L;11;FALSE))</f>
        <v/>
      </c>
      <c r="O48" s="62">
        <f>IF(INPUT_PRODUCT!C61="";"";VLOOKUP(INPUT_PRODUCT!C61;PRODUCT!B:O;14;FALSE))</f>
        <v/>
      </c>
      <c r="P48" s="63">
        <f>IF(INPUT_PRODUCT!C61="";"";VLOOKUP(INPUT_PRODUCT!C61;PRODUCT!B:P;15;FALSE))</f>
        <v/>
      </c>
      <c r="Q48" s="63">
        <f>IF(INPUT_PRODUCT!C61="";"";INPUT_PRODUCT!K61)</f>
        <v/>
      </c>
      <c r="R48" s="63" t="inlineStr"/>
      <c r="S48" s="63">
        <f>IF(INPUT_PRODUCT!C61="";"";IF(O48="";"";O48*(1+Q48+R48)))</f>
        <v/>
      </c>
      <c r="T48" s="63">
        <f>IF(INPUT_PRODUCT!C61="";"";IF(S48="";"";S48*F48))</f>
        <v/>
      </c>
      <c r="U48" s="62">
        <f>CONFIG!$B$2</f>
        <v/>
      </c>
      <c r="V48" s="62">
        <f>IF(INPUT_PRODUCT!C61="";"";IF(S48="";"";S48*U48))</f>
        <v/>
      </c>
      <c r="W48" s="0">
        <f>IF(INPUT_PRODUCT!C61="";"";IF(T48="";"";T48*U48))</f>
        <v/>
      </c>
      <c r="X48" s="0">
        <f>IF(INPUT_PRODUCT!C61="";"";VLOOKUP(INPUT_PRODUCT!C61;PRODUCT!B:T;19;FALSE))</f>
        <v/>
      </c>
      <c r="Y48" s="0">
        <f>IF(INPUT_PRODUCT!C61="";"";INPUT_PRODUCT!L61)</f>
        <v/>
      </c>
    </row>
    <row r="49" ht="15.75" customHeight="1" s="125">
      <c r="A49" s="62">
        <f>IF(INPUT_PRODUCT!C62="";"";INPUT_PRODUCT!A62)</f>
        <v/>
      </c>
      <c r="B49" s="62">
        <f>IF(INPUT_PRODUCT!C62="";"";INPUT_PRODUCT!B62)</f>
        <v/>
      </c>
      <c r="C49" s="62">
        <f>IF(INPUT_PRODUCT!C62="";"";INPUT_PRODUCT!C62)</f>
        <v/>
      </c>
      <c r="D49" s="62">
        <f>IF(INPUT_PRODUCT!C62="";"";INDEX(PRODUCT!A:A;MATCH(INPUT_PRODUCT!C62;PRODUCT!B:B;0)))</f>
        <v/>
      </c>
      <c r="E49" s="62">
        <f>IF(INPUT_PRODUCT!C62="";"";VLOOKUP(INPUT_PRODUCT!C62;PRODUCT!B:C;2;FALSE))</f>
        <v/>
      </c>
      <c r="F49" s="62">
        <f>IF(INPUT_PRODUCT!C62="";"";INPUT_PRODUCT!J62)</f>
        <v/>
      </c>
      <c r="G49" s="62">
        <f>IF(INPUT_PRODUCT!C62="";"";INPUT_PRODUCT!G62)</f>
        <v/>
      </c>
      <c r="H49" s="62">
        <f>IF(INPUT_PRODUCT!C62="";"";VLOOKUP(INPUT_PRODUCT!C62;PRODUCT!B:F;5;FALSE))</f>
        <v/>
      </c>
      <c r="I49" s="62">
        <f>IF(INPUT_PRODUCT!C62="";"";VLOOKUP(INPUT_PRODUCT!C62;PRODUCT!B:G;6;FALSE))</f>
        <v/>
      </c>
      <c r="J49" s="62">
        <f>IF(INPUT_PRODUCT!C62="";"";VLOOKUP(INPUT_PRODUCT!C62;PRODUCT!B:H;7;FALSE))</f>
        <v/>
      </c>
      <c r="K49" s="60">
        <f>IF(INPUT_PRODUCT!C62="";"";VLOOKUP(INPUT_PRODUCT!C62;PRODUCT!B:I;8;FALSE))</f>
        <v/>
      </c>
      <c r="L49" s="62">
        <f>IF(INPUT_PRODUCT!C62="";"";VLOOKUP(INPUT_PRODUCT!C62;PRODUCT!B:J;9;FALSE))</f>
        <v/>
      </c>
      <c r="M49" s="62">
        <f>IF(INPUT_PRODUCT!C62="";"";VLOOKUP(INPUT_PRODUCT!C62;PRODUCT!B:K;10;FALSE))</f>
        <v/>
      </c>
      <c r="N49" s="62">
        <f>IF(INPUT_PRODUCT!C62="";"";VLOOKUP(INPUT_PRODUCT!C62;PRODUCT!B:L;11;FALSE))</f>
        <v/>
      </c>
      <c r="O49" s="62">
        <f>IF(INPUT_PRODUCT!C62="";"";VLOOKUP(INPUT_PRODUCT!C62;PRODUCT!B:O;14;FALSE))</f>
        <v/>
      </c>
      <c r="P49" s="63">
        <f>IF(INPUT_PRODUCT!C62="";"";VLOOKUP(INPUT_PRODUCT!C62;PRODUCT!B:P;15;FALSE))</f>
        <v/>
      </c>
      <c r="Q49" s="63">
        <f>IF(INPUT_PRODUCT!C62="";"";INPUT_PRODUCT!K62)</f>
        <v/>
      </c>
      <c r="R49" s="63" t="inlineStr"/>
      <c r="S49" s="63">
        <f>IF(INPUT_PRODUCT!C62="";"";IF(O49="";"";O49*(1+Q49+R49)))</f>
        <v/>
      </c>
      <c r="T49" s="63">
        <f>IF(INPUT_PRODUCT!C62="";"";IF(S49="";"";S49*F49))</f>
        <v/>
      </c>
      <c r="U49" s="62">
        <f>CONFIG!$B$2</f>
        <v/>
      </c>
      <c r="V49" s="62">
        <f>IF(INPUT_PRODUCT!C62="";"";IF(S49="";"";S49*U49))</f>
        <v/>
      </c>
      <c r="W49" s="0">
        <f>IF(INPUT_PRODUCT!C62="";"";IF(T49="";"";T49*U49))</f>
        <v/>
      </c>
      <c r="X49" s="0">
        <f>IF(INPUT_PRODUCT!C62="";"";VLOOKUP(INPUT_PRODUCT!C62;PRODUCT!B:T;19;FALSE))</f>
        <v/>
      </c>
      <c r="Y49" s="0">
        <f>IF(INPUT_PRODUCT!C62="";"";INPUT_PRODUCT!L62)</f>
        <v/>
      </c>
    </row>
    <row r="50" ht="15.75" customHeight="1" s="125">
      <c r="A50" s="62">
        <f>IF(INPUT_PRODUCT!C63="";"";INPUT_PRODUCT!A63)</f>
        <v/>
      </c>
      <c r="B50" s="62">
        <f>IF(INPUT_PRODUCT!C63="";"";INPUT_PRODUCT!B63)</f>
        <v/>
      </c>
      <c r="C50" s="62">
        <f>IF(INPUT_PRODUCT!C63="";"";INPUT_PRODUCT!C63)</f>
        <v/>
      </c>
      <c r="D50" s="62">
        <f>IF(INPUT_PRODUCT!C63="";"";INDEX(PRODUCT!A:A;MATCH(INPUT_PRODUCT!C63;PRODUCT!B:B;0)))</f>
        <v/>
      </c>
      <c r="E50" s="62">
        <f>IF(INPUT_PRODUCT!C63="";"";VLOOKUP(INPUT_PRODUCT!C63;PRODUCT!B:C;2;FALSE))</f>
        <v/>
      </c>
      <c r="F50" s="62">
        <f>IF(INPUT_PRODUCT!C63="";"";INPUT_PRODUCT!J63)</f>
        <v/>
      </c>
      <c r="G50" s="62">
        <f>IF(INPUT_PRODUCT!C63="";"";INPUT_PRODUCT!G63)</f>
        <v/>
      </c>
      <c r="H50" s="62">
        <f>IF(INPUT_PRODUCT!C63="";"";VLOOKUP(INPUT_PRODUCT!C63;PRODUCT!B:F;5;FALSE))</f>
        <v/>
      </c>
      <c r="I50" s="62">
        <f>IF(INPUT_PRODUCT!C63="";"";VLOOKUP(INPUT_PRODUCT!C63;PRODUCT!B:G;6;FALSE))</f>
        <v/>
      </c>
      <c r="J50" s="62">
        <f>IF(INPUT_PRODUCT!C63="";"";VLOOKUP(INPUT_PRODUCT!C63;PRODUCT!B:H;7;FALSE))</f>
        <v/>
      </c>
      <c r="K50" s="60">
        <f>IF(INPUT_PRODUCT!C63="";"";VLOOKUP(INPUT_PRODUCT!C63;PRODUCT!B:I;8;FALSE))</f>
        <v/>
      </c>
      <c r="L50" s="62">
        <f>IF(INPUT_PRODUCT!C63="";"";VLOOKUP(INPUT_PRODUCT!C63;PRODUCT!B:J;9;FALSE))</f>
        <v/>
      </c>
      <c r="M50" s="62">
        <f>IF(INPUT_PRODUCT!C63="";"";VLOOKUP(INPUT_PRODUCT!C63;PRODUCT!B:K;10;FALSE))</f>
        <v/>
      </c>
      <c r="N50" s="62">
        <f>IF(INPUT_PRODUCT!C63="";"";VLOOKUP(INPUT_PRODUCT!C63;PRODUCT!B:L;11;FALSE))</f>
        <v/>
      </c>
      <c r="O50" s="62">
        <f>IF(INPUT_PRODUCT!C63="";"";VLOOKUP(INPUT_PRODUCT!C63;PRODUCT!B:O;14;FALSE))</f>
        <v/>
      </c>
      <c r="P50" s="63">
        <f>IF(INPUT_PRODUCT!C63="";"";VLOOKUP(INPUT_PRODUCT!C63;PRODUCT!B:P;15;FALSE))</f>
        <v/>
      </c>
      <c r="Q50" s="63">
        <f>IF(INPUT_PRODUCT!C63="";"";INPUT_PRODUCT!K63)</f>
        <v/>
      </c>
      <c r="R50" s="63" t="inlineStr"/>
      <c r="S50" s="63">
        <f>IF(INPUT_PRODUCT!C63="";"";IF(O50="";"";O50*(1+Q50+R50)))</f>
        <v/>
      </c>
      <c r="T50" s="63">
        <f>IF(INPUT_PRODUCT!C63="";"";IF(S50="";"";S50*F50))</f>
        <v/>
      </c>
      <c r="U50" s="62">
        <f>CONFIG!$B$2</f>
        <v/>
      </c>
      <c r="V50" s="62">
        <f>IF(INPUT_PRODUCT!C63="";"";IF(S50="";"";S50*U50))</f>
        <v/>
      </c>
      <c r="W50" s="0">
        <f>IF(INPUT_PRODUCT!C63="";"";IF(T50="";"";T50*U50))</f>
        <v/>
      </c>
      <c r="X50" s="0">
        <f>IF(INPUT_PRODUCT!C63="";"";VLOOKUP(INPUT_PRODUCT!C63;PRODUCT!B:T;19;FALSE))</f>
        <v/>
      </c>
      <c r="Y50" s="0">
        <f>IF(INPUT_PRODUCT!C63="";"";INPUT_PRODUCT!L63)</f>
        <v/>
      </c>
    </row>
    <row r="51" ht="15.75" customHeight="1" s="125">
      <c r="A51" s="62">
        <f>IF(INPUT_PRODUCT!C64="";"";INPUT_PRODUCT!A64)</f>
        <v/>
      </c>
      <c r="B51" s="62">
        <f>IF(INPUT_PRODUCT!C64="";"";INPUT_PRODUCT!B64)</f>
        <v/>
      </c>
      <c r="C51" s="62">
        <f>IF(INPUT_PRODUCT!C64="";"";INPUT_PRODUCT!C64)</f>
        <v/>
      </c>
      <c r="D51" s="62">
        <f>IF(INPUT_PRODUCT!C64="";"";INDEX(PRODUCT!A:A;MATCH(INPUT_PRODUCT!C64;PRODUCT!B:B;0)))</f>
        <v/>
      </c>
      <c r="E51" s="62">
        <f>IF(INPUT_PRODUCT!C64="";"";VLOOKUP(INPUT_PRODUCT!C64;PRODUCT!B:C;2;FALSE))</f>
        <v/>
      </c>
      <c r="F51" s="62">
        <f>IF(INPUT_PRODUCT!C64="";"";INPUT_PRODUCT!J64)</f>
        <v/>
      </c>
      <c r="G51" s="62">
        <f>IF(INPUT_PRODUCT!C64="";"";INPUT_PRODUCT!G64)</f>
        <v/>
      </c>
      <c r="H51" s="62">
        <f>IF(INPUT_PRODUCT!C64="";"";VLOOKUP(INPUT_PRODUCT!C64;PRODUCT!B:F;5;FALSE))</f>
        <v/>
      </c>
      <c r="I51" s="62">
        <f>IF(INPUT_PRODUCT!C64="";"";VLOOKUP(INPUT_PRODUCT!C64;PRODUCT!B:G;6;FALSE))</f>
        <v/>
      </c>
      <c r="J51" s="62">
        <f>IF(INPUT_PRODUCT!C64="";"";VLOOKUP(INPUT_PRODUCT!C64;PRODUCT!B:H;7;FALSE))</f>
        <v/>
      </c>
      <c r="K51" s="60">
        <f>IF(INPUT_PRODUCT!C64="";"";VLOOKUP(INPUT_PRODUCT!C64;PRODUCT!B:I;8;FALSE))</f>
        <v/>
      </c>
      <c r="L51" s="62">
        <f>IF(INPUT_PRODUCT!C64="";"";VLOOKUP(INPUT_PRODUCT!C64;PRODUCT!B:J;9;FALSE))</f>
        <v/>
      </c>
      <c r="M51" s="62">
        <f>IF(INPUT_PRODUCT!C64="";"";VLOOKUP(INPUT_PRODUCT!C64;PRODUCT!B:K;10;FALSE))</f>
        <v/>
      </c>
      <c r="N51" s="62">
        <f>IF(INPUT_PRODUCT!C64="";"";VLOOKUP(INPUT_PRODUCT!C64;PRODUCT!B:L;11;FALSE))</f>
        <v/>
      </c>
      <c r="O51" s="62">
        <f>IF(INPUT_PRODUCT!C64="";"";VLOOKUP(INPUT_PRODUCT!C64;PRODUCT!B:O;14;FALSE))</f>
        <v/>
      </c>
      <c r="P51" s="63">
        <f>IF(INPUT_PRODUCT!C64="";"";VLOOKUP(INPUT_PRODUCT!C64;PRODUCT!B:P;15;FALSE))</f>
        <v/>
      </c>
      <c r="Q51" s="63">
        <f>IF(INPUT_PRODUCT!C64="";"";INPUT_PRODUCT!K64)</f>
        <v/>
      </c>
      <c r="R51" s="63" t="inlineStr"/>
      <c r="S51" s="63">
        <f>IF(INPUT_PRODUCT!C64="";"";IF(O51="";"";O51*(1+Q51+R51)))</f>
        <v/>
      </c>
      <c r="T51" s="63">
        <f>IF(INPUT_PRODUCT!C64="";"";IF(S51="";"";S51*F51))</f>
        <v/>
      </c>
      <c r="U51" s="62">
        <f>CONFIG!$B$2</f>
        <v/>
      </c>
      <c r="V51" s="62">
        <f>IF(INPUT_PRODUCT!C64="";"";IF(S51="";"";S51*U51))</f>
        <v/>
      </c>
      <c r="W51" s="0">
        <f>IF(INPUT_PRODUCT!C64="";"";IF(T51="";"";T51*U51))</f>
        <v/>
      </c>
      <c r="X51" s="0">
        <f>IF(INPUT_PRODUCT!C64="";"";VLOOKUP(INPUT_PRODUCT!C64;PRODUCT!B:T;19;FALSE))</f>
        <v/>
      </c>
      <c r="Y51" s="0">
        <f>IF(INPUT_PRODUCT!C64="";"";INPUT_PRODUCT!L64)</f>
        <v/>
      </c>
    </row>
    <row r="52" ht="15.75" customHeight="1" s="125">
      <c r="A52" s="62">
        <f>IF(INPUT_PRODUCT!C65="";"";INPUT_PRODUCT!A65)</f>
        <v/>
      </c>
      <c r="B52" s="62">
        <f>IF(INPUT_PRODUCT!C65="";"";INPUT_PRODUCT!B65)</f>
        <v/>
      </c>
      <c r="C52" s="62">
        <f>IF(INPUT_PRODUCT!C65="";"";INPUT_PRODUCT!C65)</f>
        <v/>
      </c>
      <c r="D52" s="62">
        <f>IF(INPUT_PRODUCT!C65="";"";INDEX(PRODUCT!A:A;MATCH(INPUT_PRODUCT!C65;PRODUCT!B:B;0)))</f>
        <v/>
      </c>
      <c r="E52" s="62">
        <f>IF(INPUT_PRODUCT!C65="";"";VLOOKUP(INPUT_PRODUCT!C65;PRODUCT!B:C;2;FALSE))</f>
        <v/>
      </c>
      <c r="F52" s="62">
        <f>IF(INPUT_PRODUCT!C65="";"";INPUT_PRODUCT!J65)</f>
        <v/>
      </c>
      <c r="G52" s="62">
        <f>IF(INPUT_PRODUCT!C65="";"";INPUT_PRODUCT!G65)</f>
        <v/>
      </c>
      <c r="H52" s="62">
        <f>IF(INPUT_PRODUCT!C65="";"";VLOOKUP(INPUT_PRODUCT!C65;PRODUCT!B:F;5;FALSE))</f>
        <v/>
      </c>
      <c r="I52" s="62">
        <f>IF(INPUT_PRODUCT!C65="";"";VLOOKUP(INPUT_PRODUCT!C65;PRODUCT!B:G;6;FALSE))</f>
        <v/>
      </c>
      <c r="J52" s="62">
        <f>IF(INPUT_PRODUCT!C65="";"";VLOOKUP(INPUT_PRODUCT!C65;PRODUCT!B:H;7;FALSE))</f>
        <v/>
      </c>
      <c r="K52" s="60">
        <f>IF(INPUT_PRODUCT!C65="";"";VLOOKUP(INPUT_PRODUCT!C65;PRODUCT!B:I;8;FALSE))</f>
        <v/>
      </c>
      <c r="L52" s="62">
        <f>IF(INPUT_PRODUCT!C65="";"";VLOOKUP(INPUT_PRODUCT!C65;PRODUCT!B:J;9;FALSE))</f>
        <v/>
      </c>
      <c r="M52" s="62">
        <f>IF(INPUT_PRODUCT!C65="";"";VLOOKUP(INPUT_PRODUCT!C65;PRODUCT!B:K;10;FALSE))</f>
        <v/>
      </c>
      <c r="N52" s="62">
        <f>IF(INPUT_PRODUCT!C65="";"";VLOOKUP(INPUT_PRODUCT!C65;PRODUCT!B:L;11;FALSE))</f>
        <v/>
      </c>
      <c r="O52" s="62">
        <f>IF(INPUT_PRODUCT!C65="";"";VLOOKUP(INPUT_PRODUCT!C65;PRODUCT!B:O;14;FALSE))</f>
        <v/>
      </c>
      <c r="P52" s="63">
        <f>IF(INPUT_PRODUCT!C65="";"";VLOOKUP(INPUT_PRODUCT!C65;PRODUCT!B:P;15;FALSE))</f>
        <v/>
      </c>
      <c r="Q52" s="63">
        <f>IF(INPUT_PRODUCT!C65="";"";INPUT_PRODUCT!K65)</f>
        <v/>
      </c>
      <c r="R52" s="63" t="inlineStr"/>
      <c r="S52" s="63">
        <f>IF(INPUT_PRODUCT!C65="";"";IF(O52="";"";O52*(1+Q52+R52)))</f>
        <v/>
      </c>
      <c r="T52" s="63">
        <f>IF(INPUT_PRODUCT!C65="";"";IF(S52="";"";S52*F52))</f>
        <v/>
      </c>
      <c r="U52" s="62">
        <f>CONFIG!$B$2</f>
        <v/>
      </c>
      <c r="V52" s="62">
        <f>IF(INPUT_PRODUCT!C65="";"";IF(S52="";"";S52*U52))</f>
        <v/>
      </c>
      <c r="W52" s="0">
        <f>IF(INPUT_PRODUCT!C65="";"";IF(T52="";"";T52*U52))</f>
        <v/>
      </c>
      <c r="X52" s="0">
        <f>IF(INPUT_PRODUCT!C65="";"";VLOOKUP(INPUT_PRODUCT!C65;PRODUCT!B:T;19;FALSE))</f>
        <v/>
      </c>
      <c r="Y52" s="0">
        <f>IF(INPUT_PRODUCT!C65="";"";INPUT_PRODUCT!L65)</f>
        <v/>
      </c>
    </row>
    <row r="53" ht="15.75" customHeight="1" s="125">
      <c r="A53" s="62">
        <f>IF(INPUT_PRODUCT!C66="";"";INPUT_PRODUCT!A66)</f>
        <v/>
      </c>
      <c r="B53" s="62">
        <f>IF(INPUT_PRODUCT!C66="";"";INPUT_PRODUCT!B66)</f>
        <v/>
      </c>
      <c r="C53" s="62">
        <f>IF(INPUT_PRODUCT!C66="";"";INPUT_PRODUCT!C66)</f>
        <v/>
      </c>
      <c r="D53" s="62">
        <f>IF(INPUT_PRODUCT!C66="";"";INDEX(PRODUCT!A:A;MATCH(INPUT_PRODUCT!C66;PRODUCT!B:B;0)))</f>
        <v/>
      </c>
      <c r="E53" s="62">
        <f>IF(INPUT_PRODUCT!C66="";"";VLOOKUP(INPUT_PRODUCT!C66;PRODUCT!B:C;2;FALSE))</f>
        <v/>
      </c>
      <c r="F53" s="62">
        <f>IF(INPUT_PRODUCT!C66="";"";INPUT_PRODUCT!J66)</f>
        <v/>
      </c>
      <c r="G53" s="62">
        <f>IF(INPUT_PRODUCT!C66="";"";INPUT_PRODUCT!G66)</f>
        <v/>
      </c>
      <c r="H53" s="62">
        <f>IF(INPUT_PRODUCT!C66="";"";VLOOKUP(INPUT_PRODUCT!C66;PRODUCT!B:F;5;FALSE))</f>
        <v/>
      </c>
      <c r="I53" s="62">
        <f>IF(INPUT_PRODUCT!C66="";"";VLOOKUP(INPUT_PRODUCT!C66;PRODUCT!B:G;6;FALSE))</f>
        <v/>
      </c>
      <c r="J53" s="62">
        <f>IF(INPUT_PRODUCT!C66="";"";VLOOKUP(INPUT_PRODUCT!C66;PRODUCT!B:H;7;FALSE))</f>
        <v/>
      </c>
      <c r="K53" s="60">
        <f>IF(INPUT_PRODUCT!C66="";"";VLOOKUP(INPUT_PRODUCT!C66;PRODUCT!B:I;8;FALSE))</f>
        <v/>
      </c>
      <c r="L53" s="62">
        <f>IF(INPUT_PRODUCT!C66="";"";VLOOKUP(INPUT_PRODUCT!C66;PRODUCT!B:J;9;FALSE))</f>
        <v/>
      </c>
      <c r="M53" s="62">
        <f>IF(INPUT_PRODUCT!C66="";"";VLOOKUP(INPUT_PRODUCT!C66;PRODUCT!B:K;10;FALSE))</f>
        <v/>
      </c>
      <c r="N53" s="62">
        <f>IF(INPUT_PRODUCT!C66="";"";VLOOKUP(INPUT_PRODUCT!C66;PRODUCT!B:L;11;FALSE))</f>
        <v/>
      </c>
      <c r="O53" s="62">
        <f>IF(INPUT_PRODUCT!C66="";"";VLOOKUP(INPUT_PRODUCT!C66;PRODUCT!B:O;14;FALSE))</f>
        <v/>
      </c>
      <c r="P53" s="63">
        <f>IF(INPUT_PRODUCT!C66="";"";VLOOKUP(INPUT_PRODUCT!C66;PRODUCT!B:P;15;FALSE))</f>
        <v/>
      </c>
      <c r="Q53" s="63">
        <f>IF(INPUT_PRODUCT!C66="";"";INPUT_PRODUCT!K66)</f>
        <v/>
      </c>
      <c r="R53" s="63" t="inlineStr"/>
      <c r="S53" s="63">
        <f>IF(INPUT_PRODUCT!C66="";"";IF(O53="";"";O53*(1+Q53+R53)))</f>
        <v/>
      </c>
      <c r="T53" s="63">
        <f>IF(INPUT_PRODUCT!C66="";"";IF(S53="";"";S53*F53))</f>
        <v/>
      </c>
      <c r="U53" s="62">
        <f>CONFIG!$B$2</f>
        <v/>
      </c>
      <c r="V53" s="62">
        <f>IF(INPUT_PRODUCT!C66="";"";IF(S53="";"";S53*U53))</f>
        <v/>
      </c>
      <c r="W53" s="0">
        <f>IF(INPUT_PRODUCT!C66="";"";IF(T53="";"";T53*U53))</f>
        <v/>
      </c>
      <c r="X53" s="0">
        <f>IF(INPUT_PRODUCT!C66="";"";VLOOKUP(INPUT_PRODUCT!C66;PRODUCT!B:T;19;FALSE))</f>
        <v/>
      </c>
      <c r="Y53" s="0">
        <f>IF(INPUT_PRODUCT!C66="";"";INPUT_PRODUCT!L66)</f>
        <v/>
      </c>
    </row>
    <row r="54" ht="15.75" customHeight="1" s="125">
      <c r="A54" s="62">
        <f>IF(INPUT_PRODUCT!C67="";"";INPUT_PRODUCT!A67)</f>
        <v/>
      </c>
      <c r="B54" s="62">
        <f>IF(INPUT_PRODUCT!C67="";"";INPUT_PRODUCT!B67)</f>
        <v/>
      </c>
      <c r="C54" s="62">
        <f>IF(INPUT_PRODUCT!C67="";"";INPUT_PRODUCT!C67)</f>
        <v/>
      </c>
      <c r="D54" s="62">
        <f>IF(INPUT_PRODUCT!C67="";"";INDEX(PRODUCT!A:A;MATCH(INPUT_PRODUCT!C67;PRODUCT!B:B;0)))</f>
        <v/>
      </c>
      <c r="E54" s="62">
        <f>IF(INPUT_PRODUCT!C67="";"";VLOOKUP(INPUT_PRODUCT!C67;PRODUCT!B:C;2;FALSE))</f>
        <v/>
      </c>
      <c r="F54" s="62">
        <f>IF(INPUT_PRODUCT!C67="";"";INPUT_PRODUCT!J67)</f>
        <v/>
      </c>
      <c r="G54" s="62">
        <f>IF(INPUT_PRODUCT!C67="";"";INPUT_PRODUCT!G67)</f>
        <v/>
      </c>
      <c r="H54" s="62">
        <f>IF(INPUT_PRODUCT!C67="";"";VLOOKUP(INPUT_PRODUCT!C67;PRODUCT!B:F;5;FALSE))</f>
        <v/>
      </c>
      <c r="I54" s="62">
        <f>IF(INPUT_PRODUCT!C67="";"";VLOOKUP(INPUT_PRODUCT!C67;PRODUCT!B:G;6;FALSE))</f>
        <v/>
      </c>
      <c r="J54" s="62">
        <f>IF(INPUT_PRODUCT!C67="";"";VLOOKUP(INPUT_PRODUCT!C67;PRODUCT!B:H;7;FALSE))</f>
        <v/>
      </c>
      <c r="K54" s="60">
        <f>IF(INPUT_PRODUCT!C67="";"";VLOOKUP(INPUT_PRODUCT!C67;PRODUCT!B:I;8;FALSE))</f>
        <v/>
      </c>
      <c r="L54" s="62">
        <f>IF(INPUT_PRODUCT!C67="";"";VLOOKUP(INPUT_PRODUCT!C67;PRODUCT!B:J;9;FALSE))</f>
        <v/>
      </c>
      <c r="M54" s="62">
        <f>IF(INPUT_PRODUCT!C67="";"";VLOOKUP(INPUT_PRODUCT!C67;PRODUCT!B:K;10;FALSE))</f>
        <v/>
      </c>
      <c r="N54" s="62">
        <f>IF(INPUT_PRODUCT!C67="";"";VLOOKUP(INPUT_PRODUCT!C67;PRODUCT!B:L;11;FALSE))</f>
        <v/>
      </c>
      <c r="O54" s="62">
        <f>IF(INPUT_PRODUCT!C67="";"";VLOOKUP(INPUT_PRODUCT!C67;PRODUCT!B:O;14;FALSE))</f>
        <v/>
      </c>
      <c r="P54" s="63">
        <f>IF(INPUT_PRODUCT!C67="";"";VLOOKUP(INPUT_PRODUCT!C67;PRODUCT!B:P;15;FALSE))</f>
        <v/>
      </c>
      <c r="Q54" s="63">
        <f>IF(INPUT_PRODUCT!C67="";"";INPUT_PRODUCT!K67)</f>
        <v/>
      </c>
      <c r="R54" s="63" t="inlineStr"/>
      <c r="S54" s="63">
        <f>IF(INPUT_PRODUCT!C67="";"";IF(O54="";"";O54*(1+Q54+R54)))</f>
        <v/>
      </c>
      <c r="T54" s="63">
        <f>IF(INPUT_PRODUCT!C67="";"";IF(S54="";"";S54*F54))</f>
        <v/>
      </c>
      <c r="U54" s="62">
        <f>CONFIG!$B$2</f>
        <v/>
      </c>
      <c r="V54" s="62">
        <f>IF(INPUT_PRODUCT!C67="";"";IF(S54="";"";S54*U54))</f>
        <v/>
      </c>
      <c r="W54" s="0">
        <f>IF(INPUT_PRODUCT!C67="";"";IF(T54="";"";T54*U54))</f>
        <v/>
      </c>
      <c r="X54" s="0">
        <f>IF(INPUT_PRODUCT!C67="";"";VLOOKUP(INPUT_PRODUCT!C67;PRODUCT!B:T;19;FALSE))</f>
        <v/>
      </c>
      <c r="Y54" s="0">
        <f>IF(INPUT_PRODUCT!C67="";"";INPUT_PRODUCT!L67)</f>
        <v/>
      </c>
    </row>
    <row r="55" ht="15.75" customHeight="1" s="125">
      <c r="A55" s="62">
        <f>IF(INPUT_PRODUCT!C68="";"";INPUT_PRODUCT!A68)</f>
        <v/>
      </c>
      <c r="B55" s="62">
        <f>IF(INPUT_PRODUCT!C68="";"";INPUT_PRODUCT!B68)</f>
        <v/>
      </c>
      <c r="C55" s="62">
        <f>IF(INPUT_PRODUCT!C68="";"";INPUT_PRODUCT!C68)</f>
        <v/>
      </c>
      <c r="D55" s="62">
        <f>IF(INPUT_PRODUCT!C68="";"";INDEX(PRODUCT!A:A;MATCH(INPUT_PRODUCT!C68;PRODUCT!B:B;0)))</f>
        <v/>
      </c>
      <c r="E55" s="62">
        <f>IF(INPUT_PRODUCT!C68="";"";VLOOKUP(INPUT_PRODUCT!C68;PRODUCT!B:C;2;FALSE))</f>
        <v/>
      </c>
      <c r="F55" s="62">
        <f>IF(INPUT_PRODUCT!C68="";"";INPUT_PRODUCT!J68)</f>
        <v/>
      </c>
      <c r="G55" s="62">
        <f>IF(INPUT_PRODUCT!C68="";"";INPUT_PRODUCT!G68)</f>
        <v/>
      </c>
      <c r="H55" s="62">
        <f>IF(INPUT_PRODUCT!C68="";"";VLOOKUP(INPUT_PRODUCT!C68;PRODUCT!B:F;5;FALSE))</f>
        <v/>
      </c>
      <c r="I55" s="62">
        <f>IF(INPUT_PRODUCT!C68="";"";VLOOKUP(INPUT_PRODUCT!C68;PRODUCT!B:G;6;FALSE))</f>
        <v/>
      </c>
      <c r="J55" s="62">
        <f>IF(INPUT_PRODUCT!C68="";"";VLOOKUP(INPUT_PRODUCT!C68;PRODUCT!B:H;7;FALSE))</f>
        <v/>
      </c>
      <c r="K55" s="60">
        <f>IF(INPUT_PRODUCT!C68="";"";VLOOKUP(INPUT_PRODUCT!C68;PRODUCT!B:I;8;FALSE))</f>
        <v/>
      </c>
      <c r="L55" s="62">
        <f>IF(INPUT_PRODUCT!C68="";"";VLOOKUP(INPUT_PRODUCT!C68;PRODUCT!B:J;9;FALSE))</f>
        <v/>
      </c>
      <c r="M55" s="62">
        <f>IF(INPUT_PRODUCT!C68="";"";VLOOKUP(INPUT_PRODUCT!C68;PRODUCT!B:K;10;FALSE))</f>
        <v/>
      </c>
      <c r="N55" s="62">
        <f>IF(INPUT_PRODUCT!C68="";"";VLOOKUP(INPUT_PRODUCT!C68;PRODUCT!B:L;11;FALSE))</f>
        <v/>
      </c>
      <c r="O55" s="62">
        <f>IF(INPUT_PRODUCT!C68="";"";VLOOKUP(INPUT_PRODUCT!C68;PRODUCT!B:O;14;FALSE))</f>
        <v/>
      </c>
      <c r="P55" s="63">
        <f>IF(INPUT_PRODUCT!C68="";"";VLOOKUP(INPUT_PRODUCT!C68;PRODUCT!B:P;15;FALSE))</f>
        <v/>
      </c>
      <c r="Q55" s="63">
        <f>IF(INPUT_PRODUCT!C68="";"";INPUT_PRODUCT!K68)</f>
        <v/>
      </c>
      <c r="R55" s="63" t="inlineStr"/>
      <c r="S55" s="63">
        <f>IF(INPUT_PRODUCT!C68="";"";IF(O55="";"";O55*(1+Q55+R55)))</f>
        <v/>
      </c>
      <c r="T55" s="63">
        <f>IF(INPUT_PRODUCT!C68="";"";IF(S55="";"";S55*F55))</f>
        <v/>
      </c>
      <c r="U55" s="62">
        <f>CONFIG!$B$2</f>
        <v/>
      </c>
      <c r="V55" s="62">
        <f>IF(INPUT_PRODUCT!C68="";"";IF(S55="";"";S55*U55))</f>
        <v/>
      </c>
      <c r="W55" s="0">
        <f>IF(INPUT_PRODUCT!C68="";"";IF(T55="";"";T55*U55))</f>
        <v/>
      </c>
      <c r="X55" s="0">
        <f>IF(INPUT_PRODUCT!C68="";"";VLOOKUP(INPUT_PRODUCT!C68;PRODUCT!B:T;19;FALSE))</f>
        <v/>
      </c>
      <c r="Y55" s="0">
        <f>IF(INPUT_PRODUCT!C68="";"";INPUT_PRODUCT!L68)</f>
        <v/>
      </c>
    </row>
    <row r="56" ht="15.75" customHeight="1" s="125">
      <c r="A56" s="62">
        <f>IF(INPUT_PRODUCT!C69="";"";INPUT_PRODUCT!A69)</f>
        <v/>
      </c>
      <c r="B56" s="62">
        <f>IF(INPUT_PRODUCT!C69="";"";INPUT_PRODUCT!B69)</f>
        <v/>
      </c>
      <c r="C56" s="62">
        <f>IF(INPUT_PRODUCT!C69="";"";INPUT_PRODUCT!C69)</f>
        <v/>
      </c>
      <c r="D56" s="62">
        <f>IF(INPUT_PRODUCT!C69="";"";INDEX(PRODUCT!A:A;MATCH(INPUT_PRODUCT!C69;PRODUCT!B:B;0)))</f>
        <v/>
      </c>
      <c r="E56" s="62">
        <f>IF(INPUT_PRODUCT!C69="";"";VLOOKUP(INPUT_PRODUCT!C69;PRODUCT!B:C;2;FALSE))</f>
        <v/>
      </c>
      <c r="F56" s="62">
        <f>IF(INPUT_PRODUCT!C69="";"";INPUT_PRODUCT!J69)</f>
        <v/>
      </c>
      <c r="G56" s="62">
        <f>IF(INPUT_PRODUCT!C69="";"";INPUT_PRODUCT!G69)</f>
        <v/>
      </c>
      <c r="H56" s="62">
        <f>IF(INPUT_PRODUCT!C69="";"";VLOOKUP(INPUT_PRODUCT!C69;PRODUCT!B:F;5;FALSE))</f>
        <v/>
      </c>
      <c r="I56" s="62">
        <f>IF(INPUT_PRODUCT!C69="";"";VLOOKUP(INPUT_PRODUCT!C69;PRODUCT!B:G;6;FALSE))</f>
        <v/>
      </c>
      <c r="J56" s="62">
        <f>IF(INPUT_PRODUCT!C69="";"";VLOOKUP(INPUT_PRODUCT!C69;PRODUCT!B:H;7;FALSE))</f>
        <v/>
      </c>
      <c r="K56" s="60">
        <f>IF(INPUT_PRODUCT!C69="";"";VLOOKUP(INPUT_PRODUCT!C69;PRODUCT!B:I;8;FALSE))</f>
        <v/>
      </c>
      <c r="L56" s="62">
        <f>IF(INPUT_PRODUCT!C69="";"";VLOOKUP(INPUT_PRODUCT!C69;PRODUCT!B:J;9;FALSE))</f>
        <v/>
      </c>
      <c r="M56" s="62">
        <f>IF(INPUT_PRODUCT!C69="";"";VLOOKUP(INPUT_PRODUCT!C69;PRODUCT!B:K;10;FALSE))</f>
        <v/>
      </c>
      <c r="N56" s="62">
        <f>IF(INPUT_PRODUCT!C69="";"";VLOOKUP(INPUT_PRODUCT!C69;PRODUCT!B:L;11;FALSE))</f>
        <v/>
      </c>
      <c r="O56" s="62">
        <f>IF(INPUT_PRODUCT!C69="";"";VLOOKUP(INPUT_PRODUCT!C69;PRODUCT!B:O;14;FALSE))</f>
        <v/>
      </c>
      <c r="P56" s="63">
        <f>IF(INPUT_PRODUCT!C69="";"";VLOOKUP(INPUT_PRODUCT!C69;PRODUCT!B:P;15;FALSE))</f>
        <v/>
      </c>
      <c r="Q56" s="63">
        <f>IF(INPUT_PRODUCT!C69="";"";INPUT_PRODUCT!K69)</f>
        <v/>
      </c>
      <c r="R56" s="63" t="inlineStr"/>
      <c r="S56" s="63">
        <f>IF(INPUT_PRODUCT!C69="";"";IF(O56="";"";O56*(1+Q56+R56)))</f>
        <v/>
      </c>
      <c r="T56" s="63">
        <f>IF(INPUT_PRODUCT!C69="";"";IF(S56="";"";S56*F56))</f>
        <v/>
      </c>
      <c r="U56" s="62">
        <f>CONFIG!$B$2</f>
        <v/>
      </c>
      <c r="V56" s="62">
        <f>IF(INPUT_PRODUCT!C69="";"";IF(S56="";"";S56*U56))</f>
        <v/>
      </c>
      <c r="W56" s="0">
        <f>IF(INPUT_PRODUCT!C69="";"";IF(T56="";"";T56*U56))</f>
        <v/>
      </c>
      <c r="X56" s="0">
        <f>IF(INPUT_PRODUCT!C69="";"";VLOOKUP(INPUT_PRODUCT!C69;PRODUCT!B:T;19;FALSE))</f>
        <v/>
      </c>
      <c r="Y56" s="0">
        <f>IF(INPUT_PRODUCT!C69="";"";INPUT_PRODUCT!L69)</f>
        <v/>
      </c>
    </row>
    <row r="57" ht="15.75" customHeight="1" s="125">
      <c r="A57" s="62">
        <f>IF(INPUT_PRODUCT!C70="";"";INPUT_PRODUCT!A70)</f>
        <v/>
      </c>
      <c r="B57" s="62">
        <f>IF(INPUT_PRODUCT!C70="";"";INPUT_PRODUCT!B70)</f>
        <v/>
      </c>
      <c r="C57" s="62">
        <f>IF(INPUT_PRODUCT!C70="";"";INPUT_PRODUCT!C70)</f>
        <v/>
      </c>
      <c r="D57" s="62">
        <f>IF(INPUT_PRODUCT!C70="";"";INDEX(PRODUCT!A:A;MATCH(INPUT_PRODUCT!C70;PRODUCT!B:B;0)))</f>
        <v/>
      </c>
      <c r="E57" s="62">
        <f>IF(INPUT_PRODUCT!C70="";"";VLOOKUP(INPUT_PRODUCT!C70;PRODUCT!B:C;2;FALSE))</f>
        <v/>
      </c>
      <c r="F57" s="62">
        <f>IF(INPUT_PRODUCT!C70="";"";INPUT_PRODUCT!J70)</f>
        <v/>
      </c>
      <c r="G57" s="62">
        <f>IF(INPUT_PRODUCT!C70="";"";INPUT_PRODUCT!G70)</f>
        <v/>
      </c>
      <c r="H57" s="62">
        <f>IF(INPUT_PRODUCT!C70="";"";VLOOKUP(INPUT_PRODUCT!C70;PRODUCT!B:F;5;FALSE))</f>
        <v/>
      </c>
      <c r="I57" s="62">
        <f>IF(INPUT_PRODUCT!C70="";"";VLOOKUP(INPUT_PRODUCT!C70;PRODUCT!B:G;6;FALSE))</f>
        <v/>
      </c>
      <c r="J57" s="62">
        <f>IF(INPUT_PRODUCT!C70="";"";VLOOKUP(INPUT_PRODUCT!C70;PRODUCT!B:H;7;FALSE))</f>
        <v/>
      </c>
      <c r="K57" s="60">
        <f>IF(INPUT_PRODUCT!C70="";"";VLOOKUP(INPUT_PRODUCT!C70;PRODUCT!B:I;8;FALSE))</f>
        <v/>
      </c>
      <c r="L57" s="62">
        <f>IF(INPUT_PRODUCT!C70="";"";VLOOKUP(INPUT_PRODUCT!C70;PRODUCT!B:J;9;FALSE))</f>
        <v/>
      </c>
      <c r="M57" s="62">
        <f>IF(INPUT_PRODUCT!C70="";"";VLOOKUP(INPUT_PRODUCT!C70;PRODUCT!B:K;10;FALSE))</f>
        <v/>
      </c>
      <c r="N57" s="62">
        <f>IF(INPUT_PRODUCT!C70="";"";VLOOKUP(INPUT_PRODUCT!C70;PRODUCT!B:L;11;FALSE))</f>
        <v/>
      </c>
      <c r="O57" s="62">
        <f>IF(INPUT_PRODUCT!C70="";"";VLOOKUP(INPUT_PRODUCT!C70;PRODUCT!B:O;14;FALSE))</f>
        <v/>
      </c>
      <c r="P57" s="63">
        <f>IF(INPUT_PRODUCT!C70="";"";VLOOKUP(INPUT_PRODUCT!C70;PRODUCT!B:P;15;FALSE))</f>
        <v/>
      </c>
      <c r="Q57" s="63">
        <f>IF(INPUT_PRODUCT!C70="";"";INPUT_PRODUCT!K70)</f>
        <v/>
      </c>
      <c r="R57" s="63" t="inlineStr"/>
      <c r="S57" s="63">
        <f>IF(INPUT_PRODUCT!C70="";"";IF(O57="";"";O57*(1+Q57+R57)))</f>
        <v/>
      </c>
      <c r="T57" s="63">
        <f>IF(INPUT_PRODUCT!C70="";"";IF(S57="";"";S57*F57))</f>
        <v/>
      </c>
      <c r="U57" s="62">
        <f>CONFIG!$B$2</f>
        <v/>
      </c>
      <c r="V57" s="62">
        <f>IF(INPUT_PRODUCT!C70="";"";IF(S57="";"";S57*U57))</f>
        <v/>
      </c>
      <c r="W57" s="0">
        <f>IF(INPUT_PRODUCT!C70="";"";IF(T57="";"";T57*U57))</f>
        <v/>
      </c>
      <c r="X57" s="0">
        <f>IF(INPUT_PRODUCT!C70="";"";VLOOKUP(INPUT_PRODUCT!C70;PRODUCT!B:T;19;FALSE))</f>
        <v/>
      </c>
      <c r="Y57" s="0">
        <f>IF(INPUT_PRODUCT!C70="";"";INPUT_PRODUCT!L70)</f>
        <v/>
      </c>
    </row>
    <row r="58" ht="15.75" customHeight="1" s="125">
      <c r="A58" s="62">
        <f>IF(INPUT_PRODUCT!C71="";"";INPUT_PRODUCT!A71)</f>
        <v/>
      </c>
      <c r="B58" s="62">
        <f>IF(INPUT_PRODUCT!C71="";"";INPUT_PRODUCT!B71)</f>
        <v/>
      </c>
      <c r="C58" s="62">
        <f>IF(INPUT_PRODUCT!C71="";"";INPUT_PRODUCT!C71)</f>
        <v/>
      </c>
      <c r="D58" s="62">
        <f>IF(INPUT_PRODUCT!C71="";"";INDEX(PRODUCT!A:A;MATCH(INPUT_PRODUCT!C71;PRODUCT!B:B;0)))</f>
        <v/>
      </c>
      <c r="E58" s="62">
        <f>IF(INPUT_PRODUCT!C71="";"";VLOOKUP(INPUT_PRODUCT!C71;PRODUCT!B:C;2;FALSE))</f>
        <v/>
      </c>
      <c r="F58" s="62">
        <f>IF(INPUT_PRODUCT!C71="";"";INPUT_PRODUCT!J71)</f>
        <v/>
      </c>
      <c r="G58" s="62">
        <f>IF(INPUT_PRODUCT!C71="";"";INPUT_PRODUCT!G71)</f>
        <v/>
      </c>
      <c r="H58" s="62">
        <f>IF(INPUT_PRODUCT!C71="";"";VLOOKUP(INPUT_PRODUCT!C71;PRODUCT!B:F;5;FALSE))</f>
        <v/>
      </c>
      <c r="I58" s="62">
        <f>IF(INPUT_PRODUCT!C71="";"";VLOOKUP(INPUT_PRODUCT!C71;PRODUCT!B:G;6;FALSE))</f>
        <v/>
      </c>
      <c r="J58" s="62">
        <f>IF(INPUT_PRODUCT!C71="";"";VLOOKUP(INPUT_PRODUCT!C71;PRODUCT!B:H;7;FALSE))</f>
        <v/>
      </c>
      <c r="K58" s="60">
        <f>IF(INPUT_PRODUCT!C71="";"";VLOOKUP(INPUT_PRODUCT!C71;PRODUCT!B:I;8;FALSE))</f>
        <v/>
      </c>
      <c r="L58" s="62">
        <f>IF(INPUT_PRODUCT!C71="";"";VLOOKUP(INPUT_PRODUCT!C71;PRODUCT!B:J;9;FALSE))</f>
        <v/>
      </c>
      <c r="M58" s="62">
        <f>IF(INPUT_PRODUCT!C71="";"";VLOOKUP(INPUT_PRODUCT!C71;PRODUCT!B:K;10;FALSE))</f>
        <v/>
      </c>
      <c r="N58" s="62">
        <f>IF(INPUT_PRODUCT!C71="";"";VLOOKUP(INPUT_PRODUCT!C71;PRODUCT!B:L;11;FALSE))</f>
        <v/>
      </c>
      <c r="O58" s="62">
        <f>IF(INPUT_PRODUCT!C71="";"";VLOOKUP(INPUT_PRODUCT!C71;PRODUCT!B:O;14;FALSE))</f>
        <v/>
      </c>
      <c r="P58" s="63">
        <f>IF(INPUT_PRODUCT!C71="";"";VLOOKUP(INPUT_PRODUCT!C71;PRODUCT!B:P;15;FALSE))</f>
        <v/>
      </c>
      <c r="Q58" s="63">
        <f>IF(INPUT_PRODUCT!C71="";"";INPUT_PRODUCT!K71)</f>
        <v/>
      </c>
      <c r="R58" s="63" t="inlineStr"/>
      <c r="S58" s="63">
        <f>IF(INPUT_PRODUCT!C71="";"";IF(O58="";"";O58*(1+Q58+R58)))</f>
        <v/>
      </c>
      <c r="T58" s="63">
        <f>IF(INPUT_PRODUCT!C71="";"";IF(S58="";"";S58*F58))</f>
        <v/>
      </c>
      <c r="U58" s="62">
        <f>CONFIG!$B$2</f>
        <v/>
      </c>
      <c r="V58" s="62">
        <f>IF(INPUT_PRODUCT!C71="";"";IF(S58="";"";S58*U58))</f>
        <v/>
      </c>
      <c r="W58" s="0">
        <f>IF(INPUT_PRODUCT!C71="";"";IF(T58="";"";T58*U58))</f>
        <v/>
      </c>
      <c r="X58" s="0">
        <f>IF(INPUT_PRODUCT!C71="";"";VLOOKUP(INPUT_PRODUCT!C71;PRODUCT!B:T;19;FALSE))</f>
        <v/>
      </c>
      <c r="Y58" s="0">
        <f>IF(INPUT_PRODUCT!C71="";"";INPUT_PRODUCT!L71)</f>
        <v/>
      </c>
    </row>
    <row r="59" ht="15.75" customHeight="1" s="125">
      <c r="A59" s="62">
        <f>IF(INPUT_PRODUCT!C72="";"";INPUT_PRODUCT!A72)</f>
        <v/>
      </c>
      <c r="B59" s="62">
        <f>IF(INPUT_PRODUCT!C72="";"";INPUT_PRODUCT!B72)</f>
        <v/>
      </c>
      <c r="C59" s="62">
        <f>IF(INPUT_PRODUCT!C72="";"";INPUT_PRODUCT!C72)</f>
        <v/>
      </c>
      <c r="D59" s="62">
        <f>IF(INPUT_PRODUCT!C72="";"";INDEX(PRODUCT!A:A;MATCH(INPUT_PRODUCT!C72;PRODUCT!B:B;0)))</f>
        <v/>
      </c>
      <c r="E59" s="62">
        <f>IF(INPUT_PRODUCT!C72="";"";VLOOKUP(INPUT_PRODUCT!C72;PRODUCT!B:C;2;FALSE))</f>
        <v/>
      </c>
      <c r="F59" s="62">
        <f>IF(INPUT_PRODUCT!C72="";"";INPUT_PRODUCT!J72)</f>
        <v/>
      </c>
      <c r="G59" s="62">
        <f>IF(INPUT_PRODUCT!C72="";"";INPUT_PRODUCT!G72)</f>
        <v/>
      </c>
      <c r="H59" s="62">
        <f>IF(INPUT_PRODUCT!C72="";"";VLOOKUP(INPUT_PRODUCT!C72;PRODUCT!B:F;5;FALSE))</f>
        <v/>
      </c>
      <c r="I59" s="62">
        <f>IF(INPUT_PRODUCT!C72="";"";VLOOKUP(INPUT_PRODUCT!C72;PRODUCT!B:G;6;FALSE))</f>
        <v/>
      </c>
      <c r="J59" s="62">
        <f>IF(INPUT_PRODUCT!C72="";"";VLOOKUP(INPUT_PRODUCT!C72;PRODUCT!B:H;7;FALSE))</f>
        <v/>
      </c>
      <c r="K59" s="60">
        <f>IF(INPUT_PRODUCT!C72="";"";VLOOKUP(INPUT_PRODUCT!C72;PRODUCT!B:I;8;FALSE))</f>
        <v/>
      </c>
      <c r="L59" s="62">
        <f>IF(INPUT_PRODUCT!C72="";"";VLOOKUP(INPUT_PRODUCT!C72;PRODUCT!B:J;9;FALSE))</f>
        <v/>
      </c>
      <c r="M59" s="62">
        <f>IF(INPUT_PRODUCT!C72="";"";VLOOKUP(INPUT_PRODUCT!C72;PRODUCT!B:K;10;FALSE))</f>
        <v/>
      </c>
      <c r="N59" s="62">
        <f>IF(INPUT_PRODUCT!C72="";"";VLOOKUP(INPUT_PRODUCT!C72;PRODUCT!B:L;11;FALSE))</f>
        <v/>
      </c>
      <c r="O59" s="62">
        <f>IF(INPUT_PRODUCT!C72="";"";VLOOKUP(INPUT_PRODUCT!C72;PRODUCT!B:O;14;FALSE))</f>
        <v/>
      </c>
      <c r="P59" s="63">
        <f>IF(INPUT_PRODUCT!C72="";"";VLOOKUP(INPUT_PRODUCT!C72;PRODUCT!B:P;15;FALSE))</f>
        <v/>
      </c>
      <c r="Q59" s="63">
        <f>IF(INPUT_PRODUCT!C72="";"";INPUT_PRODUCT!K72)</f>
        <v/>
      </c>
      <c r="R59" s="63" t="inlineStr"/>
      <c r="S59" s="63">
        <f>IF(INPUT_PRODUCT!C72="";"";IF(O59="";"";O59*(1+Q59+R59)))</f>
        <v/>
      </c>
      <c r="T59" s="63">
        <f>IF(INPUT_PRODUCT!C72="";"";IF(S59="";"";S59*F59))</f>
        <v/>
      </c>
      <c r="U59" s="62">
        <f>CONFIG!$B$2</f>
        <v/>
      </c>
      <c r="V59" s="62">
        <f>IF(INPUT_PRODUCT!C72="";"";IF(S59="";"";S59*U59))</f>
        <v/>
      </c>
      <c r="W59" s="0">
        <f>IF(INPUT_PRODUCT!C72="";"";IF(T59="";"";T59*U59))</f>
        <v/>
      </c>
      <c r="X59" s="0">
        <f>IF(INPUT_PRODUCT!C72="";"";VLOOKUP(INPUT_PRODUCT!C72;PRODUCT!B:T;19;FALSE))</f>
        <v/>
      </c>
      <c r="Y59" s="0">
        <f>IF(INPUT_PRODUCT!C72="";"";INPUT_PRODUCT!L72)</f>
        <v/>
      </c>
    </row>
    <row r="60" ht="15.75" customHeight="1" s="125">
      <c r="A60" s="62">
        <f>IF(INPUT_PRODUCT!C73="";"";INPUT_PRODUCT!A73)</f>
        <v/>
      </c>
      <c r="B60" s="62">
        <f>IF(INPUT_PRODUCT!C73="";"";INPUT_PRODUCT!B73)</f>
        <v/>
      </c>
      <c r="C60" s="62">
        <f>IF(INPUT_PRODUCT!C73="";"";INPUT_PRODUCT!C73)</f>
        <v/>
      </c>
      <c r="D60" s="62">
        <f>IF(INPUT_PRODUCT!C73="";"";INDEX(PRODUCT!A:A;MATCH(INPUT_PRODUCT!C73;PRODUCT!B:B;0)))</f>
        <v/>
      </c>
      <c r="E60" s="62">
        <f>IF(INPUT_PRODUCT!C73="";"";VLOOKUP(INPUT_PRODUCT!C73;PRODUCT!B:C;2;FALSE))</f>
        <v/>
      </c>
      <c r="F60" s="62">
        <f>IF(INPUT_PRODUCT!C73="";"";INPUT_PRODUCT!J73)</f>
        <v/>
      </c>
      <c r="G60" s="62">
        <f>IF(INPUT_PRODUCT!C73="";"";INPUT_PRODUCT!G73)</f>
        <v/>
      </c>
      <c r="H60" s="62">
        <f>IF(INPUT_PRODUCT!C73="";"";VLOOKUP(INPUT_PRODUCT!C73;PRODUCT!B:F;5;FALSE))</f>
        <v/>
      </c>
      <c r="I60" s="62">
        <f>IF(INPUT_PRODUCT!C73="";"";VLOOKUP(INPUT_PRODUCT!C73;PRODUCT!B:G;6;FALSE))</f>
        <v/>
      </c>
      <c r="J60" s="62">
        <f>IF(INPUT_PRODUCT!C73="";"";VLOOKUP(INPUT_PRODUCT!C73;PRODUCT!B:H;7;FALSE))</f>
        <v/>
      </c>
      <c r="K60" s="60">
        <f>IF(INPUT_PRODUCT!C73="";"";VLOOKUP(INPUT_PRODUCT!C73;PRODUCT!B:I;8;FALSE))</f>
        <v/>
      </c>
      <c r="L60" s="62">
        <f>IF(INPUT_PRODUCT!C73="";"";VLOOKUP(INPUT_PRODUCT!C73;PRODUCT!B:J;9;FALSE))</f>
        <v/>
      </c>
      <c r="M60" s="62">
        <f>IF(INPUT_PRODUCT!C73="";"";VLOOKUP(INPUT_PRODUCT!C73;PRODUCT!B:K;10;FALSE))</f>
        <v/>
      </c>
      <c r="N60" s="62">
        <f>IF(INPUT_PRODUCT!C73="";"";VLOOKUP(INPUT_PRODUCT!C73;PRODUCT!B:L;11;FALSE))</f>
        <v/>
      </c>
      <c r="O60" s="62">
        <f>IF(INPUT_PRODUCT!C73="";"";VLOOKUP(INPUT_PRODUCT!C73;PRODUCT!B:O;14;FALSE))</f>
        <v/>
      </c>
      <c r="P60" s="63">
        <f>IF(INPUT_PRODUCT!C73="";"";VLOOKUP(INPUT_PRODUCT!C73;PRODUCT!B:P;15;FALSE))</f>
        <v/>
      </c>
      <c r="Q60" s="63">
        <f>IF(INPUT_PRODUCT!C73="";"";INPUT_PRODUCT!K73)</f>
        <v/>
      </c>
      <c r="R60" s="63" t="inlineStr"/>
      <c r="S60" s="63">
        <f>IF(INPUT_PRODUCT!C73="";"";IF(O60="";"";O60*(1+Q60+R60)))</f>
        <v/>
      </c>
      <c r="T60" s="63">
        <f>IF(INPUT_PRODUCT!C73="";"";IF(S60="";"";S60*F60))</f>
        <v/>
      </c>
      <c r="U60" s="62">
        <f>CONFIG!$B$2</f>
        <v/>
      </c>
      <c r="V60" s="62">
        <f>IF(INPUT_PRODUCT!C73="";"";IF(S60="";"";S60*U60))</f>
        <v/>
      </c>
      <c r="W60" s="0">
        <f>IF(INPUT_PRODUCT!C73="";"";IF(T60="";"";T60*U60))</f>
        <v/>
      </c>
      <c r="X60" s="0">
        <f>IF(INPUT_PRODUCT!C73="";"";VLOOKUP(INPUT_PRODUCT!C73;PRODUCT!B:T;19;FALSE))</f>
        <v/>
      </c>
      <c r="Y60" s="0">
        <f>IF(INPUT_PRODUCT!C73="";"";INPUT_PRODUCT!L73)</f>
        <v/>
      </c>
    </row>
    <row r="61" ht="15.75" customHeight="1" s="125">
      <c r="A61" s="62">
        <f>IF(INPUT_PRODUCT!C74="";"";INPUT_PRODUCT!A74)</f>
        <v/>
      </c>
      <c r="B61" s="62">
        <f>IF(INPUT_PRODUCT!C74="";"";INPUT_PRODUCT!B74)</f>
        <v/>
      </c>
      <c r="C61" s="62">
        <f>IF(INPUT_PRODUCT!C74="";"";INPUT_PRODUCT!C74)</f>
        <v/>
      </c>
      <c r="D61" s="62">
        <f>IF(INPUT_PRODUCT!C74="";"";INDEX(PRODUCT!A:A;MATCH(INPUT_PRODUCT!C74;PRODUCT!B:B;0)))</f>
        <v/>
      </c>
      <c r="E61" s="62">
        <f>IF(INPUT_PRODUCT!C74="";"";VLOOKUP(INPUT_PRODUCT!C74;PRODUCT!B:C;2;FALSE))</f>
        <v/>
      </c>
      <c r="F61" s="62">
        <f>IF(INPUT_PRODUCT!C74="";"";INPUT_PRODUCT!J74)</f>
        <v/>
      </c>
      <c r="G61" s="62">
        <f>IF(INPUT_PRODUCT!C74="";"";INPUT_PRODUCT!G74)</f>
        <v/>
      </c>
      <c r="H61" s="62">
        <f>IF(INPUT_PRODUCT!C74="";"";VLOOKUP(INPUT_PRODUCT!C74;PRODUCT!B:F;5;FALSE))</f>
        <v/>
      </c>
      <c r="I61" s="62">
        <f>IF(INPUT_PRODUCT!C74="";"";VLOOKUP(INPUT_PRODUCT!C74;PRODUCT!B:G;6;FALSE))</f>
        <v/>
      </c>
      <c r="J61" s="62">
        <f>IF(INPUT_PRODUCT!C74="";"";VLOOKUP(INPUT_PRODUCT!C74;PRODUCT!B:H;7;FALSE))</f>
        <v/>
      </c>
      <c r="K61" s="60">
        <f>IF(INPUT_PRODUCT!C74="";"";VLOOKUP(INPUT_PRODUCT!C74;PRODUCT!B:I;8;FALSE))</f>
        <v/>
      </c>
      <c r="L61" s="62">
        <f>IF(INPUT_PRODUCT!C74="";"";VLOOKUP(INPUT_PRODUCT!C74;PRODUCT!B:J;9;FALSE))</f>
        <v/>
      </c>
      <c r="M61" s="62">
        <f>IF(INPUT_PRODUCT!C74="";"";VLOOKUP(INPUT_PRODUCT!C74;PRODUCT!B:K;10;FALSE))</f>
        <v/>
      </c>
      <c r="N61" s="62">
        <f>IF(INPUT_PRODUCT!C74="";"";VLOOKUP(INPUT_PRODUCT!C74;PRODUCT!B:L;11;FALSE))</f>
        <v/>
      </c>
      <c r="O61" s="62">
        <f>IF(INPUT_PRODUCT!C74="";"";VLOOKUP(INPUT_PRODUCT!C74;PRODUCT!B:O;14;FALSE))</f>
        <v/>
      </c>
      <c r="P61" s="63">
        <f>IF(INPUT_PRODUCT!C74="";"";VLOOKUP(INPUT_PRODUCT!C74;PRODUCT!B:P;15;FALSE))</f>
        <v/>
      </c>
      <c r="Q61" s="63">
        <f>IF(INPUT_PRODUCT!C74="";"";INPUT_PRODUCT!K74)</f>
        <v/>
      </c>
      <c r="R61" s="63" t="inlineStr"/>
      <c r="S61" s="63">
        <f>IF(INPUT_PRODUCT!C74="";"";IF(O61="";"";O61*(1+Q61+R61)))</f>
        <v/>
      </c>
      <c r="T61" s="63">
        <f>IF(INPUT_PRODUCT!C74="";"";IF(S61="";"";S61*F61))</f>
        <v/>
      </c>
      <c r="U61" s="62">
        <f>CONFIG!$B$2</f>
        <v/>
      </c>
      <c r="V61" s="62">
        <f>IF(INPUT_PRODUCT!C74="";"";IF(S61="";"";S61*U61))</f>
        <v/>
      </c>
      <c r="W61" s="0">
        <f>IF(INPUT_PRODUCT!C74="";"";IF(T61="";"";T61*U61))</f>
        <v/>
      </c>
      <c r="X61" s="0">
        <f>IF(INPUT_PRODUCT!C74="";"";VLOOKUP(INPUT_PRODUCT!C74;PRODUCT!B:T;19;FALSE))</f>
        <v/>
      </c>
      <c r="Y61" s="0">
        <f>IF(INPUT_PRODUCT!C74="";"";INPUT_PRODUCT!L74)</f>
        <v/>
      </c>
    </row>
    <row r="62" ht="15.75" customHeight="1" s="125">
      <c r="A62" s="62">
        <f>IF(INPUT_PRODUCT!C75="";"";INPUT_PRODUCT!A75)</f>
        <v/>
      </c>
      <c r="B62" s="62">
        <f>IF(INPUT_PRODUCT!C75="";"";INPUT_PRODUCT!B75)</f>
        <v/>
      </c>
      <c r="C62" s="62">
        <f>IF(INPUT_PRODUCT!C75="";"";INPUT_PRODUCT!C75)</f>
        <v/>
      </c>
      <c r="D62" s="62">
        <f>IF(INPUT_PRODUCT!C75="";"";INDEX(PRODUCT!A:A;MATCH(INPUT_PRODUCT!C75;PRODUCT!B:B;0)))</f>
        <v/>
      </c>
      <c r="E62" s="62">
        <f>IF(INPUT_PRODUCT!C75="";"";VLOOKUP(INPUT_PRODUCT!C75;PRODUCT!B:C;2;FALSE))</f>
        <v/>
      </c>
      <c r="F62" s="62">
        <f>IF(INPUT_PRODUCT!C75="";"";INPUT_PRODUCT!J75)</f>
        <v/>
      </c>
      <c r="G62" s="62">
        <f>IF(INPUT_PRODUCT!C75="";"";INPUT_PRODUCT!G75)</f>
        <v/>
      </c>
      <c r="H62" s="62">
        <f>IF(INPUT_PRODUCT!C75="";"";VLOOKUP(INPUT_PRODUCT!C75;PRODUCT!B:F;5;FALSE))</f>
        <v/>
      </c>
      <c r="I62" s="62">
        <f>IF(INPUT_PRODUCT!C75="";"";VLOOKUP(INPUT_PRODUCT!C75;PRODUCT!B:G;6;FALSE))</f>
        <v/>
      </c>
      <c r="J62" s="62">
        <f>IF(INPUT_PRODUCT!C75="";"";VLOOKUP(INPUT_PRODUCT!C75;PRODUCT!B:H;7;FALSE))</f>
        <v/>
      </c>
      <c r="K62" s="60">
        <f>IF(INPUT_PRODUCT!C75="";"";VLOOKUP(INPUT_PRODUCT!C75;PRODUCT!B:I;8;FALSE))</f>
        <v/>
      </c>
      <c r="L62" s="62">
        <f>IF(INPUT_PRODUCT!C75="";"";VLOOKUP(INPUT_PRODUCT!C75;PRODUCT!B:J;9;FALSE))</f>
        <v/>
      </c>
      <c r="M62" s="62">
        <f>IF(INPUT_PRODUCT!C75="";"";VLOOKUP(INPUT_PRODUCT!C75;PRODUCT!B:K;10;FALSE))</f>
        <v/>
      </c>
      <c r="N62" s="62">
        <f>IF(INPUT_PRODUCT!C75="";"";VLOOKUP(INPUT_PRODUCT!C75;PRODUCT!B:L;11;FALSE))</f>
        <v/>
      </c>
      <c r="O62" s="62">
        <f>IF(INPUT_PRODUCT!C75="";"";VLOOKUP(INPUT_PRODUCT!C75;PRODUCT!B:O;14;FALSE))</f>
        <v/>
      </c>
      <c r="P62" s="63">
        <f>IF(INPUT_PRODUCT!C75="";"";VLOOKUP(INPUT_PRODUCT!C75;PRODUCT!B:P;15;FALSE))</f>
        <v/>
      </c>
      <c r="Q62" s="63">
        <f>IF(INPUT_PRODUCT!C75="";"";INPUT_PRODUCT!K75)</f>
        <v/>
      </c>
      <c r="R62" s="63" t="inlineStr"/>
      <c r="S62" s="63">
        <f>IF(INPUT_PRODUCT!C75="";"";IF(O62="";"";O62*(1+Q62+R62)))</f>
        <v/>
      </c>
      <c r="T62" s="63">
        <f>IF(INPUT_PRODUCT!C75="";"";IF(S62="";"";S62*F62))</f>
        <v/>
      </c>
      <c r="U62" s="62">
        <f>CONFIG!$B$2</f>
        <v/>
      </c>
      <c r="V62" s="62">
        <f>IF(INPUT_PRODUCT!C75="";"";IF(S62="";"";S62*U62))</f>
        <v/>
      </c>
      <c r="W62" s="0">
        <f>IF(INPUT_PRODUCT!C75="";"";IF(T62="";"";T62*U62))</f>
        <v/>
      </c>
      <c r="X62" s="0">
        <f>IF(INPUT_PRODUCT!C75="";"";VLOOKUP(INPUT_PRODUCT!C75;PRODUCT!B:T;19;FALSE))</f>
        <v/>
      </c>
      <c r="Y62" s="0">
        <f>IF(INPUT_PRODUCT!C75="";"";INPUT_PRODUCT!L75)</f>
        <v/>
      </c>
    </row>
    <row r="63" ht="15.75" customHeight="1" s="125">
      <c r="A63" s="62">
        <f>IF(INPUT_PRODUCT!C76="";"";INPUT_PRODUCT!A76)</f>
        <v/>
      </c>
      <c r="B63" s="62">
        <f>IF(INPUT_PRODUCT!C76="";"";INPUT_PRODUCT!B76)</f>
        <v/>
      </c>
      <c r="C63" s="62">
        <f>IF(INPUT_PRODUCT!C76="";"";INPUT_PRODUCT!C76)</f>
        <v/>
      </c>
      <c r="D63" s="62">
        <f>IF(INPUT_PRODUCT!C76="";"";INDEX(PRODUCT!A:A;MATCH(INPUT_PRODUCT!C76;PRODUCT!B:B;0)))</f>
        <v/>
      </c>
      <c r="E63" s="62">
        <f>IF(INPUT_PRODUCT!C76="";"";VLOOKUP(INPUT_PRODUCT!C76;PRODUCT!B:C;2;FALSE))</f>
        <v/>
      </c>
      <c r="F63" s="62">
        <f>IF(INPUT_PRODUCT!C76="";"";INPUT_PRODUCT!J76)</f>
        <v/>
      </c>
      <c r="G63" s="62">
        <f>IF(INPUT_PRODUCT!C76="";"";INPUT_PRODUCT!G76)</f>
        <v/>
      </c>
      <c r="H63" s="62">
        <f>IF(INPUT_PRODUCT!C76="";"";VLOOKUP(INPUT_PRODUCT!C76;PRODUCT!B:F;5;FALSE))</f>
        <v/>
      </c>
      <c r="I63" s="62">
        <f>IF(INPUT_PRODUCT!C76="";"";VLOOKUP(INPUT_PRODUCT!C76;PRODUCT!B:G;6;FALSE))</f>
        <v/>
      </c>
      <c r="J63" s="62">
        <f>IF(INPUT_PRODUCT!C76="";"";VLOOKUP(INPUT_PRODUCT!C76;PRODUCT!B:H;7;FALSE))</f>
        <v/>
      </c>
      <c r="K63" s="60">
        <f>IF(INPUT_PRODUCT!C76="";"";VLOOKUP(INPUT_PRODUCT!C76;PRODUCT!B:I;8;FALSE))</f>
        <v/>
      </c>
      <c r="L63" s="62">
        <f>IF(INPUT_PRODUCT!C76="";"";VLOOKUP(INPUT_PRODUCT!C76;PRODUCT!B:J;9;FALSE))</f>
        <v/>
      </c>
      <c r="M63" s="62">
        <f>IF(INPUT_PRODUCT!C76="";"";VLOOKUP(INPUT_PRODUCT!C76;PRODUCT!B:K;10;FALSE))</f>
        <v/>
      </c>
      <c r="N63" s="62">
        <f>IF(INPUT_PRODUCT!C76="";"";VLOOKUP(INPUT_PRODUCT!C76;PRODUCT!B:L;11;FALSE))</f>
        <v/>
      </c>
      <c r="O63" s="62">
        <f>IF(INPUT_PRODUCT!C76="";"";VLOOKUP(INPUT_PRODUCT!C76;PRODUCT!B:O;14;FALSE))</f>
        <v/>
      </c>
      <c r="P63" s="63">
        <f>IF(INPUT_PRODUCT!C76="";"";VLOOKUP(INPUT_PRODUCT!C76;PRODUCT!B:P;15;FALSE))</f>
        <v/>
      </c>
      <c r="Q63" s="63">
        <f>IF(INPUT_PRODUCT!C76="";"";INPUT_PRODUCT!K76)</f>
        <v/>
      </c>
      <c r="R63" s="63" t="inlineStr"/>
      <c r="S63" s="63">
        <f>IF(INPUT_PRODUCT!C76="";"";IF(O63="";"";O63*(1+Q63+R63)))</f>
        <v/>
      </c>
      <c r="T63" s="63">
        <f>IF(INPUT_PRODUCT!C76="";"";IF(S63="";"";S63*F63))</f>
        <v/>
      </c>
      <c r="U63" s="62">
        <f>CONFIG!$B$2</f>
        <v/>
      </c>
      <c r="V63" s="62">
        <f>IF(INPUT_PRODUCT!C76="";"";IF(S63="";"";S63*U63))</f>
        <v/>
      </c>
      <c r="W63" s="0">
        <f>IF(INPUT_PRODUCT!C76="";"";IF(T63="";"";T63*U63))</f>
        <v/>
      </c>
      <c r="X63" s="0">
        <f>IF(INPUT_PRODUCT!C76="";"";VLOOKUP(INPUT_PRODUCT!C76;PRODUCT!B:T;19;FALSE))</f>
        <v/>
      </c>
      <c r="Y63" s="0">
        <f>IF(INPUT_PRODUCT!C76="";"";INPUT_PRODUCT!L76)</f>
        <v/>
      </c>
    </row>
    <row r="64" ht="15.75" customHeight="1" s="125">
      <c r="A64" s="62">
        <f>IF(INPUT_PRODUCT!C77="";"";INPUT_PRODUCT!A77)</f>
        <v/>
      </c>
      <c r="B64" s="62">
        <f>IF(INPUT_PRODUCT!C77="";"";INPUT_PRODUCT!B77)</f>
        <v/>
      </c>
      <c r="C64" s="62">
        <f>IF(INPUT_PRODUCT!C77="";"";INPUT_PRODUCT!C77)</f>
        <v/>
      </c>
      <c r="D64" s="62">
        <f>IF(INPUT_PRODUCT!C77="";"";INDEX(PRODUCT!A:A;MATCH(INPUT_PRODUCT!C77;PRODUCT!B:B;0)))</f>
        <v/>
      </c>
      <c r="E64" s="62">
        <f>IF(INPUT_PRODUCT!C77="";"";VLOOKUP(INPUT_PRODUCT!C77;PRODUCT!B:C;2;FALSE))</f>
        <v/>
      </c>
      <c r="F64" s="62">
        <f>IF(INPUT_PRODUCT!C77="";"";INPUT_PRODUCT!J77)</f>
        <v/>
      </c>
      <c r="G64" s="62">
        <f>IF(INPUT_PRODUCT!C77="";"";INPUT_PRODUCT!G77)</f>
        <v/>
      </c>
      <c r="H64" s="62">
        <f>IF(INPUT_PRODUCT!C77="";"";VLOOKUP(INPUT_PRODUCT!C77;PRODUCT!B:F;5;FALSE))</f>
        <v/>
      </c>
      <c r="I64" s="62">
        <f>IF(INPUT_PRODUCT!C77="";"";VLOOKUP(INPUT_PRODUCT!C77;PRODUCT!B:G;6;FALSE))</f>
        <v/>
      </c>
      <c r="J64" s="62">
        <f>IF(INPUT_PRODUCT!C77="";"";VLOOKUP(INPUT_PRODUCT!C77;PRODUCT!B:H;7;FALSE))</f>
        <v/>
      </c>
      <c r="K64" s="60">
        <f>IF(INPUT_PRODUCT!C77="";"";VLOOKUP(INPUT_PRODUCT!C77;PRODUCT!B:I;8;FALSE))</f>
        <v/>
      </c>
      <c r="L64" s="62">
        <f>IF(INPUT_PRODUCT!C77="";"";VLOOKUP(INPUT_PRODUCT!C77;PRODUCT!B:J;9;FALSE))</f>
        <v/>
      </c>
      <c r="M64" s="62">
        <f>IF(INPUT_PRODUCT!C77="";"";VLOOKUP(INPUT_PRODUCT!C77;PRODUCT!B:K;10;FALSE))</f>
        <v/>
      </c>
      <c r="N64" s="62">
        <f>IF(INPUT_PRODUCT!C77="";"";VLOOKUP(INPUT_PRODUCT!C77;PRODUCT!B:L;11;FALSE))</f>
        <v/>
      </c>
      <c r="O64" s="62">
        <f>IF(INPUT_PRODUCT!C77="";"";VLOOKUP(INPUT_PRODUCT!C77;PRODUCT!B:O;14;FALSE))</f>
        <v/>
      </c>
      <c r="P64" s="63">
        <f>IF(INPUT_PRODUCT!C77="";"";VLOOKUP(INPUT_PRODUCT!C77;PRODUCT!B:P;15;FALSE))</f>
        <v/>
      </c>
      <c r="Q64" s="63">
        <f>IF(INPUT_PRODUCT!C77="";"";INPUT_PRODUCT!K77)</f>
        <v/>
      </c>
      <c r="R64" s="63" t="inlineStr"/>
      <c r="S64" s="63">
        <f>IF(INPUT_PRODUCT!C77="";"";IF(O64="";"";O64*(1+Q64+R64)))</f>
        <v/>
      </c>
      <c r="T64" s="63">
        <f>IF(INPUT_PRODUCT!C77="";"";IF(S64="";"";S64*F64))</f>
        <v/>
      </c>
      <c r="U64" s="62">
        <f>CONFIG!$B$2</f>
        <v/>
      </c>
      <c r="V64" s="62">
        <f>IF(INPUT_PRODUCT!C77="";"";IF(S64="";"";S64*U64))</f>
        <v/>
      </c>
      <c r="W64" s="0">
        <f>IF(INPUT_PRODUCT!C77="";"";IF(T64="";"";T64*U64))</f>
        <v/>
      </c>
      <c r="X64" s="0">
        <f>IF(INPUT_PRODUCT!C77="";"";VLOOKUP(INPUT_PRODUCT!C77;PRODUCT!B:T;19;FALSE))</f>
        <v/>
      </c>
      <c r="Y64" s="0">
        <f>IF(INPUT_PRODUCT!C77="";"";INPUT_PRODUCT!L77)</f>
        <v/>
      </c>
    </row>
    <row r="65" ht="15.75" customHeight="1" s="125">
      <c r="A65" s="62">
        <f>IF(INPUT_PRODUCT!C78="";"";INPUT_PRODUCT!A78)</f>
        <v/>
      </c>
      <c r="B65" s="62">
        <f>IF(INPUT_PRODUCT!C78="";"";INPUT_PRODUCT!B78)</f>
        <v/>
      </c>
      <c r="C65" s="62">
        <f>IF(INPUT_PRODUCT!C78="";"";INPUT_PRODUCT!C78)</f>
        <v/>
      </c>
      <c r="D65" s="62">
        <f>IF(INPUT_PRODUCT!C78="";"";INDEX(PRODUCT!A:A;MATCH(INPUT_PRODUCT!C78;PRODUCT!B:B;0)))</f>
        <v/>
      </c>
      <c r="E65" s="62">
        <f>IF(INPUT_PRODUCT!C78="";"";VLOOKUP(INPUT_PRODUCT!C78;PRODUCT!B:C;2;FALSE))</f>
        <v/>
      </c>
      <c r="F65" s="62">
        <f>IF(INPUT_PRODUCT!C78="";"";INPUT_PRODUCT!J78)</f>
        <v/>
      </c>
      <c r="G65" s="62">
        <f>IF(INPUT_PRODUCT!C78="";"";INPUT_PRODUCT!G78)</f>
        <v/>
      </c>
      <c r="H65" s="62">
        <f>IF(INPUT_PRODUCT!C78="";"";VLOOKUP(INPUT_PRODUCT!C78;PRODUCT!B:F;5;FALSE))</f>
        <v/>
      </c>
      <c r="I65" s="62">
        <f>IF(INPUT_PRODUCT!C78="";"";VLOOKUP(INPUT_PRODUCT!C78;PRODUCT!B:G;6;FALSE))</f>
        <v/>
      </c>
      <c r="J65" s="62">
        <f>IF(INPUT_PRODUCT!C78="";"";VLOOKUP(INPUT_PRODUCT!C78;PRODUCT!B:H;7;FALSE))</f>
        <v/>
      </c>
      <c r="K65" s="60">
        <f>IF(INPUT_PRODUCT!C78="";"";VLOOKUP(INPUT_PRODUCT!C78;PRODUCT!B:I;8;FALSE))</f>
        <v/>
      </c>
      <c r="L65" s="62">
        <f>IF(INPUT_PRODUCT!C78="";"";VLOOKUP(INPUT_PRODUCT!C78;PRODUCT!B:J;9;FALSE))</f>
        <v/>
      </c>
      <c r="M65" s="62">
        <f>IF(INPUT_PRODUCT!C78="";"";VLOOKUP(INPUT_PRODUCT!C78;PRODUCT!B:K;10;FALSE))</f>
        <v/>
      </c>
      <c r="N65" s="62">
        <f>IF(INPUT_PRODUCT!C78="";"";VLOOKUP(INPUT_PRODUCT!C78;PRODUCT!B:L;11;FALSE))</f>
        <v/>
      </c>
      <c r="O65" s="62">
        <f>IF(INPUT_PRODUCT!C78="";"";VLOOKUP(INPUT_PRODUCT!C78;PRODUCT!B:O;14;FALSE))</f>
        <v/>
      </c>
      <c r="P65" s="63">
        <f>IF(INPUT_PRODUCT!C78="";"";VLOOKUP(INPUT_PRODUCT!C78;PRODUCT!B:P;15;FALSE))</f>
        <v/>
      </c>
      <c r="Q65" s="63">
        <f>IF(INPUT_PRODUCT!C78="";"";INPUT_PRODUCT!K78)</f>
        <v/>
      </c>
      <c r="R65" s="63" t="inlineStr"/>
      <c r="S65" s="63">
        <f>IF(INPUT_PRODUCT!C78="";"";IF(O65="";"";O65*(1+Q65+R65)))</f>
        <v/>
      </c>
      <c r="T65" s="63">
        <f>IF(INPUT_PRODUCT!C78="";"";IF(S65="";"";S65*F65))</f>
        <v/>
      </c>
      <c r="U65" s="62">
        <f>CONFIG!$B$2</f>
        <v/>
      </c>
      <c r="V65" s="62">
        <f>IF(INPUT_PRODUCT!C78="";"";IF(S65="";"";S65*U65))</f>
        <v/>
      </c>
      <c r="W65" s="0">
        <f>IF(INPUT_PRODUCT!C78="";"";IF(T65="";"";T65*U65))</f>
        <v/>
      </c>
      <c r="X65" s="0">
        <f>IF(INPUT_PRODUCT!C78="";"";VLOOKUP(INPUT_PRODUCT!C78;PRODUCT!B:T;19;FALSE))</f>
        <v/>
      </c>
      <c r="Y65" s="0">
        <f>IF(INPUT_PRODUCT!C78="";"";INPUT_PRODUCT!L78)</f>
        <v/>
      </c>
    </row>
    <row r="66" ht="15.75" customHeight="1" s="125">
      <c r="A66" s="62">
        <f>IF(INPUT_PRODUCT!C79="";"";INPUT_PRODUCT!A79)</f>
        <v/>
      </c>
      <c r="B66" s="62">
        <f>IF(INPUT_PRODUCT!C79="";"";INPUT_PRODUCT!B79)</f>
        <v/>
      </c>
      <c r="C66" s="62">
        <f>IF(INPUT_PRODUCT!C79="";"";INPUT_PRODUCT!C79)</f>
        <v/>
      </c>
      <c r="D66" s="62">
        <f>IF(INPUT_PRODUCT!C79="";"";INDEX(PRODUCT!A:A;MATCH(INPUT_PRODUCT!C79;PRODUCT!B:B;0)))</f>
        <v/>
      </c>
      <c r="E66" s="62">
        <f>IF(INPUT_PRODUCT!C79="";"";VLOOKUP(INPUT_PRODUCT!C79;PRODUCT!B:C;2;FALSE))</f>
        <v/>
      </c>
      <c r="F66" s="62">
        <f>IF(INPUT_PRODUCT!C79="";"";INPUT_PRODUCT!J79)</f>
        <v/>
      </c>
      <c r="G66" s="62">
        <f>IF(INPUT_PRODUCT!C79="";"";INPUT_PRODUCT!G79)</f>
        <v/>
      </c>
      <c r="H66" s="62">
        <f>IF(INPUT_PRODUCT!C79="";"";VLOOKUP(INPUT_PRODUCT!C79;PRODUCT!B:F;5;FALSE))</f>
        <v/>
      </c>
      <c r="I66" s="62">
        <f>IF(INPUT_PRODUCT!C79="";"";VLOOKUP(INPUT_PRODUCT!C79;PRODUCT!B:G;6;FALSE))</f>
        <v/>
      </c>
      <c r="J66" s="62">
        <f>IF(INPUT_PRODUCT!C79="";"";VLOOKUP(INPUT_PRODUCT!C79;PRODUCT!B:H;7;FALSE))</f>
        <v/>
      </c>
      <c r="K66" s="60">
        <f>IF(INPUT_PRODUCT!C79="";"";VLOOKUP(INPUT_PRODUCT!C79;PRODUCT!B:I;8;FALSE))</f>
        <v/>
      </c>
      <c r="L66" s="62">
        <f>IF(INPUT_PRODUCT!C79="";"";VLOOKUP(INPUT_PRODUCT!C79;PRODUCT!B:J;9;FALSE))</f>
        <v/>
      </c>
      <c r="M66" s="62">
        <f>IF(INPUT_PRODUCT!C79="";"";VLOOKUP(INPUT_PRODUCT!C79;PRODUCT!B:K;10;FALSE))</f>
        <v/>
      </c>
      <c r="N66" s="62">
        <f>IF(INPUT_PRODUCT!C79="";"";VLOOKUP(INPUT_PRODUCT!C79;PRODUCT!B:L;11;FALSE))</f>
        <v/>
      </c>
      <c r="O66" s="62">
        <f>IF(INPUT_PRODUCT!C79="";"";VLOOKUP(INPUT_PRODUCT!C79;PRODUCT!B:O;14;FALSE))</f>
        <v/>
      </c>
      <c r="P66" s="63">
        <f>IF(INPUT_PRODUCT!C79="";"";VLOOKUP(INPUT_PRODUCT!C79;PRODUCT!B:P;15;FALSE))</f>
        <v/>
      </c>
      <c r="Q66" s="63">
        <f>IF(INPUT_PRODUCT!C79="";"";INPUT_PRODUCT!K79)</f>
        <v/>
      </c>
      <c r="R66" s="63" t="inlineStr"/>
      <c r="S66" s="63">
        <f>IF(INPUT_PRODUCT!C79="";"";IF(O66="";"";O66*(1+Q66+R66)))</f>
        <v/>
      </c>
      <c r="T66" s="63">
        <f>IF(INPUT_PRODUCT!C79="";"";IF(S66="";"";S66*F66))</f>
        <v/>
      </c>
      <c r="U66" s="62">
        <f>CONFIG!$B$2</f>
        <v/>
      </c>
      <c r="V66" s="62">
        <f>IF(INPUT_PRODUCT!C79="";"";IF(S66="";"";S66*U66))</f>
        <v/>
      </c>
      <c r="W66" s="0">
        <f>IF(INPUT_PRODUCT!C79="";"";IF(T66="";"";T66*U66))</f>
        <v/>
      </c>
      <c r="X66" s="0">
        <f>IF(INPUT_PRODUCT!C79="";"";VLOOKUP(INPUT_PRODUCT!C79;PRODUCT!B:T;19;FALSE))</f>
        <v/>
      </c>
      <c r="Y66" s="0">
        <f>IF(INPUT_PRODUCT!C79="";"";INPUT_PRODUCT!L79)</f>
        <v/>
      </c>
    </row>
    <row r="67" ht="15.75" customHeight="1" s="125">
      <c r="A67" s="62">
        <f>IF(INPUT_PRODUCT!C80="";"";INPUT_PRODUCT!A80)</f>
        <v/>
      </c>
      <c r="B67" s="62">
        <f>IF(INPUT_PRODUCT!C80="";"";INPUT_PRODUCT!B80)</f>
        <v/>
      </c>
      <c r="C67" s="62">
        <f>IF(INPUT_PRODUCT!C80="";"";INPUT_PRODUCT!C80)</f>
        <v/>
      </c>
      <c r="D67" s="62">
        <f>IF(INPUT_PRODUCT!C80="";"";INDEX(PRODUCT!A:A;MATCH(INPUT_PRODUCT!C80;PRODUCT!B:B;0)))</f>
        <v/>
      </c>
      <c r="E67" s="62">
        <f>IF(INPUT_PRODUCT!C80="";"";VLOOKUP(INPUT_PRODUCT!C80;PRODUCT!B:C;2;FALSE))</f>
        <v/>
      </c>
      <c r="F67" s="62">
        <f>IF(INPUT_PRODUCT!C80="";"";INPUT_PRODUCT!J80)</f>
        <v/>
      </c>
      <c r="G67" s="62">
        <f>IF(INPUT_PRODUCT!C80="";"";INPUT_PRODUCT!G80)</f>
        <v/>
      </c>
      <c r="H67" s="62">
        <f>IF(INPUT_PRODUCT!C80="";"";VLOOKUP(INPUT_PRODUCT!C80;PRODUCT!B:F;5;FALSE))</f>
        <v/>
      </c>
      <c r="I67" s="62">
        <f>IF(INPUT_PRODUCT!C80="";"";VLOOKUP(INPUT_PRODUCT!C80;PRODUCT!B:G;6;FALSE))</f>
        <v/>
      </c>
      <c r="J67" s="62">
        <f>IF(INPUT_PRODUCT!C80="";"";VLOOKUP(INPUT_PRODUCT!C80;PRODUCT!B:H;7;FALSE))</f>
        <v/>
      </c>
      <c r="K67" s="60">
        <f>IF(INPUT_PRODUCT!C80="";"";VLOOKUP(INPUT_PRODUCT!C80;PRODUCT!B:I;8;FALSE))</f>
        <v/>
      </c>
      <c r="L67" s="62">
        <f>IF(INPUT_PRODUCT!C80="";"";VLOOKUP(INPUT_PRODUCT!C80;PRODUCT!B:J;9;FALSE))</f>
        <v/>
      </c>
      <c r="M67" s="62">
        <f>IF(INPUT_PRODUCT!C80="";"";VLOOKUP(INPUT_PRODUCT!C80;PRODUCT!B:K;10;FALSE))</f>
        <v/>
      </c>
      <c r="N67" s="62">
        <f>IF(INPUT_PRODUCT!C80="";"";VLOOKUP(INPUT_PRODUCT!C80;PRODUCT!B:L;11;FALSE))</f>
        <v/>
      </c>
      <c r="O67" s="62">
        <f>IF(INPUT_PRODUCT!C80="";"";VLOOKUP(INPUT_PRODUCT!C80;PRODUCT!B:O;14;FALSE))</f>
        <v/>
      </c>
      <c r="P67" s="63">
        <f>IF(INPUT_PRODUCT!C80="";"";VLOOKUP(INPUT_PRODUCT!C80;PRODUCT!B:P;15;FALSE))</f>
        <v/>
      </c>
      <c r="Q67" s="63">
        <f>IF(INPUT_PRODUCT!C80="";"";INPUT_PRODUCT!K80)</f>
        <v/>
      </c>
      <c r="R67" s="63" t="inlineStr"/>
      <c r="S67" s="63">
        <f>IF(INPUT_PRODUCT!C80="";"";IF(O67="";"";O67*(1+Q67+R67)))</f>
        <v/>
      </c>
      <c r="T67" s="63">
        <f>IF(INPUT_PRODUCT!C80="";"";IF(S67="";"";S67*F67))</f>
        <v/>
      </c>
      <c r="U67" s="62">
        <f>CONFIG!$B$2</f>
        <v/>
      </c>
      <c r="V67" s="62">
        <f>IF(INPUT_PRODUCT!C80="";"";IF(S67="";"";S67*U67))</f>
        <v/>
      </c>
      <c r="W67" s="0">
        <f>IF(INPUT_PRODUCT!C80="";"";IF(T67="";"";T67*U67))</f>
        <v/>
      </c>
      <c r="X67" s="0">
        <f>IF(INPUT_PRODUCT!C80="";"";VLOOKUP(INPUT_PRODUCT!C80;PRODUCT!B:T;19;FALSE))</f>
        <v/>
      </c>
      <c r="Y67" s="0">
        <f>IF(INPUT_PRODUCT!C80="";"";INPUT_PRODUCT!L80)</f>
        <v/>
      </c>
    </row>
    <row r="68" ht="15.75" customHeight="1" s="125">
      <c r="A68" s="62">
        <f>IF(INPUT_PRODUCT!C81="";"";INPUT_PRODUCT!A81)</f>
        <v/>
      </c>
      <c r="B68" s="62">
        <f>IF(INPUT_PRODUCT!C81="";"";INPUT_PRODUCT!B81)</f>
        <v/>
      </c>
      <c r="C68" s="62">
        <f>IF(INPUT_PRODUCT!C81="";"";INPUT_PRODUCT!C81)</f>
        <v/>
      </c>
      <c r="D68" s="62">
        <f>IF(INPUT_PRODUCT!C81="";"";INDEX(PRODUCT!A:A;MATCH(INPUT_PRODUCT!C81;PRODUCT!B:B;0)))</f>
        <v/>
      </c>
      <c r="E68" s="62">
        <f>IF(INPUT_PRODUCT!C81="";"";VLOOKUP(INPUT_PRODUCT!C81;PRODUCT!B:C;2;FALSE))</f>
        <v/>
      </c>
      <c r="F68" s="62">
        <f>IF(INPUT_PRODUCT!C81="";"";INPUT_PRODUCT!J81)</f>
        <v/>
      </c>
      <c r="G68" s="62">
        <f>IF(INPUT_PRODUCT!C81="";"";INPUT_PRODUCT!G81)</f>
        <v/>
      </c>
      <c r="H68" s="62">
        <f>IF(INPUT_PRODUCT!C81="";"";VLOOKUP(INPUT_PRODUCT!C81;PRODUCT!B:F;5;FALSE))</f>
        <v/>
      </c>
      <c r="I68" s="62">
        <f>IF(INPUT_PRODUCT!C81="";"";VLOOKUP(INPUT_PRODUCT!C81;PRODUCT!B:G;6;FALSE))</f>
        <v/>
      </c>
      <c r="J68" s="62">
        <f>IF(INPUT_PRODUCT!C81="";"";VLOOKUP(INPUT_PRODUCT!C81;PRODUCT!B:H;7;FALSE))</f>
        <v/>
      </c>
      <c r="K68" s="60">
        <f>IF(INPUT_PRODUCT!C81="";"";VLOOKUP(INPUT_PRODUCT!C81;PRODUCT!B:I;8;FALSE))</f>
        <v/>
      </c>
      <c r="L68" s="62">
        <f>IF(INPUT_PRODUCT!C81="";"";VLOOKUP(INPUT_PRODUCT!C81;PRODUCT!B:J;9;FALSE))</f>
        <v/>
      </c>
      <c r="M68" s="62">
        <f>IF(INPUT_PRODUCT!C81="";"";VLOOKUP(INPUT_PRODUCT!C81;PRODUCT!B:K;10;FALSE))</f>
        <v/>
      </c>
      <c r="N68" s="62">
        <f>IF(INPUT_PRODUCT!C81="";"";VLOOKUP(INPUT_PRODUCT!C81;PRODUCT!B:L;11;FALSE))</f>
        <v/>
      </c>
      <c r="O68" s="62">
        <f>IF(INPUT_PRODUCT!C81="";"";VLOOKUP(INPUT_PRODUCT!C81;PRODUCT!B:O;14;FALSE))</f>
        <v/>
      </c>
      <c r="P68" s="63">
        <f>IF(INPUT_PRODUCT!C81="";"";VLOOKUP(INPUT_PRODUCT!C81;PRODUCT!B:P;15;FALSE))</f>
        <v/>
      </c>
      <c r="Q68" s="63">
        <f>IF(INPUT_PRODUCT!C81="";"";INPUT_PRODUCT!K81)</f>
        <v/>
      </c>
      <c r="R68" s="63" t="inlineStr"/>
      <c r="S68" s="63">
        <f>IF(INPUT_PRODUCT!C81="";"";IF(O68="";"";O68*(1+Q68+R68)))</f>
        <v/>
      </c>
      <c r="T68" s="63">
        <f>IF(INPUT_PRODUCT!C81="";"";IF(S68="";"";S68*F68))</f>
        <v/>
      </c>
      <c r="U68" s="62">
        <f>CONFIG!$B$2</f>
        <v/>
      </c>
      <c r="V68" s="62">
        <f>IF(INPUT_PRODUCT!C81="";"";IF(S68="";"";S68*U68))</f>
        <v/>
      </c>
      <c r="W68" s="0">
        <f>IF(INPUT_PRODUCT!C81="";"";IF(T68="";"";T68*U68))</f>
        <v/>
      </c>
      <c r="X68" s="0">
        <f>IF(INPUT_PRODUCT!C81="";"";VLOOKUP(INPUT_PRODUCT!C81;PRODUCT!B:T;19;FALSE))</f>
        <v/>
      </c>
      <c r="Y68" s="0">
        <f>IF(INPUT_PRODUCT!C81="";"";INPUT_PRODUCT!L81)</f>
        <v/>
      </c>
    </row>
    <row r="69" ht="15.75" customHeight="1" s="125">
      <c r="A69" s="62">
        <f>IF(INPUT_PRODUCT!C82="";"";INPUT_PRODUCT!A82)</f>
        <v/>
      </c>
      <c r="B69" s="62">
        <f>IF(INPUT_PRODUCT!C82="";"";INPUT_PRODUCT!B82)</f>
        <v/>
      </c>
      <c r="C69" s="62">
        <f>IF(INPUT_PRODUCT!C82="";"";INPUT_PRODUCT!C82)</f>
        <v/>
      </c>
      <c r="D69" s="62">
        <f>IF(INPUT_PRODUCT!C82="";"";INDEX(PRODUCT!A:A;MATCH(INPUT_PRODUCT!C82;PRODUCT!B:B;0)))</f>
        <v/>
      </c>
      <c r="E69" s="62">
        <f>IF(INPUT_PRODUCT!C82="";"";VLOOKUP(INPUT_PRODUCT!C82;PRODUCT!B:C;2;FALSE))</f>
        <v/>
      </c>
      <c r="F69" s="62">
        <f>IF(INPUT_PRODUCT!C82="";"";INPUT_PRODUCT!J82)</f>
        <v/>
      </c>
      <c r="G69" s="62">
        <f>IF(INPUT_PRODUCT!C82="";"";INPUT_PRODUCT!G82)</f>
        <v/>
      </c>
      <c r="H69" s="62">
        <f>IF(INPUT_PRODUCT!C82="";"";VLOOKUP(INPUT_PRODUCT!C82;PRODUCT!B:F;5;FALSE))</f>
        <v/>
      </c>
      <c r="I69" s="62">
        <f>IF(INPUT_PRODUCT!C82="";"";VLOOKUP(INPUT_PRODUCT!C82;PRODUCT!B:G;6;FALSE))</f>
        <v/>
      </c>
      <c r="J69" s="62">
        <f>IF(INPUT_PRODUCT!C82="";"";VLOOKUP(INPUT_PRODUCT!C82;PRODUCT!B:H;7;FALSE))</f>
        <v/>
      </c>
      <c r="K69" s="60">
        <f>IF(INPUT_PRODUCT!C82="";"";VLOOKUP(INPUT_PRODUCT!C82;PRODUCT!B:I;8;FALSE))</f>
        <v/>
      </c>
      <c r="L69" s="62">
        <f>IF(INPUT_PRODUCT!C82="";"";VLOOKUP(INPUT_PRODUCT!C82;PRODUCT!B:J;9;FALSE))</f>
        <v/>
      </c>
      <c r="M69" s="62">
        <f>IF(INPUT_PRODUCT!C82="";"";VLOOKUP(INPUT_PRODUCT!C82;PRODUCT!B:K;10;FALSE))</f>
        <v/>
      </c>
      <c r="N69" s="62">
        <f>IF(INPUT_PRODUCT!C82="";"";VLOOKUP(INPUT_PRODUCT!C82;PRODUCT!B:L;11;FALSE))</f>
        <v/>
      </c>
      <c r="O69" s="62">
        <f>IF(INPUT_PRODUCT!C82="";"";VLOOKUP(INPUT_PRODUCT!C82;PRODUCT!B:O;14;FALSE))</f>
        <v/>
      </c>
      <c r="P69" s="63">
        <f>IF(INPUT_PRODUCT!C82="";"";VLOOKUP(INPUT_PRODUCT!C82;PRODUCT!B:P;15;FALSE))</f>
        <v/>
      </c>
      <c r="Q69" s="63">
        <f>IF(INPUT_PRODUCT!C82="";"";INPUT_PRODUCT!K82)</f>
        <v/>
      </c>
      <c r="R69" s="63" t="inlineStr"/>
      <c r="S69" s="63">
        <f>IF(INPUT_PRODUCT!C82="";"";IF(O69="";"";O69*(1+Q69+R69)))</f>
        <v/>
      </c>
      <c r="T69" s="63">
        <f>IF(INPUT_PRODUCT!C82="";"";IF(S69="";"";S69*F69))</f>
        <v/>
      </c>
      <c r="U69" s="62">
        <f>CONFIG!$B$2</f>
        <v/>
      </c>
      <c r="V69" s="62">
        <f>IF(INPUT_PRODUCT!C82="";"";IF(S69="";"";S69*U69))</f>
        <v/>
      </c>
      <c r="W69" s="0">
        <f>IF(INPUT_PRODUCT!C82="";"";IF(T69="";"";T69*U69))</f>
        <v/>
      </c>
      <c r="X69" s="0">
        <f>IF(INPUT_PRODUCT!C82="";"";VLOOKUP(INPUT_PRODUCT!C82;PRODUCT!B:T;19;FALSE))</f>
        <v/>
      </c>
      <c r="Y69" s="0">
        <f>IF(INPUT_PRODUCT!C82="";"";INPUT_PRODUCT!L82)</f>
        <v/>
      </c>
    </row>
    <row r="70" ht="15.75" customHeight="1" s="125">
      <c r="A70" s="62">
        <f>IF(INPUT_PRODUCT!C83="";"";INPUT_PRODUCT!A83)</f>
        <v/>
      </c>
      <c r="B70" s="62">
        <f>IF(INPUT_PRODUCT!C83="";"";INPUT_PRODUCT!B83)</f>
        <v/>
      </c>
      <c r="C70" s="62">
        <f>IF(INPUT_PRODUCT!C83="";"";INPUT_PRODUCT!C83)</f>
        <v/>
      </c>
      <c r="D70" s="62">
        <f>IF(INPUT_PRODUCT!C83="";"";INDEX(PRODUCT!A:A;MATCH(INPUT_PRODUCT!C83;PRODUCT!B:B;0)))</f>
        <v/>
      </c>
      <c r="E70" s="62">
        <f>IF(INPUT_PRODUCT!C83="";"";VLOOKUP(INPUT_PRODUCT!C83;PRODUCT!B:C;2;FALSE))</f>
        <v/>
      </c>
      <c r="F70" s="62">
        <f>IF(INPUT_PRODUCT!C83="";"";INPUT_PRODUCT!J83)</f>
        <v/>
      </c>
      <c r="G70" s="62">
        <f>IF(INPUT_PRODUCT!C83="";"";INPUT_PRODUCT!G83)</f>
        <v/>
      </c>
      <c r="H70" s="62">
        <f>IF(INPUT_PRODUCT!C83="";"";VLOOKUP(INPUT_PRODUCT!C83;PRODUCT!B:F;5;FALSE))</f>
        <v/>
      </c>
      <c r="I70" s="62">
        <f>IF(INPUT_PRODUCT!C83="";"";VLOOKUP(INPUT_PRODUCT!C83;PRODUCT!B:G;6;FALSE))</f>
        <v/>
      </c>
      <c r="J70" s="62">
        <f>IF(INPUT_PRODUCT!C83="";"";VLOOKUP(INPUT_PRODUCT!C83;PRODUCT!B:H;7;FALSE))</f>
        <v/>
      </c>
      <c r="K70" s="60">
        <f>IF(INPUT_PRODUCT!C83="";"";VLOOKUP(INPUT_PRODUCT!C83;PRODUCT!B:I;8;FALSE))</f>
        <v/>
      </c>
      <c r="L70" s="62">
        <f>IF(INPUT_PRODUCT!C83="";"";VLOOKUP(INPUT_PRODUCT!C83;PRODUCT!B:J;9;FALSE))</f>
        <v/>
      </c>
      <c r="M70" s="62">
        <f>IF(INPUT_PRODUCT!C83="";"";VLOOKUP(INPUT_PRODUCT!C83;PRODUCT!B:K;10;FALSE))</f>
        <v/>
      </c>
      <c r="N70" s="62">
        <f>IF(INPUT_PRODUCT!C83="";"";VLOOKUP(INPUT_PRODUCT!C83;PRODUCT!B:L;11;FALSE))</f>
        <v/>
      </c>
      <c r="O70" s="62">
        <f>IF(INPUT_PRODUCT!C83="";"";VLOOKUP(INPUT_PRODUCT!C83;PRODUCT!B:O;14;FALSE))</f>
        <v/>
      </c>
      <c r="P70" s="63">
        <f>IF(INPUT_PRODUCT!C83="";"";VLOOKUP(INPUT_PRODUCT!C83;PRODUCT!B:P;15;FALSE))</f>
        <v/>
      </c>
      <c r="Q70" s="63">
        <f>IF(INPUT_PRODUCT!C83="";"";INPUT_PRODUCT!K83)</f>
        <v/>
      </c>
      <c r="R70" s="63" t="inlineStr"/>
      <c r="S70" s="63">
        <f>IF(INPUT_PRODUCT!C83="";"";IF(O70="";"";O70*(1+Q70+R70)))</f>
        <v/>
      </c>
      <c r="T70" s="63">
        <f>IF(INPUT_PRODUCT!C83="";"";IF(S70="";"";S70*F70))</f>
        <v/>
      </c>
      <c r="U70" s="62">
        <f>CONFIG!$B$2</f>
        <v/>
      </c>
      <c r="V70" s="62">
        <f>IF(INPUT_PRODUCT!C83="";"";IF(S70="";"";S70*U70))</f>
        <v/>
      </c>
      <c r="W70" s="0">
        <f>IF(INPUT_PRODUCT!C83="";"";IF(T70="";"";T70*U70))</f>
        <v/>
      </c>
      <c r="X70" s="0">
        <f>IF(INPUT_PRODUCT!C83="";"";VLOOKUP(INPUT_PRODUCT!C83;PRODUCT!B:T;19;FALSE))</f>
        <v/>
      </c>
      <c r="Y70" s="0">
        <f>IF(INPUT_PRODUCT!C83="";"";INPUT_PRODUCT!L83)</f>
        <v/>
      </c>
    </row>
    <row r="71" ht="15.75" customHeight="1" s="125">
      <c r="A71" s="62">
        <f>IF(INPUT_PRODUCT!C84="";"";INPUT_PRODUCT!A84)</f>
        <v/>
      </c>
      <c r="B71" s="62">
        <f>IF(INPUT_PRODUCT!C84="";"";INPUT_PRODUCT!B84)</f>
        <v/>
      </c>
      <c r="C71" s="62">
        <f>IF(INPUT_PRODUCT!C84="";"";INPUT_PRODUCT!C84)</f>
        <v/>
      </c>
      <c r="D71" s="62">
        <f>IF(INPUT_PRODUCT!C84="";"";INDEX(PRODUCT!A:A;MATCH(INPUT_PRODUCT!C84;PRODUCT!B:B;0)))</f>
        <v/>
      </c>
      <c r="E71" s="62">
        <f>IF(INPUT_PRODUCT!C84="";"";VLOOKUP(INPUT_PRODUCT!C84;PRODUCT!B:C;2;FALSE))</f>
        <v/>
      </c>
      <c r="F71" s="62">
        <f>IF(INPUT_PRODUCT!C84="";"";INPUT_PRODUCT!J84)</f>
        <v/>
      </c>
      <c r="G71" s="62">
        <f>IF(INPUT_PRODUCT!C84="";"";INPUT_PRODUCT!G84)</f>
        <v/>
      </c>
      <c r="H71" s="62">
        <f>IF(INPUT_PRODUCT!C84="";"";VLOOKUP(INPUT_PRODUCT!C84;PRODUCT!B:F;5;FALSE))</f>
        <v/>
      </c>
      <c r="I71" s="62">
        <f>IF(INPUT_PRODUCT!C84="";"";VLOOKUP(INPUT_PRODUCT!C84;PRODUCT!B:G;6;FALSE))</f>
        <v/>
      </c>
      <c r="J71" s="62">
        <f>IF(INPUT_PRODUCT!C84="";"";VLOOKUP(INPUT_PRODUCT!C84;PRODUCT!B:H;7;FALSE))</f>
        <v/>
      </c>
      <c r="K71" s="60">
        <f>IF(INPUT_PRODUCT!C84="";"";VLOOKUP(INPUT_PRODUCT!C84;PRODUCT!B:I;8;FALSE))</f>
        <v/>
      </c>
      <c r="L71" s="62">
        <f>IF(INPUT_PRODUCT!C84="";"";VLOOKUP(INPUT_PRODUCT!C84;PRODUCT!B:J;9;FALSE))</f>
        <v/>
      </c>
      <c r="M71" s="62">
        <f>IF(INPUT_PRODUCT!C84="";"";VLOOKUP(INPUT_PRODUCT!C84;PRODUCT!B:K;10;FALSE))</f>
        <v/>
      </c>
      <c r="N71" s="62">
        <f>IF(INPUT_PRODUCT!C84="";"";VLOOKUP(INPUT_PRODUCT!C84;PRODUCT!B:L;11;FALSE))</f>
        <v/>
      </c>
      <c r="O71" s="62">
        <f>IF(INPUT_PRODUCT!C84="";"";VLOOKUP(INPUT_PRODUCT!C84;PRODUCT!B:O;14;FALSE))</f>
        <v/>
      </c>
      <c r="P71" s="63">
        <f>IF(INPUT_PRODUCT!C84="";"";VLOOKUP(INPUT_PRODUCT!C84;PRODUCT!B:P;15;FALSE))</f>
        <v/>
      </c>
      <c r="Q71" s="63">
        <f>IF(INPUT_PRODUCT!C84="";"";INPUT_PRODUCT!K84)</f>
        <v/>
      </c>
      <c r="R71" s="63" t="inlineStr"/>
      <c r="S71" s="63">
        <f>IF(INPUT_PRODUCT!C84="";"";IF(O71="";"";O71*(1+Q71+R71)))</f>
        <v/>
      </c>
      <c r="T71" s="63">
        <f>IF(INPUT_PRODUCT!C84="";"";IF(S71="";"";S71*F71))</f>
        <v/>
      </c>
      <c r="U71" s="62">
        <f>CONFIG!$B$2</f>
        <v/>
      </c>
      <c r="V71" s="62">
        <f>IF(INPUT_PRODUCT!C84="";"";IF(S71="";"";S71*U71))</f>
        <v/>
      </c>
      <c r="W71" s="0">
        <f>IF(INPUT_PRODUCT!C84="";"";IF(T71="";"";T71*U71))</f>
        <v/>
      </c>
      <c r="X71" s="0">
        <f>IF(INPUT_PRODUCT!C84="";"";VLOOKUP(INPUT_PRODUCT!C84;PRODUCT!B:T;19;FALSE))</f>
        <v/>
      </c>
      <c r="Y71" s="0">
        <f>IF(INPUT_PRODUCT!C84="";"";INPUT_PRODUCT!L84)</f>
        <v/>
      </c>
    </row>
    <row r="72" ht="15.75" customHeight="1" s="125">
      <c r="A72" s="62">
        <f>IF(INPUT_PRODUCT!C85="";"";INPUT_PRODUCT!A85)</f>
        <v/>
      </c>
      <c r="B72" s="62">
        <f>IF(INPUT_PRODUCT!C85="";"";INPUT_PRODUCT!B85)</f>
        <v/>
      </c>
      <c r="C72" s="62">
        <f>IF(INPUT_PRODUCT!C85="";"";INPUT_PRODUCT!C85)</f>
        <v/>
      </c>
      <c r="D72" s="62">
        <f>IF(INPUT_PRODUCT!C85="";"";INDEX(PRODUCT!A:A;MATCH(INPUT_PRODUCT!C85;PRODUCT!B:B;0)))</f>
        <v/>
      </c>
      <c r="E72" s="62">
        <f>IF(INPUT_PRODUCT!C85="";"";VLOOKUP(INPUT_PRODUCT!C85;PRODUCT!B:C;2;FALSE))</f>
        <v/>
      </c>
      <c r="F72" s="62">
        <f>IF(INPUT_PRODUCT!C85="";"";INPUT_PRODUCT!J85)</f>
        <v/>
      </c>
      <c r="G72" s="62">
        <f>IF(INPUT_PRODUCT!C85="";"";INPUT_PRODUCT!G85)</f>
        <v/>
      </c>
      <c r="H72" s="62">
        <f>IF(INPUT_PRODUCT!C85="";"";VLOOKUP(INPUT_PRODUCT!C85;PRODUCT!B:F;5;FALSE))</f>
        <v/>
      </c>
      <c r="I72" s="62">
        <f>IF(INPUT_PRODUCT!C85="";"";VLOOKUP(INPUT_PRODUCT!C85;PRODUCT!B:G;6;FALSE))</f>
        <v/>
      </c>
      <c r="J72" s="62">
        <f>IF(INPUT_PRODUCT!C85="";"";VLOOKUP(INPUT_PRODUCT!C85;PRODUCT!B:H;7;FALSE))</f>
        <v/>
      </c>
      <c r="K72" s="60">
        <f>IF(INPUT_PRODUCT!C85="";"";VLOOKUP(INPUT_PRODUCT!C85;PRODUCT!B:I;8;FALSE))</f>
        <v/>
      </c>
      <c r="L72" s="62">
        <f>IF(INPUT_PRODUCT!C85="";"";VLOOKUP(INPUT_PRODUCT!C85;PRODUCT!B:J;9;FALSE))</f>
        <v/>
      </c>
      <c r="M72" s="62">
        <f>IF(INPUT_PRODUCT!C85="";"";VLOOKUP(INPUT_PRODUCT!C85;PRODUCT!B:K;10;FALSE))</f>
        <v/>
      </c>
      <c r="N72" s="62">
        <f>IF(INPUT_PRODUCT!C85="";"";VLOOKUP(INPUT_PRODUCT!C85;PRODUCT!B:L;11;FALSE))</f>
        <v/>
      </c>
      <c r="O72" s="62">
        <f>IF(INPUT_PRODUCT!C85="";"";VLOOKUP(INPUT_PRODUCT!C85;PRODUCT!B:O;14;FALSE))</f>
        <v/>
      </c>
      <c r="P72" s="63">
        <f>IF(INPUT_PRODUCT!C85="";"";VLOOKUP(INPUT_PRODUCT!C85;PRODUCT!B:P;15;FALSE))</f>
        <v/>
      </c>
      <c r="Q72" s="63">
        <f>IF(INPUT_PRODUCT!C85="";"";INPUT_PRODUCT!K85)</f>
        <v/>
      </c>
      <c r="R72" s="63" t="inlineStr"/>
      <c r="S72" s="63">
        <f>IF(INPUT_PRODUCT!C85="";"";IF(O72="";"";O72*(1+Q72+R72)))</f>
        <v/>
      </c>
      <c r="T72" s="63">
        <f>IF(INPUT_PRODUCT!C85="";"";IF(S72="";"";S72*F72))</f>
        <v/>
      </c>
      <c r="U72" s="62">
        <f>CONFIG!$B$2</f>
        <v/>
      </c>
      <c r="V72" s="62">
        <f>IF(INPUT_PRODUCT!C85="";"";IF(S72="";"";S72*U72))</f>
        <v/>
      </c>
      <c r="W72" s="0">
        <f>IF(INPUT_PRODUCT!C85="";"";IF(T72="";"";T72*U72))</f>
        <v/>
      </c>
      <c r="X72" s="0">
        <f>IF(INPUT_PRODUCT!C85="";"";VLOOKUP(INPUT_PRODUCT!C85;PRODUCT!B:T;19;FALSE))</f>
        <v/>
      </c>
      <c r="Y72" s="0">
        <f>IF(INPUT_PRODUCT!C85="";"";INPUT_PRODUCT!L85)</f>
        <v/>
      </c>
    </row>
    <row r="73" ht="15.75" customHeight="1" s="125">
      <c r="A73" s="62">
        <f>IF(INPUT_PRODUCT!C86="";"";INPUT_PRODUCT!A86)</f>
        <v/>
      </c>
      <c r="B73" s="62">
        <f>IF(INPUT_PRODUCT!C86="";"";INPUT_PRODUCT!B86)</f>
        <v/>
      </c>
      <c r="C73" s="62">
        <f>IF(INPUT_PRODUCT!C86="";"";INPUT_PRODUCT!C86)</f>
        <v/>
      </c>
      <c r="D73" s="62">
        <f>IF(INPUT_PRODUCT!C86="";"";INDEX(PRODUCT!A:A;MATCH(INPUT_PRODUCT!C86;PRODUCT!B:B;0)))</f>
        <v/>
      </c>
      <c r="E73" s="62">
        <f>IF(INPUT_PRODUCT!C86="";"";VLOOKUP(INPUT_PRODUCT!C86;PRODUCT!B:C;2;FALSE))</f>
        <v/>
      </c>
      <c r="F73" s="62">
        <f>IF(INPUT_PRODUCT!C86="";"";INPUT_PRODUCT!J86)</f>
        <v/>
      </c>
      <c r="G73" s="62">
        <f>IF(INPUT_PRODUCT!C86="";"";INPUT_PRODUCT!G86)</f>
        <v/>
      </c>
      <c r="H73" s="62">
        <f>IF(INPUT_PRODUCT!C86="";"";VLOOKUP(INPUT_PRODUCT!C86;PRODUCT!B:F;5;FALSE))</f>
        <v/>
      </c>
      <c r="I73" s="62">
        <f>IF(INPUT_PRODUCT!C86="";"";VLOOKUP(INPUT_PRODUCT!C86;PRODUCT!B:G;6;FALSE))</f>
        <v/>
      </c>
      <c r="J73" s="62">
        <f>IF(INPUT_PRODUCT!C86="";"";VLOOKUP(INPUT_PRODUCT!C86;PRODUCT!B:H;7;FALSE))</f>
        <v/>
      </c>
      <c r="K73" s="60">
        <f>IF(INPUT_PRODUCT!C86="";"";VLOOKUP(INPUT_PRODUCT!C86;PRODUCT!B:I;8;FALSE))</f>
        <v/>
      </c>
      <c r="L73" s="62">
        <f>IF(INPUT_PRODUCT!C86="";"";VLOOKUP(INPUT_PRODUCT!C86;PRODUCT!B:J;9;FALSE))</f>
        <v/>
      </c>
      <c r="M73" s="62">
        <f>IF(INPUT_PRODUCT!C86="";"";VLOOKUP(INPUT_PRODUCT!C86;PRODUCT!B:K;10;FALSE))</f>
        <v/>
      </c>
      <c r="N73" s="62">
        <f>IF(INPUT_PRODUCT!C86="";"";VLOOKUP(INPUT_PRODUCT!C86;PRODUCT!B:L;11;FALSE))</f>
        <v/>
      </c>
      <c r="O73" s="62">
        <f>IF(INPUT_PRODUCT!C86="";"";VLOOKUP(INPUT_PRODUCT!C86;PRODUCT!B:O;14;FALSE))</f>
        <v/>
      </c>
      <c r="P73" s="63">
        <f>IF(INPUT_PRODUCT!C86="";"";VLOOKUP(INPUT_PRODUCT!C86;PRODUCT!B:P;15;FALSE))</f>
        <v/>
      </c>
      <c r="Q73" s="63">
        <f>IF(INPUT_PRODUCT!C86="";"";INPUT_PRODUCT!K86)</f>
        <v/>
      </c>
      <c r="R73" s="63" t="inlineStr"/>
      <c r="S73" s="63">
        <f>IF(INPUT_PRODUCT!C86="";"";IF(O73="";"";O73*(1+Q73+R73)))</f>
        <v/>
      </c>
      <c r="T73" s="63">
        <f>IF(INPUT_PRODUCT!C86="";"";IF(S73="";"";S73*F73))</f>
        <v/>
      </c>
      <c r="U73" s="62">
        <f>CONFIG!$B$2</f>
        <v/>
      </c>
      <c r="V73" s="62">
        <f>IF(INPUT_PRODUCT!C86="";"";IF(S73="";"";S73*U73))</f>
        <v/>
      </c>
      <c r="W73" s="0">
        <f>IF(INPUT_PRODUCT!C86="";"";IF(T73="";"";T73*U73))</f>
        <v/>
      </c>
      <c r="X73" s="0">
        <f>IF(INPUT_PRODUCT!C86="";"";VLOOKUP(INPUT_PRODUCT!C86;PRODUCT!B:T;19;FALSE))</f>
        <v/>
      </c>
      <c r="Y73" s="0">
        <f>IF(INPUT_PRODUCT!C86="";"";INPUT_PRODUCT!L86)</f>
        <v/>
      </c>
    </row>
    <row r="74" ht="15.75" customHeight="1" s="125">
      <c r="A74" s="62">
        <f>IF(INPUT_PRODUCT!C87="";"";INPUT_PRODUCT!A87)</f>
        <v/>
      </c>
      <c r="B74" s="62">
        <f>IF(INPUT_PRODUCT!C87="";"";INPUT_PRODUCT!B87)</f>
        <v/>
      </c>
      <c r="C74" s="62">
        <f>IF(INPUT_PRODUCT!C87="";"";INPUT_PRODUCT!C87)</f>
        <v/>
      </c>
      <c r="D74" s="62">
        <f>IF(INPUT_PRODUCT!C87="";"";INDEX(PRODUCT!A:A;MATCH(INPUT_PRODUCT!C87;PRODUCT!B:B;0)))</f>
        <v/>
      </c>
      <c r="E74" s="62">
        <f>IF(INPUT_PRODUCT!C87="";"";VLOOKUP(INPUT_PRODUCT!C87;PRODUCT!B:C;2;FALSE))</f>
        <v/>
      </c>
      <c r="F74" s="62">
        <f>IF(INPUT_PRODUCT!C87="";"";INPUT_PRODUCT!J87)</f>
        <v/>
      </c>
      <c r="G74" s="62">
        <f>IF(INPUT_PRODUCT!C87="";"";INPUT_PRODUCT!G87)</f>
        <v/>
      </c>
      <c r="H74" s="62">
        <f>IF(INPUT_PRODUCT!C87="";"";VLOOKUP(INPUT_PRODUCT!C87;PRODUCT!B:F;5;FALSE))</f>
        <v/>
      </c>
      <c r="I74" s="62">
        <f>IF(INPUT_PRODUCT!C87="";"";VLOOKUP(INPUT_PRODUCT!C87;PRODUCT!B:G;6;FALSE))</f>
        <v/>
      </c>
      <c r="J74" s="62">
        <f>IF(INPUT_PRODUCT!C87="";"";VLOOKUP(INPUT_PRODUCT!C87;PRODUCT!B:H;7;FALSE))</f>
        <v/>
      </c>
      <c r="K74" s="60">
        <f>IF(INPUT_PRODUCT!C87="";"";VLOOKUP(INPUT_PRODUCT!C87;PRODUCT!B:I;8;FALSE))</f>
        <v/>
      </c>
      <c r="L74" s="62">
        <f>IF(INPUT_PRODUCT!C87="";"";VLOOKUP(INPUT_PRODUCT!C87;PRODUCT!B:J;9;FALSE))</f>
        <v/>
      </c>
      <c r="M74" s="62">
        <f>IF(INPUT_PRODUCT!C87="";"";VLOOKUP(INPUT_PRODUCT!C87;PRODUCT!B:K;10;FALSE))</f>
        <v/>
      </c>
      <c r="N74" s="62">
        <f>IF(INPUT_PRODUCT!C87="";"";VLOOKUP(INPUT_PRODUCT!C87;PRODUCT!B:L;11;FALSE))</f>
        <v/>
      </c>
      <c r="O74" s="62">
        <f>IF(INPUT_PRODUCT!C87="";"";VLOOKUP(INPUT_PRODUCT!C87;PRODUCT!B:O;14;FALSE))</f>
        <v/>
      </c>
      <c r="P74" s="63">
        <f>IF(INPUT_PRODUCT!C87="";"";VLOOKUP(INPUT_PRODUCT!C87;PRODUCT!B:P;15;FALSE))</f>
        <v/>
      </c>
      <c r="Q74" s="63">
        <f>IF(INPUT_PRODUCT!C87="";"";INPUT_PRODUCT!K87)</f>
        <v/>
      </c>
      <c r="R74" s="63" t="inlineStr"/>
      <c r="S74" s="63">
        <f>IF(INPUT_PRODUCT!C87="";"";IF(O74="";"";O74*(1+Q74+R74)))</f>
        <v/>
      </c>
      <c r="T74" s="63">
        <f>IF(INPUT_PRODUCT!C87="";"";IF(S74="";"";S74*F74))</f>
        <v/>
      </c>
      <c r="U74" s="62">
        <f>CONFIG!$B$2</f>
        <v/>
      </c>
      <c r="V74" s="62">
        <f>IF(INPUT_PRODUCT!C87="";"";IF(S74="";"";S74*U74))</f>
        <v/>
      </c>
      <c r="W74" s="0">
        <f>IF(INPUT_PRODUCT!C87="";"";IF(T74="";"";T74*U74))</f>
        <v/>
      </c>
      <c r="X74" s="0">
        <f>IF(INPUT_PRODUCT!C87="";"";VLOOKUP(INPUT_PRODUCT!C87;PRODUCT!B:T;19;FALSE))</f>
        <v/>
      </c>
      <c r="Y74" s="0">
        <f>IF(INPUT_PRODUCT!C87="";"";INPUT_PRODUCT!L87)</f>
        <v/>
      </c>
    </row>
    <row r="75" ht="15.75" customHeight="1" s="125">
      <c r="A75" s="62">
        <f>IF(INPUT_PRODUCT!C88="";"";INPUT_PRODUCT!A88)</f>
        <v/>
      </c>
      <c r="B75" s="62">
        <f>IF(INPUT_PRODUCT!C88="";"";INPUT_PRODUCT!B88)</f>
        <v/>
      </c>
      <c r="C75" s="62">
        <f>IF(INPUT_PRODUCT!C88="";"";INPUT_PRODUCT!C88)</f>
        <v/>
      </c>
      <c r="D75" s="62">
        <f>IF(INPUT_PRODUCT!C88="";"";INDEX(PRODUCT!A:A;MATCH(INPUT_PRODUCT!C88;PRODUCT!B:B;0)))</f>
        <v/>
      </c>
      <c r="E75" s="62">
        <f>IF(INPUT_PRODUCT!C88="";"";VLOOKUP(INPUT_PRODUCT!C88;PRODUCT!B:C;2;FALSE))</f>
        <v/>
      </c>
      <c r="F75" s="62">
        <f>IF(INPUT_PRODUCT!C88="";"";INPUT_PRODUCT!J88)</f>
        <v/>
      </c>
      <c r="G75" s="62">
        <f>IF(INPUT_PRODUCT!C88="";"";INPUT_PRODUCT!G88)</f>
        <v/>
      </c>
      <c r="H75" s="62">
        <f>IF(INPUT_PRODUCT!C88="";"";VLOOKUP(INPUT_PRODUCT!C88;PRODUCT!B:F;5;FALSE))</f>
        <v/>
      </c>
      <c r="I75" s="62">
        <f>IF(INPUT_PRODUCT!C88="";"";VLOOKUP(INPUT_PRODUCT!C88;PRODUCT!B:G;6;FALSE))</f>
        <v/>
      </c>
      <c r="J75" s="62">
        <f>IF(INPUT_PRODUCT!C88="";"";VLOOKUP(INPUT_PRODUCT!C88;PRODUCT!B:H;7;FALSE))</f>
        <v/>
      </c>
      <c r="K75" s="60">
        <f>IF(INPUT_PRODUCT!C88="";"";VLOOKUP(INPUT_PRODUCT!C88;PRODUCT!B:I;8;FALSE))</f>
        <v/>
      </c>
      <c r="L75" s="62">
        <f>IF(INPUT_PRODUCT!C88="";"";VLOOKUP(INPUT_PRODUCT!C88;PRODUCT!B:J;9;FALSE))</f>
        <v/>
      </c>
      <c r="M75" s="62">
        <f>IF(INPUT_PRODUCT!C88="";"";VLOOKUP(INPUT_PRODUCT!C88;PRODUCT!B:K;10;FALSE))</f>
        <v/>
      </c>
      <c r="N75" s="62">
        <f>IF(INPUT_PRODUCT!C88="";"";VLOOKUP(INPUT_PRODUCT!C88;PRODUCT!B:L;11;FALSE))</f>
        <v/>
      </c>
      <c r="O75" s="62">
        <f>IF(INPUT_PRODUCT!C88="";"";VLOOKUP(INPUT_PRODUCT!C88;PRODUCT!B:O;14;FALSE))</f>
        <v/>
      </c>
      <c r="P75" s="63">
        <f>IF(INPUT_PRODUCT!C88="";"";VLOOKUP(INPUT_PRODUCT!C88;PRODUCT!B:P;15;FALSE))</f>
        <v/>
      </c>
      <c r="Q75" s="63">
        <f>IF(INPUT_PRODUCT!C88="";"";INPUT_PRODUCT!K88)</f>
        <v/>
      </c>
      <c r="R75" s="63" t="inlineStr"/>
      <c r="S75" s="63">
        <f>IF(INPUT_PRODUCT!C88="";"";IF(O75="";"";O75*(1+Q75+R75)))</f>
        <v/>
      </c>
      <c r="T75" s="63">
        <f>IF(INPUT_PRODUCT!C88="";"";IF(S75="";"";S75*F75))</f>
        <v/>
      </c>
      <c r="U75" s="62">
        <f>CONFIG!$B$2</f>
        <v/>
      </c>
      <c r="V75" s="62">
        <f>IF(INPUT_PRODUCT!C88="";"";IF(S75="";"";S75*U75))</f>
        <v/>
      </c>
      <c r="W75" s="0">
        <f>IF(INPUT_PRODUCT!C88="";"";IF(T75="";"";T75*U75))</f>
        <v/>
      </c>
      <c r="X75" s="0">
        <f>IF(INPUT_PRODUCT!C88="";"";VLOOKUP(INPUT_PRODUCT!C88;PRODUCT!B:T;19;FALSE))</f>
        <v/>
      </c>
      <c r="Y75" s="0">
        <f>IF(INPUT_PRODUCT!C88="";"";INPUT_PRODUCT!L88)</f>
        <v/>
      </c>
    </row>
    <row r="76" ht="15.75" customHeight="1" s="125">
      <c r="A76" s="62">
        <f>IF(INPUT_PRODUCT!C89="";"";INPUT_PRODUCT!A89)</f>
        <v/>
      </c>
      <c r="B76" s="62">
        <f>IF(INPUT_PRODUCT!C89="";"";INPUT_PRODUCT!B89)</f>
        <v/>
      </c>
      <c r="C76" s="62">
        <f>IF(INPUT_PRODUCT!C89="";"";INPUT_PRODUCT!C89)</f>
        <v/>
      </c>
      <c r="D76" s="62">
        <f>IF(INPUT_PRODUCT!C89="";"";INDEX(PRODUCT!A:A;MATCH(INPUT_PRODUCT!C89;PRODUCT!B:B;0)))</f>
        <v/>
      </c>
      <c r="E76" s="62">
        <f>IF(INPUT_PRODUCT!C89="";"";VLOOKUP(INPUT_PRODUCT!C89;PRODUCT!B:C;2;FALSE))</f>
        <v/>
      </c>
      <c r="F76" s="62">
        <f>IF(INPUT_PRODUCT!C89="";"";INPUT_PRODUCT!J89)</f>
        <v/>
      </c>
      <c r="G76" s="62">
        <f>IF(INPUT_PRODUCT!C89="";"";INPUT_PRODUCT!G89)</f>
        <v/>
      </c>
      <c r="H76" s="62">
        <f>IF(INPUT_PRODUCT!C89="";"";VLOOKUP(INPUT_PRODUCT!C89;PRODUCT!B:F;5;FALSE))</f>
        <v/>
      </c>
      <c r="I76" s="62">
        <f>IF(INPUT_PRODUCT!C89="";"";VLOOKUP(INPUT_PRODUCT!C89;PRODUCT!B:G;6;FALSE))</f>
        <v/>
      </c>
      <c r="J76" s="62">
        <f>IF(INPUT_PRODUCT!C89="";"";VLOOKUP(INPUT_PRODUCT!C89;PRODUCT!B:H;7;FALSE))</f>
        <v/>
      </c>
      <c r="K76" s="60">
        <f>IF(INPUT_PRODUCT!C89="";"";VLOOKUP(INPUT_PRODUCT!C89;PRODUCT!B:I;8;FALSE))</f>
        <v/>
      </c>
      <c r="L76" s="62">
        <f>IF(INPUT_PRODUCT!C89="";"";VLOOKUP(INPUT_PRODUCT!C89;PRODUCT!B:J;9;FALSE))</f>
        <v/>
      </c>
      <c r="M76" s="62">
        <f>IF(INPUT_PRODUCT!C89="";"";VLOOKUP(INPUT_PRODUCT!C89;PRODUCT!B:K;10;FALSE))</f>
        <v/>
      </c>
      <c r="N76" s="62">
        <f>IF(INPUT_PRODUCT!C89="";"";VLOOKUP(INPUT_PRODUCT!C89;PRODUCT!B:L;11;FALSE))</f>
        <v/>
      </c>
      <c r="O76" s="62">
        <f>IF(INPUT_PRODUCT!C89="";"";VLOOKUP(INPUT_PRODUCT!C89;PRODUCT!B:O;14;FALSE))</f>
        <v/>
      </c>
      <c r="P76" s="63">
        <f>IF(INPUT_PRODUCT!C89="";"";VLOOKUP(INPUT_PRODUCT!C89;PRODUCT!B:P;15;FALSE))</f>
        <v/>
      </c>
      <c r="Q76" s="63">
        <f>IF(INPUT_PRODUCT!C89="";"";INPUT_PRODUCT!K89)</f>
        <v/>
      </c>
      <c r="R76" s="63" t="inlineStr"/>
      <c r="S76" s="63">
        <f>IF(INPUT_PRODUCT!C89="";"";IF(O76="";"";O76*(1+Q76+R76)))</f>
        <v/>
      </c>
      <c r="T76" s="63">
        <f>IF(INPUT_PRODUCT!C89="";"";IF(S76="";"";S76*F76))</f>
        <v/>
      </c>
      <c r="U76" s="62">
        <f>CONFIG!$B$2</f>
        <v/>
      </c>
      <c r="V76" s="62">
        <f>IF(INPUT_PRODUCT!C89="";"";IF(S76="";"";S76*U76))</f>
        <v/>
      </c>
      <c r="W76" s="0">
        <f>IF(INPUT_PRODUCT!C89="";"";IF(T76="";"";T76*U76))</f>
        <v/>
      </c>
      <c r="X76" s="0">
        <f>IF(INPUT_PRODUCT!C89="";"";VLOOKUP(INPUT_PRODUCT!C89;PRODUCT!B:T;19;FALSE))</f>
        <v/>
      </c>
      <c r="Y76" s="0">
        <f>IF(INPUT_PRODUCT!C89="";"";INPUT_PRODUCT!L89)</f>
        <v/>
      </c>
    </row>
    <row r="77" ht="15.75" customHeight="1" s="125">
      <c r="A77" s="62">
        <f>IF(INPUT_PRODUCT!C90="";"";INPUT_PRODUCT!A90)</f>
        <v/>
      </c>
      <c r="B77" s="62">
        <f>IF(INPUT_PRODUCT!C90="";"";INPUT_PRODUCT!B90)</f>
        <v/>
      </c>
      <c r="C77" s="62">
        <f>IF(INPUT_PRODUCT!C90="";"";INPUT_PRODUCT!C90)</f>
        <v/>
      </c>
      <c r="D77" s="62">
        <f>IF(INPUT_PRODUCT!C90="";"";INDEX(PRODUCT!A:A;MATCH(INPUT_PRODUCT!C90;PRODUCT!B:B;0)))</f>
        <v/>
      </c>
      <c r="E77" s="62">
        <f>IF(INPUT_PRODUCT!C90="";"";VLOOKUP(INPUT_PRODUCT!C90;PRODUCT!B:C;2;FALSE))</f>
        <v/>
      </c>
      <c r="F77" s="62">
        <f>IF(INPUT_PRODUCT!C90="";"";INPUT_PRODUCT!J90)</f>
        <v/>
      </c>
      <c r="G77" s="62">
        <f>IF(INPUT_PRODUCT!C90="";"";INPUT_PRODUCT!G90)</f>
        <v/>
      </c>
      <c r="H77" s="62">
        <f>IF(INPUT_PRODUCT!C90="";"";VLOOKUP(INPUT_PRODUCT!C90;PRODUCT!B:F;5;FALSE))</f>
        <v/>
      </c>
      <c r="I77" s="62">
        <f>IF(INPUT_PRODUCT!C90="";"";VLOOKUP(INPUT_PRODUCT!C90;PRODUCT!B:G;6;FALSE))</f>
        <v/>
      </c>
      <c r="J77" s="62">
        <f>IF(INPUT_PRODUCT!C90="";"";VLOOKUP(INPUT_PRODUCT!C90;PRODUCT!B:H;7;FALSE))</f>
        <v/>
      </c>
      <c r="K77" s="60">
        <f>IF(INPUT_PRODUCT!C90="";"";VLOOKUP(INPUT_PRODUCT!C90;PRODUCT!B:I;8;FALSE))</f>
        <v/>
      </c>
      <c r="L77" s="62">
        <f>IF(INPUT_PRODUCT!C90="";"";VLOOKUP(INPUT_PRODUCT!C90;PRODUCT!B:J;9;FALSE))</f>
        <v/>
      </c>
      <c r="M77" s="62">
        <f>IF(INPUT_PRODUCT!C90="";"";VLOOKUP(INPUT_PRODUCT!C90;PRODUCT!B:K;10;FALSE))</f>
        <v/>
      </c>
      <c r="N77" s="62">
        <f>IF(INPUT_PRODUCT!C90="";"";VLOOKUP(INPUT_PRODUCT!C90;PRODUCT!B:L;11;FALSE))</f>
        <v/>
      </c>
      <c r="O77" s="62">
        <f>IF(INPUT_PRODUCT!C90="";"";VLOOKUP(INPUT_PRODUCT!C90;PRODUCT!B:O;14;FALSE))</f>
        <v/>
      </c>
      <c r="P77" s="63">
        <f>IF(INPUT_PRODUCT!C90="";"";VLOOKUP(INPUT_PRODUCT!C90;PRODUCT!B:P;15;FALSE))</f>
        <v/>
      </c>
      <c r="Q77" s="63">
        <f>IF(INPUT_PRODUCT!C90="";"";INPUT_PRODUCT!K90)</f>
        <v/>
      </c>
      <c r="R77" s="63" t="inlineStr"/>
      <c r="S77" s="63">
        <f>IF(INPUT_PRODUCT!C90="";"";IF(O77="";"";O77*(1+Q77+R77)))</f>
        <v/>
      </c>
      <c r="T77" s="63">
        <f>IF(INPUT_PRODUCT!C90="";"";IF(S77="";"";S77*F77))</f>
        <v/>
      </c>
      <c r="U77" s="62">
        <f>CONFIG!$B$2</f>
        <v/>
      </c>
      <c r="V77" s="62">
        <f>IF(INPUT_PRODUCT!C90="";"";IF(S77="";"";S77*U77))</f>
        <v/>
      </c>
      <c r="W77" s="0">
        <f>IF(INPUT_PRODUCT!C90="";"";IF(T77="";"";T77*U77))</f>
        <v/>
      </c>
      <c r="X77" s="0">
        <f>IF(INPUT_PRODUCT!C90="";"";VLOOKUP(INPUT_PRODUCT!C90;PRODUCT!B:T;19;FALSE))</f>
        <v/>
      </c>
      <c r="Y77" s="0">
        <f>IF(INPUT_PRODUCT!C90="";"";INPUT_PRODUCT!L90)</f>
        <v/>
      </c>
    </row>
    <row r="78" ht="15.75" customHeight="1" s="125">
      <c r="A78" s="62">
        <f>IF(INPUT_PRODUCT!C91="";"";INPUT_PRODUCT!A91)</f>
        <v/>
      </c>
      <c r="B78" s="62">
        <f>IF(INPUT_PRODUCT!C91="";"";INPUT_PRODUCT!B91)</f>
        <v/>
      </c>
      <c r="C78" s="62">
        <f>IF(INPUT_PRODUCT!C91="";"";INPUT_PRODUCT!C91)</f>
        <v/>
      </c>
      <c r="D78" s="62">
        <f>IF(INPUT_PRODUCT!C91="";"";INDEX(PRODUCT!A:A;MATCH(INPUT_PRODUCT!C91;PRODUCT!B:B;0)))</f>
        <v/>
      </c>
      <c r="E78" s="62">
        <f>IF(INPUT_PRODUCT!C91="";"";VLOOKUP(INPUT_PRODUCT!C91;PRODUCT!B:C;2;FALSE))</f>
        <v/>
      </c>
      <c r="F78" s="62">
        <f>IF(INPUT_PRODUCT!C91="";"";INPUT_PRODUCT!J91)</f>
        <v/>
      </c>
      <c r="G78" s="62">
        <f>IF(INPUT_PRODUCT!C91="";"";INPUT_PRODUCT!G91)</f>
        <v/>
      </c>
      <c r="H78" s="62">
        <f>IF(INPUT_PRODUCT!C91="";"";VLOOKUP(INPUT_PRODUCT!C91;PRODUCT!B:F;5;FALSE))</f>
        <v/>
      </c>
      <c r="I78" s="62">
        <f>IF(INPUT_PRODUCT!C91="";"";VLOOKUP(INPUT_PRODUCT!C91;PRODUCT!B:G;6;FALSE))</f>
        <v/>
      </c>
      <c r="J78" s="62">
        <f>IF(INPUT_PRODUCT!C91="";"";VLOOKUP(INPUT_PRODUCT!C91;PRODUCT!B:H;7;FALSE))</f>
        <v/>
      </c>
      <c r="K78" s="60">
        <f>IF(INPUT_PRODUCT!C91="";"";VLOOKUP(INPUT_PRODUCT!C91;PRODUCT!B:I;8;FALSE))</f>
        <v/>
      </c>
      <c r="L78" s="62">
        <f>IF(INPUT_PRODUCT!C91="";"";VLOOKUP(INPUT_PRODUCT!C91;PRODUCT!B:J;9;FALSE))</f>
        <v/>
      </c>
      <c r="M78" s="62">
        <f>IF(INPUT_PRODUCT!C91="";"";VLOOKUP(INPUT_PRODUCT!C91;PRODUCT!B:K;10;FALSE))</f>
        <v/>
      </c>
      <c r="N78" s="62">
        <f>IF(INPUT_PRODUCT!C91="";"";VLOOKUP(INPUT_PRODUCT!C91;PRODUCT!B:L;11;FALSE))</f>
        <v/>
      </c>
      <c r="O78" s="62">
        <f>IF(INPUT_PRODUCT!C91="";"";VLOOKUP(INPUT_PRODUCT!C91;PRODUCT!B:O;14;FALSE))</f>
        <v/>
      </c>
      <c r="P78" s="63">
        <f>IF(INPUT_PRODUCT!C91="";"";VLOOKUP(INPUT_PRODUCT!C91;PRODUCT!B:P;15;FALSE))</f>
        <v/>
      </c>
      <c r="Q78" s="63">
        <f>IF(INPUT_PRODUCT!C91="";"";INPUT_PRODUCT!K91)</f>
        <v/>
      </c>
      <c r="R78" s="63" t="inlineStr"/>
      <c r="S78" s="63">
        <f>IF(INPUT_PRODUCT!C91="";"";IF(O78="";"";O78*(1+Q78+R78)))</f>
        <v/>
      </c>
      <c r="T78" s="63">
        <f>IF(INPUT_PRODUCT!C91="";"";IF(S78="";"";S78*F78))</f>
        <v/>
      </c>
      <c r="U78" s="62">
        <f>CONFIG!$B$2</f>
        <v/>
      </c>
      <c r="V78" s="62">
        <f>IF(INPUT_PRODUCT!C91="";"";IF(S78="";"";S78*U78))</f>
        <v/>
      </c>
      <c r="W78" s="0">
        <f>IF(INPUT_PRODUCT!C91="";"";IF(T78="";"";T78*U78))</f>
        <v/>
      </c>
      <c r="X78" s="0">
        <f>IF(INPUT_PRODUCT!C91="";"";VLOOKUP(INPUT_PRODUCT!C91;PRODUCT!B:T;19;FALSE))</f>
        <v/>
      </c>
      <c r="Y78" s="0">
        <f>IF(INPUT_PRODUCT!C91="";"";INPUT_PRODUCT!L91)</f>
        <v/>
      </c>
    </row>
    <row r="79" ht="15.75" customHeight="1" s="125">
      <c r="A79" s="62">
        <f>IF(INPUT_PRODUCT!C92="";"";INPUT_PRODUCT!A92)</f>
        <v/>
      </c>
      <c r="B79" s="62">
        <f>IF(INPUT_PRODUCT!C92="";"";INPUT_PRODUCT!B92)</f>
        <v/>
      </c>
      <c r="C79" s="62">
        <f>IF(INPUT_PRODUCT!C92="";"";INPUT_PRODUCT!C92)</f>
        <v/>
      </c>
      <c r="D79" s="62">
        <f>IF(INPUT_PRODUCT!C92="";"";INDEX(PRODUCT!A:A;MATCH(INPUT_PRODUCT!C92;PRODUCT!B:B;0)))</f>
        <v/>
      </c>
      <c r="E79" s="62">
        <f>IF(INPUT_PRODUCT!C92="";"";VLOOKUP(INPUT_PRODUCT!C92;PRODUCT!B:C;2;FALSE))</f>
        <v/>
      </c>
      <c r="F79" s="62">
        <f>IF(INPUT_PRODUCT!C92="";"";INPUT_PRODUCT!J92)</f>
        <v/>
      </c>
      <c r="G79" s="62">
        <f>IF(INPUT_PRODUCT!C92="";"";INPUT_PRODUCT!G92)</f>
        <v/>
      </c>
      <c r="H79" s="62">
        <f>IF(INPUT_PRODUCT!C92="";"";VLOOKUP(INPUT_PRODUCT!C92;PRODUCT!B:F;5;FALSE))</f>
        <v/>
      </c>
      <c r="I79" s="62">
        <f>IF(INPUT_PRODUCT!C92="";"";VLOOKUP(INPUT_PRODUCT!C92;PRODUCT!B:G;6;FALSE))</f>
        <v/>
      </c>
      <c r="J79" s="62">
        <f>IF(INPUT_PRODUCT!C92="";"";VLOOKUP(INPUT_PRODUCT!C92;PRODUCT!B:H;7;FALSE))</f>
        <v/>
      </c>
      <c r="K79" s="60">
        <f>IF(INPUT_PRODUCT!C92="";"";VLOOKUP(INPUT_PRODUCT!C92;PRODUCT!B:I;8;FALSE))</f>
        <v/>
      </c>
      <c r="L79" s="62">
        <f>IF(INPUT_PRODUCT!C92="";"";VLOOKUP(INPUT_PRODUCT!C92;PRODUCT!B:J;9;FALSE))</f>
        <v/>
      </c>
      <c r="M79" s="62">
        <f>IF(INPUT_PRODUCT!C92="";"";VLOOKUP(INPUT_PRODUCT!C92;PRODUCT!B:K;10;FALSE))</f>
        <v/>
      </c>
      <c r="N79" s="62">
        <f>IF(INPUT_PRODUCT!C92="";"";VLOOKUP(INPUT_PRODUCT!C92;PRODUCT!B:L;11;FALSE))</f>
        <v/>
      </c>
      <c r="O79" s="62">
        <f>IF(INPUT_PRODUCT!C92="";"";VLOOKUP(INPUT_PRODUCT!C92;PRODUCT!B:O;14;FALSE))</f>
        <v/>
      </c>
      <c r="P79" s="63">
        <f>IF(INPUT_PRODUCT!C92="";"";VLOOKUP(INPUT_PRODUCT!C92;PRODUCT!B:P;15;FALSE))</f>
        <v/>
      </c>
      <c r="Q79" s="63">
        <f>IF(INPUT_PRODUCT!C92="";"";INPUT_PRODUCT!K92)</f>
        <v/>
      </c>
      <c r="R79" s="63" t="inlineStr"/>
      <c r="S79" s="63">
        <f>IF(INPUT_PRODUCT!C92="";"";IF(O79="";"";O79*(1+Q79+R79)))</f>
        <v/>
      </c>
      <c r="T79" s="63">
        <f>IF(INPUT_PRODUCT!C92="";"";IF(S79="";"";S79*F79))</f>
        <v/>
      </c>
      <c r="U79" s="62">
        <f>CONFIG!$B$2</f>
        <v/>
      </c>
      <c r="V79" s="62">
        <f>IF(INPUT_PRODUCT!C92="";"";IF(S79="";"";S79*U79))</f>
        <v/>
      </c>
      <c r="W79" s="0">
        <f>IF(INPUT_PRODUCT!C92="";"";IF(T79="";"";T79*U79))</f>
        <v/>
      </c>
      <c r="X79" s="0">
        <f>IF(INPUT_PRODUCT!C92="";"";VLOOKUP(INPUT_PRODUCT!C92;PRODUCT!B:T;19;FALSE))</f>
        <v/>
      </c>
      <c r="Y79" s="0">
        <f>IF(INPUT_PRODUCT!C92="";"";INPUT_PRODUCT!L92)</f>
        <v/>
      </c>
    </row>
    <row r="80" ht="15.75" customHeight="1" s="125">
      <c r="A80" s="62">
        <f>IF(INPUT_PRODUCT!C93="";"";INPUT_PRODUCT!A93)</f>
        <v/>
      </c>
      <c r="B80" s="62">
        <f>IF(INPUT_PRODUCT!C93="";"";INPUT_PRODUCT!B93)</f>
        <v/>
      </c>
      <c r="C80" s="62">
        <f>IF(INPUT_PRODUCT!C93="";"";INPUT_PRODUCT!C93)</f>
        <v/>
      </c>
      <c r="D80" s="62">
        <f>IF(INPUT_PRODUCT!C93="";"";INDEX(PRODUCT!A:A;MATCH(INPUT_PRODUCT!C93;PRODUCT!B:B;0)))</f>
        <v/>
      </c>
      <c r="E80" s="62">
        <f>IF(INPUT_PRODUCT!C93="";"";VLOOKUP(INPUT_PRODUCT!C93;PRODUCT!B:C;2;FALSE))</f>
        <v/>
      </c>
      <c r="F80" s="62">
        <f>IF(INPUT_PRODUCT!C93="";"";INPUT_PRODUCT!J93)</f>
        <v/>
      </c>
      <c r="G80" s="62">
        <f>IF(INPUT_PRODUCT!C93="";"";INPUT_PRODUCT!G93)</f>
        <v/>
      </c>
      <c r="H80" s="62">
        <f>IF(INPUT_PRODUCT!C93="";"";VLOOKUP(INPUT_PRODUCT!C93;PRODUCT!B:F;5;FALSE))</f>
        <v/>
      </c>
      <c r="I80" s="62">
        <f>IF(INPUT_PRODUCT!C93="";"";VLOOKUP(INPUT_PRODUCT!C93;PRODUCT!B:G;6;FALSE))</f>
        <v/>
      </c>
      <c r="J80" s="62">
        <f>IF(INPUT_PRODUCT!C93="";"";VLOOKUP(INPUT_PRODUCT!C93;PRODUCT!B:H;7;FALSE))</f>
        <v/>
      </c>
      <c r="K80" s="60">
        <f>IF(INPUT_PRODUCT!C93="";"";VLOOKUP(INPUT_PRODUCT!C93;PRODUCT!B:I;8;FALSE))</f>
        <v/>
      </c>
      <c r="L80" s="62">
        <f>IF(INPUT_PRODUCT!C93="";"";VLOOKUP(INPUT_PRODUCT!C93;PRODUCT!B:J;9;FALSE))</f>
        <v/>
      </c>
      <c r="M80" s="62">
        <f>IF(INPUT_PRODUCT!C93="";"";VLOOKUP(INPUT_PRODUCT!C93;PRODUCT!B:K;10;FALSE))</f>
        <v/>
      </c>
      <c r="N80" s="62">
        <f>IF(INPUT_PRODUCT!C93="";"";VLOOKUP(INPUT_PRODUCT!C93;PRODUCT!B:L;11;FALSE))</f>
        <v/>
      </c>
      <c r="O80" s="62">
        <f>IF(INPUT_PRODUCT!C93="";"";VLOOKUP(INPUT_PRODUCT!C93;PRODUCT!B:O;14;FALSE))</f>
        <v/>
      </c>
      <c r="P80" s="63">
        <f>IF(INPUT_PRODUCT!C93="";"";VLOOKUP(INPUT_PRODUCT!C93;PRODUCT!B:P;15;FALSE))</f>
        <v/>
      </c>
      <c r="Q80" s="63">
        <f>IF(INPUT_PRODUCT!C93="";"";INPUT_PRODUCT!K93)</f>
        <v/>
      </c>
      <c r="R80" s="63" t="inlineStr"/>
      <c r="S80" s="63">
        <f>IF(INPUT_PRODUCT!C93="";"";IF(O80="";"";O80*(1+Q80+R80)))</f>
        <v/>
      </c>
      <c r="T80" s="63">
        <f>IF(INPUT_PRODUCT!C93="";"";IF(S80="";"";S80*F80))</f>
        <v/>
      </c>
      <c r="U80" s="62">
        <f>CONFIG!$B$2</f>
        <v/>
      </c>
      <c r="V80" s="62">
        <f>IF(INPUT_PRODUCT!C93="";"";IF(S80="";"";S80*U80))</f>
        <v/>
      </c>
      <c r="W80" s="0">
        <f>IF(INPUT_PRODUCT!C93="";"";IF(T80="";"";T80*U80))</f>
        <v/>
      </c>
      <c r="X80" s="0">
        <f>IF(INPUT_PRODUCT!C93="";"";VLOOKUP(INPUT_PRODUCT!C93;PRODUCT!B:T;19;FALSE))</f>
        <v/>
      </c>
      <c r="Y80" s="0">
        <f>IF(INPUT_PRODUCT!C93="";"";INPUT_PRODUCT!L93)</f>
        <v/>
      </c>
    </row>
    <row r="81" ht="15.75" customHeight="1" s="125">
      <c r="A81" s="62">
        <f>IF(INPUT_PRODUCT!C94="";"";INPUT_PRODUCT!A94)</f>
        <v/>
      </c>
      <c r="B81" s="62">
        <f>IF(INPUT_PRODUCT!C94="";"";INPUT_PRODUCT!B94)</f>
        <v/>
      </c>
      <c r="C81" s="62">
        <f>IF(INPUT_PRODUCT!C94="";"";INPUT_PRODUCT!C94)</f>
        <v/>
      </c>
      <c r="D81" s="62">
        <f>IF(INPUT_PRODUCT!C94="";"";INDEX(PRODUCT!A:A;MATCH(INPUT_PRODUCT!C94;PRODUCT!B:B;0)))</f>
        <v/>
      </c>
      <c r="E81" s="62">
        <f>IF(INPUT_PRODUCT!C94="";"";VLOOKUP(INPUT_PRODUCT!C94;PRODUCT!B:C;2;FALSE))</f>
        <v/>
      </c>
      <c r="F81" s="62">
        <f>IF(INPUT_PRODUCT!C94="";"";INPUT_PRODUCT!J94)</f>
        <v/>
      </c>
      <c r="G81" s="62">
        <f>IF(INPUT_PRODUCT!C94="";"";INPUT_PRODUCT!G94)</f>
        <v/>
      </c>
      <c r="H81" s="62">
        <f>IF(INPUT_PRODUCT!C94="";"";VLOOKUP(INPUT_PRODUCT!C94;PRODUCT!B:F;5;FALSE))</f>
        <v/>
      </c>
      <c r="I81" s="62">
        <f>IF(INPUT_PRODUCT!C94="";"";VLOOKUP(INPUT_PRODUCT!C94;PRODUCT!B:G;6;FALSE))</f>
        <v/>
      </c>
      <c r="J81" s="62">
        <f>IF(INPUT_PRODUCT!C94="";"";VLOOKUP(INPUT_PRODUCT!C94;PRODUCT!B:H;7;FALSE))</f>
        <v/>
      </c>
      <c r="K81" s="60">
        <f>IF(INPUT_PRODUCT!C94="";"";VLOOKUP(INPUT_PRODUCT!C94;PRODUCT!B:I;8;FALSE))</f>
        <v/>
      </c>
      <c r="L81" s="62">
        <f>IF(INPUT_PRODUCT!C94="";"";VLOOKUP(INPUT_PRODUCT!C94;PRODUCT!B:J;9;FALSE))</f>
        <v/>
      </c>
      <c r="M81" s="62">
        <f>IF(INPUT_PRODUCT!C94="";"";VLOOKUP(INPUT_PRODUCT!C94;PRODUCT!B:K;10;FALSE))</f>
        <v/>
      </c>
      <c r="N81" s="62">
        <f>IF(INPUT_PRODUCT!C94="";"";VLOOKUP(INPUT_PRODUCT!C94;PRODUCT!B:L;11;FALSE))</f>
        <v/>
      </c>
      <c r="O81" s="62">
        <f>IF(INPUT_PRODUCT!C94="";"";VLOOKUP(INPUT_PRODUCT!C94;PRODUCT!B:O;14;FALSE))</f>
        <v/>
      </c>
      <c r="P81" s="63">
        <f>IF(INPUT_PRODUCT!C94="";"";VLOOKUP(INPUT_PRODUCT!C94;PRODUCT!B:P;15;FALSE))</f>
        <v/>
      </c>
      <c r="Q81" s="63">
        <f>IF(INPUT_PRODUCT!C94="";"";INPUT_PRODUCT!K94)</f>
        <v/>
      </c>
      <c r="R81" s="63" t="inlineStr"/>
      <c r="S81" s="63">
        <f>IF(INPUT_PRODUCT!C94="";"";IF(O81="";"";O81*(1+Q81+R81)))</f>
        <v/>
      </c>
      <c r="T81" s="63">
        <f>IF(INPUT_PRODUCT!C94="";"";IF(S81="";"";S81*F81))</f>
        <v/>
      </c>
      <c r="U81" s="62">
        <f>CONFIG!$B$2</f>
        <v/>
      </c>
      <c r="V81" s="62">
        <f>IF(INPUT_PRODUCT!C94="";"";IF(S81="";"";S81*U81))</f>
        <v/>
      </c>
      <c r="W81" s="0">
        <f>IF(INPUT_PRODUCT!C94="";"";IF(T81="";"";T81*U81))</f>
        <v/>
      </c>
      <c r="X81" s="0">
        <f>IF(INPUT_PRODUCT!C94="";"";VLOOKUP(INPUT_PRODUCT!C94;PRODUCT!B:T;19;FALSE))</f>
        <v/>
      </c>
      <c r="Y81" s="0">
        <f>IF(INPUT_PRODUCT!C94="";"";INPUT_PRODUCT!L94)</f>
        <v/>
      </c>
    </row>
    <row r="82" ht="15.75" customHeight="1" s="125">
      <c r="A82" s="62">
        <f>IF(INPUT_PRODUCT!C95="";"";INPUT_PRODUCT!A95)</f>
        <v/>
      </c>
      <c r="B82" s="62">
        <f>IF(INPUT_PRODUCT!C95="";"";INPUT_PRODUCT!B95)</f>
        <v/>
      </c>
      <c r="C82" s="62">
        <f>IF(INPUT_PRODUCT!C95="";"";INPUT_PRODUCT!C95)</f>
        <v/>
      </c>
      <c r="D82" s="62">
        <f>IF(INPUT_PRODUCT!C95="";"";INDEX(PRODUCT!A:A;MATCH(INPUT_PRODUCT!C95;PRODUCT!B:B;0)))</f>
        <v/>
      </c>
      <c r="E82" s="62">
        <f>IF(INPUT_PRODUCT!C95="";"";VLOOKUP(INPUT_PRODUCT!C95;PRODUCT!B:C;2;FALSE))</f>
        <v/>
      </c>
      <c r="F82" s="62">
        <f>IF(INPUT_PRODUCT!C95="";"";INPUT_PRODUCT!J95)</f>
        <v/>
      </c>
      <c r="G82" s="62">
        <f>IF(INPUT_PRODUCT!C95="";"";INPUT_PRODUCT!G95)</f>
        <v/>
      </c>
      <c r="H82" s="62">
        <f>IF(INPUT_PRODUCT!C95="";"";VLOOKUP(INPUT_PRODUCT!C95;PRODUCT!B:F;5;FALSE))</f>
        <v/>
      </c>
      <c r="I82" s="62">
        <f>IF(INPUT_PRODUCT!C95="";"";VLOOKUP(INPUT_PRODUCT!C95;PRODUCT!B:G;6;FALSE))</f>
        <v/>
      </c>
      <c r="J82" s="62">
        <f>IF(INPUT_PRODUCT!C95="";"";VLOOKUP(INPUT_PRODUCT!C95;PRODUCT!B:H;7;FALSE))</f>
        <v/>
      </c>
      <c r="K82" s="60">
        <f>IF(INPUT_PRODUCT!C95="";"";VLOOKUP(INPUT_PRODUCT!C95;PRODUCT!B:I;8;FALSE))</f>
        <v/>
      </c>
      <c r="L82" s="62">
        <f>IF(INPUT_PRODUCT!C95="";"";VLOOKUP(INPUT_PRODUCT!C95;PRODUCT!B:J;9;FALSE))</f>
        <v/>
      </c>
      <c r="M82" s="62">
        <f>IF(INPUT_PRODUCT!C95="";"";VLOOKUP(INPUT_PRODUCT!C95;PRODUCT!B:K;10;FALSE))</f>
        <v/>
      </c>
      <c r="N82" s="62">
        <f>IF(INPUT_PRODUCT!C95="";"";VLOOKUP(INPUT_PRODUCT!C95;PRODUCT!B:L;11;FALSE))</f>
        <v/>
      </c>
      <c r="O82" s="62">
        <f>IF(INPUT_PRODUCT!C95="";"";VLOOKUP(INPUT_PRODUCT!C95;PRODUCT!B:O;14;FALSE))</f>
        <v/>
      </c>
      <c r="P82" s="63">
        <f>IF(INPUT_PRODUCT!C95="";"";VLOOKUP(INPUT_PRODUCT!C95;PRODUCT!B:P;15;FALSE))</f>
        <v/>
      </c>
      <c r="Q82" s="63">
        <f>IF(INPUT_PRODUCT!C95="";"";INPUT_PRODUCT!K95)</f>
        <v/>
      </c>
      <c r="R82" s="63" t="inlineStr"/>
      <c r="S82" s="63">
        <f>IF(INPUT_PRODUCT!C95="";"";IF(O82="";"";O82*(1+Q82+R82)))</f>
        <v/>
      </c>
      <c r="T82" s="63">
        <f>IF(INPUT_PRODUCT!C95="";"";IF(S82="";"";S82*F82))</f>
        <v/>
      </c>
      <c r="U82" s="62">
        <f>CONFIG!$B$2</f>
        <v/>
      </c>
      <c r="V82" s="62">
        <f>IF(INPUT_PRODUCT!C95="";"";IF(S82="";"";S82*U82))</f>
        <v/>
      </c>
      <c r="W82" s="0">
        <f>IF(INPUT_PRODUCT!C95="";"";IF(T82="";"";T82*U82))</f>
        <v/>
      </c>
      <c r="X82" s="0">
        <f>IF(INPUT_PRODUCT!C95="";"";VLOOKUP(INPUT_PRODUCT!C95;PRODUCT!B:T;19;FALSE))</f>
        <v/>
      </c>
      <c r="Y82" s="0">
        <f>IF(INPUT_PRODUCT!C95="";"";INPUT_PRODUCT!L95)</f>
        <v/>
      </c>
    </row>
    <row r="83" ht="15.75" customHeight="1" s="125">
      <c r="A83" s="62">
        <f>IF(INPUT_PRODUCT!C96="";"";INPUT_PRODUCT!A96)</f>
        <v/>
      </c>
      <c r="B83" s="62">
        <f>IF(INPUT_PRODUCT!C96="";"";INPUT_PRODUCT!B96)</f>
        <v/>
      </c>
      <c r="C83" s="62">
        <f>IF(INPUT_PRODUCT!C96="";"";INPUT_PRODUCT!C96)</f>
        <v/>
      </c>
      <c r="D83" s="62">
        <f>IF(INPUT_PRODUCT!C96="";"";INDEX(PRODUCT!A:A;MATCH(INPUT_PRODUCT!C96;PRODUCT!B:B;0)))</f>
        <v/>
      </c>
      <c r="E83" s="62">
        <f>IF(INPUT_PRODUCT!C96="";"";VLOOKUP(INPUT_PRODUCT!C96;PRODUCT!B:C;2;FALSE))</f>
        <v/>
      </c>
      <c r="F83" s="62">
        <f>IF(INPUT_PRODUCT!C96="";"";INPUT_PRODUCT!J96)</f>
        <v/>
      </c>
      <c r="G83" s="62">
        <f>IF(INPUT_PRODUCT!C96="";"";INPUT_PRODUCT!G96)</f>
        <v/>
      </c>
      <c r="H83" s="62">
        <f>IF(INPUT_PRODUCT!C96="";"";VLOOKUP(INPUT_PRODUCT!C96;PRODUCT!B:F;5;FALSE))</f>
        <v/>
      </c>
      <c r="I83" s="62">
        <f>IF(INPUT_PRODUCT!C96="";"";VLOOKUP(INPUT_PRODUCT!C96;PRODUCT!B:G;6;FALSE))</f>
        <v/>
      </c>
      <c r="J83" s="62">
        <f>IF(INPUT_PRODUCT!C96="";"";VLOOKUP(INPUT_PRODUCT!C96;PRODUCT!B:H;7;FALSE))</f>
        <v/>
      </c>
      <c r="K83" s="60">
        <f>IF(INPUT_PRODUCT!C96="";"";VLOOKUP(INPUT_PRODUCT!C96;PRODUCT!B:I;8;FALSE))</f>
        <v/>
      </c>
      <c r="L83" s="62">
        <f>IF(INPUT_PRODUCT!C96="";"";VLOOKUP(INPUT_PRODUCT!C96;PRODUCT!B:J;9;FALSE))</f>
        <v/>
      </c>
      <c r="M83" s="62">
        <f>IF(INPUT_PRODUCT!C96="";"";VLOOKUP(INPUT_PRODUCT!C96;PRODUCT!B:K;10;FALSE))</f>
        <v/>
      </c>
      <c r="N83" s="62">
        <f>IF(INPUT_PRODUCT!C96="";"";VLOOKUP(INPUT_PRODUCT!C96;PRODUCT!B:L;11;FALSE))</f>
        <v/>
      </c>
      <c r="O83" s="62">
        <f>IF(INPUT_PRODUCT!C96="";"";VLOOKUP(INPUT_PRODUCT!C96;PRODUCT!B:O;14;FALSE))</f>
        <v/>
      </c>
      <c r="P83" s="63">
        <f>IF(INPUT_PRODUCT!C96="";"";VLOOKUP(INPUT_PRODUCT!C96;PRODUCT!B:P;15;FALSE))</f>
        <v/>
      </c>
      <c r="Q83" s="63">
        <f>IF(INPUT_PRODUCT!C96="";"";INPUT_PRODUCT!K96)</f>
        <v/>
      </c>
      <c r="R83" s="63" t="inlineStr"/>
      <c r="S83" s="63">
        <f>IF(INPUT_PRODUCT!C96="";"";IF(O83="";"";O83*(1+Q83+R83)))</f>
        <v/>
      </c>
      <c r="T83" s="63">
        <f>IF(INPUT_PRODUCT!C96="";"";IF(S83="";"";S83*F83))</f>
        <v/>
      </c>
      <c r="U83" s="62">
        <f>CONFIG!$B$2</f>
        <v/>
      </c>
      <c r="V83" s="62">
        <f>IF(INPUT_PRODUCT!C96="";"";IF(S83="";"";S83*U83))</f>
        <v/>
      </c>
      <c r="W83" s="0">
        <f>IF(INPUT_PRODUCT!C96="";"";IF(T83="";"";T83*U83))</f>
        <v/>
      </c>
      <c r="X83" s="0">
        <f>IF(INPUT_PRODUCT!C96="";"";VLOOKUP(INPUT_PRODUCT!C96;PRODUCT!B:T;19;FALSE))</f>
        <v/>
      </c>
      <c r="Y83" s="0">
        <f>IF(INPUT_PRODUCT!C96="";"";INPUT_PRODUCT!L96)</f>
        <v/>
      </c>
    </row>
    <row r="84" ht="15.75" customHeight="1" s="125">
      <c r="A84" s="62">
        <f>IF(INPUT_PRODUCT!C97="";"";INPUT_PRODUCT!A97)</f>
        <v/>
      </c>
      <c r="B84" s="62">
        <f>IF(INPUT_PRODUCT!C97="";"";INPUT_PRODUCT!B97)</f>
        <v/>
      </c>
      <c r="C84" s="62">
        <f>IF(INPUT_PRODUCT!C97="";"";INPUT_PRODUCT!C97)</f>
        <v/>
      </c>
      <c r="D84" s="62">
        <f>IF(INPUT_PRODUCT!C97="";"";INDEX(PRODUCT!A:A;MATCH(INPUT_PRODUCT!C97;PRODUCT!B:B;0)))</f>
        <v/>
      </c>
      <c r="E84" s="62">
        <f>IF(INPUT_PRODUCT!C97="";"";VLOOKUP(INPUT_PRODUCT!C97;PRODUCT!B:C;2;FALSE))</f>
        <v/>
      </c>
      <c r="F84" s="62">
        <f>IF(INPUT_PRODUCT!C97="";"";INPUT_PRODUCT!J97)</f>
        <v/>
      </c>
      <c r="G84" s="62">
        <f>IF(INPUT_PRODUCT!C97="";"";INPUT_PRODUCT!G97)</f>
        <v/>
      </c>
      <c r="H84" s="62">
        <f>IF(INPUT_PRODUCT!C97="";"";VLOOKUP(INPUT_PRODUCT!C97;PRODUCT!B:F;5;FALSE))</f>
        <v/>
      </c>
      <c r="I84" s="62">
        <f>IF(INPUT_PRODUCT!C97="";"";VLOOKUP(INPUT_PRODUCT!C97;PRODUCT!B:G;6;FALSE))</f>
        <v/>
      </c>
      <c r="J84" s="62">
        <f>IF(INPUT_PRODUCT!C97="";"";VLOOKUP(INPUT_PRODUCT!C97;PRODUCT!B:H;7;FALSE))</f>
        <v/>
      </c>
      <c r="K84" s="60">
        <f>IF(INPUT_PRODUCT!C97="";"";VLOOKUP(INPUT_PRODUCT!C97;PRODUCT!B:I;8;FALSE))</f>
        <v/>
      </c>
      <c r="L84" s="62">
        <f>IF(INPUT_PRODUCT!C97="";"";VLOOKUP(INPUT_PRODUCT!C97;PRODUCT!B:J;9;FALSE))</f>
        <v/>
      </c>
      <c r="M84" s="62">
        <f>IF(INPUT_PRODUCT!C97="";"";VLOOKUP(INPUT_PRODUCT!C97;PRODUCT!B:K;10;FALSE))</f>
        <v/>
      </c>
      <c r="N84" s="62">
        <f>IF(INPUT_PRODUCT!C97="";"";VLOOKUP(INPUT_PRODUCT!C97;PRODUCT!B:L;11;FALSE))</f>
        <v/>
      </c>
      <c r="O84" s="62">
        <f>IF(INPUT_PRODUCT!C97="";"";VLOOKUP(INPUT_PRODUCT!C97;PRODUCT!B:O;14;FALSE))</f>
        <v/>
      </c>
      <c r="P84" s="63">
        <f>IF(INPUT_PRODUCT!C97="";"";VLOOKUP(INPUT_PRODUCT!C97;PRODUCT!B:P;15;FALSE))</f>
        <v/>
      </c>
      <c r="Q84" s="63">
        <f>IF(INPUT_PRODUCT!C97="";"";INPUT_PRODUCT!K97)</f>
        <v/>
      </c>
      <c r="R84" s="63" t="inlineStr"/>
      <c r="S84" s="63">
        <f>IF(INPUT_PRODUCT!C97="";"";IF(O84="";"";O84*(1+Q84+R84)))</f>
        <v/>
      </c>
      <c r="T84" s="63">
        <f>IF(INPUT_PRODUCT!C97="";"";IF(S84="";"";S84*F84))</f>
        <v/>
      </c>
      <c r="U84" s="62">
        <f>CONFIG!$B$2</f>
        <v/>
      </c>
      <c r="V84" s="62">
        <f>IF(INPUT_PRODUCT!C97="";"";IF(S84="";"";S84*U84))</f>
        <v/>
      </c>
      <c r="W84" s="0">
        <f>IF(INPUT_PRODUCT!C97="";"";IF(T84="";"";T84*U84))</f>
        <v/>
      </c>
      <c r="X84" s="0">
        <f>IF(INPUT_PRODUCT!C97="";"";VLOOKUP(INPUT_PRODUCT!C97;PRODUCT!B:T;19;FALSE))</f>
        <v/>
      </c>
      <c r="Y84" s="0">
        <f>IF(INPUT_PRODUCT!C97="";"";INPUT_PRODUCT!L97)</f>
        <v/>
      </c>
    </row>
    <row r="85" ht="15.75" customHeight="1" s="125">
      <c r="A85" s="62">
        <f>IF(INPUT_PRODUCT!C98="";"";INPUT_PRODUCT!A98)</f>
        <v/>
      </c>
      <c r="B85" s="62">
        <f>IF(INPUT_PRODUCT!C98="";"";INPUT_PRODUCT!B98)</f>
        <v/>
      </c>
      <c r="C85" s="62">
        <f>IF(INPUT_PRODUCT!C98="";"";INPUT_PRODUCT!C98)</f>
        <v/>
      </c>
      <c r="D85" s="62">
        <f>IF(INPUT_PRODUCT!C98="";"";INDEX(PRODUCT!A:A;MATCH(INPUT_PRODUCT!C98;PRODUCT!B:B;0)))</f>
        <v/>
      </c>
      <c r="E85" s="62">
        <f>IF(INPUT_PRODUCT!C98="";"";VLOOKUP(INPUT_PRODUCT!C98;PRODUCT!B:C;2;FALSE))</f>
        <v/>
      </c>
      <c r="F85" s="62">
        <f>IF(INPUT_PRODUCT!C98="";"";INPUT_PRODUCT!J98)</f>
        <v/>
      </c>
      <c r="G85" s="62">
        <f>IF(INPUT_PRODUCT!C98="";"";INPUT_PRODUCT!G98)</f>
        <v/>
      </c>
      <c r="H85" s="62">
        <f>IF(INPUT_PRODUCT!C98="";"";VLOOKUP(INPUT_PRODUCT!C98;PRODUCT!B:F;5;FALSE))</f>
        <v/>
      </c>
      <c r="I85" s="62">
        <f>IF(INPUT_PRODUCT!C98="";"";VLOOKUP(INPUT_PRODUCT!C98;PRODUCT!B:G;6;FALSE))</f>
        <v/>
      </c>
      <c r="J85" s="62">
        <f>IF(INPUT_PRODUCT!C98="";"";VLOOKUP(INPUT_PRODUCT!C98;PRODUCT!B:H;7;FALSE))</f>
        <v/>
      </c>
      <c r="K85" s="60">
        <f>IF(INPUT_PRODUCT!C98="";"";VLOOKUP(INPUT_PRODUCT!C98;PRODUCT!B:I;8;FALSE))</f>
        <v/>
      </c>
      <c r="L85" s="62">
        <f>IF(INPUT_PRODUCT!C98="";"";VLOOKUP(INPUT_PRODUCT!C98;PRODUCT!B:J;9;FALSE))</f>
        <v/>
      </c>
      <c r="M85" s="62">
        <f>IF(INPUT_PRODUCT!C98="";"";VLOOKUP(INPUT_PRODUCT!C98;PRODUCT!B:K;10;FALSE))</f>
        <v/>
      </c>
      <c r="N85" s="62">
        <f>IF(INPUT_PRODUCT!C98="";"";VLOOKUP(INPUT_PRODUCT!C98;PRODUCT!B:L;11;FALSE))</f>
        <v/>
      </c>
      <c r="O85" s="62">
        <f>IF(INPUT_PRODUCT!C98="";"";VLOOKUP(INPUT_PRODUCT!C98;PRODUCT!B:O;14;FALSE))</f>
        <v/>
      </c>
      <c r="P85" s="63">
        <f>IF(INPUT_PRODUCT!C98="";"";VLOOKUP(INPUT_PRODUCT!C98;PRODUCT!B:P;15;FALSE))</f>
        <v/>
      </c>
      <c r="Q85" s="63">
        <f>IF(INPUT_PRODUCT!C98="";"";INPUT_PRODUCT!K98)</f>
        <v/>
      </c>
      <c r="R85" s="63" t="inlineStr"/>
      <c r="S85" s="63">
        <f>IF(INPUT_PRODUCT!C98="";"";IF(O85="";"";O85*(1+Q85+R85)))</f>
        <v/>
      </c>
      <c r="T85" s="63">
        <f>IF(INPUT_PRODUCT!C98="";"";IF(S85="";"";S85*F85))</f>
        <v/>
      </c>
      <c r="U85" s="62">
        <f>CONFIG!$B$2</f>
        <v/>
      </c>
      <c r="V85" s="62">
        <f>IF(INPUT_PRODUCT!C98="";"";IF(S85="";"";S85*U85))</f>
        <v/>
      </c>
      <c r="W85" s="0">
        <f>IF(INPUT_PRODUCT!C98="";"";IF(T85="";"";T85*U85))</f>
        <v/>
      </c>
      <c r="X85" s="0">
        <f>IF(INPUT_PRODUCT!C98="";"";VLOOKUP(INPUT_PRODUCT!C98;PRODUCT!B:T;19;FALSE))</f>
        <v/>
      </c>
      <c r="Y85" s="0">
        <f>IF(INPUT_PRODUCT!C98="";"";INPUT_PRODUCT!L98)</f>
        <v/>
      </c>
    </row>
    <row r="86" ht="15.75" customHeight="1" s="125">
      <c r="A86" s="62">
        <f>IF(INPUT_PRODUCT!C99="";"";INPUT_PRODUCT!A99)</f>
        <v/>
      </c>
      <c r="B86" s="62">
        <f>IF(INPUT_PRODUCT!C99="";"";INPUT_PRODUCT!B99)</f>
        <v/>
      </c>
      <c r="C86" s="62">
        <f>IF(INPUT_PRODUCT!C99="";"";INPUT_PRODUCT!C99)</f>
        <v/>
      </c>
      <c r="D86" s="62">
        <f>IF(INPUT_PRODUCT!C99="";"";INDEX(PRODUCT!A:A;MATCH(INPUT_PRODUCT!C99;PRODUCT!B:B;0)))</f>
        <v/>
      </c>
      <c r="E86" s="62">
        <f>IF(INPUT_PRODUCT!C99="";"";VLOOKUP(INPUT_PRODUCT!C99;PRODUCT!B:C;2;FALSE))</f>
        <v/>
      </c>
      <c r="F86" s="62">
        <f>IF(INPUT_PRODUCT!C99="";"";INPUT_PRODUCT!J99)</f>
        <v/>
      </c>
      <c r="G86" s="62">
        <f>IF(INPUT_PRODUCT!C99="";"";INPUT_PRODUCT!G99)</f>
        <v/>
      </c>
      <c r="H86" s="62">
        <f>IF(INPUT_PRODUCT!C99="";"";VLOOKUP(INPUT_PRODUCT!C99;PRODUCT!B:F;5;FALSE))</f>
        <v/>
      </c>
      <c r="I86" s="62">
        <f>IF(INPUT_PRODUCT!C99="";"";VLOOKUP(INPUT_PRODUCT!C99;PRODUCT!B:G;6;FALSE))</f>
        <v/>
      </c>
      <c r="J86" s="62">
        <f>IF(INPUT_PRODUCT!C99="";"";VLOOKUP(INPUT_PRODUCT!C99;PRODUCT!B:H;7;FALSE))</f>
        <v/>
      </c>
      <c r="K86" s="60">
        <f>IF(INPUT_PRODUCT!C99="";"";VLOOKUP(INPUT_PRODUCT!C99;PRODUCT!B:I;8;FALSE))</f>
        <v/>
      </c>
      <c r="L86" s="62">
        <f>IF(INPUT_PRODUCT!C99="";"";VLOOKUP(INPUT_PRODUCT!C99;PRODUCT!B:J;9;FALSE))</f>
        <v/>
      </c>
      <c r="M86" s="62">
        <f>IF(INPUT_PRODUCT!C99="";"";VLOOKUP(INPUT_PRODUCT!C99;PRODUCT!B:K;10;FALSE))</f>
        <v/>
      </c>
      <c r="N86" s="62">
        <f>IF(INPUT_PRODUCT!C99="";"";VLOOKUP(INPUT_PRODUCT!C99;PRODUCT!B:L;11;FALSE))</f>
        <v/>
      </c>
      <c r="O86" s="62">
        <f>IF(INPUT_PRODUCT!C99="";"";VLOOKUP(INPUT_PRODUCT!C99;PRODUCT!B:O;14;FALSE))</f>
        <v/>
      </c>
      <c r="P86" s="63">
        <f>IF(INPUT_PRODUCT!C99="";"";VLOOKUP(INPUT_PRODUCT!C99;PRODUCT!B:P;15;FALSE))</f>
        <v/>
      </c>
      <c r="Q86" s="63">
        <f>IF(INPUT_PRODUCT!C99="";"";INPUT_PRODUCT!K99)</f>
        <v/>
      </c>
      <c r="R86" s="63" t="inlineStr"/>
      <c r="S86" s="63">
        <f>IF(INPUT_PRODUCT!C99="";"";IF(O86="";"";O86*(1+Q86+R86)))</f>
        <v/>
      </c>
      <c r="T86" s="63">
        <f>IF(INPUT_PRODUCT!C99="";"";IF(S86="";"";S86*F86))</f>
        <v/>
      </c>
      <c r="U86" s="62">
        <f>CONFIG!$B$2</f>
        <v/>
      </c>
      <c r="V86" s="62">
        <f>IF(INPUT_PRODUCT!C99="";"";IF(S86="";"";S86*U86))</f>
        <v/>
      </c>
      <c r="W86" s="0">
        <f>IF(INPUT_PRODUCT!C99="";"";IF(T86="";"";T86*U86))</f>
        <v/>
      </c>
      <c r="X86" s="0">
        <f>IF(INPUT_PRODUCT!C99="";"";VLOOKUP(INPUT_PRODUCT!C99;PRODUCT!B:T;19;FALSE))</f>
        <v/>
      </c>
      <c r="Y86" s="0">
        <f>IF(INPUT_PRODUCT!C99="";"";INPUT_PRODUCT!L99)</f>
        <v/>
      </c>
    </row>
    <row r="87" ht="15.75" customHeight="1" s="125">
      <c r="A87" s="62">
        <f>IF(INPUT_PRODUCT!C100="";"";INPUT_PRODUCT!A100)</f>
        <v/>
      </c>
      <c r="B87" s="62">
        <f>IF(INPUT_PRODUCT!C100="";"";INPUT_PRODUCT!B100)</f>
        <v/>
      </c>
      <c r="C87" s="62">
        <f>IF(INPUT_PRODUCT!C100="";"";INPUT_PRODUCT!C100)</f>
        <v/>
      </c>
      <c r="D87" s="62">
        <f>IF(INPUT_PRODUCT!C100="";"";INDEX(PRODUCT!A:A;MATCH(INPUT_PRODUCT!C100;PRODUCT!B:B;0)))</f>
        <v/>
      </c>
      <c r="E87" s="62">
        <f>IF(INPUT_PRODUCT!C100="";"";VLOOKUP(INPUT_PRODUCT!C100;PRODUCT!B:C;2;FALSE))</f>
        <v/>
      </c>
      <c r="F87" s="62">
        <f>IF(INPUT_PRODUCT!C100="";"";INPUT_PRODUCT!J100)</f>
        <v/>
      </c>
      <c r="G87" s="62">
        <f>IF(INPUT_PRODUCT!C100="";"";INPUT_PRODUCT!G100)</f>
        <v/>
      </c>
      <c r="H87" s="62">
        <f>IF(INPUT_PRODUCT!C100="";"";VLOOKUP(INPUT_PRODUCT!C100;PRODUCT!B:F;5;FALSE))</f>
        <v/>
      </c>
      <c r="I87" s="62">
        <f>IF(INPUT_PRODUCT!C100="";"";VLOOKUP(INPUT_PRODUCT!C100;PRODUCT!B:G;6;FALSE))</f>
        <v/>
      </c>
      <c r="J87" s="62">
        <f>IF(INPUT_PRODUCT!C100="";"";VLOOKUP(INPUT_PRODUCT!C100;PRODUCT!B:H;7;FALSE))</f>
        <v/>
      </c>
      <c r="K87" s="60">
        <f>IF(INPUT_PRODUCT!C100="";"";VLOOKUP(INPUT_PRODUCT!C100;PRODUCT!B:I;8;FALSE))</f>
        <v/>
      </c>
      <c r="L87" s="62">
        <f>IF(INPUT_PRODUCT!C100="";"";VLOOKUP(INPUT_PRODUCT!C100;PRODUCT!B:J;9;FALSE))</f>
        <v/>
      </c>
      <c r="M87" s="62">
        <f>IF(INPUT_PRODUCT!C100="";"";VLOOKUP(INPUT_PRODUCT!C100;PRODUCT!B:K;10;FALSE))</f>
        <v/>
      </c>
      <c r="N87" s="62">
        <f>IF(INPUT_PRODUCT!C100="";"";VLOOKUP(INPUT_PRODUCT!C100;PRODUCT!B:L;11;FALSE))</f>
        <v/>
      </c>
      <c r="O87" s="62">
        <f>IF(INPUT_PRODUCT!C100="";"";VLOOKUP(INPUT_PRODUCT!C100;PRODUCT!B:O;14;FALSE))</f>
        <v/>
      </c>
      <c r="P87" s="63">
        <f>IF(INPUT_PRODUCT!C100="";"";VLOOKUP(INPUT_PRODUCT!C100;PRODUCT!B:P;15;FALSE))</f>
        <v/>
      </c>
      <c r="Q87" s="63">
        <f>IF(INPUT_PRODUCT!C100="";"";INPUT_PRODUCT!K100)</f>
        <v/>
      </c>
      <c r="R87" s="63" t="inlineStr"/>
      <c r="S87" s="63">
        <f>IF(INPUT_PRODUCT!C100="";"";IF(O87="";"";O87*(1+Q87+R87)))</f>
        <v/>
      </c>
      <c r="T87" s="63">
        <f>IF(INPUT_PRODUCT!C100="";"";IF(S87="";"";S87*F87))</f>
        <v/>
      </c>
      <c r="U87" s="62">
        <f>CONFIG!$B$2</f>
        <v/>
      </c>
      <c r="V87" s="62">
        <f>IF(INPUT_PRODUCT!C100="";"";IF(S87="";"";S87*U87))</f>
        <v/>
      </c>
      <c r="W87" s="0">
        <f>IF(INPUT_PRODUCT!C100="";"";IF(T87="";"";T87*U87))</f>
        <v/>
      </c>
      <c r="X87" s="0">
        <f>IF(INPUT_PRODUCT!C100="";"";VLOOKUP(INPUT_PRODUCT!C100;PRODUCT!B:T;19;FALSE))</f>
        <v/>
      </c>
      <c r="Y87" s="0">
        <f>IF(INPUT_PRODUCT!C100="";"";INPUT_PRODUCT!L100)</f>
        <v/>
      </c>
    </row>
    <row r="88" ht="15.75" customHeight="1" s="125">
      <c r="A88" s="62">
        <f>IF(INPUT_PRODUCT!C101="";"";INPUT_PRODUCT!A101)</f>
        <v/>
      </c>
      <c r="B88" s="62">
        <f>IF(INPUT_PRODUCT!C101="";"";INPUT_PRODUCT!B101)</f>
        <v/>
      </c>
      <c r="C88" s="62">
        <f>IF(INPUT_PRODUCT!C101="";"";INPUT_PRODUCT!C101)</f>
        <v/>
      </c>
      <c r="D88" s="62">
        <f>IF(INPUT_PRODUCT!C101="";"";INDEX(PRODUCT!A:A;MATCH(INPUT_PRODUCT!C101;PRODUCT!B:B;0)))</f>
        <v/>
      </c>
      <c r="E88" s="62">
        <f>IF(INPUT_PRODUCT!C101="";"";VLOOKUP(INPUT_PRODUCT!C101;PRODUCT!B:C;2;FALSE))</f>
        <v/>
      </c>
      <c r="F88" s="62">
        <f>IF(INPUT_PRODUCT!C101="";"";INPUT_PRODUCT!J101)</f>
        <v/>
      </c>
      <c r="G88" s="62">
        <f>IF(INPUT_PRODUCT!C101="";"";INPUT_PRODUCT!G101)</f>
        <v/>
      </c>
      <c r="H88" s="62">
        <f>IF(INPUT_PRODUCT!C101="";"";VLOOKUP(INPUT_PRODUCT!C101;PRODUCT!B:F;5;FALSE))</f>
        <v/>
      </c>
      <c r="I88" s="62">
        <f>IF(INPUT_PRODUCT!C101="";"";VLOOKUP(INPUT_PRODUCT!C101;PRODUCT!B:G;6;FALSE))</f>
        <v/>
      </c>
      <c r="J88" s="62">
        <f>IF(INPUT_PRODUCT!C101="";"";VLOOKUP(INPUT_PRODUCT!C101;PRODUCT!B:H;7;FALSE))</f>
        <v/>
      </c>
      <c r="K88" s="60">
        <f>IF(INPUT_PRODUCT!C101="";"";VLOOKUP(INPUT_PRODUCT!C101;PRODUCT!B:I;8;FALSE))</f>
        <v/>
      </c>
      <c r="L88" s="62">
        <f>IF(INPUT_PRODUCT!C101="";"";VLOOKUP(INPUT_PRODUCT!C101;PRODUCT!B:J;9;FALSE))</f>
        <v/>
      </c>
      <c r="M88" s="62">
        <f>IF(INPUT_PRODUCT!C101="";"";VLOOKUP(INPUT_PRODUCT!C101;PRODUCT!B:K;10;FALSE))</f>
        <v/>
      </c>
      <c r="N88" s="62">
        <f>IF(INPUT_PRODUCT!C101="";"";VLOOKUP(INPUT_PRODUCT!C101;PRODUCT!B:L;11;FALSE))</f>
        <v/>
      </c>
      <c r="O88" s="62">
        <f>IF(INPUT_PRODUCT!C101="";"";VLOOKUP(INPUT_PRODUCT!C101;PRODUCT!B:O;14;FALSE))</f>
        <v/>
      </c>
      <c r="P88" s="63">
        <f>IF(INPUT_PRODUCT!C101="";"";VLOOKUP(INPUT_PRODUCT!C101;PRODUCT!B:P;15;FALSE))</f>
        <v/>
      </c>
      <c r="Q88" s="63">
        <f>IF(INPUT_PRODUCT!C101="";"";INPUT_PRODUCT!K101)</f>
        <v/>
      </c>
      <c r="R88" s="63" t="inlineStr"/>
      <c r="S88" s="63">
        <f>IF(INPUT_PRODUCT!C101="";"";IF(O88="";"";O88*(1+Q88+R88)))</f>
        <v/>
      </c>
      <c r="T88" s="63">
        <f>IF(INPUT_PRODUCT!C101="";"";IF(S88="";"";S88*F88))</f>
        <v/>
      </c>
      <c r="U88" s="62">
        <f>CONFIG!$B$2</f>
        <v/>
      </c>
      <c r="V88" s="62">
        <f>IF(INPUT_PRODUCT!C101="";"";IF(S88="";"";S88*U88))</f>
        <v/>
      </c>
      <c r="W88" s="0">
        <f>IF(INPUT_PRODUCT!C101="";"";IF(T88="";"";T88*U88))</f>
        <v/>
      </c>
      <c r="X88" s="0">
        <f>IF(INPUT_PRODUCT!C101="";"";VLOOKUP(INPUT_PRODUCT!C101;PRODUCT!B:T;19;FALSE))</f>
        <v/>
      </c>
      <c r="Y88" s="0">
        <f>IF(INPUT_PRODUCT!C101="";"";INPUT_PRODUCT!L101)</f>
        <v/>
      </c>
    </row>
    <row r="89" ht="15.75" customHeight="1" s="125">
      <c r="A89" s="62">
        <f>IF(INPUT_PRODUCT!C102="";"";INPUT_PRODUCT!A102)</f>
        <v/>
      </c>
      <c r="B89" s="62">
        <f>IF(INPUT_PRODUCT!C102="";"";INPUT_PRODUCT!B102)</f>
        <v/>
      </c>
      <c r="C89" s="62">
        <f>IF(INPUT_PRODUCT!C102="";"";INPUT_PRODUCT!C102)</f>
        <v/>
      </c>
      <c r="D89" s="62">
        <f>IF(INPUT_PRODUCT!C102="";"";INDEX(PRODUCT!A:A;MATCH(INPUT_PRODUCT!C102;PRODUCT!B:B;0)))</f>
        <v/>
      </c>
      <c r="E89" s="62">
        <f>IF(INPUT_PRODUCT!C102="";"";VLOOKUP(INPUT_PRODUCT!C102;PRODUCT!B:C;2;FALSE))</f>
        <v/>
      </c>
      <c r="F89" s="62">
        <f>IF(INPUT_PRODUCT!C102="";"";INPUT_PRODUCT!J102)</f>
        <v/>
      </c>
      <c r="G89" s="62">
        <f>IF(INPUT_PRODUCT!C102="";"";INPUT_PRODUCT!G102)</f>
        <v/>
      </c>
      <c r="H89" s="62">
        <f>IF(INPUT_PRODUCT!C102="";"";VLOOKUP(INPUT_PRODUCT!C102;PRODUCT!B:F;5;FALSE))</f>
        <v/>
      </c>
      <c r="I89" s="62">
        <f>IF(INPUT_PRODUCT!C102="";"";VLOOKUP(INPUT_PRODUCT!C102;PRODUCT!B:G;6;FALSE))</f>
        <v/>
      </c>
      <c r="J89" s="62">
        <f>IF(INPUT_PRODUCT!C102="";"";VLOOKUP(INPUT_PRODUCT!C102;PRODUCT!B:H;7;FALSE))</f>
        <v/>
      </c>
      <c r="K89" s="60">
        <f>IF(INPUT_PRODUCT!C102="";"";VLOOKUP(INPUT_PRODUCT!C102;PRODUCT!B:I;8;FALSE))</f>
        <v/>
      </c>
      <c r="L89" s="62">
        <f>IF(INPUT_PRODUCT!C102="";"";VLOOKUP(INPUT_PRODUCT!C102;PRODUCT!B:J;9;FALSE))</f>
        <v/>
      </c>
      <c r="M89" s="62">
        <f>IF(INPUT_PRODUCT!C102="";"";VLOOKUP(INPUT_PRODUCT!C102;PRODUCT!B:K;10;FALSE))</f>
        <v/>
      </c>
      <c r="N89" s="62">
        <f>IF(INPUT_PRODUCT!C102="";"";VLOOKUP(INPUT_PRODUCT!C102;PRODUCT!B:L;11;FALSE))</f>
        <v/>
      </c>
      <c r="O89" s="62">
        <f>IF(INPUT_PRODUCT!C102="";"";VLOOKUP(INPUT_PRODUCT!C102;PRODUCT!B:O;14;FALSE))</f>
        <v/>
      </c>
      <c r="P89" s="63">
        <f>IF(INPUT_PRODUCT!C102="";"";VLOOKUP(INPUT_PRODUCT!C102;PRODUCT!B:P;15;FALSE))</f>
        <v/>
      </c>
      <c r="Q89" s="63">
        <f>IF(INPUT_PRODUCT!C102="";"";INPUT_PRODUCT!K102)</f>
        <v/>
      </c>
      <c r="R89" s="63" t="inlineStr"/>
      <c r="S89" s="63">
        <f>IF(INPUT_PRODUCT!C102="";"";IF(O89="";"";O89*(1+Q89+R89)))</f>
        <v/>
      </c>
      <c r="T89" s="63">
        <f>IF(INPUT_PRODUCT!C102="";"";IF(S89="";"";S89*F89))</f>
        <v/>
      </c>
      <c r="U89" s="62">
        <f>CONFIG!$B$2</f>
        <v/>
      </c>
      <c r="V89" s="62">
        <f>IF(INPUT_PRODUCT!C102="";"";IF(S89="";"";S89*U89))</f>
        <v/>
      </c>
      <c r="W89" s="0">
        <f>IF(INPUT_PRODUCT!C102="";"";IF(T89="";"";T89*U89))</f>
        <v/>
      </c>
      <c r="X89" s="0">
        <f>IF(INPUT_PRODUCT!C102="";"";VLOOKUP(INPUT_PRODUCT!C102;PRODUCT!B:T;19;FALSE))</f>
        <v/>
      </c>
      <c r="Y89" s="0">
        <f>IF(INPUT_PRODUCT!C102="";"";INPUT_PRODUCT!L102)</f>
        <v/>
      </c>
    </row>
    <row r="90" ht="15.75" customHeight="1" s="125">
      <c r="A90" s="62">
        <f>IF(INPUT_PRODUCT!C103="";"";INPUT_PRODUCT!A103)</f>
        <v/>
      </c>
      <c r="B90" s="62">
        <f>IF(INPUT_PRODUCT!C103="";"";INPUT_PRODUCT!B103)</f>
        <v/>
      </c>
      <c r="C90" s="62">
        <f>IF(INPUT_PRODUCT!C103="";"";INPUT_PRODUCT!C103)</f>
        <v/>
      </c>
      <c r="D90" s="62">
        <f>IF(INPUT_PRODUCT!C103="";"";INDEX(PRODUCT!A:A;MATCH(INPUT_PRODUCT!C103;PRODUCT!B:B;0)))</f>
        <v/>
      </c>
      <c r="E90" s="62">
        <f>IF(INPUT_PRODUCT!C103="";"";VLOOKUP(INPUT_PRODUCT!C103;PRODUCT!B:C;2;FALSE))</f>
        <v/>
      </c>
      <c r="F90" s="62">
        <f>IF(INPUT_PRODUCT!C103="";"";INPUT_PRODUCT!J103)</f>
        <v/>
      </c>
      <c r="G90" s="62">
        <f>IF(INPUT_PRODUCT!C103="";"";INPUT_PRODUCT!G103)</f>
        <v/>
      </c>
      <c r="H90" s="62">
        <f>IF(INPUT_PRODUCT!C103="";"";VLOOKUP(INPUT_PRODUCT!C103;PRODUCT!B:F;5;FALSE))</f>
        <v/>
      </c>
      <c r="I90" s="62">
        <f>IF(INPUT_PRODUCT!C103="";"";VLOOKUP(INPUT_PRODUCT!C103;PRODUCT!B:G;6;FALSE))</f>
        <v/>
      </c>
      <c r="J90" s="62">
        <f>IF(INPUT_PRODUCT!C103="";"";VLOOKUP(INPUT_PRODUCT!C103;PRODUCT!B:H;7;FALSE))</f>
        <v/>
      </c>
      <c r="K90" s="60">
        <f>IF(INPUT_PRODUCT!C103="";"";VLOOKUP(INPUT_PRODUCT!C103;PRODUCT!B:I;8;FALSE))</f>
        <v/>
      </c>
      <c r="L90" s="62">
        <f>IF(INPUT_PRODUCT!C103="";"";VLOOKUP(INPUT_PRODUCT!C103;PRODUCT!B:J;9;FALSE))</f>
        <v/>
      </c>
      <c r="M90" s="62">
        <f>IF(INPUT_PRODUCT!C103="";"";VLOOKUP(INPUT_PRODUCT!C103;PRODUCT!B:K;10;FALSE))</f>
        <v/>
      </c>
      <c r="N90" s="62">
        <f>IF(INPUT_PRODUCT!C103="";"";VLOOKUP(INPUT_PRODUCT!C103;PRODUCT!B:L;11;FALSE))</f>
        <v/>
      </c>
      <c r="O90" s="62">
        <f>IF(INPUT_PRODUCT!C103="";"";VLOOKUP(INPUT_PRODUCT!C103;PRODUCT!B:O;14;FALSE))</f>
        <v/>
      </c>
      <c r="P90" s="63">
        <f>IF(INPUT_PRODUCT!C103="";"";VLOOKUP(INPUT_PRODUCT!C103;PRODUCT!B:P;15;FALSE))</f>
        <v/>
      </c>
      <c r="Q90" s="63">
        <f>IF(INPUT_PRODUCT!C103="";"";INPUT_PRODUCT!K103)</f>
        <v/>
      </c>
      <c r="R90" s="63" t="inlineStr"/>
      <c r="S90" s="63">
        <f>IF(INPUT_PRODUCT!C103="";"";IF(O90="";"";O90*(1+Q90+R90)))</f>
        <v/>
      </c>
      <c r="T90" s="63">
        <f>IF(INPUT_PRODUCT!C103="";"";IF(S90="";"";S90*F90))</f>
        <v/>
      </c>
      <c r="U90" s="62">
        <f>CONFIG!$B$2</f>
        <v/>
      </c>
      <c r="V90" s="62">
        <f>IF(INPUT_PRODUCT!C103="";"";IF(S90="";"";S90*U90))</f>
        <v/>
      </c>
      <c r="W90" s="0">
        <f>IF(INPUT_PRODUCT!C103="";"";IF(T90="";"";T90*U90))</f>
        <v/>
      </c>
      <c r="X90" s="0">
        <f>IF(INPUT_PRODUCT!C103="";"";VLOOKUP(INPUT_PRODUCT!C103;PRODUCT!B:T;19;FALSE))</f>
        <v/>
      </c>
      <c r="Y90" s="0">
        <f>IF(INPUT_PRODUCT!C103="";"";INPUT_PRODUCT!L103)</f>
        <v/>
      </c>
    </row>
    <row r="91" ht="15.75" customHeight="1" s="125">
      <c r="A91" s="62">
        <f>IF(INPUT_PRODUCT!C104="";"";INPUT_PRODUCT!A104)</f>
        <v/>
      </c>
      <c r="B91" s="62">
        <f>IF(INPUT_PRODUCT!C104="";"";INPUT_PRODUCT!B104)</f>
        <v/>
      </c>
      <c r="C91" s="62">
        <f>IF(INPUT_PRODUCT!C104="";"";INPUT_PRODUCT!C104)</f>
        <v/>
      </c>
      <c r="D91" s="62">
        <f>IF(INPUT_PRODUCT!C104="";"";INDEX(PRODUCT!A:A;MATCH(INPUT_PRODUCT!C104;PRODUCT!B:B;0)))</f>
        <v/>
      </c>
      <c r="E91" s="62">
        <f>IF(INPUT_PRODUCT!C104="";"";VLOOKUP(INPUT_PRODUCT!C104;PRODUCT!B:C;2;FALSE))</f>
        <v/>
      </c>
      <c r="F91" s="62">
        <f>IF(INPUT_PRODUCT!C104="";"";INPUT_PRODUCT!J104)</f>
        <v/>
      </c>
      <c r="G91" s="62">
        <f>IF(INPUT_PRODUCT!C104="";"";INPUT_PRODUCT!G104)</f>
        <v/>
      </c>
      <c r="H91" s="62">
        <f>IF(INPUT_PRODUCT!C104="";"";VLOOKUP(INPUT_PRODUCT!C104;PRODUCT!B:F;5;FALSE))</f>
        <v/>
      </c>
      <c r="I91" s="62">
        <f>IF(INPUT_PRODUCT!C104="";"";VLOOKUP(INPUT_PRODUCT!C104;PRODUCT!B:G;6;FALSE))</f>
        <v/>
      </c>
      <c r="J91" s="62">
        <f>IF(INPUT_PRODUCT!C104="";"";VLOOKUP(INPUT_PRODUCT!C104;PRODUCT!B:H;7;FALSE))</f>
        <v/>
      </c>
      <c r="K91" s="60">
        <f>IF(INPUT_PRODUCT!C104="";"";VLOOKUP(INPUT_PRODUCT!C104;PRODUCT!B:I;8;FALSE))</f>
        <v/>
      </c>
      <c r="L91" s="62">
        <f>IF(INPUT_PRODUCT!C104="";"";VLOOKUP(INPUT_PRODUCT!C104;PRODUCT!B:J;9;FALSE))</f>
        <v/>
      </c>
      <c r="M91" s="62">
        <f>IF(INPUT_PRODUCT!C104="";"";VLOOKUP(INPUT_PRODUCT!C104;PRODUCT!B:K;10;FALSE))</f>
        <v/>
      </c>
      <c r="N91" s="62">
        <f>IF(INPUT_PRODUCT!C104="";"";VLOOKUP(INPUT_PRODUCT!C104;PRODUCT!B:L;11;FALSE))</f>
        <v/>
      </c>
      <c r="O91" s="62">
        <f>IF(INPUT_PRODUCT!C104="";"";VLOOKUP(INPUT_PRODUCT!C104;PRODUCT!B:O;14;FALSE))</f>
        <v/>
      </c>
      <c r="P91" s="63">
        <f>IF(INPUT_PRODUCT!C104="";"";VLOOKUP(INPUT_PRODUCT!C104;PRODUCT!B:P;15;FALSE))</f>
        <v/>
      </c>
      <c r="Q91" s="63">
        <f>IF(INPUT_PRODUCT!C104="";"";INPUT_PRODUCT!K104)</f>
        <v/>
      </c>
      <c r="R91" s="63" t="inlineStr"/>
      <c r="S91" s="63">
        <f>IF(INPUT_PRODUCT!C104="";"";IF(O91="";"";O91*(1+Q91+R91)))</f>
        <v/>
      </c>
      <c r="T91" s="63">
        <f>IF(INPUT_PRODUCT!C104="";"";IF(S91="";"";S91*F91))</f>
        <v/>
      </c>
      <c r="U91" s="62">
        <f>CONFIG!$B$2</f>
        <v/>
      </c>
      <c r="V91" s="62">
        <f>IF(INPUT_PRODUCT!C104="";"";IF(S91="";"";S91*U91))</f>
        <v/>
      </c>
      <c r="W91" s="0">
        <f>IF(INPUT_PRODUCT!C104="";"";IF(T91="";"";T91*U91))</f>
        <v/>
      </c>
      <c r="X91" s="0">
        <f>IF(INPUT_PRODUCT!C104="";"";VLOOKUP(INPUT_PRODUCT!C104;PRODUCT!B:T;19;FALSE))</f>
        <v/>
      </c>
      <c r="Y91" s="0">
        <f>IF(INPUT_PRODUCT!C104="";"";INPUT_PRODUCT!L104)</f>
        <v/>
      </c>
    </row>
    <row r="92" ht="15.75" customHeight="1" s="125">
      <c r="A92" s="62">
        <f>IF(INPUT_PRODUCT!C105="";"";INPUT_PRODUCT!A105)</f>
        <v/>
      </c>
      <c r="B92" s="62">
        <f>IF(INPUT_PRODUCT!C105="";"";INPUT_PRODUCT!B105)</f>
        <v/>
      </c>
      <c r="C92" s="62">
        <f>IF(INPUT_PRODUCT!C105="";"";INPUT_PRODUCT!C105)</f>
        <v/>
      </c>
      <c r="D92" s="62">
        <f>IF(INPUT_PRODUCT!C105="";"";INDEX(PRODUCT!A:A;MATCH(INPUT_PRODUCT!C105;PRODUCT!B:B;0)))</f>
        <v/>
      </c>
      <c r="E92" s="62">
        <f>IF(INPUT_PRODUCT!C105="";"";VLOOKUP(INPUT_PRODUCT!C105;PRODUCT!B:C;2;FALSE))</f>
        <v/>
      </c>
      <c r="F92" s="62">
        <f>IF(INPUT_PRODUCT!C105="";"";INPUT_PRODUCT!J105)</f>
        <v/>
      </c>
      <c r="G92" s="62">
        <f>IF(INPUT_PRODUCT!C105="";"";INPUT_PRODUCT!G105)</f>
        <v/>
      </c>
      <c r="H92" s="62">
        <f>IF(INPUT_PRODUCT!C105="";"";VLOOKUP(INPUT_PRODUCT!C105;PRODUCT!B:F;5;FALSE))</f>
        <v/>
      </c>
      <c r="I92" s="62">
        <f>IF(INPUT_PRODUCT!C105="";"";VLOOKUP(INPUT_PRODUCT!C105;PRODUCT!B:G;6;FALSE))</f>
        <v/>
      </c>
      <c r="J92" s="62">
        <f>IF(INPUT_PRODUCT!C105="";"";VLOOKUP(INPUT_PRODUCT!C105;PRODUCT!B:H;7;FALSE))</f>
        <v/>
      </c>
      <c r="K92" s="60">
        <f>IF(INPUT_PRODUCT!C105="";"";VLOOKUP(INPUT_PRODUCT!C105;PRODUCT!B:I;8;FALSE))</f>
        <v/>
      </c>
      <c r="L92" s="62">
        <f>IF(INPUT_PRODUCT!C105="";"";VLOOKUP(INPUT_PRODUCT!C105;PRODUCT!B:J;9;FALSE))</f>
        <v/>
      </c>
      <c r="M92" s="62">
        <f>IF(INPUT_PRODUCT!C105="";"";VLOOKUP(INPUT_PRODUCT!C105;PRODUCT!B:K;10;FALSE))</f>
        <v/>
      </c>
      <c r="N92" s="62">
        <f>IF(INPUT_PRODUCT!C105="";"";VLOOKUP(INPUT_PRODUCT!C105;PRODUCT!B:L;11;FALSE))</f>
        <v/>
      </c>
      <c r="O92" s="62">
        <f>IF(INPUT_PRODUCT!C105="";"";VLOOKUP(INPUT_PRODUCT!C105;PRODUCT!B:O;14;FALSE))</f>
        <v/>
      </c>
      <c r="P92" s="63">
        <f>IF(INPUT_PRODUCT!C105="";"";VLOOKUP(INPUT_PRODUCT!C105;PRODUCT!B:P;15;FALSE))</f>
        <v/>
      </c>
      <c r="Q92" s="63">
        <f>IF(INPUT_PRODUCT!C105="";"";INPUT_PRODUCT!K105)</f>
        <v/>
      </c>
      <c r="R92" s="63" t="inlineStr"/>
      <c r="S92" s="63">
        <f>IF(INPUT_PRODUCT!C105="";"";IF(O92="";"";O92*(1+Q92+R92)))</f>
        <v/>
      </c>
      <c r="T92" s="63">
        <f>IF(INPUT_PRODUCT!C105="";"";IF(S92="";"";S92*F92))</f>
        <v/>
      </c>
      <c r="U92" s="62">
        <f>CONFIG!$B$2</f>
        <v/>
      </c>
      <c r="V92" s="62">
        <f>IF(INPUT_PRODUCT!C105="";"";IF(S92="";"";S92*U92))</f>
        <v/>
      </c>
      <c r="W92" s="0">
        <f>IF(INPUT_PRODUCT!C105="";"";IF(T92="";"";T92*U92))</f>
        <v/>
      </c>
      <c r="X92" s="0">
        <f>IF(INPUT_PRODUCT!C105="";"";VLOOKUP(INPUT_PRODUCT!C105;PRODUCT!B:T;19;FALSE))</f>
        <v/>
      </c>
      <c r="Y92" s="0">
        <f>IF(INPUT_PRODUCT!C105="";"";INPUT_PRODUCT!L105)</f>
        <v/>
      </c>
    </row>
    <row r="93" ht="15.75" customHeight="1" s="125">
      <c r="A93" s="62">
        <f>IF(INPUT_PRODUCT!C106="";"";INPUT_PRODUCT!A106)</f>
        <v/>
      </c>
      <c r="B93" s="62">
        <f>IF(INPUT_PRODUCT!C106="";"";INPUT_PRODUCT!B106)</f>
        <v/>
      </c>
      <c r="C93" s="62">
        <f>IF(INPUT_PRODUCT!C106="";"";INPUT_PRODUCT!C106)</f>
        <v/>
      </c>
      <c r="D93" s="62">
        <f>IF(INPUT_PRODUCT!C106="";"";INDEX(PRODUCT!A:A;MATCH(INPUT_PRODUCT!C106;PRODUCT!B:B;0)))</f>
        <v/>
      </c>
      <c r="E93" s="62">
        <f>IF(INPUT_PRODUCT!C106="";"";VLOOKUP(INPUT_PRODUCT!C106;PRODUCT!B:C;2;FALSE))</f>
        <v/>
      </c>
      <c r="F93" s="62">
        <f>IF(INPUT_PRODUCT!C106="";"";INPUT_PRODUCT!J106)</f>
        <v/>
      </c>
      <c r="G93" s="62">
        <f>IF(INPUT_PRODUCT!C106="";"";INPUT_PRODUCT!G106)</f>
        <v/>
      </c>
      <c r="H93" s="62">
        <f>IF(INPUT_PRODUCT!C106="";"";VLOOKUP(INPUT_PRODUCT!C106;PRODUCT!B:F;5;FALSE))</f>
        <v/>
      </c>
      <c r="I93" s="62">
        <f>IF(INPUT_PRODUCT!C106="";"";VLOOKUP(INPUT_PRODUCT!C106;PRODUCT!B:G;6;FALSE))</f>
        <v/>
      </c>
      <c r="J93" s="62">
        <f>IF(INPUT_PRODUCT!C106="";"";VLOOKUP(INPUT_PRODUCT!C106;PRODUCT!B:H;7;FALSE))</f>
        <v/>
      </c>
      <c r="K93" s="60">
        <f>IF(INPUT_PRODUCT!C106="";"";VLOOKUP(INPUT_PRODUCT!C106;PRODUCT!B:I;8;FALSE))</f>
        <v/>
      </c>
      <c r="L93" s="62">
        <f>IF(INPUT_PRODUCT!C106="";"";VLOOKUP(INPUT_PRODUCT!C106;PRODUCT!B:J;9;FALSE))</f>
        <v/>
      </c>
      <c r="M93" s="62">
        <f>IF(INPUT_PRODUCT!C106="";"";VLOOKUP(INPUT_PRODUCT!C106;PRODUCT!B:K;10;FALSE))</f>
        <v/>
      </c>
      <c r="N93" s="62">
        <f>IF(INPUT_PRODUCT!C106="";"";VLOOKUP(INPUT_PRODUCT!C106;PRODUCT!B:L;11;FALSE))</f>
        <v/>
      </c>
      <c r="O93" s="62">
        <f>IF(INPUT_PRODUCT!C106="";"";VLOOKUP(INPUT_PRODUCT!C106;PRODUCT!B:O;14;FALSE))</f>
        <v/>
      </c>
      <c r="P93" s="63">
        <f>IF(INPUT_PRODUCT!C106="";"";VLOOKUP(INPUT_PRODUCT!C106;PRODUCT!B:P;15;FALSE))</f>
        <v/>
      </c>
      <c r="Q93" s="63">
        <f>IF(INPUT_PRODUCT!C106="";"";INPUT_PRODUCT!K106)</f>
        <v/>
      </c>
      <c r="R93" s="63" t="inlineStr"/>
      <c r="S93" s="63">
        <f>IF(INPUT_PRODUCT!C106="";"";IF(O93="";"";O93*(1+Q93+R93)))</f>
        <v/>
      </c>
      <c r="T93" s="63">
        <f>IF(INPUT_PRODUCT!C106="";"";IF(S93="";"";S93*F93))</f>
        <v/>
      </c>
      <c r="U93" s="62">
        <f>CONFIG!$B$2</f>
        <v/>
      </c>
      <c r="V93" s="62">
        <f>IF(INPUT_PRODUCT!C106="";"";IF(S93="";"";S93*U93))</f>
        <v/>
      </c>
      <c r="W93" s="0">
        <f>IF(INPUT_PRODUCT!C106="";"";IF(T93="";"";T93*U93))</f>
        <v/>
      </c>
      <c r="X93" s="0">
        <f>IF(INPUT_PRODUCT!C106="";"";VLOOKUP(INPUT_PRODUCT!C106;PRODUCT!B:T;19;FALSE))</f>
        <v/>
      </c>
      <c r="Y93" s="0">
        <f>IF(INPUT_PRODUCT!C106="";"";INPUT_PRODUCT!L106)</f>
        <v/>
      </c>
    </row>
    <row r="94" ht="15.75" customHeight="1" s="125">
      <c r="A94" s="62">
        <f>IF(INPUT_PRODUCT!C107="";"";INPUT_PRODUCT!A107)</f>
        <v/>
      </c>
      <c r="B94" s="62">
        <f>IF(INPUT_PRODUCT!C107="";"";INPUT_PRODUCT!B107)</f>
        <v/>
      </c>
      <c r="C94" s="62">
        <f>IF(INPUT_PRODUCT!C107="";"";INPUT_PRODUCT!C107)</f>
        <v/>
      </c>
      <c r="D94" s="62">
        <f>IF(INPUT_PRODUCT!C107="";"";INDEX(PRODUCT!A:A;MATCH(INPUT_PRODUCT!C107;PRODUCT!B:B;0)))</f>
        <v/>
      </c>
      <c r="E94" s="62">
        <f>IF(INPUT_PRODUCT!C107="";"";VLOOKUP(INPUT_PRODUCT!C107;PRODUCT!B:C;2;FALSE))</f>
        <v/>
      </c>
      <c r="F94" s="62">
        <f>IF(INPUT_PRODUCT!C107="";"";INPUT_PRODUCT!J107)</f>
        <v/>
      </c>
      <c r="G94" s="62">
        <f>IF(INPUT_PRODUCT!C107="";"";INPUT_PRODUCT!G107)</f>
        <v/>
      </c>
      <c r="H94" s="62">
        <f>IF(INPUT_PRODUCT!C107="";"";VLOOKUP(INPUT_PRODUCT!C107;PRODUCT!B:F;5;FALSE))</f>
        <v/>
      </c>
      <c r="I94" s="62">
        <f>IF(INPUT_PRODUCT!C107="";"";VLOOKUP(INPUT_PRODUCT!C107;PRODUCT!B:G;6;FALSE))</f>
        <v/>
      </c>
      <c r="J94" s="62">
        <f>IF(INPUT_PRODUCT!C107="";"";VLOOKUP(INPUT_PRODUCT!C107;PRODUCT!B:H;7;FALSE))</f>
        <v/>
      </c>
      <c r="K94" s="60">
        <f>IF(INPUT_PRODUCT!C107="";"";VLOOKUP(INPUT_PRODUCT!C107;PRODUCT!B:I;8;FALSE))</f>
        <v/>
      </c>
      <c r="L94" s="62">
        <f>IF(INPUT_PRODUCT!C107="";"";VLOOKUP(INPUT_PRODUCT!C107;PRODUCT!B:J;9;FALSE))</f>
        <v/>
      </c>
      <c r="M94" s="62">
        <f>IF(INPUT_PRODUCT!C107="";"";VLOOKUP(INPUT_PRODUCT!C107;PRODUCT!B:K;10;FALSE))</f>
        <v/>
      </c>
      <c r="N94" s="62">
        <f>IF(INPUT_PRODUCT!C107="";"";VLOOKUP(INPUT_PRODUCT!C107;PRODUCT!B:L;11;FALSE))</f>
        <v/>
      </c>
      <c r="O94" s="62">
        <f>IF(INPUT_PRODUCT!C107="";"";VLOOKUP(INPUT_PRODUCT!C107;PRODUCT!B:O;14;FALSE))</f>
        <v/>
      </c>
      <c r="P94" s="63">
        <f>IF(INPUT_PRODUCT!C107="";"";VLOOKUP(INPUT_PRODUCT!C107;PRODUCT!B:P;15;FALSE))</f>
        <v/>
      </c>
      <c r="Q94" s="63">
        <f>IF(INPUT_PRODUCT!C107="";"";INPUT_PRODUCT!K107)</f>
        <v/>
      </c>
      <c r="R94" s="63" t="inlineStr"/>
      <c r="S94" s="63">
        <f>IF(INPUT_PRODUCT!C107="";"";IF(O94="";"";O94*(1+Q94+R94)))</f>
        <v/>
      </c>
      <c r="T94" s="63">
        <f>IF(INPUT_PRODUCT!C107="";"";IF(S94="";"";S94*F94))</f>
        <v/>
      </c>
      <c r="U94" s="62">
        <f>CONFIG!$B$2</f>
        <v/>
      </c>
      <c r="V94" s="62">
        <f>IF(INPUT_PRODUCT!C107="";"";IF(S94="";"";S94*U94))</f>
        <v/>
      </c>
      <c r="W94" s="0">
        <f>IF(INPUT_PRODUCT!C107="";"";IF(T94="";"";T94*U94))</f>
        <v/>
      </c>
      <c r="X94" s="0">
        <f>IF(INPUT_PRODUCT!C107="";"";VLOOKUP(INPUT_PRODUCT!C107;PRODUCT!B:T;19;FALSE))</f>
        <v/>
      </c>
      <c r="Y94" s="0">
        <f>IF(INPUT_PRODUCT!C107="";"";INPUT_PRODUCT!L107)</f>
        <v/>
      </c>
    </row>
    <row r="95" ht="15.75" customHeight="1" s="125">
      <c r="A95" s="62">
        <f>IF(INPUT_PRODUCT!C108="";"";INPUT_PRODUCT!A108)</f>
        <v/>
      </c>
      <c r="B95" s="62">
        <f>IF(INPUT_PRODUCT!C108="";"";INPUT_PRODUCT!B108)</f>
        <v/>
      </c>
      <c r="C95" s="62">
        <f>IF(INPUT_PRODUCT!C108="";"";INPUT_PRODUCT!C108)</f>
        <v/>
      </c>
      <c r="D95" s="62">
        <f>IF(INPUT_PRODUCT!C108="";"";INDEX(PRODUCT!A:A;MATCH(INPUT_PRODUCT!C108;PRODUCT!B:B;0)))</f>
        <v/>
      </c>
      <c r="E95" s="62">
        <f>IF(INPUT_PRODUCT!C108="";"";VLOOKUP(INPUT_PRODUCT!C108;PRODUCT!B:C;2;FALSE))</f>
        <v/>
      </c>
      <c r="F95" s="62">
        <f>IF(INPUT_PRODUCT!C108="";"";INPUT_PRODUCT!J108)</f>
        <v/>
      </c>
      <c r="G95" s="62">
        <f>IF(INPUT_PRODUCT!C108="";"";INPUT_PRODUCT!G108)</f>
        <v/>
      </c>
      <c r="H95" s="62">
        <f>IF(INPUT_PRODUCT!C108="";"";VLOOKUP(INPUT_PRODUCT!C108;PRODUCT!B:F;5;FALSE))</f>
        <v/>
      </c>
      <c r="I95" s="62">
        <f>IF(INPUT_PRODUCT!C108="";"";VLOOKUP(INPUT_PRODUCT!C108;PRODUCT!B:G;6;FALSE))</f>
        <v/>
      </c>
      <c r="J95" s="62">
        <f>IF(INPUT_PRODUCT!C108="";"";VLOOKUP(INPUT_PRODUCT!C108;PRODUCT!B:H;7;FALSE))</f>
        <v/>
      </c>
      <c r="K95" s="60">
        <f>IF(INPUT_PRODUCT!C108="";"";VLOOKUP(INPUT_PRODUCT!C108;PRODUCT!B:I;8;FALSE))</f>
        <v/>
      </c>
      <c r="L95" s="62">
        <f>IF(INPUT_PRODUCT!C108="";"";VLOOKUP(INPUT_PRODUCT!C108;PRODUCT!B:J;9;FALSE))</f>
        <v/>
      </c>
      <c r="M95" s="62">
        <f>IF(INPUT_PRODUCT!C108="";"";VLOOKUP(INPUT_PRODUCT!C108;PRODUCT!B:K;10;FALSE))</f>
        <v/>
      </c>
      <c r="N95" s="62">
        <f>IF(INPUT_PRODUCT!C108="";"";VLOOKUP(INPUT_PRODUCT!C108;PRODUCT!B:L;11;FALSE))</f>
        <v/>
      </c>
      <c r="O95" s="62">
        <f>IF(INPUT_PRODUCT!C108="";"";VLOOKUP(INPUT_PRODUCT!C108;PRODUCT!B:O;14;FALSE))</f>
        <v/>
      </c>
      <c r="P95" s="63">
        <f>IF(INPUT_PRODUCT!C108="";"";VLOOKUP(INPUT_PRODUCT!C108;PRODUCT!B:P;15;FALSE))</f>
        <v/>
      </c>
      <c r="Q95" s="63">
        <f>IF(INPUT_PRODUCT!C108="";"";INPUT_PRODUCT!K108)</f>
        <v/>
      </c>
      <c r="R95" s="63" t="inlineStr"/>
      <c r="S95" s="63">
        <f>IF(INPUT_PRODUCT!C108="";"";IF(O95="";"";O95*(1+Q95+R95)))</f>
        <v/>
      </c>
      <c r="T95" s="63">
        <f>IF(INPUT_PRODUCT!C108="";"";IF(S95="";"";S95*F95))</f>
        <v/>
      </c>
      <c r="U95" s="62">
        <f>CONFIG!$B$2</f>
        <v/>
      </c>
      <c r="V95" s="62">
        <f>IF(INPUT_PRODUCT!C108="";"";IF(S95="";"";S95*U95))</f>
        <v/>
      </c>
      <c r="W95" s="0">
        <f>IF(INPUT_PRODUCT!C108="";"";IF(T95="";"";T95*U95))</f>
        <v/>
      </c>
      <c r="X95" s="0">
        <f>IF(INPUT_PRODUCT!C108="";"";VLOOKUP(INPUT_PRODUCT!C108;PRODUCT!B:T;19;FALSE))</f>
        <v/>
      </c>
      <c r="Y95" s="0">
        <f>IF(INPUT_PRODUCT!C108="";"";INPUT_PRODUCT!L108)</f>
        <v/>
      </c>
    </row>
    <row r="96" ht="15.75" customHeight="1" s="125">
      <c r="A96" s="62">
        <f>IF(INPUT_PRODUCT!C109="";"";INPUT_PRODUCT!A109)</f>
        <v/>
      </c>
      <c r="B96" s="62">
        <f>IF(INPUT_PRODUCT!C109="";"";INPUT_PRODUCT!B109)</f>
        <v/>
      </c>
      <c r="C96" s="62">
        <f>IF(INPUT_PRODUCT!C109="";"";INPUT_PRODUCT!C109)</f>
        <v/>
      </c>
      <c r="D96" s="62">
        <f>IF(INPUT_PRODUCT!C109="";"";INDEX(PRODUCT!A:A;MATCH(INPUT_PRODUCT!C109;PRODUCT!B:B;0)))</f>
        <v/>
      </c>
      <c r="E96" s="62">
        <f>IF(INPUT_PRODUCT!C109="";"";VLOOKUP(INPUT_PRODUCT!C109;PRODUCT!B:C;2;FALSE))</f>
        <v/>
      </c>
      <c r="F96" s="62">
        <f>IF(INPUT_PRODUCT!C109="";"";INPUT_PRODUCT!J109)</f>
        <v/>
      </c>
      <c r="G96" s="62">
        <f>IF(INPUT_PRODUCT!C109="";"";INPUT_PRODUCT!G109)</f>
        <v/>
      </c>
      <c r="H96" s="62">
        <f>IF(INPUT_PRODUCT!C109="";"";VLOOKUP(INPUT_PRODUCT!C109;PRODUCT!B:F;5;FALSE))</f>
        <v/>
      </c>
      <c r="I96" s="62">
        <f>IF(INPUT_PRODUCT!C109="";"";VLOOKUP(INPUT_PRODUCT!C109;PRODUCT!B:G;6;FALSE))</f>
        <v/>
      </c>
      <c r="J96" s="62">
        <f>IF(INPUT_PRODUCT!C109="";"";VLOOKUP(INPUT_PRODUCT!C109;PRODUCT!B:H;7;FALSE))</f>
        <v/>
      </c>
      <c r="K96" s="60">
        <f>IF(INPUT_PRODUCT!C109="";"";VLOOKUP(INPUT_PRODUCT!C109;PRODUCT!B:I;8;FALSE))</f>
        <v/>
      </c>
      <c r="L96" s="62">
        <f>IF(INPUT_PRODUCT!C109="";"";VLOOKUP(INPUT_PRODUCT!C109;PRODUCT!B:J;9;FALSE))</f>
        <v/>
      </c>
      <c r="M96" s="62">
        <f>IF(INPUT_PRODUCT!C109="";"";VLOOKUP(INPUT_PRODUCT!C109;PRODUCT!B:K;10;FALSE))</f>
        <v/>
      </c>
      <c r="N96" s="62">
        <f>IF(INPUT_PRODUCT!C109="";"";VLOOKUP(INPUT_PRODUCT!C109;PRODUCT!B:L;11;FALSE))</f>
        <v/>
      </c>
      <c r="O96" s="62">
        <f>IF(INPUT_PRODUCT!C109="";"";VLOOKUP(INPUT_PRODUCT!C109;PRODUCT!B:O;14;FALSE))</f>
        <v/>
      </c>
      <c r="P96" s="63">
        <f>IF(INPUT_PRODUCT!C109="";"";VLOOKUP(INPUT_PRODUCT!C109;PRODUCT!B:P;15;FALSE))</f>
        <v/>
      </c>
      <c r="Q96" s="63">
        <f>IF(INPUT_PRODUCT!C109="";"";INPUT_PRODUCT!K109)</f>
        <v/>
      </c>
      <c r="R96" s="63" t="inlineStr"/>
      <c r="S96" s="63">
        <f>IF(INPUT_PRODUCT!C109="";"";IF(O96="";"";O96*(1+Q96+R96)))</f>
        <v/>
      </c>
      <c r="T96" s="63">
        <f>IF(INPUT_PRODUCT!C109="";"";IF(S96="";"";S96*F96))</f>
        <v/>
      </c>
      <c r="U96" s="62">
        <f>CONFIG!$B$2</f>
        <v/>
      </c>
      <c r="V96" s="62">
        <f>IF(INPUT_PRODUCT!C109="";"";IF(S96="";"";S96*U96))</f>
        <v/>
      </c>
      <c r="W96" s="0">
        <f>IF(INPUT_PRODUCT!C109="";"";IF(T96="";"";T96*U96))</f>
        <v/>
      </c>
      <c r="X96" s="0">
        <f>IF(INPUT_PRODUCT!C109="";"";VLOOKUP(INPUT_PRODUCT!C109;PRODUCT!B:T;19;FALSE))</f>
        <v/>
      </c>
      <c r="Y96" s="0">
        <f>IF(INPUT_PRODUCT!C109="";"";INPUT_PRODUCT!L109)</f>
        <v/>
      </c>
    </row>
    <row r="97" ht="15.75" customHeight="1" s="125">
      <c r="A97" s="62">
        <f>IF(INPUT_PRODUCT!C110="";"";INPUT_PRODUCT!A110)</f>
        <v/>
      </c>
      <c r="B97" s="62">
        <f>IF(INPUT_PRODUCT!C110="";"";INPUT_PRODUCT!B110)</f>
        <v/>
      </c>
      <c r="C97" s="62">
        <f>IF(INPUT_PRODUCT!C110="";"";INPUT_PRODUCT!C110)</f>
        <v/>
      </c>
      <c r="D97" s="62">
        <f>IF(INPUT_PRODUCT!C110="";"";INDEX(PRODUCT!A:A;MATCH(INPUT_PRODUCT!C110;PRODUCT!B:B;0)))</f>
        <v/>
      </c>
      <c r="E97" s="62">
        <f>IF(INPUT_PRODUCT!C110="";"";VLOOKUP(INPUT_PRODUCT!C110;PRODUCT!B:C;2;FALSE))</f>
        <v/>
      </c>
      <c r="F97" s="62">
        <f>IF(INPUT_PRODUCT!C110="";"";INPUT_PRODUCT!J110)</f>
        <v/>
      </c>
      <c r="G97" s="62">
        <f>IF(INPUT_PRODUCT!C110="";"";INPUT_PRODUCT!G110)</f>
        <v/>
      </c>
      <c r="H97" s="62">
        <f>IF(INPUT_PRODUCT!C110="";"";VLOOKUP(INPUT_PRODUCT!C110;PRODUCT!B:F;5;FALSE))</f>
        <v/>
      </c>
      <c r="I97" s="62">
        <f>IF(INPUT_PRODUCT!C110="";"";VLOOKUP(INPUT_PRODUCT!C110;PRODUCT!B:G;6;FALSE))</f>
        <v/>
      </c>
      <c r="J97" s="62">
        <f>IF(INPUT_PRODUCT!C110="";"";VLOOKUP(INPUT_PRODUCT!C110;PRODUCT!B:H;7;FALSE))</f>
        <v/>
      </c>
      <c r="K97" s="60">
        <f>IF(INPUT_PRODUCT!C110="";"";VLOOKUP(INPUT_PRODUCT!C110;PRODUCT!B:I;8;FALSE))</f>
        <v/>
      </c>
      <c r="L97" s="62">
        <f>IF(INPUT_PRODUCT!C110="";"";VLOOKUP(INPUT_PRODUCT!C110;PRODUCT!B:J;9;FALSE))</f>
        <v/>
      </c>
      <c r="M97" s="62">
        <f>IF(INPUT_PRODUCT!C110="";"";VLOOKUP(INPUT_PRODUCT!C110;PRODUCT!B:K;10;FALSE))</f>
        <v/>
      </c>
      <c r="N97" s="62">
        <f>IF(INPUT_PRODUCT!C110="";"";VLOOKUP(INPUT_PRODUCT!C110;PRODUCT!B:L;11;FALSE))</f>
        <v/>
      </c>
      <c r="O97" s="62">
        <f>IF(INPUT_PRODUCT!C110="";"";VLOOKUP(INPUT_PRODUCT!C110;PRODUCT!B:O;14;FALSE))</f>
        <v/>
      </c>
      <c r="P97" s="63">
        <f>IF(INPUT_PRODUCT!C110="";"";VLOOKUP(INPUT_PRODUCT!C110;PRODUCT!B:P;15;FALSE))</f>
        <v/>
      </c>
      <c r="Q97" s="63">
        <f>IF(INPUT_PRODUCT!C110="";"";INPUT_PRODUCT!K110)</f>
        <v/>
      </c>
      <c r="R97" s="63" t="inlineStr"/>
      <c r="S97" s="63">
        <f>IF(INPUT_PRODUCT!C110="";"";IF(O97="";"";O97*(1+Q97+R97)))</f>
        <v/>
      </c>
      <c r="T97" s="63">
        <f>IF(INPUT_PRODUCT!C110="";"";IF(S97="";"";S97*F97))</f>
        <v/>
      </c>
      <c r="U97" s="62">
        <f>CONFIG!$B$2</f>
        <v/>
      </c>
      <c r="V97" s="62">
        <f>IF(INPUT_PRODUCT!C110="";"";IF(S97="";"";S97*U97))</f>
        <v/>
      </c>
      <c r="W97" s="0">
        <f>IF(INPUT_PRODUCT!C110="";"";IF(T97="";"";T97*U97))</f>
        <v/>
      </c>
      <c r="X97" s="0">
        <f>IF(INPUT_PRODUCT!C110="";"";VLOOKUP(INPUT_PRODUCT!C110;PRODUCT!B:T;19;FALSE))</f>
        <v/>
      </c>
      <c r="Y97" s="0">
        <f>IF(INPUT_PRODUCT!C110="";"";INPUT_PRODUCT!L110)</f>
        <v/>
      </c>
    </row>
    <row r="98" ht="15.75" customHeight="1" s="125">
      <c r="A98" s="62">
        <f>IF(INPUT_PRODUCT!C111="";"";INPUT_PRODUCT!A111)</f>
        <v/>
      </c>
      <c r="B98" s="62">
        <f>IF(INPUT_PRODUCT!C111="";"";INPUT_PRODUCT!B111)</f>
        <v/>
      </c>
      <c r="C98" s="62">
        <f>IF(INPUT_PRODUCT!C111="";"";INPUT_PRODUCT!C111)</f>
        <v/>
      </c>
      <c r="D98" s="62">
        <f>IF(INPUT_PRODUCT!C111="";"";INDEX(PRODUCT!A:A;MATCH(INPUT_PRODUCT!C111;PRODUCT!B:B;0)))</f>
        <v/>
      </c>
      <c r="E98" s="62">
        <f>IF(INPUT_PRODUCT!C111="";"";VLOOKUP(INPUT_PRODUCT!C111;PRODUCT!B:C;2;FALSE))</f>
        <v/>
      </c>
      <c r="F98" s="62">
        <f>IF(INPUT_PRODUCT!C111="";"";INPUT_PRODUCT!J111)</f>
        <v/>
      </c>
      <c r="G98" s="62">
        <f>IF(INPUT_PRODUCT!C111="";"";INPUT_PRODUCT!G111)</f>
        <v/>
      </c>
      <c r="H98" s="62">
        <f>IF(INPUT_PRODUCT!C111="";"";VLOOKUP(INPUT_PRODUCT!C111;PRODUCT!B:F;5;FALSE))</f>
        <v/>
      </c>
      <c r="I98" s="62">
        <f>IF(INPUT_PRODUCT!C111="";"";VLOOKUP(INPUT_PRODUCT!C111;PRODUCT!B:G;6;FALSE))</f>
        <v/>
      </c>
      <c r="J98" s="62">
        <f>IF(INPUT_PRODUCT!C111="";"";VLOOKUP(INPUT_PRODUCT!C111;PRODUCT!B:H;7;FALSE))</f>
        <v/>
      </c>
      <c r="K98" s="60">
        <f>IF(INPUT_PRODUCT!C111="";"";VLOOKUP(INPUT_PRODUCT!C111;PRODUCT!B:I;8;FALSE))</f>
        <v/>
      </c>
      <c r="L98" s="62">
        <f>IF(INPUT_PRODUCT!C111="";"";VLOOKUP(INPUT_PRODUCT!C111;PRODUCT!B:J;9;FALSE))</f>
        <v/>
      </c>
      <c r="M98" s="62">
        <f>IF(INPUT_PRODUCT!C111="";"";VLOOKUP(INPUT_PRODUCT!C111;PRODUCT!B:K;10;FALSE))</f>
        <v/>
      </c>
      <c r="N98" s="62">
        <f>IF(INPUT_PRODUCT!C111="";"";VLOOKUP(INPUT_PRODUCT!C111;PRODUCT!B:L;11;FALSE))</f>
        <v/>
      </c>
      <c r="O98" s="62">
        <f>IF(INPUT_PRODUCT!C111="";"";VLOOKUP(INPUT_PRODUCT!C111;PRODUCT!B:O;14;FALSE))</f>
        <v/>
      </c>
      <c r="P98" s="63">
        <f>IF(INPUT_PRODUCT!C111="";"";VLOOKUP(INPUT_PRODUCT!C111;PRODUCT!B:P;15;FALSE))</f>
        <v/>
      </c>
      <c r="Q98" s="63">
        <f>IF(INPUT_PRODUCT!C111="";"";INPUT_PRODUCT!K111)</f>
        <v/>
      </c>
      <c r="R98" s="63" t="inlineStr"/>
      <c r="S98" s="63">
        <f>IF(INPUT_PRODUCT!C111="";"";IF(O98="";"";O98*(1+Q98+R98)))</f>
        <v/>
      </c>
      <c r="T98" s="63">
        <f>IF(INPUT_PRODUCT!C111="";"";IF(S98="";"";S98*F98))</f>
        <v/>
      </c>
      <c r="U98" s="62">
        <f>CONFIG!$B$2</f>
        <v/>
      </c>
      <c r="V98" s="62">
        <f>IF(INPUT_PRODUCT!C111="";"";IF(S98="";"";S98*U98))</f>
        <v/>
      </c>
      <c r="W98" s="0">
        <f>IF(INPUT_PRODUCT!C111="";"";IF(T98="";"";T98*U98))</f>
        <v/>
      </c>
      <c r="X98" s="0">
        <f>IF(INPUT_PRODUCT!C111="";"";VLOOKUP(INPUT_PRODUCT!C111;PRODUCT!B:T;19;FALSE))</f>
        <v/>
      </c>
      <c r="Y98" s="0">
        <f>IF(INPUT_PRODUCT!C111="";"";INPUT_PRODUCT!L111)</f>
        <v/>
      </c>
    </row>
    <row r="99" ht="15.75" customHeight="1" s="125">
      <c r="A99" s="62">
        <f>IF(INPUT_PRODUCT!C112="";"";INPUT_PRODUCT!A112)</f>
        <v/>
      </c>
      <c r="B99" s="62">
        <f>IF(INPUT_PRODUCT!C112="";"";INPUT_PRODUCT!B112)</f>
        <v/>
      </c>
      <c r="C99" s="62">
        <f>IF(INPUT_PRODUCT!C112="";"";INPUT_PRODUCT!C112)</f>
        <v/>
      </c>
      <c r="D99" s="62">
        <f>IF(INPUT_PRODUCT!C112="";"";INDEX(PRODUCT!A:A;MATCH(INPUT_PRODUCT!C112;PRODUCT!B:B;0)))</f>
        <v/>
      </c>
      <c r="E99" s="62">
        <f>IF(INPUT_PRODUCT!C112="";"";VLOOKUP(INPUT_PRODUCT!C112;PRODUCT!B:C;2;FALSE))</f>
        <v/>
      </c>
      <c r="F99" s="62">
        <f>IF(INPUT_PRODUCT!C112="";"";INPUT_PRODUCT!J112)</f>
        <v/>
      </c>
      <c r="G99" s="62">
        <f>IF(INPUT_PRODUCT!C112="";"";INPUT_PRODUCT!G112)</f>
        <v/>
      </c>
      <c r="H99" s="62">
        <f>IF(INPUT_PRODUCT!C112="";"";VLOOKUP(INPUT_PRODUCT!C112;PRODUCT!B:F;5;FALSE))</f>
        <v/>
      </c>
      <c r="I99" s="62">
        <f>IF(INPUT_PRODUCT!C112="";"";VLOOKUP(INPUT_PRODUCT!C112;PRODUCT!B:G;6;FALSE))</f>
        <v/>
      </c>
      <c r="J99" s="62">
        <f>IF(INPUT_PRODUCT!C112="";"";VLOOKUP(INPUT_PRODUCT!C112;PRODUCT!B:H;7;FALSE))</f>
        <v/>
      </c>
      <c r="K99" s="60">
        <f>IF(INPUT_PRODUCT!C112="";"";VLOOKUP(INPUT_PRODUCT!C112;PRODUCT!B:I;8;FALSE))</f>
        <v/>
      </c>
      <c r="L99" s="62">
        <f>IF(INPUT_PRODUCT!C112="";"";VLOOKUP(INPUT_PRODUCT!C112;PRODUCT!B:J;9;FALSE))</f>
        <v/>
      </c>
      <c r="M99" s="62">
        <f>IF(INPUT_PRODUCT!C112="";"";VLOOKUP(INPUT_PRODUCT!C112;PRODUCT!B:K;10;FALSE))</f>
        <v/>
      </c>
      <c r="N99" s="62">
        <f>IF(INPUT_PRODUCT!C112="";"";VLOOKUP(INPUT_PRODUCT!C112;PRODUCT!B:L;11;FALSE))</f>
        <v/>
      </c>
      <c r="O99" s="62">
        <f>IF(INPUT_PRODUCT!C112="";"";VLOOKUP(INPUT_PRODUCT!C112;PRODUCT!B:O;14;FALSE))</f>
        <v/>
      </c>
      <c r="P99" s="63">
        <f>IF(INPUT_PRODUCT!C112="";"";VLOOKUP(INPUT_PRODUCT!C112;PRODUCT!B:P;15;FALSE))</f>
        <v/>
      </c>
      <c r="Q99" s="63">
        <f>IF(INPUT_PRODUCT!C112="";"";INPUT_PRODUCT!K112)</f>
        <v/>
      </c>
      <c r="R99" s="63" t="inlineStr"/>
      <c r="S99" s="63">
        <f>IF(INPUT_PRODUCT!C112="";"";IF(O99="";"";O99*(1+Q99+R99)))</f>
        <v/>
      </c>
      <c r="T99" s="63">
        <f>IF(INPUT_PRODUCT!C112="";"";IF(S99="";"";S99*F99))</f>
        <v/>
      </c>
      <c r="U99" s="62">
        <f>CONFIG!$B$2</f>
        <v/>
      </c>
      <c r="V99" s="62">
        <f>IF(INPUT_PRODUCT!C112="";"";IF(S99="";"";S99*U99))</f>
        <v/>
      </c>
      <c r="W99" s="0">
        <f>IF(INPUT_PRODUCT!C112="";"";IF(T99="";"";T99*U99))</f>
        <v/>
      </c>
      <c r="X99" s="0">
        <f>IF(INPUT_PRODUCT!C112="";"";VLOOKUP(INPUT_PRODUCT!C112;PRODUCT!B:T;19;FALSE))</f>
        <v/>
      </c>
      <c r="Y99" s="0">
        <f>IF(INPUT_PRODUCT!C112="";"";INPUT_PRODUCT!L112)</f>
        <v/>
      </c>
    </row>
    <row r="100" ht="15.75" customHeight="1" s="125">
      <c r="A100" s="62">
        <f>IF(INPUT_PRODUCT!C113="";"";INPUT_PRODUCT!A113)</f>
        <v/>
      </c>
      <c r="B100" s="62">
        <f>IF(INPUT_PRODUCT!C113="";"";INPUT_PRODUCT!B113)</f>
        <v/>
      </c>
      <c r="C100" s="62">
        <f>IF(INPUT_PRODUCT!C113="";"";INPUT_PRODUCT!C113)</f>
        <v/>
      </c>
      <c r="D100" s="62">
        <f>IF(INPUT_PRODUCT!C113="";"";INDEX(PRODUCT!A:A;MATCH(INPUT_PRODUCT!C113;PRODUCT!B:B;0)))</f>
        <v/>
      </c>
      <c r="E100" s="62">
        <f>IF(INPUT_PRODUCT!C113="";"";VLOOKUP(INPUT_PRODUCT!C113;PRODUCT!B:C;2;FALSE))</f>
        <v/>
      </c>
      <c r="F100" s="62">
        <f>IF(INPUT_PRODUCT!C113="";"";INPUT_PRODUCT!J113)</f>
        <v/>
      </c>
      <c r="G100" s="62">
        <f>IF(INPUT_PRODUCT!C113="";"";INPUT_PRODUCT!G113)</f>
        <v/>
      </c>
      <c r="H100" s="62">
        <f>IF(INPUT_PRODUCT!C113="";"";VLOOKUP(INPUT_PRODUCT!C113;PRODUCT!B:F;5;FALSE))</f>
        <v/>
      </c>
      <c r="I100" s="62">
        <f>IF(INPUT_PRODUCT!C113="";"";VLOOKUP(INPUT_PRODUCT!C113;PRODUCT!B:G;6;FALSE))</f>
        <v/>
      </c>
      <c r="J100" s="62">
        <f>IF(INPUT_PRODUCT!C113="";"";VLOOKUP(INPUT_PRODUCT!C113;PRODUCT!B:H;7;FALSE))</f>
        <v/>
      </c>
      <c r="K100" s="60">
        <f>IF(INPUT_PRODUCT!C113="";"";VLOOKUP(INPUT_PRODUCT!C113;PRODUCT!B:I;8;FALSE))</f>
        <v/>
      </c>
      <c r="L100" s="62">
        <f>IF(INPUT_PRODUCT!C113="";"";VLOOKUP(INPUT_PRODUCT!C113;PRODUCT!B:J;9;FALSE))</f>
        <v/>
      </c>
      <c r="M100" s="62">
        <f>IF(INPUT_PRODUCT!C113="";"";VLOOKUP(INPUT_PRODUCT!C113;PRODUCT!B:K;10;FALSE))</f>
        <v/>
      </c>
      <c r="N100" s="62">
        <f>IF(INPUT_PRODUCT!C113="";"";VLOOKUP(INPUT_PRODUCT!C113;PRODUCT!B:L;11;FALSE))</f>
        <v/>
      </c>
      <c r="O100" s="62">
        <f>IF(INPUT_PRODUCT!C113="";"";VLOOKUP(INPUT_PRODUCT!C113;PRODUCT!B:O;14;FALSE))</f>
        <v/>
      </c>
      <c r="P100" s="63">
        <f>IF(INPUT_PRODUCT!C113="";"";VLOOKUP(INPUT_PRODUCT!C113;PRODUCT!B:P;15;FALSE))</f>
        <v/>
      </c>
      <c r="Q100" s="63">
        <f>IF(INPUT_PRODUCT!C113="";"";INPUT_PRODUCT!K113)</f>
        <v/>
      </c>
      <c r="R100" s="63" t="inlineStr"/>
      <c r="S100" s="63">
        <f>IF(INPUT_PRODUCT!C113="";"";IF(O100="";"";O100*(1+Q100+R100)))</f>
        <v/>
      </c>
      <c r="T100" s="63">
        <f>IF(INPUT_PRODUCT!C113="";"";IF(S100="";"";S100*F100))</f>
        <v/>
      </c>
      <c r="U100" s="62">
        <f>CONFIG!$B$2</f>
        <v/>
      </c>
      <c r="V100" s="62">
        <f>IF(INPUT_PRODUCT!C113="";"";IF(S100="";"";S100*U100))</f>
        <v/>
      </c>
      <c r="W100" s="0">
        <f>IF(INPUT_PRODUCT!C113="";"";IF(T100="";"";T100*U100))</f>
        <v/>
      </c>
      <c r="X100" s="0">
        <f>IF(INPUT_PRODUCT!C113="";"";VLOOKUP(INPUT_PRODUCT!C113;PRODUCT!B:T;19;FALSE))</f>
        <v/>
      </c>
      <c r="Y100" s="0">
        <f>IF(INPUT_PRODUCT!C113="";"";INPUT_PRODUCT!L113)</f>
        <v/>
      </c>
    </row>
    <row r="101" ht="15.75" customHeight="1" s="125">
      <c r="A101" s="62">
        <f>IF(INPUT_PRODUCT!C114="";"";INPUT_PRODUCT!A114)</f>
        <v/>
      </c>
      <c r="B101" s="62">
        <f>IF(INPUT_PRODUCT!C114="";"";INPUT_PRODUCT!B114)</f>
        <v/>
      </c>
      <c r="C101" s="62">
        <f>IF(INPUT_PRODUCT!C114="";"";INPUT_PRODUCT!C114)</f>
        <v/>
      </c>
      <c r="D101" s="62">
        <f>IF(INPUT_PRODUCT!C114="";"";INDEX(PRODUCT!A:A;MATCH(INPUT_PRODUCT!C114;PRODUCT!B:B;0)))</f>
        <v/>
      </c>
      <c r="E101" s="62">
        <f>IF(INPUT_PRODUCT!C114="";"";VLOOKUP(INPUT_PRODUCT!C114;PRODUCT!B:C;2;FALSE))</f>
        <v/>
      </c>
      <c r="F101" s="62">
        <f>IF(INPUT_PRODUCT!C114="";"";INPUT_PRODUCT!J114)</f>
        <v/>
      </c>
      <c r="G101" s="62">
        <f>IF(INPUT_PRODUCT!C114="";"";INPUT_PRODUCT!G114)</f>
        <v/>
      </c>
      <c r="H101" s="62">
        <f>IF(INPUT_PRODUCT!C114="";"";VLOOKUP(INPUT_PRODUCT!C114;PRODUCT!B:F;5;FALSE))</f>
        <v/>
      </c>
      <c r="I101" s="62">
        <f>IF(INPUT_PRODUCT!C114="";"";VLOOKUP(INPUT_PRODUCT!C114;PRODUCT!B:G;6;FALSE))</f>
        <v/>
      </c>
      <c r="J101" s="62">
        <f>IF(INPUT_PRODUCT!C114="";"";VLOOKUP(INPUT_PRODUCT!C114;PRODUCT!B:H;7;FALSE))</f>
        <v/>
      </c>
      <c r="K101" s="60">
        <f>IF(INPUT_PRODUCT!C114="";"";VLOOKUP(INPUT_PRODUCT!C114;PRODUCT!B:I;8;FALSE))</f>
        <v/>
      </c>
      <c r="L101" s="62">
        <f>IF(INPUT_PRODUCT!C114="";"";VLOOKUP(INPUT_PRODUCT!C114;PRODUCT!B:J;9;FALSE))</f>
        <v/>
      </c>
      <c r="M101" s="62">
        <f>IF(INPUT_PRODUCT!C114="";"";VLOOKUP(INPUT_PRODUCT!C114;PRODUCT!B:K;10;FALSE))</f>
        <v/>
      </c>
      <c r="N101" s="62">
        <f>IF(INPUT_PRODUCT!C114="";"";VLOOKUP(INPUT_PRODUCT!C114;PRODUCT!B:L;11;FALSE))</f>
        <v/>
      </c>
      <c r="O101" s="62">
        <f>IF(INPUT_PRODUCT!C114="";"";VLOOKUP(INPUT_PRODUCT!C114;PRODUCT!B:O;14;FALSE))</f>
        <v/>
      </c>
      <c r="P101" s="63">
        <f>IF(INPUT_PRODUCT!C114="";"";VLOOKUP(INPUT_PRODUCT!C114;PRODUCT!B:P;15;FALSE))</f>
        <v/>
      </c>
      <c r="Q101" s="63">
        <f>IF(INPUT_PRODUCT!C114="";"";INPUT_PRODUCT!K114)</f>
        <v/>
      </c>
      <c r="R101" s="63" t="inlineStr"/>
      <c r="S101" s="63">
        <f>IF(INPUT_PRODUCT!C114="";"";IF(O101="";"";O101*(1+Q101+R101)))</f>
        <v/>
      </c>
      <c r="T101" s="63">
        <f>IF(INPUT_PRODUCT!C114="";"";IF(S101="";"";S101*F101))</f>
        <v/>
      </c>
      <c r="U101" s="62">
        <f>CONFIG!$B$2</f>
        <v/>
      </c>
      <c r="V101" s="62">
        <f>IF(INPUT_PRODUCT!C114="";"";IF(S101="";"";S101*U101))</f>
        <v/>
      </c>
      <c r="W101" s="0">
        <f>IF(INPUT_PRODUCT!C114="";"";IF(T101="";"";T101*U101))</f>
        <v/>
      </c>
      <c r="X101" s="0">
        <f>IF(INPUT_PRODUCT!C114="";"";VLOOKUP(INPUT_PRODUCT!C114;PRODUCT!B:T;19;FALSE))</f>
        <v/>
      </c>
      <c r="Y101" s="0">
        <f>IF(INPUT_PRODUCT!C114="";"";INPUT_PRODUCT!L114)</f>
        <v/>
      </c>
    </row>
    <row r="102" ht="15.75" customHeight="1" s="125">
      <c r="A102" s="62">
        <f>IF(INPUT_PRODUCT!C115="";"";INPUT_PRODUCT!A115)</f>
        <v/>
      </c>
      <c r="B102" s="62">
        <f>IF(INPUT_PRODUCT!C115="";"";INPUT_PRODUCT!B115)</f>
        <v/>
      </c>
      <c r="C102" s="62">
        <f>IF(INPUT_PRODUCT!C115="";"";INPUT_PRODUCT!C115)</f>
        <v/>
      </c>
      <c r="D102" s="62">
        <f>IF(INPUT_PRODUCT!C115="";"";INDEX(PRODUCT!A:A;MATCH(INPUT_PRODUCT!C115;PRODUCT!B:B;0)))</f>
        <v/>
      </c>
      <c r="E102" s="62">
        <f>IF(INPUT_PRODUCT!C115="";"";VLOOKUP(INPUT_PRODUCT!C115;PRODUCT!B:C;2;FALSE))</f>
        <v/>
      </c>
      <c r="F102" s="62">
        <f>IF(INPUT_PRODUCT!C115="";"";INPUT_PRODUCT!J115)</f>
        <v/>
      </c>
      <c r="G102" s="62">
        <f>IF(INPUT_PRODUCT!C115="";"";INPUT_PRODUCT!G115)</f>
        <v/>
      </c>
      <c r="H102" s="62">
        <f>IF(INPUT_PRODUCT!C115="";"";VLOOKUP(INPUT_PRODUCT!C115;PRODUCT!B:F;5;FALSE))</f>
        <v/>
      </c>
      <c r="I102" s="62">
        <f>IF(INPUT_PRODUCT!C115="";"";VLOOKUP(INPUT_PRODUCT!C115;PRODUCT!B:G;6;FALSE))</f>
        <v/>
      </c>
      <c r="J102" s="62">
        <f>IF(INPUT_PRODUCT!C115="";"";VLOOKUP(INPUT_PRODUCT!C115;PRODUCT!B:H;7;FALSE))</f>
        <v/>
      </c>
      <c r="K102" s="60">
        <f>IF(INPUT_PRODUCT!C115="";"";VLOOKUP(INPUT_PRODUCT!C115;PRODUCT!B:I;8;FALSE))</f>
        <v/>
      </c>
      <c r="L102" s="62">
        <f>IF(INPUT_PRODUCT!C115="";"";VLOOKUP(INPUT_PRODUCT!C115;PRODUCT!B:J;9;FALSE))</f>
        <v/>
      </c>
      <c r="M102" s="62">
        <f>IF(INPUT_PRODUCT!C115="";"";VLOOKUP(INPUT_PRODUCT!C115;PRODUCT!B:K;10;FALSE))</f>
        <v/>
      </c>
      <c r="N102" s="62">
        <f>IF(INPUT_PRODUCT!C115="";"";VLOOKUP(INPUT_PRODUCT!C115;PRODUCT!B:L;11;FALSE))</f>
        <v/>
      </c>
      <c r="O102" s="62">
        <f>IF(INPUT_PRODUCT!C115="";"";VLOOKUP(INPUT_PRODUCT!C115;PRODUCT!B:O;14;FALSE))</f>
        <v/>
      </c>
      <c r="P102" s="63">
        <f>IF(INPUT_PRODUCT!C115="";"";VLOOKUP(INPUT_PRODUCT!C115;PRODUCT!B:P;15;FALSE))</f>
        <v/>
      </c>
      <c r="Q102" s="63">
        <f>IF(INPUT_PRODUCT!C115="";"";INPUT_PRODUCT!K115)</f>
        <v/>
      </c>
      <c r="R102" s="63" t="inlineStr"/>
      <c r="S102" s="63">
        <f>IF(INPUT_PRODUCT!C115="";"";IF(O102="";"";O102*(1+Q102+R102)))</f>
        <v/>
      </c>
      <c r="T102" s="63">
        <f>IF(INPUT_PRODUCT!C115="";"";IF(S102="";"";S102*F102))</f>
        <v/>
      </c>
      <c r="U102" s="62">
        <f>CONFIG!$B$2</f>
        <v/>
      </c>
      <c r="V102" s="62">
        <f>IF(INPUT_PRODUCT!C115="";"";IF(S102="";"";S102*U102))</f>
        <v/>
      </c>
      <c r="W102" s="0">
        <f>IF(INPUT_PRODUCT!C115="";"";IF(T102="";"";T102*U102))</f>
        <v/>
      </c>
      <c r="X102" s="0">
        <f>IF(INPUT_PRODUCT!C115="";"";VLOOKUP(INPUT_PRODUCT!C115;PRODUCT!B:T;19;FALSE))</f>
        <v/>
      </c>
      <c r="Y102" s="0">
        <f>IF(INPUT_PRODUCT!C115="";"";INPUT_PRODUCT!L115)</f>
        <v/>
      </c>
    </row>
    <row r="103" ht="15.75" customHeight="1" s="125">
      <c r="A103" s="62">
        <f>IF(INPUT_PRODUCT!C116="";"";INPUT_PRODUCT!A116)</f>
        <v/>
      </c>
      <c r="B103" s="62">
        <f>IF(INPUT_PRODUCT!C116="";"";INPUT_PRODUCT!B116)</f>
        <v/>
      </c>
      <c r="C103" s="62">
        <f>IF(INPUT_PRODUCT!C116="";"";INPUT_PRODUCT!C116)</f>
        <v/>
      </c>
      <c r="D103" s="62">
        <f>IF(INPUT_PRODUCT!C116="";"";INDEX(PRODUCT!A:A;MATCH(INPUT_PRODUCT!C116;PRODUCT!B:B;0)))</f>
        <v/>
      </c>
      <c r="E103" s="62">
        <f>IF(INPUT_PRODUCT!C116="";"";VLOOKUP(INPUT_PRODUCT!C116;PRODUCT!B:C;2;FALSE))</f>
        <v/>
      </c>
      <c r="F103" s="62">
        <f>IF(INPUT_PRODUCT!C116="";"";INPUT_PRODUCT!J116)</f>
        <v/>
      </c>
      <c r="G103" s="62">
        <f>IF(INPUT_PRODUCT!C116="";"";INPUT_PRODUCT!G116)</f>
        <v/>
      </c>
      <c r="H103" s="62">
        <f>IF(INPUT_PRODUCT!C116="";"";VLOOKUP(INPUT_PRODUCT!C116;PRODUCT!B:F;5;FALSE))</f>
        <v/>
      </c>
      <c r="I103" s="62">
        <f>IF(INPUT_PRODUCT!C116="";"";VLOOKUP(INPUT_PRODUCT!C116;PRODUCT!B:G;6;FALSE))</f>
        <v/>
      </c>
      <c r="J103" s="62">
        <f>IF(INPUT_PRODUCT!C116="";"";VLOOKUP(INPUT_PRODUCT!C116;PRODUCT!B:H;7;FALSE))</f>
        <v/>
      </c>
      <c r="K103" s="60">
        <f>IF(INPUT_PRODUCT!C116="";"";VLOOKUP(INPUT_PRODUCT!C116;PRODUCT!B:I;8;FALSE))</f>
        <v/>
      </c>
      <c r="L103" s="62">
        <f>IF(INPUT_PRODUCT!C116="";"";VLOOKUP(INPUT_PRODUCT!C116;PRODUCT!B:J;9;FALSE))</f>
        <v/>
      </c>
      <c r="M103" s="62">
        <f>IF(INPUT_PRODUCT!C116="";"";VLOOKUP(INPUT_PRODUCT!C116;PRODUCT!B:K;10;FALSE))</f>
        <v/>
      </c>
      <c r="N103" s="62">
        <f>IF(INPUT_PRODUCT!C116="";"";VLOOKUP(INPUT_PRODUCT!C116;PRODUCT!B:L;11;FALSE))</f>
        <v/>
      </c>
      <c r="O103" s="62">
        <f>IF(INPUT_PRODUCT!C116="";"";VLOOKUP(INPUT_PRODUCT!C116;PRODUCT!B:O;14;FALSE))</f>
        <v/>
      </c>
      <c r="P103" s="63">
        <f>IF(INPUT_PRODUCT!C116="";"";VLOOKUP(INPUT_PRODUCT!C116;PRODUCT!B:P;15;FALSE))</f>
        <v/>
      </c>
      <c r="Q103" s="63">
        <f>IF(INPUT_PRODUCT!C116="";"";INPUT_PRODUCT!K116)</f>
        <v/>
      </c>
      <c r="R103" s="63" t="inlineStr"/>
      <c r="S103" s="63">
        <f>IF(INPUT_PRODUCT!C116="";"";IF(O103="";"";O103*(1+Q103+R103)))</f>
        <v/>
      </c>
      <c r="T103" s="63">
        <f>IF(INPUT_PRODUCT!C116="";"";IF(S103="";"";S103*F103))</f>
        <v/>
      </c>
      <c r="U103" s="62">
        <f>CONFIG!$B$2</f>
        <v/>
      </c>
      <c r="V103" s="62">
        <f>IF(INPUT_PRODUCT!C116="";"";IF(S103="";"";S103*U103))</f>
        <v/>
      </c>
      <c r="W103" s="0">
        <f>IF(INPUT_PRODUCT!C116="";"";IF(T103="";"";T103*U103))</f>
        <v/>
      </c>
      <c r="X103" s="0">
        <f>IF(INPUT_PRODUCT!C116="";"";VLOOKUP(INPUT_PRODUCT!C116;PRODUCT!B:T;19;FALSE))</f>
        <v/>
      </c>
      <c r="Y103" s="0">
        <f>IF(INPUT_PRODUCT!C116="";"";INPUT_PRODUCT!L116)</f>
        <v/>
      </c>
    </row>
    <row r="104" ht="15.75" customHeight="1" s="125">
      <c r="A104" s="62">
        <f>IF(INPUT_PRODUCT!C117="";"";INPUT_PRODUCT!A117)</f>
        <v/>
      </c>
      <c r="B104" s="62">
        <f>IF(INPUT_PRODUCT!C117="";"";INPUT_PRODUCT!B117)</f>
        <v/>
      </c>
      <c r="C104" s="62">
        <f>IF(INPUT_PRODUCT!C117="";"";INPUT_PRODUCT!C117)</f>
        <v/>
      </c>
      <c r="D104" s="62">
        <f>IF(INPUT_PRODUCT!C117="";"";INDEX(PRODUCT!A:A;MATCH(INPUT_PRODUCT!C117;PRODUCT!B:B;0)))</f>
        <v/>
      </c>
      <c r="E104" s="62">
        <f>IF(INPUT_PRODUCT!C117="";"";VLOOKUP(INPUT_PRODUCT!C117;PRODUCT!B:C;2;FALSE))</f>
        <v/>
      </c>
      <c r="F104" s="62">
        <f>IF(INPUT_PRODUCT!C117="";"";INPUT_PRODUCT!J117)</f>
        <v/>
      </c>
      <c r="G104" s="62">
        <f>IF(INPUT_PRODUCT!C117="";"";INPUT_PRODUCT!G117)</f>
        <v/>
      </c>
      <c r="H104" s="62">
        <f>IF(INPUT_PRODUCT!C117="";"";VLOOKUP(INPUT_PRODUCT!C117;PRODUCT!B:F;5;FALSE))</f>
        <v/>
      </c>
      <c r="I104" s="62">
        <f>IF(INPUT_PRODUCT!C117="";"";VLOOKUP(INPUT_PRODUCT!C117;PRODUCT!B:G;6;FALSE))</f>
        <v/>
      </c>
      <c r="J104" s="62">
        <f>IF(INPUT_PRODUCT!C117="";"";VLOOKUP(INPUT_PRODUCT!C117;PRODUCT!B:H;7;FALSE))</f>
        <v/>
      </c>
      <c r="K104" s="60">
        <f>IF(INPUT_PRODUCT!C117="";"";VLOOKUP(INPUT_PRODUCT!C117;PRODUCT!B:I;8;FALSE))</f>
        <v/>
      </c>
      <c r="L104" s="62">
        <f>IF(INPUT_PRODUCT!C117="";"";VLOOKUP(INPUT_PRODUCT!C117;PRODUCT!B:J;9;FALSE))</f>
        <v/>
      </c>
      <c r="M104" s="62">
        <f>IF(INPUT_PRODUCT!C117="";"";VLOOKUP(INPUT_PRODUCT!C117;PRODUCT!B:K;10;FALSE))</f>
        <v/>
      </c>
      <c r="N104" s="62">
        <f>IF(INPUT_PRODUCT!C117="";"";VLOOKUP(INPUT_PRODUCT!C117;PRODUCT!B:L;11;FALSE))</f>
        <v/>
      </c>
      <c r="O104" s="62">
        <f>IF(INPUT_PRODUCT!C117="";"";VLOOKUP(INPUT_PRODUCT!C117;PRODUCT!B:O;14;FALSE))</f>
        <v/>
      </c>
      <c r="P104" s="63">
        <f>IF(INPUT_PRODUCT!C117="";"";VLOOKUP(INPUT_PRODUCT!C117;PRODUCT!B:P;15;FALSE))</f>
        <v/>
      </c>
      <c r="Q104" s="63">
        <f>IF(INPUT_PRODUCT!C117="";"";INPUT_PRODUCT!K117)</f>
        <v/>
      </c>
      <c r="R104" s="63" t="inlineStr"/>
      <c r="S104" s="63">
        <f>IF(INPUT_PRODUCT!C117="";"";IF(O104="";"";O104*(1+Q104+R104)))</f>
        <v/>
      </c>
      <c r="T104" s="63">
        <f>IF(INPUT_PRODUCT!C117="";"";IF(S104="";"";S104*F104))</f>
        <v/>
      </c>
      <c r="U104" s="62">
        <f>CONFIG!$B$2</f>
        <v/>
      </c>
      <c r="V104" s="62">
        <f>IF(INPUT_PRODUCT!C117="";"";IF(S104="";"";S104*U104))</f>
        <v/>
      </c>
      <c r="W104" s="0">
        <f>IF(INPUT_PRODUCT!C117="";"";IF(T104="";"";T104*U104))</f>
        <v/>
      </c>
      <c r="X104" s="0">
        <f>IF(INPUT_PRODUCT!C117="";"";VLOOKUP(INPUT_PRODUCT!C117;PRODUCT!B:T;19;FALSE))</f>
        <v/>
      </c>
      <c r="Y104" s="0">
        <f>IF(INPUT_PRODUCT!C117="";"";INPUT_PRODUCT!L117)</f>
        <v/>
      </c>
    </row>
    <row r="105" ht="15.75" customHeight="1" s="125">
      <c r="A105" s="62">
        <f>IF(INPUT_PRODUCT!C118="";"";INPUT_PRODUCT!A118)</f>
        <v/>
      </c>
      <c r="B105" s="62">
        <f>IF(INPUT_PRODUCT!C118="";"";INPUT_PRODUCT!B118)</f>
        <v/>
      </c>
      <c r="C105" s="62">
        <f>IF(INPUT_PRODUCT!C118="";"";INPUT_PRODUCT!C118)</f>
        <v/>
      </c>
      <c r="D105" s="62">
        <f>IF(INPUT_PRODUCT!C118="";"";INDEX(PRODUCT!A:A;MATCH(INPUT_PRODUCT!C118;PRODUCT!B:B;0)))</f>
        <v/>
      </c>
      <c r="E105" s="62">
        <f>IF(INPUT_PRODUCT!C118="";"";VLOOKUP(INPUT_PRODUCT!C118;PRODUCT!B:C;2;FALSE))</f>
        <v/>
      </c>
      <c r="F105" s="62">
        <f>IF(INPUT_PRODUCT!C118="";"";INPUT_PRODUCT!J118)</f>
        <v/>
      </c>
      <c r="G105" s="62">
        <f>IF(INPUT_PRODUCT!C118="";"";INPUT_PRODUCT!G118)</f>
        <v/>
      </c>
      <c r="H105" s="62">
        <f>IF(INPUT_PRODUCT!C118="";"";VLOOKUP(INPUT_PRODUCT!C118;PRODUCT!B:F;5;FALSE))</f>
        <v/>
      </c>
      <c r="I105" s="62">
        <f>IF(INPUT_PRODUCT!C118="";"";VLOOKUP(INPUT_PRODUCT!C118;PRODUCT!B:G;6;FALSE))</f>
        <v/>
      </c>
      <c r="J105" s="62">
        <f>IF(INPUT_PRODUCT!C118="";"";VLOOKUP(INPUT_PRODUCT!C118;PRODUCT!B:H;7;FALSE))</f>
        <v/>
      </c>
      <c r="K105" s="60">
        <f>IF(INPUT_PRODUCT!C118="";"";VLOOKUP(INPUT_PRODUCT!C118;PRODUCT!B:I;8;FALSE))</f>
        <v/>
      </c>
      <c r="L105" s="62">
        <f>IF(INPUT_PRODUCT!C118="";"";VLOOKUP(INPUT_PRODUCT!C118;PRODUCT!B:J;9;FALSE))</f>
        <v/>
      </c>
      <c r="M105" s="62">
        <f>IF(INPUT_PRODUCT!C118="";"";VLOOKUP(INPUT_PRODUCT!C118;PRODUCT!B:K;10;FALSE))</f>
        <v/>
      </c>
      <c r="N105" s="62">
        <f>IF(INPUT_PRODUCT!C118="";"";VLOOKUP(INPUT_PRODUCT!C118;PRODUCT!B:L;11;FALSE))</f>
        <v/>
      </c>
      <c r="O105" s="62">
        <f>IF(INPUT_PRODUCT!C118="";"";VLOOKUP(INPUT_PRODUCT!C118;PRODUCT!B:O;14;FALSE))</f>
        <v/>
      </c>
      <c r="P105" s="63">
        <f>IF(INPUT_PRODUCT!C118="";"";VLOOKUP(INPUT_PRODUCT!C118;PRODUCT!B:P;15;FALSE))</f>
        <v/>
      </c>
      <c r="Q105" s="63">
        <f>IF(INPUT_PRODUCT!C118="";"";INPUT_PRODUCT!K118)</f>
        <v/>
      </c>
      <c r="R105" s="63" t="inlineStr"/>
      <c r="S105" s="63">
        <f>IF(INPUT_PRODUCT!C118="";"";IF(O105="";"";O105*(1+Q105+R105)))</f>
        <v/>
      </c>
      <c r="T105" s="63">
        <f>IF(INPUT_PRODUCT!C118="";"";IF(S105="";"";S105*F105))</f>
        <v/>
      </c>
      <c r="U105" s="62">
        <f>CONFIG!$B$2</f>
        <v/>
      </c>
      <c r="V105" s="62">
        <f>IF(INPUT_PRODUCT!C118="";"";IF(S105="";"";S105*U105))</f>
        <v/>
      </c>
      <c r="W105" s="0">
        <f>IF(INPUT_PRODUCT!C118="";"";IF(T105="";"";T105*U105))</f>
        <v/>
      </c>
      <c r="X105" s="0">
        <f>IF(INPUT_PRODUCT!C118="";"";VLOOKUP(INPUT_PRODUCT!C118;PRODUCT!B:T;19;FALSE))</f>
        <v/>
      </c>
      <c r="Y105" s="0">
        <f>IF(INPUT_PRODUCT!C118="";"";INPUT_PRODUCT!L118)</f>
        <v/>
      </c>
    </row>
    <row r="106" ht="15.75" customHeight="1" s="125">
      <c r="A106" s="62">
        <f>IF(INPUT_PRODUCT!C119="";"";INPUT_PRODUCT!A119)</f>
        <v/>
      </c>
      <c r="B106" s="62">
        <f>IF(INPUT_PRODUCT!C119="";"";INPUT_PRODUCT!B119)</f>
        <v/>
      </c>
      <c r="C106" s="62">
        <f>IF(INPUT_PRODUCT!C119="";"";INPUT_PRODUCT!C119)</f>
        <v/>
      </c>
      <c r="D106" s="62">
        <f>IF(INPUT_PRODUCT!C119="";"";INDEX(PRODUCT!A:A;MATCH(INPUT_PRODUCT!C119;PRODUCT!B:B;0)))</f>
        <v/>
      </c>
      <c r="E106" s="62">
        <f>IF(INPUT_PRODUCT!C119="";"";VLOOKUP(INPUT_PRODUCT!C119;PRODUCT!B:C;2;FALSE))</f>
        <v/>
      </c>
      <c r="F106" s="62">
        <f>IF(INPUT_PRODUCT!C119="";"";INPUT_PRODUCT!J119)</f>
        <v/>
      </c>
      <c r="G106" s="62">
        <f>IF(INPUT_PRODUCT!C119="";"";INPUT_PRODUCT!G119)</f>
        <v/>
      </c>
      <c r="H106" s="62">
        <f>IF(INPUT_PRODUCT!C119="";"";VLOOKUP(INPUT_PRODUCT!C119;PRODUCT!B:F;5;FALSE))</f>
        <v/>
      </c>
      <c r="I106" s="62">
        <f>IF(INPUT_PRODUCT!C119="";"";VLOOKUP(INPUT_PRODUCT!C119;PRODUCT!B:G;6;FALSE))</f>
        <v/>
      </c>
      <c r="J106" s="62">
        <f>IF(INPUT_PRODUCT!C119="";"";VLOOKUP(INPUT_PRODUCT!C119;PRODUCT!B:H;7;FALSE))</f>
        <v/>
      </c>
      <c r="K106" s="60">
        <f>IF(INPUT_PRODUCT!C119="";"";VLOOKUP(INPUT_PRODUCT!C119;PRODUCT!B:I;8;FALSE))</f>
        <v/>
      </c>
      <c r="L106" s="62">
        <f>IF(INPUT_PRODUCT!C119="";"";VLOOKUP(INPUT_PRODUCT!C119;PRODUCT!B:J;9;FALSE))</f>
        <v/>
      </c>
      <c r="M106" s="62">
        <f>IF(INPUT_PRODUCT!C119="";"";VLOOKUP(INPUT_PRODUCT!C119;PRODUCT!B:K;10;FALSE))</f>
        <v/>
      </c>
      <c r="N106" s="62">
        <f>IF(INPUT_PRODUCT!C119="";"";VLOOKUP(INPUT_PRODUCT!C119;PRODUCT!B:L;11;FALSE))</f>
        <v/>
      </c>
      <c r="O106" s="62">
        <f>IF(INPUT_PRODUCT!C119="";"";VLOOKUP(INPUT_PRODUCT!C119;PRODUCT!B:O;14;FALSE))</f>
        <v/>
      </c>
      <c r="P106" s="63">
        <f>IF(INPUT_PRODUCT!C119="";"";VLOOKUP(INPUT_PRODUCT!C119;PRODUCT!B:P;15;FALSE))</f>
        <v/>
      </c>
      <c r="Q106" s="63">
        <f>IF(INPUT_PRODUCT!C119="";"";INPUT_PRODUCT!K119)</f>
        <v/>
      </c>
      <c r="R106" s="63" t="inlineStr"/>
      <c r="S106" s="63">
        <f>IF(INPUT_PRODUCT!C119="";"";IF(O106="";"";O106*(1+Q106+R106)))</f>
        <v/>
      </c>
      <c r="T106" s="63">
        <f>IF(INPUT_PRODUCT!C119="";"";IF(S106="";"";S106*F106))</f>
        <v/>
      </c>
      <c r="U106" s="62">
        <f>CONFIG!$B$2</f>
        <v/>
      </c>
      <c r="V106" s="62">
        <f>IF(INPUT_PRODUCT!C119="";"";IF(S106="";"";S106*U106))</f>
        <v/>
      </c>
      <c r="W106" s="0">
        <f>IF(INPUT_PRODUCT!C119="";"";IF(T106="";"";T106*U106))</f>
        <v/>
      </c>
      <c r="X106" s="0">
        <f>IF(INPUT_PRODUCT!C119="";"";VLOOKUP(INPUT_PRODUCT!C119;PRODUCT!B:T;19;FALSE))</f>
        <v/>
      </c>
      <c r="Y106" s="0">
        <f>IF(INPUT_PRODUCT!C119="";"";INPUT_PRODUCT!L119)</f>
        <v/>
      </c>
    </row>
    <row r="107" ht="15.75" customHeight="1" s="125">
      <c r="A107" s="62">
        <f>IF(INPUT_PRODUCT!C120="";"";INPUT_PRODUCT!A120)</f>
        <v/>
      </c>
      <c r="B107" s="62">
        <f>IF(INPUT_PRODUCT!C120="";"";INPUT_PRODUCT!B120)</f>
        <v/>
      </c>
      <c r="C107" s="62">
        <f>IF(INPUT_PRODUCT!C120="";"";INPUT_PRODUCT!C120)</f>
        <v/>
      </c>
      <c r="D107" s="62">
        <f>IF(INPUT_PRODUCT!C120="";"";INDEX(PRODUCT!A:A;MATCH(INPUT_PRODUCT!C120;PRODUCT!B:B;0)))</f>
        <v/>
      </c>
      <c r="E107" s="62">
        <f>IF(INPUT_PRODUCT!C120="";"";VLOOKUP(INPUT_PRODUCT!C120;PRODUCT!B:C;2;FALSE))</f>
        <v/>
      </c>
      <c r="F107" s="62">
        <f>IF(INPUT_PRODUCT!C120="";"";INPUT_PRODUCT!J120)</f>
        <v/>
      </c>
      <c r="G107" s="62">
        <f>IF(INPUT_PRODUCT!C120="";"";INPUT_PRODUCT!G120)</f>
        <v/>
      </c>
      <c r="H107" s="62">
        <f>IF(INPUT_PRODUCT!C120="";"";VLOOKUP(INPUT_PRODUCT!C120;PRODUCT!B:F;5;FALSE))</f>
        <v/>
      </c>
      <c r="I107" s="62">
        <f>IF(INPUT_PRODUCT!C120="";"";VLOOKUP(INPUT_PRODUCT!C120;PRODUCT!B:G;6;FALSE))</f>
        <v/>
      </c>
      <c r="J107" s="62">
        <f>IF(INPUT_PRODUCT!C120="";"";VLOOKUP(INPUT_PRODUCT!C120;PRODUCT!B:H;7;FALSE))</f>
        <v/>
      </c>
      <c r="K107" s="60">
        <f>IF(INPUT_PRODUCT!C120="";"";VLOOKUP(INPUT_PRODUCT!C120;PRODUCT!B:I;8;FALSE))</f>
        <v/>
      </c>
      <c r="L107" s="62">
        <f>IF(INPUT_PRODUCT!C120="";"";VLOOKUP(INPUT_PRODUCT!C120;PRODUCT!B:J;9;FALSE))</f>
        <v/>
      </c>
      <c r="M107" s="62">
        <f>IF(INPUT_PRODUCT!C120="";"";VLOOKUP(INPUT_PRODUCT!C120;PRODUCT!B:K;10;FALSE))</f>
        <v/>
      </c>
      <c r="N107" s="62">
        <f>IF(INPUT_PRODUCT!C120="";"";VLOOKUP(INPUT_PRODUCT!C120;PRODUCT!B:L;11;FALSE))</f>
        <v/>
      </c>
      <c r="O107" s="62">
        <f>IF(INPUT_PRODUCT!C120="";"";VLOOKUP(INPUT_PRODUCT!C120;PRODUCT!B:O;14;FALSE))</f>
        <v/>
      </c>
      <c r="P107" s="63">
        <f>IF(INPUT_PRODUCT!C120="";"";VLOOKUP(INPUT_PRODUCT!C120;PRODUCT!B:P;15;FALSE))</f>
        <v/>
      </c>
      <c r="Q107" s="63">
        <f>IF(INPUT_PRODUCT!C120="";"";INPUT_PRODUCT!K120)</f>
        <v/>
      </c>
      <c r="R107" s="63" t="inlineStr"/>
      <c r="S107" s="63">
        <f>IF(INPUT_PRODUCT!C120="";"";IF(O107="";"";O107*(1+Q107+R107)))</f>
        <v/>
      </c>
      <c r="T107" s="63">
        <f>IF(INPUT_PRODUCT!C120="";"";IF(S107="";"";S107*F107))</f>
        <v/>
      </c>
      <c r="U107" s="62">
        <f>CONFIG!$B$2</f>
        <v/>
      </c>
      <c r="V107" s="62">
        <f>IF(INPUT_PRODUCT!C120="";"";IF(S107="";"";S107*U107))</f>
        <v/>
      </c>
      <c r="W107" s="0">
        <f>IF(INPUT_PRODUCT!C120="";"";IF(T107="";"";T107*U107))</f>
        <v/>
      </c>
      <c r="X107" s="0">
        <f>IF(INPUT_PRODUCT!C120="";"";VLOOKUP(INPUT_PRODUCT!C120;PRODUCT!B:T;19;FALSE))</f>
        <v/>
      </c>
      <c r="Y107" s="0">
        <f>IF(INPUT_PRODUCT!C120="";"";INPUT_PRODUCT!L120)</f>
        <v/>
      </c>
    </row>
    <row r="108" ht="15.75" customHeight="1" s="125">
      <c r="A108" s="62">
        <f>IF(INPUT_PRODUCT!C121="";"";INPUT_PRODUCT!A121)</f>
        <v/>
      </c>
      <c r="B108" s="62">
        <f>IF(INPUT_PRODUCT!C121="";"";INPUT_PRODUCT!B121)</f>
        <v/>
      </c>
      <c r="C108" s="62">
        <f>IF(INPUT_PRODUCT!C121="";"";INPUT_PRODUCT!C121)</f>
        <v/>
      </c>
      <c r="D108" s="62">
        <f>IF(INPUT_PRODUCT!C121="";"";INDEX(PRODUCT!A:A;MATCH(INPUT_PRODUCT!C121;PRODUCT!B:B;0)))</f>
        <v/>
      </c>
      <c r="E108" s="62">
        <f>IF(INPUT_PRODUCT!C121="";"";VLOOKUP(INPUT_PRODUCT!C121;PRODUCT!B:C;2;FALSE))</f>
        <v/>
      </c>
      <c r="F108" s="62">
        <f>IF(INPUT_PRODUCT!C121="";"";INPUT_PRODUCT!J121)</f>
        <v/>
      </c>
      <c r="G108" s="62">
        <f>IF(INPUT_PRODUCT!C121="";"";INPUT_PRODUCT!G121)</f>
        <v/>
      </c>
      <c r="H108" s="62">
        <f>IF(INPUT_PRODUCT!C121="";"";VLOOKUP(INPUT_PRODUCT!C121;PRODUCT!B:F;5;FALSE))</f>
        <v/>
      </c>
      <c r="I108" s="62">
        <f>IF(INPUT_PRODUCT!C121="";"";VLOOKUP(INPUT_PRODUCT!C121;PRODUCT!B:G;6;FALSE))</f>
        <v/>
      </c>
      <c r="J108" s="62">
        <f>IF(INPUT_PRODUCT!C121="";"";VLOOKUP(INPUT_PRODUCT!C121;PRODUCT!B:H;7;FALSE))</f>
        <v/>
      </c>
      <c r="K108" s="60">
        <f>IF(INPUT_PRODUCT!C121="";"";VLOOKUP(INPUT_PRODUCT!C121;PRODUCT!B:I;8;FALSE))</f>
        <v/>
      </c>
      <c r="L108" s="62">
        <f>IF(INPUT_PRODUCT!C121="";"";VLOOKUP(INPUT_PRODUCT!C121;PRODUCT!B:J;9;FALSE))</f>
        <v/>
      </c>
      <c r="M108" s="62">
        <f>IF(INPUT_PRODUCT!C121="";"";VLOOKUP(INPUT_PRODUCT!C121;PRODUCT!B:K;10;FALSE))</f>
        <v/>
      </c>
      <c r="N108" s="62">
        <f>IF(INPUT_PRODUCT!C121="";"";VLOOKUP(INPUT_PRODUCT!C121;PRODUCT!B:L;11;FALSE))</f>
        <v/>
      </c>
      <c r="O108" s="62">
        <f>IF(INPUT_PRODUCT!C121="";"";VLOOKUP(INPUT_PRODUCT!C121;PRODUCT!B:O;14;FALSE))</f>
        <v/>
      </c>
      <c r="P108" s="63">
        <f>IF(INPUT_PRODUCT!C121="";"";VLOOKUP(INPUT_PRODUCT!C121;PRODUCT!B:P;15;FALSE))</f>
        <v/>
      </c>
      <c r="Q108" s="63">
        <f>IF(INPUT_PRODUCT!C121="";"";INPUT_PRODUCT!K121)</f>
        <v/>
      </c>
      <c r="R108" s="63" t="inlineStr"/>
      <c r="S108" s="63">
        <f>IF(INPUT_PRODUCT!C121="";"";IF(O108="";"";O108*(1+Q108+R108)))</f>
        <v/>
      </c>
      <c r="T108" s="63">
        <f>IF(INPUT_PRODUCT!C121="";"";IF(S108="";"";S108*F108))</f>
        <v/>
      </c>
      <c r="U108" s="62">
        <f>CONFIG!$B$2</f>
        <v/>
      </c>
      <c r="V108" s="62">
        <f>IF(INPUT_PRODUCT!C121="";"";IF(S108="";"";S108*U108))</f>
        <v/>
      </c>
      <c r="W108" s="0">
        <f>IF(INPUT_PRODUCT!C121="";"";IF(T108="";"";T108*U108))</f>
        <v/>
      </c>
      <c r="X108" s="0">
        <f>IF(INPUT_PRODUCT!C121="";"";VLOOKUP(INPUT_PRODUCT!C121;PRODUCT!B:T;19;FALSE))</f>
        <v/>
      </c>
      <c r="Y108" s="0">
        <f>IF(INPUT_PRODUCT!C121="";"";INPUT_PRODUCT!L121)</f>
        <v/>
      </c>
    </row>
    <row r="109" ht="15.75" customHeight="1" s="125">
      <c r="A109" s="62">
        <f>IF(INPUT_PRODUCT!C122="";"";INPUT_PRODUCT!A122)</f>
        <v/>
      </c>
      <c r="B109" s="62">
        <f>IF(INPUT_PRODUCT!C122="";"";INPUT_PRODUCT!B122)</f>
        <v/>
      </c>
      <c r="C109" s="62">
        <f>IF(INPUT_PRODUCT!C122="";"";INPUT_PRODUCT!C122)</f>
        <v/>
      </c>
      <c r="D109" s="62">
        <f>IF(INPUT_PRODUCT!C122="";"";INDEX(PRODUCT!A:A;MATCH(INPUT_PRODUCT!C122;PRODUCT!B:B;0)))</f>
        <v/>
      </c>
      <c r="E109" s="62">
        <f>IF(INPUT_PRODUCT!C122="";"";VLOOKUP(INPUT_PRODUCT!C122;PRODUCT!B:C;2;FALSE))</f>
        <v/>
      </c>
      <c r="F109" s="62">
        <f>IF(INPUT_PRODUCT!C122="";"";INPUT_PRODUCT!J122)</f>
        <v/>
      </c>
      <c r="G109" s="62">
        <f>IF(INPUT_PRODUCT!C122="";"";INPUT_PRODUCT!G122)</f>
        <v/>
      </c>
      <c r="H109" s="62">
        <f>IF(INPUT_PRODUCT!C122="";"";VLOOKUP(INPUT_PRODUCT!C122;PRODUCT!B:F;5;FALSE))</f>
        <v/>
      </c>
      <c r="I109" s="62">
        <f>IF(INPUT_PRODUCT!C122="";"";VLOOKUP(INPUT_PRODUCT!C122;PRODUCT!B:G;6;FALSE))</f>
        <v/>
      </c>
      <c r="J109" s="62">
        <f>IF(INPUT_PRODUCT!C122="";"";VLOOKUP(INPUT_PRODUCT!C122;PRODUCT!B:H;7;FALSE))</f>
        <v/>
      </c>
      <c r="K109" s="60">
        <f>IF(INPUT_PRODUCT!C122="";"";VLOOKUP(INPUT_PRODUCT!C122;PRODUCT!B:I;8;FALSE))</f>
        <v/>
      </c>
      <c r="L109" s="62">
        <f>IF(INPUT_PRODUCT!C122="";"";VLOOKUP(INPUT_PRODUCT!C122;PRODUCT!B:J;9;FALSE))</f>
        <v/>
      </c>
      <c r="M109" s="62">
        <f>IF(INPUT_PRODUCT!C122="";"";VLOOKUP(INPUT_PRODUCT!C122;PRODUCT!B:K;10;FALSE))</f>
        <v/>
      </c>
      <c r="N109" s="62">
        <f>IF(INPUT_PRODUCT!C122="";"";VLOOKUP(INPUT_PRODUCT!C122;PRODUCT!B:L;11;FALSE))</f>
        <v/>
      </c>
      <c r="O109" s="62">
        <f>IF(INPUT_PRODUCT!C122="";"";VLOOKUP(INPUT_PRODUCT!C122;PRODUCT!B:O;14;FALSE))</f>
        <v/>
      </c>
      <c r="P109" s="63">
        <f>IF(INPUT_PRODUCT!C122="";"";VLOOKUP(INPUT_PRODUCT!C122;PRODUCT!B:P;15;FALSE))</f>
        <v/>
      </c>
      <c r="Q109" s="63">
        <f>IF(INPUT_PRODUCT!C122="";"";INPUT_PRODUCT!K122)</f>
        <v/>
      </c>
      <c r="R109" s="63" t="inlineStr"/>
      <c r="S109" s="63">
        <f>IF(INPUT_PRODUCT!C122="";"";IF(O109="";"";O109*(1+Q109+R109)))</f>
        <v/>
      </c>
      <c r="T109" s="63">
        <f>IF(INPUT_PRODUCT!C122="";"";IF(S109="";"";S109*F109))</f>
        <v/>
      </c>
      <c r="U109" s="62">
        <f>CONFIG!$B$2</f>
        <v/>
      </c>
      <c r="V109" s="62">
        <f>IF(INPUT_PRODUCT!C122="";"";IF(S109="";"";S109*U109))</f>
        <v/>
      </c>
      <c r="W109" s="0">
        <f>IF(INPUT_PRODUCT!C122="";"";IF(T109="";"";T109*U109))</f>
        <v/>
      </c>
      <c r="X109" s="0">
        <f>IF(INPUT_PRODUCT!C122="";"";VLOOKUP(INPUT_PRODUCT!C122;PRODUCT!B:T;19;FALSE))</f>
        <v/>
      </c>
      <c r="Y109" s="0">
        <f>IF(INPUT_PRODUCT!C122="";"";INPUT_PRODUCT!L122)</f>
        <v/>
      </c>
    </row>
    <row r="110" ht="15.75" customHeight="1" s="125">
      <c r="A110" s="62">
        <f>IF(INPUT_PRODUCT!C123="";"";INPUT_PRODUCT!A123)</f>
        <v/>
      </c>
      <c r="B110" s="62">
        <f>IF(INPUT_PRODUCT!C123="";"";INPUT_PRODUCT!B123)</f>
        <v/>
      </c>
      <c r="C110" s="62">
        <f>IF(INPUT_PRODUCT!C123="";"";INPUT_PRODUCT!C123)</f>
        <v/>
      </c>
      <c r="D110" s="62">
        <f>IF(INPUT_PRODUCT!C123="";"";INDEX(PRODUCT!A:A;MATCH(INPUT_PRODUCT!C123;PRODUCT!B:B;0)))</f>
        <v/>
      </c>
      <c r="E110" s="62">
        <f>IF(INPUT_PRODUCT!C123="";"";VLOOKUP(INPUT_PRODUCT!C123;PRODUCT!B:C;2;FALSE))</f>
        <v/>
      </c>
      <c r="F110" s="62">
        <f>IF(INPUT_PRODUCT!C123="";"";INPUT_PRODUCT!J123)</f>
        <v/>
      </c>
      <c r="G110" s="62">
        <f>IF(INPUT_PRODUCT!C123="";"";INPUT_PRODUCT!G123)</f>
        <v/>
      </c>
      <c r="H110" s="62">
        <f>IF(INPUT_PRODUCT!C123="";"";VLOOKUP(INPUT_PRODUCT!C123;PRODUCT!B:F;5;FALSE))</f>
        <v/>
      </c>
      <c r="I110" s="62">
        <f>IF(INPUT_PRODUCT!C123="";"";VLOOKUP(INPUT_PRODUCT!C123;PRODUCT!B:G;6;FALSE))</f>
        <v/>
      </c>
      <c r="J110" s="62">
        <f>IF(INPUT_PRODUCT!C123="";"";VLOOKUP(INPUT_PRODUCT!C123;PRODUCT!B:H;7;FALSE))</f>
        <v/>
      </c>
      <c r="K110" s="60">
        <f>IF(INPUT_PRODUCT!C123="";"";VLOOKUP(INPUT_PRODUCT!C123;PRODUCT!B:I;8;FALSE))</f>
        <v/>
      </c>
      <c r="L110" s="62">
        <f>IF(INPUT_PRODUCT!C123="";"";VLOOKUP(INPUT_PRODUCT!C123;PRODUCT!B:J;9;FALSE))</f>
        <v/>
      </c>
      <c r="M110" s="62">
        <f>IF(INPUT_PRODUCT!C123="";"";VLOOKUP(INPUT_PRODUCT!C123;PRODUCT!B:K;10;FALSE))</f>
        <v/>
      </c>
      <c r="N110" s="62">
        <f>IF(INPUT_PRODUCT!C123="";"";VLOOKUP(INPUT_PRODUCT!C123;PRODUCT!B:L;11;FALSE))</f>
        <v/>
      </c>
      <c r="O110" s="62">
        <f>IF(INPUT_PRODUCT!C123="";"";VLOOKUP(INPUT_PRODUCT!C123;PRODUCT!B:O;14;FALSE))</f>
        <v/>
      </c>
      <c r="P110" s="63">
        <f>IF(INPUT_PRODUCT!C123="";"";VLOOKUP(INPUT_PRODUCT!C123;PRODUCT!B:P;15;FALSE))</f>
        <v/>
      </c>
      <c r="Q110" s="63">
        <f>IF(INPUT_PRODUCT!C123="";"";INPUT_PRODUCT!K123)</f>
        <v/>
      </c>
      <c r="R110" s="63" t="inlineStr"/>
      <c r="S110" s="63">
        <f>IF(INPUT_PRODUCT!C123="";"";IF(O110="";"";O110*(1+Q110+R110)))</f>
        <v/>
      </c>
      <c r="T110" s="63">
        <f>IF(INPUT_PRODUCT!C123="";"";IF(S110="";"";S110*F110))</f>
        <v/>
      </c>
      <c r="U110" s="62">
        <f>CONFIG!$B$2</f>
        <v/>
      </c>
      <c r="V110" s="62">
        <f>IF(INPUT_PRODUCT!C123="";"";IF(S110="";"";S110*U110))</f>
        <v/>
      </c>
      <c r="W110" s="0">
        <f>IF(INPUT_PRODUCT!C123="";"";IF(T110="";"";T110*U110))</f>
        <v/>
      </c>
      <c r="X110" s="0">
        <f>IF(INPUT_PRODUCT!C123="";"";VLOOKUP(INPUT_PRODUCT!C123;PRODUCT!B:T;19;FALSE))</f>
        <v/>
      </c>
      <c r="Y110" s="0">
        <f>IF(INPUT_PRODUCT!C123="";"";INPUT_PRODUCT!L123)</f>
        <v/>
      </c>
    </row>
    <row r="111" ht="15.75" customHeight="1" s="125">
      <c r="A111" s="62">
        <f>IF(INPUT_PRODUCT!C124="";"";INPUT_PRODUCT!A124)</f>
        <v/>
      </c>
      <c r="B111" s="62">
        <f>IF(INPUT_PRODUCT!C124="";"";INPUT_PRODUCT!B124)</f>
        <v/>
      </c>
      <c r="C111" s="62">
        <f>IF(INPUT_PRODUCT!C124="";"";INPUT_PRODUCT!C124)</f>
        <v/>
      </c>
      <c r="D111" s="62">
        <f>IF(INPUT_PRODUCT!C124="";"";INDEX(PRODUCT!A:A;MATCH(INPUT_PRODUCT!C124;PRODUCT!B:B;0)))</f>
        <v/>
      </c>
      <c r="E111" s="62">
        <f>IF(INPUT_PRODUCT!C124="";"";VLOOKUP(INPUT_PRODUCT!C124;PRODUCT!B:C;2;FALSE))</f>
        <v/>
      </c>
      <c r="F111" s="62">
        <f>IF(INPUT_PRODUCT!C124="";"";INPUT_PRODUCT!J124)</f>
        <v/>
      </c>
      <c r="G111" s="62">
        <f>IF(INPUT_PRODUCT!C124="";"";INPUT_PRODUCT!G124)</f>
        <v/>
      </c>
      <c r="H111" s="62">
        <f>IF(INPUT_PRODUCT!C124="";"";VLOOKUP(INPUT_PRODUCT!C124;PRODUCT!B:F;5;FALSE))</f>
        <v/>
      </c>
      <c r="I111" s="62">
        <f>IF(INPUT_PRODUCT!C124="";"";VLOOKUP(INPUT_PRODUCT!C124;PRODUCT!B:G;6;FALSE))</f>
        <v/>
      </c>
      <c r="J111" s="62">
        <f>IF(INPUT_PRODUCT!C124="";"";VLOOKUP(INPUT_PRODUCT!C124;PRODUCT!B:H;7;FALSE))</f>
        <v/>
      </c>
      <c r="K111" s="60">
        <f>IF(INPUT_PRODUCT!C124="";"";VLOOKUP(INPUT_PRODUCT!C124;PRODUCT!B:I;8;FALSE))</f>
        <v/>
      </c>
      <c r="L111" s="62">
        <f>IF(INPUT_PRODUCT!C124="";"";VLOOKUP(INPUT_PRODUCT!C124;PRODUCT!B:J;9;FALSE))</f>
        <v/>
      </c>
      <c r="M111" s="62">
        <f>IF(INPUT_PRODUCT!C124="";"";VLOOKUP(INPUT_PRODUCT!C124;PRODUCT!B:K;10;FALSE))</f>
        <v/>
      </c>
      <c r="N111" s="62">
        <f>IF(INPUT_PRODUCT!C124="";"";VLOOKUP(INPUT_PRODUCT!C124;PRODUCT!B:L;11;FALSE))</f>
        <v/>
      </c>
      <c r="O111" s="62">
        <f>IF(INPUT_PRODUCT!C124="";"";VLOOKUP(INPUT_PRODUCT!C124;PRODUCT!B:O;14;FALSE))</f>
        <v/>
      </c>
      <c r="P111" s="63">
        <f>IF(INPUT_PRODUCT!C124="";"";VLOOKUP(INPUT_PRODUCT!C124;PRODUCT!B:P;15;FALSE))</f>
        <v/>
      </c>
      <c r="Q111" s="63">
        <f>IF(INPUT_PRODUCT!C124="";"";INPUT_PRODUCT!K124)</f>
        <v/>
      </c>
      <c r="R111" s="63" t="inlineStr"/>
      <c r="S111" s="63">
        <f>IF(INPUT_PRODUCT!C124="";"";IF(O111="";"";O111*(1+Q111+R111)))</f>
        <v/>
      </c>
      <c r="T111" s="63">
        <f>IF(INPUT_PRODUCT!C124="";"";IF(S111="";"";S111*F111))</f>
        <v/>
      </c>
      <c r="U111" s="62">
        <f>CONFIG!$B$2</f>
        <v/>
      </c>
      <c r="V111" s="62">
        <f>IF(INPUT_PRODUCT!C124="";"";IF(S111="";"";S111*U111))</f>
        <v/>
      </c>
      <c r="W111" s="0">
        <f>IF(INPUT_PRODUCT!C124="";"";IF(T111="";"";T111*U111))</f>
        <v/>
      </c>
      <c r="X111" s="0">
        <f>IF(INPUT_PRODUCT!C124="";"";VLOOKUP(INPUT_PRODUCT!C124;PRODUCT!B:T;19;FALSE))</f>
        <v/>
      </c>
      <c r="Y111" s="0">
        <f>IF(INPUT_PRODUCT!C124="";"";INPUT_PRODUCT!L124)</f>
        <v/>
      </c>
    </row>
    <row r="112" ht="15.75" customHeight="1" s="125">
      <c r="A112" s="62">
        <f>IF(INPUT_PRODUCT!C125="";"";INPUT_PRODUCT!A125)</f>
        <v/>
      </c>
      <c r="B112" s="62">
        <f>IF(INPUT_PRODUCT!C125="";"";INPUT_PRODUCT!B125)</f>
        <v/>
      </c>
      <c r="C112" s="62">
        <f>IF(INPUT_PRODUCT!C125="";"";INPUT_PRODUCT!C125)</f>
        <v/>
      </c>
      <c r="D112" s="62">
        <f>IF(INPUT_PRODUCT!C125="";"";INDEX(PRODUCT!A:A;MATCH(INPUT_PRODUCT!C125;PRODUCT!B:B;0)))</f>
        <v/>
      </c>
      <c r="E112" s="62">
        <f>IF(INPUT_PRODUCT!C125="";"";VLOOKUP(INPUT_PRODUCT!C125;PRODUCT!B:C;2;FALSE))</f>
        <v/>
      </c>
      <c r="F112" s="62">
        <f>IF(INPUT_PRODUCT!C125="";"";INPUT_PRODUCT!J125)</f>
        <v/>
      </c>
      <c r="G112" s="62">
        <f>IF(INPUT_PRODUCT!C125="";"";INPUT_PRODUCT!G125)</f>
        <v/>
      </c>
      <c r="H112" s="62">
        <f>IF(INPUT_PRODUCT!C125="";"";VLOOKUP(INPUT_PRODUCT!C125;PRODUCT!B:F;5;FALSE))</f>
        <v/>
      </c>
      <c r="I112" s="62">
        <f>IF(INPUT_PRODUCT!C125="";"";VLOOKUP(INPUT_PRODUCT!C125;PRODUCT!B:G;6;FALSE))</f>
        <v/>
      </c>
      <c r="J112" s="62">
        <f>IF(INPUT_PRODUCT!C125="";"";VLOOKUP(INPUT_PRODUCT!C125;PRODUCT!B:H;7;FALSE))</f>
        <v/>
      </c>
      <c r="K112" s="60">
        <f>IF(INPUT_PRODUCT!C125="";"";VLOOKUP(INPUT_PRODUCT!C125;PRODUCT!B:I;8;FALSE))</f>
        <v/>
      </c>
      <c r="L112" s="62">
        <f>IF(INPUT_PRODUCT!C125="";"";VLOOKUP(INPUT_PRODUCT!C125;PRODUCT!B:J;9;FALSE))</f>
        <v/>
      </c>
      <c r="M112" s="62">
        <f>IF(INPUT_PRODUCT!C125="";"";VLOOKUP(INPUT_PRODUCT!C125;PRODUCT!B:K;10;FALSE))</f>
        <v/>
      </c>
      <c r="N112" s="62">
        <f>IF(INPUT_PRODUCT!C125="";"";VLOOKUP(INPUT_PRODUCT!C125;PRODUCT!B:L;11;FALSE))</f>
        <v/>
      </c>
      <c r="O112" s="62">
        <f>IF(INPUT_PRODUCT!C125="";"";VLOOKUP(INPUT_PRODUCT!C125;PRODUCT!B:O;14;FALSE))</f>
        <v/>
      </c>
      <c r="P112" s="63">
        <f>IF(INPUT_PRODUCT!C125="";"";VLOOKUP(INPUT_PRODUCT!C125;PRODUCT!B:P;15;FALSE))</f>
        <v/>
      </c>
      <c r="Q112" s="63">
        <f>IF(INPUT_PRODUCT!C125="";"";INPUT_PRODUCT!K125)</f>
        <v/>
      </c>
      <c r="R112" s="63" t="inlineStr"/>
      <c r="S112" s="63">
        <f>IF(INPUT_PRODUCT!C125="";"";IF(O112="";"";O112*(1+Q112+R112)))</f>
        <v/>
      </c>
      <c r="T112" s="63">
        <f>IF(INPUT_PRODUCT!C125="";"";IF(S112="";"";S112*F112))</f>
        <v/>
      </c>
      <c r="U112" s="62">
        <f>CONFIG!$B$2</f>
        <v/>
      </c>
      <c r="V112" s="62">
        <f>IF(INPUT_PRODUCT!C125="";"";IF(S112="";"";S112*U112))</f>
        <v/>
      </c>
      <c r="W112" s="0">
        <f>IF(INPUT_PRODUCT!C125="";"";IF(T112="";"";T112*U112))</f>
        <v/>
      </c>
      <c r="X112" s="0">
        <f>IF(INPUT_PRODUCT!C125="";"";VLOOKUP(INPUT_PRODUCT!C125;PRODUCT!B:T;19;FALSE))</f>
        <v/>
      </c>
      <c r="Y112" s="0">
        <f>IF(INPUT_PRODUCT!C125="";"";INPUT_PRODUCT!L125)</f>
        <v/>
      </c>
    </row>
    <row r="113" ht="15.75" customHeight="1" s="125">
      <c r="A113" s="62">
        <f>IF(INPUT_PRODUCT!C126="";"";INPUT_PRODUCT!A126)</f>
        <v/>
      </c>
      <c r="B113" s="62">
        <f>IF(INPUT_PRODUCT!C126="";"";INPUT_PRODUCT!B126)</f>
        <v/>
      </c>
      <c r="C113" s="62">
        <f>IF(INPUT_PRODUCT!C126="";"";INPUT_PRODUCT!C126)</f>
        <v/>
      </c>
      <c r="D113" s="62">
        <f>IF(INPUT_PRODUCT!C126="";"";INDEX(PRODUCT!A:A;MATCH(INPUT_PRODUCT!C126;PRODUCT!B:B;0)))</f>
        <v/>
      </c>
      <c r="E113" s="62">
        <f>IF(INPUT_PRODUCT!C126="";"";VLOOKUP(INPUT_PRODUCT!C126;PRODUCT!B:C;2;FALSE))</f>
        <v/>
      </c>
      <c r="F113" s="62">
        <f>IF(INPUT_PRODUCT!C126="";"";INPUT_PRODUCT!J126)</f>
        <v/>
      </c>
      <c r="G113" s="62">
        <f>IF(INPUT_PRODUCT!C126="";"";INPUT_PRODUCT!G126)</f>
        <v/>
      </c>
      <c r="H113" s="62">
        <f>IF(INPUT_PRODUCT!C126="";"";VLOOKUP(INPUT_PRODUCT!C126;PRODUCT!B:F;5;FALSE))</f>
        <v/>
      </c>
      <c r="I113" s="62">
        <f>IF(INPUT_PRODUCT!C126="";"";VLOOKUP(INPUT_PRODUCT!C126;PRODUCT!B:G;6;FALSE))</f>
        <v/>
      </c>
      <c r="J113" s="62">
        <f>IF(INPUT_PRODUCT!C126="";"";VLOOKUP(INPUT_PRODUCT!C126;PRODUCT!B:H;7;FALSE))</f>
        <v/>
      </c>
      <c r="K113" s="60">
        <f>IF(INPUT_PRODUCT!C126="";"";VLOOKUP(INPUT_PRODUCT!C126;PRODUCT!B:I;8;FALSE))</f>
        <v/>
      </c>
      <c r="L113" s="62">
        <f>IF(INPUT_PRODUCT!C126="";"";VLOOKUP(INPUT_PRODUCT!C126;PRODUCT!B:J;9;FALSE))</f>
        <v/>
      </c>
      <c r="M113" s="62">
        <f>IF(INPUT_PRODUCT!C126="";"";VLOOKUP(INPUT_PRODUCT!C126;PRODUCT!B:K;10;FALSE))</f>
        <v/>
      </c>
      <c r="N113" s="62">
        <f>IF(INPUT_PRODUCT!C126="";"";VLOOKUP(INPUT_PRODUCT!C126;PRODUCT!B:L;11;FALSE))</f>
        <v/>
      </c>
      <c r="O113" s="62">
        <f>IF(INPUT_PRODUCT!C126="";"";VLOOKUP(INPUT_PRODUCT!C126;PRODUCT!B:O;14;FALSE))</f>
        <v/>
      </c>
      <c r="P113" s="63">
        <f>IF(INPUT_PRODUCT!C126="";"";VLOOKUP(INPUT_PRODUCT!C126;PRODUCT!B:P;15;FALSE))</f>
        <v/>
      </c>
      <c r="Q113" s="63">
        <f>IF(INPUT_PRODUCT!C126="";"";INPUT_PRODUCT!K126)</f>
        <v/>
      </c>
      <c r="R113" s="63" t="inlineStr"/>
      <c r="S113" s="63">
        <f>IF(INPUT_PRODUCT!C126="";"";IF(O113="";"";O113*(1+Q113+R113)))</f>
        <v/>
      </c>
      <c r="T113" s="63">
        <f>IF(INPUT_PRODUCT!C126="";"";IF(S113="";"";S113*F113))</f>
        <v/>
      </c>
      <c r="U113" s="62">
        <f>CONFIG!$B$2</f>
        <v/>
      </c>
      <c r="V113" s="62">
        <f>IF(INPUT_PRODUCT!C126="";"";IF(S113="";"";S113*U113))</f>
        <v/>
      </c>
      <c r="W113" s="0">
        <f>IF(INPUT_PRODUCT!C126="";"";IF(T113="";"";T113*U113))</f>
        <v/>
      </c>
      <c r="X113" s="0">
        <f>IF(INPUT_PRODUCT!C126="";"";VLOOKUP(INPUT_PRODUCT!C126;PRODUCT!B:T;19;FALSE))</f>
        <v/>
      </c>
      <c r="Y113" s="0">
        <f>IF(INPUT_PRODUCT!C126="";"";INPUT_PRODUCT!L126)</f>
        <v/>
      </c>
    </row>
    <row r="114" ht="15.75" customHeight="1" s="125">
      <c r="A114" s="62">
        <f>IF(INPUT_PRODUCT!C127="";"";INPUT_PRODUCT!A127)</f>
        <v/>
      </c>
      <c r="B114" s="62">
        <f>IF(INPUT_PRODUCT!C127="";"";INPUT_PRODUCT!B127)</f>
        <v/>
      </c>
      <c r="C114" s="62">
        <f>IF(INPUT_PRODUCT!C127="";"";INPUT_PRODUCT!C127)</f>
        <v/>
      </c>
      <c r="D114" s="62">
        <f>IF(INPUT_PRODUCT!C127="";"";INDEX(PRODUCT!A:A;MATCH(INPUT_PRODUCT!C127;PRODUCT!B:B;0)))</f>
        <v/>
      </c>
      <c r="E114" s="62">
        <f>IF(INPUT_PRODUCT!C127="";"";VLOOKUP(INPUT_PRODUCT!C127;PRODUCT!B:C;2;FALSE))</f>
        <v/>
      </c>
      <c r="F114" s="62">
        <f>IF(INPUT_PRODUCT!C127="";"";INPUT_PRODUCT!J127)</f>
        <v/>
      </c>
      <c r="G114" s="62">
        <f>IF(INPUT_PRODUCT!C127="";"";INPUT_PRODUCT!G127)</f>
        <v/>
      </c>
      <c r="H114" s="62">
        <f>IF(INPUT_PRODUCT!C127="";"";VLOOKUP(INPUT_PRODUCT!C127;PRODUCT!B:F;5;FALSE))</f>
        <v/>
      </c>
      <c r="I114" s="62">
        <f>IF(INPUT_PRODUCT!C127="";"";VLOOKUP(INPUT_PRODUCT!C127;PRODUCT!B:G;6;FALSE))</f>
        <v/>
      </c>
      <c r="J114" s="62">
        <f>IF(INPUT_PRODUCT!C127="";"";VLOOKUP(INPUT_PRODUCT!C127;PRODUCT!B:H;7;FALSE))</f>
        <v/>
      </c>
      <c r="K114" s="60">
        <f>IF(INPUT_PRODUCT!C127="";"";VLOOKUP(INPUT_PRODUCT!C127;PRODUCT!B:I;8;FALSE))</f>
        <v/>
      </c>
      <c r="L114" s="62">
        <f>IF(INPUT_PRODUCT!C127="";"";VLOOKUP(INPUT_PRODUCT!C127;PRODUCT!B:J;9;FALSE))</f>
        <v/>
      </c>
      <c r="M114" s="62">
        <f>IF(INPUT_PRODUCT!C127="";"";VLOOKUP(INPUT_PRODUCT!C127;PRODUCT!B:K;10;FALSE))</f>
        <v/>
      </c>
      <c r="N114" s="62">
        <f>IF(INPUT_PRODUCT!C127="";"";VLOOKUP(INPUT_PRODUCT!C127;PRODUCT!B:L;11;FALSE))</f>
        <v/>
      </c>
      <c r="O114" s="62">
        <f>IF(INPUT_PRODUCT!C127="";"";VLOOKUP(INPUT_PRODUCT!C127;PRODUCT!B:O;14;FALSE))</f>
        <v/>
      </c>
      <c r="P114" s="63">
        <f>IF(INPUT_PRODUCT!C127="";"";VLOOKUP(INPUT_PRODUCT!C127;PRODUCT!B:P;15;FALSE))</f>
        <v/>
      </c>
      <c r="Q114" s="63">
        <f>IF(INPUT_PRODUCT!C127="";"";INPUT_PRODUCT!K127)</f>
        <v/>
      </c>
      <c r="R114" s="63" t="inlineStr"/>
      <c r="S114" s="63">
        <f>IF(INPUT_PRODUCT!C127="";"";IF(O114="";"";O114*(1+Q114+R114)))</f>
        <v/>
      </c>
      <c r="T114" s="63">
        <f>IF(INPUT_PRODUCT!C127="";"";IF(S114="";"";S114*F114))</f>
        <v/>
      </c>
      <c r="U114" s="62">
        <f>CONFIG!$B$2</f>
        <v/>
      </c>
      <c r="V114" s="62">
        <f>IF(INPUT_PRODUCT!C127="";"";IF(S114="";"";S114*U114))</f>
        <v/>
      </c>
      <c r="W114" s="0">
        <f>IF(INPUT_PRODUCT!C127="";"";IF(T114="";"";T114*U114))</f>
        <v/>
      </c>
      <c r="X114" s="0">
        <f>IF(INPUT_PRODUCT!C127="";"";VLOOKUP(INPUT_PRODUCT!C127;PRODUCT!B:T;19;FALSE))</f>
        <v/>
      </c>
      <c r="Y114" s="0">
        <f>IF(INPUT_PRODUCT!C127="";"";INPUT_PRODUCT!L127)</f>
        <v/>
      </c>
    </row>
    <row r="115" ht="15.75" customHeight="1" s="125">
      <c r="A115" s="62">
        <f>IF(INPUT_PRODUCT!C128="";"";INPUT_PRODUCT!A128)</f>
        <v/>
      </c>
      <c r="B115" s="62">
        <f>IF(INPUT_PRODUCT!C128="";"";INPUT_PRODUCT!B128)</f>
        <v/>
      </c>
      <c r="C115" s="62">
        <f>IF(INPUT_PRODUCT!C128="";"";INPUT_PRODUCT!C128)</f>
        <v/>
      </c>
      <c r="D115" s="62">
        <f>IF(INPUT_PRODUCT!C128="";"";INDEX(PRODUCT!A:A;MATCH(INPUT_PRODUCT!C128;PRODUCT!B:B;0)))</f>
        <v/>
      </c>
      <c r="E115" s="62">
        <f>IF(INPUT_PRODUCT!C128="";"";VLOOKUP(INPUT_PRODUCT!C128;PRODUCT!B:C;2;FALSE))</f>
        <v/>
      </c>
      <c r="F115" s="62">
        <f>IF(INPUT_PRODUCT!C128="";"";INPUT_PRODUCT!J128)</f>
        <v/>
      </c>
      <c r="G115" s="62">
        <f>IF(INPUT_PRODUCT!C128="";"";INPUT_PRODUCT!G128)</f>
        <v/>
      </c>
      <c r="H115" s="62">
        <f>IF(INPUT_PRODUCT!C128="";"";VLOOKUP(INPUT_PRODUCT!C128;PRODUCT!B:F;5;FALSE))</f>
        <v/>
      </c>
      <c r="I115" s="62">
        <f>IF(INPUT_PRODUCT!C128="";"";VLOOKUP(INPUT_PRODUCT!C128;PRODUCT!B:G;6;FALSE))</f>
        <v/>
      </c>
      <c r="J115" s="62">
        <f>IF(INPUT_PRODUCT!C128="";"";VLOOKUP(INPUT_PRODUCT!C128;PRODUCT!B:H;7;FALSE))</f>
        <v/>
      </c>
      <c r="K115" s="60">
        <f>IF(INPUT_PRODUCT!C128="";"";VLOOKUP(INPUT_PRODUCT!C128;PRODUCT!B:I;8;FALSE))</f>
        <v/>
      </c>
      <c r="L115" s="62">
        <f>IF(INPUT_PRODUCT!C128="";"";VLOOKUP(INPUT_PRODUCT!C128;PRODUCT!B:J;9;FALSE))</f>
        <v/>
      </c>
      <c r="M115" s="62">
        <f>IF(INPUT_PRODUCT!C128="";"";VLOOKUP(INPUT_PRODUCT!C128;PRODUCT!B:K;10;FALSE))</f>
        <v/>
      </c>
      <c r="N115" s="62">
        <f>IF(INPUT_PRODUCT!C128="";"";VLOOKUP(INPUT_PRODUCT!C128;PRODUCT!B:L;11;FALSE))</f>
        <v/>
      </c>
      <c r="O115" s="62">
        <f>IF(INPUT_PRODUCT!C128="";"";VLOOKUP(INPUT_PRODUCT!C128;PRODUCT!B:O;14;FALSE))</f>
        <v/>
      </c>
      <c r="P115" s="63">
        <f>IF(INPUT_PRODUCT!C128="";"";VLOOKUP(INPUT_PRODUCT!C128;PRODUCT!B:P;15;FALSE))</f>
        <v/>
      </c>
      <c r="Q115" s="63">
        <f>IF(INPUT_PRODUCT!C128="";"";INPUT_PRODUCT!K128)</f>
        <v/>
      </c>
      <c r="R115" s="63" t="inlineStr"/>
      <c r="S115" s="63">
        <f>IF(INPUT_PRODUCT!C128="";"";IF(O115="";"";O115*(1+Q115+R115)))</f>
        <v/>
      </c>
      <c r="T115" s="63">
        <f>IF(INPUT_PRODUCT!C128="";"";IF(S115="";"";S115*F115))</f>
        <v/>
      </c>
      <c r="U115" s="62">
        <f>CONFIG!$B$2</f>
        <v/>
      </c>
      <c r="V115" s="62">
        <f>IF(INPUT_PRODUCT!C128="";"";IF(S115="";"";S115*U115))</f>
        <v/>
      </c>
      <c r="W115" s="0">
        <f>IF(INPUT_PRODUCT!C128="";"";IF(T115="";"";T115*U115))</f>
        <v/>
      </c>
      <c r="X115" s="0">
        <f>IF(INPUT_PRODUCT!C128="";"";VLOOKUP(INPUT_PRODUCT!C128;PRODUCT!B:T;19;FALSE))</f>
        <v/>
      </c>
      <c r="Y115" s="0">
        <f>IF(INPUT_PRODUCT!C128="";"";INPUT_PRODUCT!L128)</f>
        <v/>
      </c>
    </row>
    <row r="116" ht="15.75" customHeight="1" s="125">
      <c r="A116" s="62">
        <f>IF(INPUT_PRODUCT!C129="";"";INPUT_PRODUCT!A129)</f>
        <v/>
      </c>
      <c r="B116" s="62">
        <f>IF(INPUT_PRODUCT!C129="";"";INPUT_PRODUCT!B129)</f>
        <v/>
      </c>
      <c r="C116" s="62">
        <f>IF(INPUT_PRODUCT!C129="";"";INPUT_PRODUCT!C129)</f>
        <v/>
      </c>
      <c r="D116" s="62">
        <f>IF(INPUT_PRODUCT!C129="";"";INDEX(PRODUCT!A:A;MATCH(INPUT_PRODUCT!C129;PRODUCT!B:B;0)))</f>
        <v/>
      </c>
      <c r="E116" s="62">
        <f>IF(INPUT_PRODUCT!C129="";"";VLOOKUP(INPUT_PRODUCT!C129;PRODUCT!B:C;2;FALSE))</f>
        <v/>
      </c>
      <c r="F116" s="62">
        <f>IF(INPUT_PRODUCT!C129="";"";INPUT_PRODUCT!J129)</f>
        <v/>
      </c>
      <c r="G116" s="62">
        <f>IF(INPUT_PRODUCT!C129="";"";INPUT_PRODUCT!G129)</f>
        <v/>
      </c>
      <c r="H116" s="62">
        <f>IF(INPUT_PRODUCT!C129="";"";VLOOKUP(INPUT_PRODUCT!C129;PRODUCT!B:F;5;FALSE))</f>
        <v/>
      </c>
      <c r="I116" s="62">
        <f>IF(INPUT_PRODUCT!C129="";"";VLOOKUP(INPUT_PRODUCT!C129;PRODUCT!B:G;6;FALSE))</f>
        <v/>
      </c>
      <c r="J116" s="62">
        <f>IF(INPUT_PRODUCT!C129="";"";VLOOKUP(INPUT_PRODUCT!C129;PRODUCT!B:H;7;FALSE))</f>
        <v/>
      </c>
      <c r="K116" s="60">
        <f>IF(INPUT_PRODUCT!C129="";"";VLOOKUP(INPUT_PRODUCT!C129;PRODUCT!B:I;8;FALSE))</f>
        <v/>
      </c>
      <c r="L116" s="62">
        <f>IF(INPUT_PRODUCT!C129="";"";VLOOKUP(INPUT_PRODUCT!C129;PRODUCT!B:J;9;FALSE))</f>
        <v/>
      </c>
      <c r="M116" s="62">
        <f>IF(INPUT_PRODUCT!C129="";"";VLOOKUP(INPUT_PRODUCT!C129;PRODUCT!B:K;10;FALSE))</f>
        <v/>
      </c>
      <c r="N116" s="62">
        <f>IF(INPUT_PRODUCT!C129="";"";VLOOKUP(INPUT_PRODUCT!C129;PRODUCT!B:L;11;FALSE))</f>
        <v/>
      </c>
      <c r="O116" s="62">
        <f>IF(INPUT_PRODUCT!C129="";"";VLOOKUP(INPUT_PRODUCT!C129;PRODUCT!B:O;14;FALSE))</f>
        <v/>
      </c>
      <c r="P116" s="63">
        <f>IF(INPUT_PRODUCT!C129="";"";VLOOKUP(INPUT_PRODUCT!C129;PRODUCT!B:P;15;FALSE))</f>
        <v/>
      </c>
      <c r="Q116" s="63">
        <f>IF(INPUT_PRODUCT!C129="";"";INPUT_PRODUCT!K129)</f>
        <v/>
      </c>
      <c r="R116" s="63" t="inlineStr"/>
      <c r="S116" s="63">
        <f>IF(INPUT_PRODUCT!C129="";"";IF(O116="";"";O116*(1+Q116+R116)))</f>
        <v/>
      </c>
      <c r="T116" s="63">
        <f>IF(INPUT_PRODUCT!C129="";"";IF(S116="";"";S116*F116))</f>
        <v/>
      </c>
      <c r="U116" s="62">
        <f>CONFIG!$B$2</f>
        <v/>
      </c>
      <c r="V116" s="62">
        <f>IF(INPUT_PRODUCT!C129="";"";IF(S116="";"";S116*U116))</f>
        <v/>
      </c>
      <c r="W116" s="0">
        <f>IF(INPUT_PRODUCT!C129="";"";IF(T116="";"";T116*U116))</f>
        <v/>
      </c>
      <c r="X116" s="0">
        <f>IF(INPUT_PRODUCT!C129="";"";VLOOKUP(INPUT_PRODUCT!C129;PRODUCT!B:T;19;FALSE))</f>
        <v/>
      </c>
      <c r="Y116" s="0">
        <f>IF(INPUT_PRODUCT!C129="";"";INPUT_PRODUCT!L129)</f>
        <v/>
      </c>
    </row>
    <row r="117" ht="15.75" customHeight="1" s="125">
      <c r="A117" s="62">
        <f>IF(INPUT_PRODUCT!C130="";"";INPUT_PRODUCT!A130)</f>
        <v/>
      </c>
      <c r="B117" s="62">
        <f>IF(INPUT_PRODUCT!C130="";"";INPUT_PRODUCT!B130)</f>
        <v/>
      </c>
      <c r="C117" s="62">
        <f>IF(INPUT_PRODUCT!C130="";"";INPUT_PRODUCT!C130)</f>
        <v/>
      </c>
      <c r="D117" s="62">
        <f>IF(INPUT_PRODUCT!C130="";"";INDEX(PRODUCT!A:A;MATCH(INPUT_PRODUCT!C130;PRODUCT!B:B;0)))</f>
        <v/>
      </c>
      <c r="E117" s="62">
        <f>IF(INPUT_PRODUCT!C130="";"";VLOOKUP(INPUT_PRODUCT!C130;PRODUCT!B:C;2;FALSE))</f>
        <v/>
      </c>
      <c r="F117" s="62">
        <f>IF(INPUT_PRODUCT!C130="";"";INPUT_PRODUCT!J130)</f>
        <v/>
      </c>
      <c r="G117" s="62">
        <f>IF(INPUT_PRODUCT!C130="";"";INPUT_PRODUCT!G130)</f>
        <v/>
      </c>
      <c r="H117" s="62">
        <f>IF(INPUT_PRODUCT!C130="";"";VLOOKUP(INPUT_PRODUCT!C130;PRODUCT!B:F;5;FALSE))</f>
        <v/>
      </c>
      <c r="I117" s="62">
        <f>IF(INPUT_PRODUCT!C130="";"";VLOOKUP(INPUT_PRODUCT!C130;PRODUCT!B:G;6;FALSE))</f>
        <v/>
      </c>
      <c r="J117" s="62">
        <f>IF(INPUT_PRODUCT!C130="";"";VLOOKUP(INPUT_PRODUCT!C130;PRODUCT!B:H;7;FALSE))</f>
        <v/>
      </c>
      <c r="K117" s="60">
        <f>IF(INPUT_PRODUCT!C130="";"";VLOOKUP(INPUT_PRODUCT!C130;PRODUCT!B:I;8;FALSE))</f>
        <v/>
      </c>
      <c r="L117" s="62">
        <f>IF(INPUT_PRODUCT!C130="";"";VLOOKUP(INPUT_PRODUCT!C130;PRODUCT!B:J;9;FALSE))</f>
        <v/>
      </c>
      <c r="M117" s="62">
        <f>IF(INPUT_PRODUCT!C130="";"";VLOOKUP(INPUT_PRODUCT!C130;PRODUCT!B:K;10;FALSE))</f>
        <v/>
      </c>
      <c r="N117" s="62">
        <f>IF(INPUT_PRODUCT!C130="";"";VLOOKUP(INPUT_PRODUCT!C130;PRODUCT!B:L;11;FALSE))</f>
        <v/>
      </c>
      <c r="O117" s="62">
        <f>IF(INPUT_PRODUCT!C130="";"";VLOOKUP(INPUT_PRODUCT!C130;PRODUCT!B:O;14;FALSE))</f>
        <v/>
      </c>
      <c r="P117" s="63">
        <f>IF(INPUT_PRODUCT!C130="";"";VLOOKUP(INPUT_PRODUCT!C130;PRODUCT!B:P;15;FALSE))</f>
        <v/>
      </c>
      <c r="Q117" s="63">
        <f>IF(INPUT_PRODUCT!C130="";"";INPUT_PRODUCT!K130)</f>
        <v/>
      </c>
      <c r="R117" s="63" t="inlineStr"/>
      <c r="S117" s="63">
        <f>IF(INPUT_PRODUCT!C130="";"";IF(O117="";"";O117*(1+Q117+R117)))</f>
        <v/>
      </c>
      <c r="T117" s="63">
        <f>IF(INPUT_PRODUCT!C130="";"";IF(S117="";"";S117*F117))</f>
        <v/>
      </c>
      <c r="U117" s="62">
        <f>CONFIG!$B$2</f>
        <v/>
      </c>
      <c r="V117" s="62">
        <f>IF(INPUT_PRODUCT!C130="";"";IF(S117="";"";S117*U117))</f>
        <v/>
      </c>
      <c r="W117" s="0">
        <f>IF(INPUT_PRODUCT!C130="";"";IF(T117="";"";T117*U117))</f>
        <v/>
      </c>
      <c r="X117" s="0">
        <f>IF(INPUT_PRODUCT!C130="";"";VLOOKUP(INPUT_PRODUCT!C130;PRODUCT!B:T;19;FALSE))</f>
        <v/>
      </c>
      <c r="Y117" s="0">
        <f>IF(INPUT_PRODUCT!C130="";"";INPUT_PRODUCT!L130)</f>
        <v/>
      </c>
    </row>
    <row r="118" ht="15.75" customHeight="1" s="125">
      <c r="A118" s="62">
        <f>IF(INPUT_PRODUCT!C131="";"";INPUT_PRODUCT!A131)</f>
        <v/>
      </c>
      <c r="B118" s="62">
        <f>IF(INPUT_PRODUCT!C131="";"";INPUT_PRODUCT!B131)</f>
        <v/>
      </c>
      <c r="C118" s="62">
        <f>IF(INPUT_PRODUCT!C131="";"";INPUT_PRODUCT!C131)</f>
        <v/>
      </c>
      <c r="D118" s="62">
        <f>IF(INPUT_PRODUCT!C131="";"";INDEX(PRODUCT!A:A;MATCH(INPUT_PRODUCT!C131;PRODUCT!B:B;0)))</f>
        <v/>
      </c>
      <c r="E118" s="62">
        <f>IF(INPUT_PRODUCT!C131="";"";VLOOKUP(INPUT_PRODUCT!C131;PRODUCT!B:C;2;FALSE))</f>
        <v/>
      </c>
      <c r="F118" s="62">
        <f>IF(INPUT_PRODUCT!C131="";"";INPUT_PRODUCT!J131)</f>
        <v/>
      </c>
      <c r="G118" s="62">
        <f>IF(INPUT_PRODUCT!C131="";"";INPUT_PRODUCT!G131)</f>
        <v/>
      </c>
      <c r="H118" s="62">
        <f>IF(INPUT_PRODUCT!C131="";"";VLOOKUP(INPUT_PRODUCT!C131;PRODUCT!B:F;5;FALSE))</f>
        <v/>
      </c>
      <c r="I118" s="62">
        <f>IF(INPUT_PRODUCT!C131="";"";VLOOKUP(INPUT_PRODUCT!C131;PRODUCT!B:G;6;FALSE))</f>
        <v/>
      </c>
      <c r="J118" s="62">
        <f>IF(INPUT_PRODUCT!C131="";"";VLOOKUP(INPUT_PRODUCT!C131;PRODUCT!B:H;7;FALSE))</f>
        <v/>
      </c>
      <c r="K118" s="60">
        <f>IF(INPUT_PRODUCT!C131="";"";VLOOKUP(INPUT_PRODUCT!C131;PRODUCT!B:I;8;FALSE))</f>
        <v/>
      </c>
      <c r="L118" s="62">
        <f>IF(INPUT_PRODUCT!C131="";"";VLOOKUP(INPUT_PRODUCT!C131;PRODUCT!B:J;9;FALSE))</f>
        <v/>
      </c>
      <c r="M118" s="62">
        <f>IF(INPUT_PRODUCT!C131="";"";VLOOKUP(INPUT_PRODUCT!C131;PRODUCT!B:K;10;FALSE))</f>
        <v/>
      </c>
      <c r="N118" s="62">
        <f>IF(INPUT_PRODUCT!C131="";"";VLOOKUP(INPUT_PRODUCT!C131;PRODUCT!B:L;11;FALSE))</f>
        <v/>
      </c>
      <c r="O118" s="62">
        <f>IF(INPUT_PRODUCT!C131="";"";VLOOKUP(INPUT_PRODUCT!C131;PRODUCT!B:O;14;FALSE))</f>
        <v/>
      </c>
      <c r="P118" s="63">
        <f>IF(INPUT_PRODUCT!C131="";"";VLOOKUP(INPUT_PRODUCT!C131;PRODUCT!B:P;15;FALSE))</f>
        <v/>
      </c>
      <c r="Q118" s="63">
        <f>IF(INPUT_PRODUCT!C131="";"";INPUT_PRODUCT!K131)</f>
        <v/>
      </c>
      <c r="R118" s="63" t="inlineStr"/>
      <c r="S118" s="63">
        <f>IF(INPUT_PRODUCT!C131="";"";IF(O118="";"";O118*(1+Q118+R118)))</f>
        <v/>
      </c>
      <c r="T118" s="63">
        <f>IF(INPUT_PRODUCT!C131="";"";IF(S118="";"";S118*F118))</f>
        <v/>
      </c>
      <c r="U118" s="62">
        <f>CONFIG!$B$2</f>
        <v/>
      </c>
      <c r="V118" s="62">
        <f>IF(INPUT_PRODUCT!C131="";"";IF(S118="";"";S118*U118))</f>
        <v/>
      </c>
      <c r="W118" s="0">
        <f>IF(INPUT_PRODUCT!C131="";"";IF(T118="";"";T118*U118))</f>
        <v/>
      </c>
      <c r="X118" s="0">
        <f>IF(INPUT_PRODUCT!C131="";"";VLOOKUP(INPUT_PRODUCT!C131;PRODUCT!B:T;19;FALSE))</f>
        <v/>
      </c>
      <c r="Y118" s="0">
        <f>IF(INPUT_PRODUCT!C131="";"";INPUT_PRODUCT!L131)</f>
        <v/>
      </c>
    </row>
    <row r="119" ht="15.75" customHeight="1" s="125">
      <c r="A119" s="62">
        <f>IF(INPUT_PRODUCT!C132="";"";INPUT_PRODUCT!A132)</f>
        <v/>
      </c>
      <c r="B119" s="62">
        <f>IF(INPUT_PRODUCT!C132="";"";INPUT_PRODUCT!B132)</f>
        <v/>
      </c>
      <c r="C119" s="62">
        <f>IF(INPUT_PRODUCT!C132="";"";INPUT_PRODUCT!C132)</f>
        <v/>
      </c>
      <c r="D119" s="62">
        <f>IF(INPUT_PRODUCT!C132="";"";INDEX(PRODUCT!A:A;MATCH(INPUT_PRODUCT!C132;PRODUCT!B:B;0)))</f>
        <v/>
      </c>
      <c r="E119" s="62">
        <f>IF(INPUT_PRODUCT!C132="";"";VLOOKUP(INPUT_PRODUCT!C132;PRODUCT!B:C;2;FALSE))</f>
        <v/>
      </c>
      <c r="F119" s="62">
        <f>IF(INPUT_PRODUCT!C132="";"";INPUT_PRODUCT!J132)</f>
        <v/>
      </c>
      <c r="G119" s="62">
        <f>IF(INPUT_PRODUCT!C132="";"";INPUT_PRODUCT!G132)</f>
        <v/>
      </c>
      <c r="H119" s="62">
        <f>IF(INPUT_PRODUCT!C132="";"";VLOOKUP(INPUT_PRODUCT!C132;PRODUCT!B:F;5;FALSE))</f>
        <v/>
      </c>
      <c r="I119" s="62">
        <f>IF(INPUT_PRODUCT!C132="";"";VLOOKUP(INPUT_PRODUCT!C132;PRODUCT!B:G;6;FALSE))</f>
        <v/>
      </c>
      <c r="J119" s="62">
        <f>IF(INPUT_PRODUCT!C132="";"";VLOOKUP(INPUT_PRODUCT!C132;PRODUCT!B:H;7;FALSE))</f>
        <v/>
      </c>
      <c r="K119" s="60">
        <f>IF(INPUT_PRODUCT!C132="";"";VLOOKUP(INPUT_PRODUCT!C132;PRODUCT!B:I;8;FALSE))</f>
        <v/>
      </c>
      <c r="L119" s="62">
        <f>IF(INPUT_PRODUCT!C132="";"";VLOOKUP(INPUT_PRODUCT!C132;PRODUCT!B:J;9;FALSE))</f>
        <v/>
      </c>
      <c r="M119" s="62">
        <f>IF(INPUT_PRODUCT!C132="";"";VLOOKUP(INPUT_PRODUCT!C132;PRODUCT!B:K;10;FALSE))</f>
        <v/>
      </c>
      <c r="N119" s="62">
        <f>IF(INPUT_PRODUCT!C132="";"";VLOOKUP(INPUT_PRODUCT!C132;PRODUCT!B:L;11;FALSE))</f>
        <v/>
      </c>
      <c r="O119" s="62">
        <f>IF(INPUT_PRODUCT!C132="";"";VLOOKUP(INPUT_PRODUCT!C132;PRODUCT!B:O;14;FALSE))</f>
        <v/>
      </c>
      <c r="P119" s="63">
        <f>IF(INPUT_PRODUCT!C132="";"";VLOOKUP(INPUT_PRODUCT!C132;PRODUCT!B:P;15;FALSE))</f>
        <v/>
      </c>
      <c r="Q119" s="63">
        <f>IF(INPUT_PRODUCT!C132="";"";INPUT_PRODUCT!K132)</f>
        <v/>
      </c>
      <c r="R119" s="63" t="inlineStr"/>
      <c r="S119" s="63">
        <f>IF(INPUT_PRODUCT!C132="";"";IF(O119="";"";O119*(1+Q119+R119)))</f>
        <v/>
      </c>
      <c r="T119" s="63">
        <f>IF(INPUT_PRODUCT!C132="";"";IF(S119="";"";S119*F119))</f>
        <v/>
      </c>
      <c r="U119" s="62">
        <f>CONFIG!$B$2</f>
        <v/>
      </c>
      <c r="V119" s="62">
        <f>IF(INPUT_PRODUCT!C132="";"";IF(S119="";"";S119*U119))</f>
        <v/>
      </c>
      <c r="W119" s="0">
        <f>IF(INPUT_PRODUCT!C132="";"";IF(T119="";"";T119*U119))</f>
        <v/>
      </c>
      <c r="X119" s="0">
        <f>IF(INPUT_PRODUCT!C132="";"";VLOOKUP(INPUT_PRODUCT!C132;PRODUCT!B:T;19;FALSE))</f>
        <v/>
      </c>
      <c r="Y119" s="0">
        <f>IF(INPUT_PRODUCT!C132="";"";INPUT_PRODUCT!L132)</f>
        <v/>
      </c>
    </row>
    <row r="120" ht="15.75" customHeight="1" s="125">
      <c r="A120" s="62">
        <f>IF(INPUT_PRODUCT!C133="";"";INPUT_PRODUCT!A133)</f>
        <v/>
      </c>
      <c r="B120" s="62">
        <f>IF(INPUT_PRODUCT!C133="";"";INPUT_PRODUCT!B133)</f>
        <v/>
      </c>
      <c r="C120" s="62">
        <f>IF(INPUT_PRODUCT!C133="";"";INPUT_PRODUCT!C133)</f>
        <v/>
      </c>
      <c r="D120" s="62">
        <f>IF(INPUT_PRODUCT!C133="";"";INDEX(PRODUCT!A:A;MATCH(INPUT_PRODUCT!C133;PRODUCT!B:B;0)))</f>
        <v/>
      </c>
      <c r="E120" s="62">
        <f>IF(INPUT_PRODUCT!C133="";"";VLOOKUP(INPUT_PRODUCT!C133;PRODUCT!B:C;2;FALSE))</f>
        <v/>
      </c>
      <c r="F120" s="62">
        <f>IF(INPUT_PRODUCT!C133="";"";INPUT_PRODUCT!J133)</f>
        <v/>
      </c>
      <c r="G120" s="62">
        <f>IF(INPUT_PRODUCT!C133="";"";INPUT_PRODUCT!G133)</f>
        <v/>
      </c>
      <c r="H120" s="62">
        <f>IF(INPUT_PRODUCT!C133="";"";VLOOKUP(INPUT_PRODUCT!C133;PRODUCT!B:F;5;FALSE))</f>
        <v/>
      </c>
      <c r="I120" s="62">
        <f>IF(INPUT_PRODUCT!C133="";"";VLOOKUP(INPUT_PRODUCT!C133;PRODUCT!B:G;6;FALSE))</f>
        <v/>
      </c>
      <c r="J120" s="62">
        <f>IF(INPUT_PRODUCT!C133="";"";VLOOKUP(INPUT_PRODUCT!C133;PRODUCT!B:H;7;FALSE))</f>
        <v/>
      </c>
      <c r="K120" s="60">
        <f>IF(INPUT_PRODUCT!C133="";"";VLOOKUP(INPUT_PRODUCT!C133;PRODUCT!B:I;8;FALSE))</f>
        <v/>
      </c>
      <c r="L120" s="62">
        <f>IF(INPUT_PRODUCT!C133="";"";VLOOKUP(INPUT_PRODUCT!C133;PRODUCT!B:J;9;FALSE))</f>
        <v/>
      </c>
      <c r="M120" s="62">
        <f>IF(INPUT_PRODUCT!C133="";"";VLOOKUP(INPUT_PRODUCT!C133;PRODUCT!B:K;10;FALSE))</f>
        <v/>
      </c>
      <c r="N120" s="62">
        <f>IF(INPUT_PRODUCT!C133="";"";VLOOKUP(INPUT_PRODUCT!C133;PRODUCT!B:L;11;FALSE))</f>
        <v/>
      </c>
      <c r="O120" s="62">
        <f>IF(INPUT_PRODUCT!C133="";"";VLOOKUP(INPUT_PRODUCT!C133;PRODUCT!B:O;14;FALSE))</f>
        <v/>
      </c>
      <c r="P120" s="63">
        <f>IF(INPUT_PRODUCT!C133="";"";VLOOKUP(INPUT_PRODUCT!C133;PRODUCT!B:P;15;FALSE))</f>
        <v/>
      </c>
      <c r="Q120" s="63">
        <f>IF(INPUT_PRODUCT!C133="";"";INPUT_PRODUCT!K133)</f>
        <v/>
      </c>
      <c r="R120" s="63" t="inlineStr"/>
      <c r="S120" s="63">
        <f>IF(INPUT_PRODUCT!C133="";"";IF(O120="";"";O120*(1+Q120+R120)))</f>
        <v/>
      </c>
      <c r="T120" s="63">
        <f>IF(INPUT_PRODUCT!C133="";"";IF(S120="";"";S120*F120))</f>
        <v/>
      </c>
      <c r="U120" s="62">
        <f>CONFIG!$B$2</f>
        <v/>
      </c>
      <c r="V120" s="62">
        <f>IF(INPUT_PRODUCT!C133="";"";IF(S120="";"";S120*U120))</f>
        <v/>
      </c>
      <c r="W120" s="0">
        <f>IF(INPUT_PRODUCT!C133="";"";IF(T120="";"";T120*U120))</f>
        <v/>
      </c>
      <c r="X120" s="0">
        <f>IF(INPUT_PRODUCT!C133="";"";VLOOKUP(INPUT_PRODUCT!C133;PRODUCT!B:T;19;FALSE))</f>
        <v/>
      </c>
      <c r="Y120" s="0">
        <f>IF(INPUT_PRODUCT!C133="";"";INPUT_PRODUCT!L133)</f>
        <v/>
      </c>
    </row>
    <row r="121" ht="15.75" customHeight="1" s="125">
      <c r="A121" s="62">
        <f>IF(INPUT_PRODUCT!C134="";"";INPUT_PRODUCT!A134)</f>
        <v/>
      </c>
      <c r="B121" s="62">
        <f>IF(INPUT_PRODUCT!C134="";"";INPUT_PRODUCT!B134)</f>
        <v/>
      </c>
      <c r="C121" s="62">
        <f>IF(INPUT_PRODUCT!C134="";"";INPUT_PRODUCT!C134)</f>
        <v/>
      </c>
      <c r="D121" s="62">
        <f>IF(INPUT_PRODUCT!C134="";"";INDEX(PRODUCT!A:A;MATCH(INPUT_PRODUCT!C134;PRODUCT!B:B;0)))</f>
        <v/>
      </c>
      <c r="E121" s="62">
        <f>IF(INPUT_PRODUCT!C134="";"";VLOOKUP(INPUT_PRODUCT!C134;PRODUCT!B:C;2;FALSE))</f>
        <v/>
      </c>
      <c r="F121" s="62">
        <f>IF(INPUT_PRODUCT!C134="";"";INPUT_PRODUCT!J134)</f>
        <v/>
      </c>
      <c r="G121" s="62">
        <f>IF(INPUT_PRODUCT!C134="";"";INPUT_PRODUCT!G134)</f>
        <v/>
      </c>
      <c r="H121" s="62">
        <f>IF(INPUT_PRODUCT!C134="";"";VLOOKUP(INPUT_PRODUCT!C134;PRODUCT!B:F;5;FALSE))</f>
        <v/>
      </c>
      <c r="I121" s="62">
        <f>IF(INPUT_PRODUCT!C134="";"";VLOOKUP(INPUT_PRODUCT!C134;PRODUCT!B:G;6;FALSE))</f>
        <v/>
      </c>
      <c r="J121" s="62">
        <f>IF(INPUT_PRODUCT!C134="";"";VLOOKUP(INPUT_PRODUCT!C134;PRODUCT!B:H;7;FALSE))</f>
        <v/>
      </c>
      <c r="K121" s="60">
        <f>IF(INPUT_PRODUCT!C134="";"";VLOOKUP(INPUT_PRODUCT!C134;PRODUCT!B:I;8;FALSE))</f>
        <v/>
      </c>
      <c r="L121" s="62">
        <f>IF(INPUT_PRODUCT!C134="";"";VLOOKUP(INPUT_PRODUCT!C134;PRODUCT!B:J;9;FALSE))</f>
        <v/>
      </c>
      <c r="M121" s="62">
        <f>IF(INPUT_PRODUCT!C134="";"";VLOOKUP(INPUT_PRODUCT!C134;PRODUCT!B:K;10;FALSE))</f>
        <v/>
      </c>
      <c r="N121" s="62">
        <f>IF(INPUT_PRODUCT!C134="";"";VLOOKUP(INPUT_PRODUCT!C134;PRODUCT!B:L;11;FALSE))</f>
        <v/>
      </c>
      <c r="O121" s="62">
        <f>IF(INPUT_PRODUCT!C134="";"";VLOOKUP(INPUT_PRODUCT!C134;PRODUCT!B:O;14;FALSE))</f>
        <v/>
      </c>
      <c r="P121" s="63">
        <f>IF(INPUT_PRODUCT!C134="";"";VLOOKUP(INPUT_PRODUCT!C134;PRODUCT!B:P;15;FALSE))</f>
        <v/>
      </c>
      <c r="Q121" s="63">
        <f>IF(INPUT_PRODUCT!C134="";"";INPUT_PRODUCT!K134)</f>
        <v/>
      </c>
      <c r="R121" s="63" t="inlineStr"/>
      <c r="S121" s="63">
        <f>IF(INPUT_PRODUCT!C134="";"";IF(O121="";"";O121*(1+Q121+R121)))</f>
        <v/>
      </c>
      <c r="T121" s="63">
        <f>IF(INPUT_PRODUCT!C134="";"";IF(S121="";"";S121*F121))</f>
        <v/>
      </c>
      <c r="U121" s="62">
        <f>CONFIG!$B$2</f>
        <v/>
      </c>
      <c r="V121" s="62">
        <f>IF(INPUT_PRODUCT!C134="";"";IF(S121="";"";S121*U121))</f>
        <v/>
      </c>
      <c r="W121" s="0">
        <f>IF(INPUT_PRODUCT!C134="";"";IF(T121="";"";T121*U121))</f>
        <v/>
      </c>
      <c r="X121" s="0">
        <f>IF(INPUT_PRODUCT!C134="";"";VLOOKUP(INPUT_PRODUCT!C134;PRODUCT!B:T;19;FALSE))</f>
        <v/>
      </c>
      <c r="Y121" s="0">
        <f>IF(INPUT_PRODUCT!C134="";"";INPUT_PRODUCT!L134)</f>
        <v/>
      </c>
    </row>
    <row r="122" ht="15.75" customHeight="1" s="125">
      <c r="A122" s="62">
        <f>IF(INPUT_PRODUCT!C135="";"";INPUT_PRODUCT!A135)</f>
        <v/>
      </c>
      <c r="B122" s="62">
        <f>IF(INPUT_PRODUCT!C135="";"";INPUT_PRODUCT!B135)</f>
        <v/>
      </c>
      <c r="C122" s="62">
        <f>IF(INPUT_PRODUCT!C135="";"";INPUT_PRODUCT!C135)</f>
        <v/>
      </c>
      <c r="D122" s="62">
        <f>IF(INPUT_PRODUCT!C135="";"";INDEX(PRODUCT!A:A;MATCH(INPUT_PRODUCT!C135;PRODUCT!B:B;0)))</f>
        <v/>
      </c>
      <c r="E122" s="62">
        <f>IF(INPUT_PRODUCT!C135="";"";VLOOKUP(INPUT_PRODUCT!C135;PRODUCT!B:C;2;FALSE))</f>
        <v/>
      </c>
      <c r="F122" s="62">
        <f>IF(INPUT_PRODUCT!C135="";"";INPUT_PRODUCT!J135)</f>
        <v/>
      </c>
      <c r="G122" s="62">
        <f>IF(INPUT_PRODUCT!C135="";"";INPUT_PRODUCT!G135)</f>
        <v/>
      </c>
      <c r="H122" s="62">
        <f>IF(INPUT_PRODUCT!C135="";"";VLOOKUP(INPUT_PRODUCT!C135;PRODUCT!B:F;5;FALSE))</f>
        <v/>
      </c>
      <c r="I122" s="62">
        <f>IF(INPUT_PRODUCT!C135="";"";VLOOKUP(INPUT_PRODUCT!C135;PRODUCT!B:G;6;FALSE))</f>
        <v/>
      </c>
      <c r="J122" s="62">
        <f>IF(INPUT_PRODUCT!C135="";"";VLOOKUP(INPUT_PRODUCT!C135;PRODUCT!B:H;7;FALSE))</f>
        <v/>
      </c>
      <c r="K122" s="60">
        <f>IF(INPUT_PRODUCT!C135="";"";VLOOKUP(INPUT_PRODUCT!C135;PRODUCT!B:I;8;FALSE))</f>
        <v/>
      </c>
      <c r="L122" s="62">
        <f>IF(INPUT_PRODUCT!C135="";"";VLOOKUP(INPUT_PRODUCT!C135;PRODUCT!B:J;9;FALSE))</f>
        <v/>
      </c>
      <c r="M122" s="62">
        <f>IF(INPUT_PRODUCT!C135="";"";VLOOKUP(INPUT_PRODUCT!C135;PRODUCT!B:K;10;FALSE))</f>
        <v/>
      </c>
      <c r="N122" s="62">
        <f>IF(INPUT_PRODUCT!C135="";"";VLOOKUP(INPUT_PRODUCT!C135;PRODUCT!B:L;11;FALSE))</f>
        <v/>
      </c>
      <c r="O122" s="62">
        <f>IF(INPUT_PRODUCT!C135="";"";VLOOKUP(INPUT_PRODUCT!C135;PRODUCT!B:O;14;FALSE))</f>
        <v/>
      </c>
      <c r="P122" s="63">
        <f>IF(INPUT_PRODUCT!C135="";"";VLOOKUP(INPUT_PRODUCT!C135;PRODUCT!B:P;15;FALSE))</f>
        <v/>
      </c>
      <c r="Q122" s="63">
        <f>IF(INPUT_PRODUCT!C135="";"";INPUT_PRODUCT!K135)</f>
        <v/>
      </c>
      <c r="R122" s="63" t="inlineStr"/>
      <c r="S122" s="63">
        <f>IF(INPUT_PRODUCT!C135="";"";IF(O122="";"";O122*(1+Q122+R122)))</f>
        <v/>
      </c>
      <c r="T122" s="63">
        <f>IF(INPUT_PRODUCT!C135="";"";IF(S122="";"";S122*F122))</f>
        <v/>
      </c>
      <c r="U122" s="62">
        <f>CONFIG!$B$2</f>
        <v/>
      </c>
      <c r="V122" s="62">
        <f>IF(INPUT_PRODUCT!C135="";"";IF(S122="";"";S122*U122))</f>
        <v/>
      </c>
      <c r="W122" s="0">
        <f>IF(INPUT_PRODUCT!C135="";"";IF(T122="";"";T122*U122))</f>
        <v/>
      </c>
      <c r="X122" s="0">
        <f>IF(INPUT_PRODUCT!C135="";"";VLOOKUP(INPUT_PRODUCT!C135;PRODUCT!B:T;19;FALSE))</f>
        <v/>
      </c>
      <c r="Y122" s="0">
        <f>IF(INPUT_PRODUCT!C135="";"";INPUT_PRODUCT!L135)</f>
        <v/>
      </c>
    </row>
    <row r="123" ht="15.75" customHeight="1" s="125">
      <c r="A123" s="62">
        <f>IF(INPUT_PRODUCT!C136="";"";INPUT_PRODUCT!A136)</f>
        <v/>
      </c>
      <c r="B123" s="62">
        <f>IF(INPUT_PRODUCT!C136="";"";INPUT_PRODUCT!B136)</f>
        <v/>
      </c>
      <c r="C123" s="62">
        <f>IF(INPUT_PRODUCT!C136="";"";INPUT_PRODUCT!C136)</f>
        <v/>
      </c>
      <c r="D123" s="62">
        <f>IF(INPUT_PRODUCT!C136="";"";INDEX(PRODUCT!A:A;MATCH(INPUT_PRODUCT!C136;PRODUCT!B:B;0)))</f>
        <v/>
      </c>
      <c r="E123" s="62">
        <f>IF(INPUT_PRODUCT!C136="";"";VLOOKUP(INPUT_PRODUCT!C136;PRODUCT!B:C;2;FALSE))</f>
        <v/>
      </c>
      <c r="F123" s="62">
        <f>IF(INPUT_PRODUCT!C136="";"";INPUT_PRODUCT!J136)</f>
        <v/>
      </c>
      <c r="G123" s="62">
        <f>IF(INPUT_PRODUCT!C136="";"";INPUT_PRODUCT!G136)</f>
        <v/>
      </c>
      <c r="H123" s="62">
        <f>IF(INPUT_PRODUCT!C136="";"";VLOOKUP(INPUT_PRODUCT!C136;PRODUCT!B:F;5;FALSE))</f>
        <v/>
      </c>
      <c r="I123" s="62">
        <f>IF(INPUT_PRODUCT!C136="";"";VLOOKUP(INPUT_PRODUCT!C136;PRODUCT!B:G;6;FALSE))</f>
        <v/>
      </c>
      <c r="J123" s="62">
        <f>IF(INPUT_PRODUCT!C136="";"";VLOOKUP(INPUT_PRODUCT!C136;PRODUCT!B:H;7;FALSE))</f>
        <v/>
      </c>
      <c r="K123" s="60">
        <f>IF(INPUT_PRODUCT!C136="";"";VLOOKUP(INPUT_PRODUCT!C136;PRODUCT!B:I;8;FALSE))</f>
        <v/>
      </c>
      <c r="L123" s="62">
        <f>IF(INPUT_PRODUCT!C136="";"";VLOOKUP(INPUT_PRODUCT!C136;PRODUCT!B:J;9;FALSE))</f>
        <v/>
      </c>
      <c r="M123" s="62">
        <f>IF(INPUT_PRODUCT!C136="";"";VLOOKUP(INPUT_PRODUCT!C136;PRODUCT!B:K;10;FALSE))</f>
        <v/>
      </c>
      <c r="N123" s="62">
        <f>IF(INPUT_PRODUCT!C136="";"";VLOOKUP(INPUT_PRODUCT!C136;PRODUCT!B:L;11;FALSE))</f>
        <v/>
      </c>
      <c r="O123" s="62">
        <f>IF(INPUT_PRODUCT!C136="";"";VLOOKUP(INPUT_PRODUCT!C136;PRODUCT!B:O;14;FALSE))</f>
        <v/>
      </c>
      <c r="P123" s="63">
        <f>IF(INPUT_PRODUCT!C136="";"";VLOOKUP(INPUT_PRODUCT!C136;PRODUCT!B:P;15;FALSE))</f>
        <v/>
      </c>
      <c r="Q123" s="63">
        <f>IF(INPUT_PRODUCT!C136="";"";INPUT_PRODUCT!K136)</f>
        <v/>
      </c>
      <c r="R123" s="63" t="inlineStr"/>
      <c r="S123" s="63">
        <f>IF(INPUT_PRODUCT!C136="";"";IF(O123="";"";O123*(1+Q123+R123)))</f>
        <v/>
      </c>
      <c r="T123" s="63">
        <f>IF(INPUT_PRODUCT!C136="";"";IF(S123="";"";S123*F123))</f>
        <v/>
      </c>
      <c r="U123" s="62">
        <f>CONFIG!$B$2</f>
        <v/>
      </c>
      <c r="V123" s="62">
        <f>IF(INPUT_PRODUCT!C136="";"";IF(S123="";"";S123*U123))</f>
        <v/>
      </c>
      <c r="W123" s="0">
        <f>IF(INPUT_PRODUCT!C136="";"";IF(T123="";"";T123*U123))</f>
        <v/>
      </c>
      <c r="X123" s="0">
        <f>IF(INPUT_PRODUCT!C136="";"";VLOOKUP(INPUT_PRODUCT!C136;PRODUCT!B:T;19;FALSE))</f>
        <v/>
      </c>
      <c r="Y123" s="0">
        <f>IF(INPUT_PRODUCT!C136="";"";INPUT_PRODUCT!L136)</f>
        <v/>
      </c>
    </row>
    <row r="124" ht="15.75" customHeight="1" s="125">
      <c r="A124" s="62">
        <f>IF(INPUT_PRODUCT!C137="";"";INPUT_PRODUCT!A137)</f>
        <v/>
      </c>
      <c r="B124" s="62">
        <f>IF(INPUT_PRODUCT!C137="";"";INPUT_PRODUCT!B137)</f>
        <v/>
      </c>
      <c r="C124" s="62">
        <f>IF(INPUT_PRODUCT!C137="";"";INPUT_PRODUCT!C137)</f>
        <v/>
      </c>
      <c r="D124" s="62">
        <f>IF(INPUT_PRODUCT!C137="";"";INDEX(PRODUCT!A:A;MATCH(INPUT_PRODUCT!C137;PRODUCT!B:B;0)))</f>
        <v/>
      </c>
      <c r="E124" s="62">
        <f>IF(INPUT_PRODUCT!C137="";"";VLOOKUP(INPUT_PRODUCT!C137;PRODUCT!B:C;2;FALSE))</f>
        <v/>
      </c>
      <c r="F124" s="62">
        <f>IF(INPUT_PRODUCT!C137="";"";INPUT_PRODUCT!J137)</f>
        <v/>
      </c>
      <c r="G124" s="62">
        <f>IF(INPUT_PRODUCT!C137="";"";INPUT_PRODUCT!G137)</f>
        <v/>
      </c>
      <c r="H124" s="62">
        <f>IF(INPUT_PRODUCT!C137="";"";VLOOKUP(INPUT_PRODUCT!C137;PRODUCT!B:F;5;FALSE))</f>
        <v/>
      </c>
      <c r="I124" s="62">
        <f>IF(INPUT_PRODUCT!C137="";"";VLOOKUP(INPUT_PRODUCT!C137;PRODUCT!B:G;6;FALSE))</f>
        <v/>
      </c>
      <c r="J124" s="62">
        <f>IF(INPUT_PRODUCT!C137="";"";VLOOKUP(INPUT_PRODUCT!C137;PRODUCT!B:H;7;FALSE))</f>
        <v/>
      </c>
      <c r="K124" s="60">
        <f>IF(INPUT_PRODUCT!C137="";"";VLOOKUP(INPUT_PRODUCT!C137;PRODUCT!B:I;8;FALSE))</f>
        <v/>
      </c>
      <c r="L124" s="62">
        <f>IF(INPUT_PRODUCT!C137="";"";VLOOKUP(INPUT_PRODUCT!C137;PRODUCT!B:J;9;FALSE))</f>
        <v/>
      </c>
      <c r="M124" s="62">
        <f>IF(INPUT_PRODUCT!C137="";"";VLOOKUP(INPUT_PRODUCT!C137;PRODUCT!B:K;10;FALSE))</f>
        <v/>
      </c>
      <c r="N124" s="62">
        <f>IF(INPUT_PRODUCT!C137="";"";VLOOKUP(INPUT_PRODUCT!C137;PRODUCT!B:L;11;FALSE))</f>
        <v/>
      </c>
      <c r="O124" s="62">
        <f>IF(INPUT_PRODUCT!C137="";"";VLOOKUP(INPUT_PRODUCT!C137;PRODUCT!B:O;14;FALSE))</f>
        <v/>
      </c>
      <c r="P124" s="63">
        <f>IF(INPUT_PRODUCT!C137="";"";VLOOKUP(INPUT_PRODUCT!C137;PRODUCT!B:P;15;FALSE))</f>
        <v/>
      </c>
      <c r="Q124" s="63">
        <f>IF(INPUT_PRODUCT!C137="";"";INPUT_PRODUCT!K137)</f>
        <v/>
      </c>
      <c r="R124" s="63" t="inlineStr"/>
      <c r="S124" s="63">
        <f>IF(INPUT_PRODUCT!C137="";"";IF(O124="";"";O124*(1+Q124+R124)))</f>
        <v/>
      </c>
      <c r="T124" s="63">
        <f>IF(INPUT_PRODUCT!C137="";"";IF(S124="";"";S124*F124))</f>
        <v/>
      </c>
      <c r="U124" s="62">
        <f>CONFIG!$B$2</f>
        <v/>
      </c>
      <c r="V124" s="62">
        <f>IF(INPUT_PRODUCT!C137="";"";IF(S124="";"";S124*U124))</f>
        <v/>
      </c>
      <c r="W124" s="0">
        <f>IF(INPUT_PRODUCT!C137="";"";IF(T124="";"";T124*U124))</f>
        <v/>
      </c>
      <c r="X124" s="0">
        <f>IF(INPUT_PRODUCT!C137="";"";VLOOKUP(INPUT_PRODUCT!C137;PRODUCT!B:T;19;FALSE))</f>
        <v/>
      </c>
      <c r="Y124" s="0">
        <f>IF(INPUT_PRODUCT!C137="";"";INPUT_PRODUCT!L137)</f>
        <v/>
      </c>
    </row>
    <row r="125" ht="15.75" customHeight="1" s="125">
      <c r="A125" s="62">
        <f>IF(INPUT_PRODUCT!C138="";"";INPUT_PRODUCT!A138)</f>
        <v/>
      </c>
      <c r="B125" s="62">
        <f>IF(INPUT_PRODUCT!C138="";"";INPUT_PRODUCT!B138)</f>
        <v/>
      </c>
      <c r="C125" s="62">
        <f>IF(INPUT_PRODUCT!C138="";"";INPUT_PRODUCT!C138)</f>
        <v/>
      </c>
      <c r="D125" s="62">
        <f>IF(INPUT_PRODUCT!C138="";"";INDEX(PRODUCT!A:A;MATCH(INPUT_PRODUCT!C138;PRODUCT!B:B;0)))</f>
        <v/>
      </c>
      <c r="E125" s="62">
        <f>IF(INPUT_PRODUCT!C138="";"";VLOOKUP(INPUT_PRODUCT!C138;PRODUCT!B:C;2;FALSE))</f>
        <v/>
      </c>
      <c r="F125" s="62">
        <f>IF(INPUT_PRODUCT!C138="";"";INPUT_PRODUCT!J138)</f>
        <v/>
      </c>
      <c r="G125" s="62">
        <f>IF(INPUT_PRODUCT!C138="";"";INPUT_PRODUCT!G138)</f>
        <v/>
      </c>
      <c r="H125" s="62">
        <f>IF(INPUT_PRODUCT!C138="";"";VLOOKUP(INPUT_PRODUCT!C138;PRODUCT!B:F;5;FALSE))</f>
        <v/>
      </c>
      <c r="I125" s="62">
        <f>IF(INPUT_PRODUCT!C138="";"";VLOOKUP(INPUT_PRODUCT!C138;PRODUCT!B:G;6;FALSE))</f>
        <v/>
      </c>
      <c r="J125" s="62">
        <f>IF(INPUT_PRODUCT!C138="";"";VLOOKUP(INPUT_PRODUCT!C138;PRODUCT!B:H;7;FALSE))</f>
        <v/>
      </c>
      <c r="K125" s="60">
        <f>IF(INPUT_PRODUCT!C138="";"";VLOOKUP(INPUT_PRODUCT!C138;PRODUCT!B:I;8;FALSE))</f>
        <v/>
      </c>
      <c r="L125" s="62">
        <f>IF(INPUT_PRODUCT!C138="";"";VLOOKUP(INPUT_PRODUCT!C138;PRODUCT!B:J;9;FALSE))</f>
        <v/>
      </c>
      <c r="M125" s="62">
        <f>IF(INPUT_PRODUCT!C138="";"";VLOOKUP(INPUT_PRODUCT!C138;PRODUCT!B:K;10;FALSE))</f>
        <v/>
      </c>
      <c r="N125" s="62">
        <f>IF(INPUT_PRODUCT!C138="";"";VLOOKUP(INPUT_PRODUCT!C138;PRODUCT!B:L;11;FALSE))</f>
        <v/>
      </c>
      <c r="O125" s="62">
        <f>IF(INPUT_PRODUCT!C138="";"";VLOOKUP(INPUT_PRODUCT!C138;PRODUCT!B:O;14;FALSE))</f>
        <v/>
      </c>
      <c r="P125" s="63">
        <f>IF(INPUT_PRODUCT!C138="";"";VLOOKUP(INPUT_PRODUCT!C138;PRODUCT!B:P;15;FALSE))</f>
        <v/>
      </c>
      <c r="Q125" s="63">
        <f>IF(INPUT_PRODUCT!C138="";"";INPUT_PRODUCT!K138)</f>
        <v/>
      </c>
      <c r="R125" s="63" t="inlineStr"/>
      <c r="S125" s="63">
        <f>IF(INPUT_PRODUCT!C138="";"";IF(O125="";"";O125*(1+Q125+R125)))</f>
        <v/>
      </c>
      <c r="T125" s="63">
        <f>IF(INPUT_PRODUCT!C138="";"";IF(S125="";"";S125*F125))</f>
        <v/>
      </c>
      <c r="U125" s="62">
        <f>CONFIG!$B$2</f>
        <v/>
      </c>
      <c r="V125" s="62">
        <f>IF(INPUT_PRODUCT!C138="";"";IF(S125="";"";S125*U125))</f>
        <v/>
      </c>
      <c r="W125" s="0">
        <f>IF(INPUT_PRODUCT!C138="";"";IF(T125="";"";T125*U125))</f>
        <v/>
      </c>
      <c r="X125" s="0">
        <f>IF(INPUT_PRODUCT!C138="";"";VLOOKUP(INPUT_PRODUCT!C138;PRODUCT!B:T;19;FALSE))</f>
        <v/>
      </c>
      <c r="Y125" s="0">
        <f>IF(INPUT_PRODUCT!C138="";"";INPUT_PRODUCT!L138)</f>
        <v/>
      </c>
    </row>
    <row r="126" ht="15.75" customHeight="1" s="125">
      <c r="A126" s="62">
        <f>IF(INPUT_PRODUCT!C139="";"";INPUT_PRODUCT!A139)</f>
        <v/>
      </c>
      <c r="B126" s="62">
        <f>IF(INPUT_PRODUCT!C139="";"";INPUT_PRODUCT!B139)</f>
        <v/>
      </c>
      <c r="C126" s="62">
        <f>IF(INPUT_PRODUCT!C139="";"";INPUT_PRODUCT!C139)</f>
        <v/>
      </c>
      <c r="D126" s="62">
        <f>IF(INPUT_PRODUCT!C139="";"";INDEX(PRODUCT!A:A;MATCH(INPUT_PRODUCT!C139;PRODUCT!B:B;0)))</f>
        <v/>
      </c>
      <c r="E126" s="62">
        <f>IF(INPUT_PRODUCT!C139="";"";VLOOKUP(INPUT_PRODUCT!C139;PRODUCT!B:C;2;FALSE))</f>
        <v/>
      </c>
      <c r="F126" s="62">
        <f>IF(INPUT_PRODUCT!C139="";"";INPUT_PRODUCT!J139)</f>
        <v/>
      </c>
      <c r="G126" s="62">
        <f>IF(INPUT_PRODUCT!C139="";"";INPUT_PRODUCT!G139)</f>
        <v/>
      </c>
      <c r="H126" s="62">
        <f>IF(INPUT_PRODUCT!C139="";"";VLOOKUP(INPUT_PRODUCT!C139;PRODUCT!B:F;5;FALSE))</f>
        <v/>
      </c>
      <c r="I126" s="62">
        <f>IF(INPUT_PRODUCT!C139="";"";VLOOKUP(INPUT_PRODUCT!C139;PRODUCT!B:G;6;FALSE))</f>
        <v/>
      </c>
      <c r="J126" s="62">
        <f>IF(INPUT_PRODUCT!C139="";"";VLOOKUP(INPUT_PRODUCT!C139;PRODUCT!B:H;7;FALSE))</f>
        <v/>
      </c>
      <c r="K126" s="60">
        <f>IF(INPUT_PRODUCT!C139="";"";VLOOKUP(INPUT_PRODUCT!C139;PRODUCT!B:I;8;FALSE))</f>
        <v/>
      </c>
      <c r="L126" s="62">
        <f>IF(INPUT_PRODUCT!C139="";"";VLOOKUP(INPUT_PRODUCT!C139;PRODUCT!B:J;9;FALSE))</f>
        <v/>
      </c>
      <c r="M126" s="62">
        <f>IF(INPUT_PRODUCT!C139="";"";VLOOKUP(INPUT_PRODUCT!C139;PRODUCT!B:K;10;FALSE))</f>
        <v/>
      </c>
      <c r="N126" s="62">
        <f>IF(INPUT_PRODUCT!C139="";"";VLOOKUP(INPUT_PRODUCT!C139;PRODUCT!B:L;11;FALSE))</f>
        <v/>
      </c>
      <c r="O126" s="62">
        <f>IF(INPUT_PRODUCT!C139="";"";VLOOKUP(INPUT_PRODUCT!C139;PRODUCT!B:O;14;FALSE))</f>
        <v/>
      </c>
      <c r="P126" s="63">
        <f>IF(INPUT_PRODUCT!C139="";"";VLOOKUP(INPUT_PRODUCT!C139;PRODUCT!B:P;15;FALSE))</f>
        <v/>
      </c>
      <c r="Q126" s="63">
        <f>IF(INPUT_PRODUCT!C139="";"";INPUT_PRODUCT!K139)</f>
        <v/>
      </c>
      <c r="R126" s="63" t="inlineStr"/>
      <c r="S126" s="63">
        <f>IF(INPUT_PRODUCT!C139="";"";IF(O126="";"";O126*(1+Q126+R126)))</f>
        <v/>
      </c>
      <c r="T126" s="63">
        <f>IF(INPUT_PRODUCT!C139="";"";IF(S126="";"";S126*F126))</f>
        <v/>
      </c>
      <c r="U126" s="62">
        <f>CONFIG!$B$2</f>
        <v/>
      </c>
      <c r="V126" s="62">
        <f>IF(INPUT_PRODUCT!C139="";"";IF(S126="";"";S126*U126))</f>
        <v/>
      </c>
      <c r="W126" s="0">
        <f>IF(INPUT_PRODUCT!C139="";"";IF(T126="";"";T126*U126))</f>
        <v/>
      </c>
      <c r="X126" s="0">
        <f>IF(INPUT_PRODUCT!C139="";"";VLOOKUP(INPUT_PRODUCT!C139;PRODUCT!B:T;19;FALSE))</f>
        <v/>
      </c>
      <c r="Y126" s="0">
        <f>IF(INPUT_PRODUCT!C139="";"";INPUT_PRODUCT!L139)</f>
        <v/>
      </c>
    </row>
    <row r="127" ht="15.75" customHeight="1" s="125">
      <c r="A127" s="62">
        <f>IF(INPUT_PRODUCT!C140="";"";INPUT_PRODUCT!A140)</f>
        <v/>
      </c>
      <c r="B127" s="62">
        <f>IF(INPUT_PRODUCT!C140="";"";INPUT_PRODUCT!B140)</f>
        <v/>
      </c>
      <c r="C127" s="62">
        <f>IF(INPUT_PRODUCT!C140="";"";INPUT_PRODUCT!C140)</f>
        <v/>
      </c>
      <c r="D127" s="62">
        <f>IF(INPUT_PRODUCT!C140="";"";INDEX(PRODUCT!A:A;MATCH(INPUT_PRODUCT!C140;PRODUCT!B:B;0)))</f>
        <v/>
      </c>
      <c r="E127" s="62">
        <f>IF(INPUT_PRODUCT!C140="";"";VLOOKUP(INPUT_PRODUCT!C140;PRODUCT!B:C;2;FALSE))</f>
        <v/>
      </c>
      <c r="F127" s="62">
        <f>IF(INPUT_PRODUCT!C140="";"";INPUT_PRODUCT!J140)</f>
        <v/>
      </c>
      <c r="G127" s="62">
        <f>IF(INPUT_PRODUCT!C140="";"";INPUT_PRODUCT!G140)</f>
        <v/>
      </c>
      <c r="H127" s="62">
        <f>IF(INPUT_PRODUCT!C140="";"";VLOOKUP(INPUT_PRODUCT!C140;PRODUCT!B:F;5;FALSE))</f>
        <v/>
      </c>
      <c r="I127" s="62">
        <f>IF(INPUT_PRODUCT!C140="";"";VLOOKUP(INPUT_PRODUCT!C140;PRODUCT!B:G;6;FALSE))</f>
        <v/>
      </c>
      <c r="J127" s="62">
        <f>IF(INPUT_PRODUCT!C140="";"";VLOOKUP(INPUT_PRODUCT!C140;PRODUCT!B:H;7;FALSE))</f>
        <v/>
      </c>
      <c r="K127" s="60">
        <f>IF(INPUT_PRODUCT!C140="";"";VLOOKUP(INPUT_PRODUCT!C140;PRODUCT!B:I;8;FALSE))</f>
        <v/>
      </c>
      <c r="L127" s="62">
        <f>IF(INPUT_PRODUCT!C140="";"";VLOOKUP(INPUT_PRODUCT!C140;PRODUCT!B:J;9;FALSE))</f>
        <v/>
      </c>
      <c r="M127" s="62">
        <f>IF(INPUT_PRODUCT!C140="";"";VLOOKUP(INPUT_PRODUCT!C140;PRODUCT!B:K;10;FALSE))</f>
        <v/>
      </c>
      <c r="N127" s="62">
        <f>IF(INPUT_PRODUCT!C140="";"";VLOOKUP(INPUT_PRODUCT!C140;PRODUCT!B:L;11;FALSE))</f>
        <v/>
      </c>
      <c r="O127" s="62">
        <f>IF(INPUT_PRODUCT!C140="";"";VLOOKUP(INPUT_PRODUCT!C140;PRODUCT!B:O;14;FALSE))</f>
        <v/>
      </c>
      <c r="P127" s="63">
        <f>IF(INPUT_PRODUCT!C140="";"";VLOOKUP(INPUT_PRODUCT!C140;PRODUCT!B:P;15;FALSE))</f>
        <v/>
      </c>
      <c r="Q127" s="63">
        <f>IF(INPUT_PRODUCT!C140="";"";INPUT_PRODUCT!K140)</f>
        <v/>
      </c>
      <c r="R127" s="63" t="inlineStr"/>
      <c r="S127" s="63">
        <f>IF(INPUT_PRODUCT!C140="";"";IF(O127="";"";O127*(1+Q127+R127)))</f>
        <v/>
      </c>
      <c r="T127" s="63">
        <f>IF(INPUT_PRODUCT!C140="";"";IF(S127="";"";S127*F127))</f>
        <v/>
      </c>
      <c r="U127" s="62">
        <f>CONFIG!$B$2</f>
        <v/>
      </c>
      <c r="V127" s="62">
        <f>IF(INPUT_PRODUCT!C140="";"";IF(S127="";"";S127*U127))</f>
        <v/>
      </c>
      <c r="W127" s="0">
        <f>IF(INPUT_PRODUCT!C140="";"";IF(T127="";"";T127*U127))</f>
        <v/>
      </c>
      <c r="X127" s="0">
        <f>IF(INPUT_PRODUCT!C140="";"";VLOOKUP(INPUT_PRODUCT!C140;PRODUCT!B:T;19;FALSE))</f>
        <v/>
      </c>
      <c r="Y127" s="0">
        <f>IF(INPUT_PRODUCT!C140="";"";INPUT_PRODUCT!L140)</f>
        <v/>
      </c>
    </row>
    <row r="128" ht="15.75" customHeight="1" s="125">
      <c r="A128" s="62">
        <f>IF(INPUT_PRODUCT!C141="";"";INPUT_PRODUCT!A141)</f>
        <v/>
      </c>
      <c r="B128" s="62">
        <f>IF(INPUT_PRODUCT!C141="";"";INPUT_PRODUCT!B141)</f>
        <v/>
      </c>
      <c r="C128" s="62">
        <f>IF(INPUT_PRODUCT!C141="";"";INPUT_PRODUCT!C141)</f>
        <v/>
      </c>
      <c r="D128" s="62">
        <f>IF(INPUT_PRODUCT!C141="";"";INDEX(PRODUCT!A:A;MATCH(INPUT_PRODUCT!C141;PRODUCT!B:B;0)))</f>
        <v/>
      </c>
      <c r="E128" s="62">
        <f>IF(INPUT_PRODUCT!C141="";"";VLOOKUP(INPUT_PRODUCT!C141;PRODUCT!B:C;2;FALSE))</f>
        <v/>
      </c>
      <c r="F128" s="62">
        <f>IF(INPUT_PRODUCT!C141="";"";INPUT_PRODUCT!J141)</f>
        <v/>
      </c>
      <c r="G128" s="62">
        <f>IF(INPUT_PRODUCT!C141="";"";INPUT_PRODUCT!G141)</f>
        <v/>
      </c>
      <c r="H128" s="62">
        <f>IF(INPUT_PRODUCT!C141="";"";VLOOKUP(INPUT_PRODUCT!C141;PRODUCT!B:F;5;FALSE))</f>
        <v/>
      </c>
      <c r="I128" s="62">
        <f>IF(INPUT_PRODUCT!C141="";"";VLOOKUP(INPUT_PRODUCT!C141;PRODUCT!B:G;6;FALSE))</f>
        <v/>
      </c>
      <c r="J128" s="62">
        <f>IF(INPUT_PRODUCT!C141="";"";VLOOKUP(INPUT_PRODUCT!C141;PRODUCT!B:H;7;FALSE))</f>
        <v/>
      </c>
      <c r="K128" s="60">
        <f>IF(INPUT_PRODUCT!C141="";"";VLOOKUP(INPUT_PRODUCT!C141;PRODUCT!B:I;8;FALSE))</f>
        <v/>
      </c>
      <c r="L128" s="62">
        <f>IF(INPUT_PRODUCT!C141="";"";VLOOKUP(INPUT_PRODUCT!C141;PRODUCT!B:J;9;FALSE))</f>
        <v/>
      </c>
      <c r="M128" s="62">
        <f>IF(INPUT_PRODUCT!C141="";"";VLOOKUP(INPUT_PRODUCT!C141;PRODUCT!B:K;10;FALSE))</f>
        <v/>
      </c>
      <c r="N128" s="62">
        <f>IF(INPUT_PRODUCT!C141="";"";VLOOKUP(INPUT_PRODUCT!C141;PRODUCT!B:L;11;FALSE))</f>
        <v/>
      </c>
      <c r="O128" s="62">
        <f>IF(INPUT_PRODUCT!C141="";"";VLOOKUP(INPUT_PRODUCT!C141;PRODUCT!B:O;14;FALSE))</f>
        <v/>
      </c>
      <c r="P128" s="63">
        <f>IF(INPUT_PRODUCT!C141="";"";VLOOKUP(INPUT_PRODUCT!C141;PRODUCT!B:P;15;FALSE))</f>
        <v/>
      </c>
      <c r="Q128" s="63">
        <f>IF(INPUT_PRODUCT!C141="";"";INPUT_PRODUCT!K141)</f>
        <v/>
      </c>
      <c r="R128" s="63" t="inlineStr"/>
      <c r="S128" s="63">
        <f>IF(INPUT_PRODUCT!C141="";"";IF(O128="";"";O128*(1+Q128+R128)))</f>
        <v/>
      </c>
      <c r="T128" s="63">
        <f>IF(INPUT_PRODUCT!C141="";"";IF(S128="";"";S128*F128))</f>
        <v/>
      </c>
      <c r="U128" s="62">
        <f>CONFIG!$B$2</f>
        <v/>
      </c>
      <c r="V128" s="62">
        <f>IF(INPUT_PRODUCT!C141="";"";IF(S128="";"";S128*U128))</f>
        <v/>
      </c>
      <c r="W128" s="0">
        <f>IF(INPUT_PRODUCT!C141="";"";IF(T128="";"";T128*U128))</f>
        <v/>
      </c>
      <c r="X128" s="0">
        <f>IF(INPUT_PRODUCT!C141="";"";VLOOKUP(INPUT_PRODUCT!C141;PRODUCT!B:T;19;FALSE))</f>
        <v/>
      </c>
      <c r="Y128" s="0">
        <f>IF(INPUT_PRODUCT!C141="";"";INPUT_PRODUCT!L141)</f>
        <v/>
      </c>
    </row>
    <row r="129" ht="15.75" customHeight="1" s="125">
      <c r="A129" s="62">
        <f>IF(INPUT_PRODUCT!C142="";"";INPUT_PRODUCT!A142)</f>
        <v/>
      </c>
      <c r="B129" s="62">
        <f>IF(INPUT_PRODUCT!C142="";"";INPUT_PRODUCT!B142)</f>
        <v/>
      </c>
      <c r="C129" s="62">
        <f>IF(INPUT_PRODUCT!C142="";"";INPUT_PRODUCT!C142)</f>
        <v/>
      </c>
      <c r="D129" s="62">
        <f>IF(INPUT_PRODUCT!C142="";"";INDEX(PRODUCT!A:A;MATCH(INPUT_PRODUCT!C142;PRODUCT!B:B;0)))</f>
        <v/>
      </c>
      <c r="E129" s="62">
        <f>IF(INPUT_PRODUCT!C142="";"";VLOOKUP(INPUT_PRODUCT!C142;PRODUCT!B:C;2;FALSE))</f>
        <v/>
      </c>
      <c r="F129" s="62">
        <f>IF(INPUT_PRODUCT!C142="";"";INPUT_PRODUCT!J142)</f>
        <v/>
      </c>
      <c r="G129" s="62">
        <f>IF(INPUT_PRODUCT!C142="";"";INPUT_PRODUCT!G142)</f>
        <v/>
      </c>
      <c r="H129" s="62">
        <f>IF(INPUT_PRODUCT!C142="";"";VLOOKUP(INPUT_PRODUCT!C142;PRODUCT!B:F;5;FALSE))</f>
        <v/>
      </c>
      <c r="I129" s="62">
        <f>IF(INPUT_PRODUCT!C142="";"";VLOOKUP(INPUT_PRODUCT!C142;PRODUCT!B:G;6;FALSE))</f>
        <v/>
      </c>
      <c r="J129" s="62">
        <f>IF(INPUT_PRODUCT!C142="";"";VLOOKUP(INPUT_PRODUCT!C142;PRODUCT!B:H;7;FALSE))</f>
        <v/>
      </c>
      <c r="K129" s="60">
        <f>IF(INPUT_PRODUCT!C142="";"";VLOOKUP(INPUT_PRODUCT!C142;PRODUCT!B:I;8;FALSE))</f>
        <v/>
      </c>
      <c r="L129" s="62">
        <f>IF(INPUT_PRODUCT!C142="";"";VLOOKUP(INPUT_PRODUCT!C142;PRODUCT!B:J;9;FALSE))</f>
        <v/>
      </c>
      <c r="M129" s="62">
        <f>IF(INPUT_PRODUCT!C142="";"";VLOOKUP(INPUT_PRODUCT!C142;PRODUCT!B:K;10;FALSE))</f>
        <v/>
      </c>
      <c r="N129" s="62">
        <f>IF(INPUT_PRODUCT!C142="";"";VLOOKUP(INPUT_PRODUCT!C142;PRODUCT!B:L;11;FALSE))</f>
        <v/>
      </c>
      <c r="O129" s="62">
        <f>IF(INPUT_PRODUCT!C142="";"";VLOOKUP(INPUT_PRODUCT!C142;PRODUCT!B:O;14;FALSE))</f>
        <v/>
      </c>
      <c r="P129" s="63">
        <f>IF(INPUT_PRODUCT!C142="";"";VLOOKUP(INPUT_PRODUCT!C142;PRODUCT!B:P;15;FALSE))</f>
        <v/>
      </c>
      <c r="Q129" s="63">
        <f>IF(INPUT_PRODUCT!C142="";"";INPUT_PRODUCT!K142)</f>
        <v/>
      </c>
      <c r="R129" s="63" t="inlineStr"/>
      <c r="S129" s="63">
        <f>IF(INPUT_PRODUCT!C142="";"";IF(O129="";"";O129*(1+Q129+R129)))</f>
        <v/>
      </c>
      <c r="T129" s="63">
        <f>IF(INPUT_PRODUCT!C142="";"";IF(S129="";"";S129*F129))</f>
        <v/>
      </c>
      <c r="U129" s="62">
        <f>CONFIG!$B$2</f>
        <v/>
      </c>
      <c r="V129" s="62">
        <f>IF(INPUT_PRODUCT!C142="";"";IF(S129="";"";S129*U129))</f>
        <v/>
      </c>
      <c r="W129" s="0">
        <f>IF(INPUT_PRODUCT!C142="";"";IF(T129="";"";T129*U129))</f>
        <v/>
      </c>
      <c r="X129" s="0">
        <f>IF(INPUT_PRODUCT!C142="";"";VLOOKUP(INPUT_PRODUCT!C142;PRODUCT!B:T;19;FALSE))</f>
        <v/>
      </c>
      <c r="Y129" s="0">
        <f>IF(INPUT_PRODUCT!C142="";"";INPUT_PRODUCT!L142)</f>
        <v/>
      </c>
    </row>
    <row r="130" ht="15.75" customHeight="1" s="125">
      <c r="A130" s="62">
        <f>IF(INPUT_PRODUCT!C143="";"";INPUT_PRODUCT!A143)</f>
        <v/>
      </c>
      <c r="B130" s="62">
        <f>IF(INPUT_PRODUCT!C143="";"";INPUT_PRODUCT!B143)</f>
        <v/>
      </c>
      <c r="C130" s="62">
        <f>IF(INPUT_PRODUCT!C143="";"";INPUT_PRODUCT!C143)</f>
        <v/>
      </c>
      <c r="D130" s="62">
        <f>IF(INPUT_PRODUCT!C143="";"";INDEX(PRODUCT!A:A;MATCH(INPUT_PRODUCT!C143;PRODUCT!B:B;0)))</f>
        <v/>
      </c>
      <c r="E130" s="62">
        <f>IF(INPUT_PRODUCT!C143="";"";VLOOKUP(INPUT_PRODUCT!C143;PRODUCT!B:C;2;FALSE))</f>
        <v/>
      </c>
      <c r="F130" s="62">
        <f>IF(INPUT_PRODUCT!C143="";"";INPUT_PRODUCT!J143)</f>
        <v/>
      </c>
      <c r="G130" s="62">
        <f>IF(INPUT_PRODUCT!C143="";"";INPUT_PRODUCT!G143)</f>
        <v/>
      </c>
      <c r="H130" s="62">
        <f>IF(INPUT_PRODUCT!C143="";"";VLOOKUP(INPUT_PRODUCT!C143;PRODUCT!B:F;5;FALSE))</f>
        <v/>
      </c>
      <c r="I130" s="62">
        <f>IF(INPUT_PRODUCT!C143="";"";VLOOKUP(INPUT_PRODUCT!C143;PRODUCT!B:G;6;FALSE))</f>
        <v/>
      </c>
      <c r="J130" s="62">
        <f>IF(INPUT_PRODUCT!C143="";"";VLOOKUP(INPUT_PRODUCT!C143;PRODUCT!B:H;7;FALSE))</f>
        <v/>
      </c>
      <c r="K130" s="60">
        <f>IF(INPUT_PRODUCT!C143="";"";VLOOKUP(INPUT_PRODUCT!C143;PRODUCT!B:I;8;FALSE))</f>
        <v/>
      </c>
      <c r="L130" s="62">
        <f>IF(INPUT_PRODUCT!C143="";"";VLOOKUP(INPUT_PRODUCT!C143;PRODUCT!B:J;9;FALSE))</f>
        <v/>
      </c>
      <c r="M130" s="62">
        <f>IF(INPUT_PRODUCT!C143="";"";VLOOKUP(INPUT_PRODUCT!C143;PRODUCT!B:K;10;FALSE))</f>
        <v/>
      </c>
      <c r="N130" s="62">
        <f>IF(INPUT_PRODUCT!C143="";"";VLOOKUP(INPUT_PRODUCT!C143;PRODUCT!B:L;11;FALSE))</f>
        <v/>
      </c>
      <c r="O130" s="62">
        <f>IF(INPUT_PRODUCT!C143="";"";VLOOKUP(INPUT_PRODUCT!C143;PRODUCT!B:O;14;FALSE))</f>
        <v/>
      </c>
      <c r="P130" s="63">
        <f>IF(INPUT_PRODUCT!C143="";"";VLOOKUP(INPUT_PRODUCT!C143;PRODUCT!B:P;15;FALSE))</f>
        <v/>
      </c>
      <c r="Q130" s="63">
        <f>IF(INPUT_PRODUCT!C143="";"";INPUT_PRODUCT!K143)</f>
        <v/>
      </c>
      <c r="R130" s="63" t="inlineStr"/>
      <c r="S130" s="63">
        <f>IF(INPUT_PRODUCT!C143="";"";IF(O130="";"";O130*(1+Q130+R130)))</f>
        <v/>
      </c>
      <c r="T130" s="63">
        <f>IF(INPUT_PRODUCT!C143="";"";IF(S130="";"";S130*F130))</f>
        <v/>
      </c>
      <c r="U130" s="62">
        <f>CONFIG!$B$2</f>
        <v/>
      </c>
      <c r="V130" s="62">
        <f>IF(INPUT_PRODUCT!C143="";"";IF(S130="";"";S130*U130))</f>
        <v/>
      </c>
      <c r="W130" s="0">
        <f>IF(INPUT_PRODUCT!C143="";"";IF(T130="";"";T130*U130))</f>
        <v/>
      </c>
      <c r="X130" s="0">
        <f>IF(INPUT_PRODUCT!C143="";"";VLOOKUP(INPUT_PRODUCT!C143;PRODUCT!B:T;19;FALSE))</f>
        <v/>
      </c>
      <c r="Y130" s="0">
        <f>IF(INPUT_PRODUCT!C143="";"";INPUT_PRODUCT!L143)</f>
        <v/>
      </c>
    </row>
    <row r="131" ht="15.75" customHeight="1" s="125">
      <c r="A131" s="62">
        <f>IF(INPUT_PRODUCT!C144="";"";INPUT_PRODUCT!A144)</f>
        <v/>
      </c>
      <c r="B131" s="62">
        <f>IF(INPUT_PRODUCT!C144="";"";INPUT_PRODUCT!B144)</f>
        <v/>
      </c>
      <c r="C131" s="62">
        <f>IF(INPUT_PRODUCT!C144="";"";INPUT_PRODUCT!C144)</f>
        <v/>
      </c>
      <c r="D131" s="62">
        <f>IF(INPUT_PRODUCT!C144="";"";INDEX(PRODUCT!A:A;MATCH(INPUT_PRODUCT!C144;PRODUCT!B:B;0)))</f>
        <v/>
      </c>
      <c r="E131" s="62">
        <f>IF(INPUT_PRODUCT!C144="";"";VLOOKUP(INPUT_PRODUCT!C144;PRODUCT!B:C;2;FALSE))</f>
        <v/>
      </c>
      <c r="F131" s="62">
        <f>IF(INPUT_PRODUCT!C144="";"";INPUT_PRODUCT!J144)</f>
        <v/>
      </c>
      <c r="G131" s="62">
        <f>IF(INPUT_PRODUCT!C144="";"";INPUT_PRODUCT!G144)</f>
        <v/>
      </c>
      <c r="H131" s="62">
        <f>IF(INPUT_PRODUCT!C144="";"";VLOOKUP(INPUT_PRODUCT!C144;PRODUCT!B:F;5;FALSE))</f>
        <v/>
      </c>
      <c r="I131" s="62">
        <f>IF(INPUT_PRODUCT!C144="";"";VLOOKUP(INPUT_PRODUCT!C144;PRODUCT!B:G;6;FALSE))</f>
        <v/>
      </c>
      <c r="J131" s="62">
        <f>IF(INPUT_PRODUCT!C144="";"";VLOOKUP(INPUT_PRODUCT!C144;PRODUCT!B:H;7;FALSE))</f>
        <v/>
      </c>
      <c r="K131" s="60">
        <f>IF(INPUT_PRODUCT!C144="";"";VLOOKUP(INPUT_PRODUCT!C144;PRODUCT!B:I;8;FALSE))</f>
        <v/>
      </c>
      <c r="L131" s="62">
        <f>IF(INPUT_PRODUCT!C144="";"";VLOOKUP(INPUT_PRODUCT!C144;PRODUCT!B:J;9;FALSE))</f>
        <v/>
      </c>
      <c r="M131" s="62">
        <f>IF(INPUT_PRODUCT!C144="";"";VLOOKUP(INPUT_PRODUCT!C144;PRODUCT!B:K;10;FALSE))</f>
        <v/>
      </c>
      <c r="N131" s="62">
        <f>IF(INPUT_PRODUCT!C144="";"";VLOOKUP(INPUT_PRODUCT!C144;PRODUCT!B:L;11;FALSE))</f>
        <v/>
      </c>
      <c r="O131" s="62">
        <f>IF(INPUT_PRODUCT!C144="";"";VLOOKUP(INPUT_PRODUCT!C144;PRODUCT!B:O;14;FALSE))</f>
        <v/>
      </c>
      <c r="P131" s="63">
        <f>IF(INPUT_PRODUCT!C144="";"";VLOOKUP(INPUT_PRODUCT!C144;PRODUCT!B:P;15;FALSE))</f>
        <v/>
      </c>
      <c r="Q131" s="63">
        <f>IF(INPUT_PRODUCT!C144="";"";INPUT_PRODUCT!K144)</f>
        <v/>
      </c>
      <c r="R131" s="63" t="inlineStr"/>
      <c r="S131" s="63">
        <f>IF(INPUT_PRODUCT!C144="";"";IF(O131="";"";O131*(1+Q131+R131)))</f>
        <v/>
      </c>
      <c r="T131" s="63">
        <f>IF(INPUT_PRODUCT!C144="";"";IF(S131="";"";S131*F131))</f>
        <v/>
      </c>
      <c r="U131" s="62">
        <f>CONFIG!$B$2</f>
        <v/>
      </c>
      <c r="V131" s="62">
        <f>IF(INPUT_PRODUCT!C144="";"";IF(S131="";"";S131*U131))</f>
        <v/>
      </c>
      <c r="W131" s="0">
        <f>IF(INPUT_PRODUCT!C144="";"";IF(T131="";"";T131*U131))</f>
        <v/>
      </c>
      <c r="X131" s="0">
        <f>IF(INPUT_PRODUCT!C144="";"";VLOOKUP(INPUT_PRODUCT!C144;PRODUCT!B:T;19;FALSE))</f>
        <v/>
      </c>
      <c r="Y131" s="0">
        <f>IF(INPUT_PRODUCT!C144="";"";INPUT_PRODUCT!L144)</f>
        <v/>
      </c>
    </row>
    <row r="132" ht="15.75" customHeight="1" s="125">
      <c r="A132" s="62">
        <f>IF(INPUT_PRODUCT!C145="";"";INPUT_PRODUCT!A145)</f>
        <v/>
      </c>
      <c r="B132" s="62">
        <f>IF(INPUT_PRODUCT!C145="";"";INPUT_PRODUCT!B145)</f>
        <v/>
      </c>
      <c r="C132" s="62">
        <f>IF(INPUT_PRODUCT!C145="";"";INPUT_PRODUCT!C145)</f>
        <v/>
      </c>
      <c r="D132" s="62">
        <f>IF(INPUT_PRODUCT!C145="";"";INDEX(PRODUCT!A:A;MATCH(INPUT_PRODUCT!C145;PRODUCT!B:B;0)))</f>
        <v/>
      </c>
      <c r="E132" s="62">
        <f>IF(INPUT_PRODUCT!C145="";"";VLOOKUP(INPUT_PRODUCT!C145;PRODUCT!B:C;2;FALSE))</f>
        <v/>
      </c>
      <c r="F132" s="62">
        <f>IF(INPUT_PRODUCT!C145="";"";INPUT_PRODUCT!J145)</f>
        <v/>
      </c>
      <c r="G132" s="62">
        <f>IF(INPUT_PRODUCT!C145="";"";INPUT_PRODUCT!G145)</f>
        <v/>
      </c>
      <c r="H132" s="62">
        <f>IF(INPUT_PRODUCT!C145="";"";VLOOKUP(INPUT_PRODUCT!C145;PRODUCT!B:F;5;FALSE))</f>
        <v/>
      </c>
      <c r="I132" s="62">
        <f>IF(INPUT_PRODUCT!C145="";"";VLOOKUP(INPUT_PRODUCT!C145;PRODUCT!B:G;6;FALSE))</f>
        <v/>
      </c>
      <c r="J132" s="62">
        <f>IF(INPUT_PRODUCT!C145="";"";VLOOKUP(INPUT_PRODUCT!C145;PRODUCT!B:H;7;FALSE))</f>
        <v/>
      </c>
      <c r="K132" s="60">
        <f>IF(INPUT_PRODUCT!C145="";"";VLOOKUP(INPUT_PRODUCT!C145;PRODUCT!B:I;8;FALSE))</f>
        <v/>
      </c>
      <c r="L132" s="62">
        <f>IF(INPUT_PRODUCT!C145="";"";VLOOKUP(INPUT_PRODUCT!C145;PRODUCT!B:J;9;FALSE))</f>
        <v/>
      </c>
      <c r="M132" s="62">
        <f>IF(INPUT_PRODUCT!C145="";"";VLOOKUP(INPUT_PRODUCT!C145;PRODUCT!B:K;10;FALSE))</f>
        <v/>
      </c>
      <c r="N132" s="62">
        <f>IF(INPUT_PRODUCT!C145="";"";VLOOKUP(INPUT_PRODUCT!C145;PRODUCT!B:L;11;FALSE))</f>
        <v/>
      </c>
      <c r="O132" s="62">
        <f>IF(INPUT_PRODUCT!C145="";"";VLOOKUP(INPUT_PRODUCT!C145;PRODUCT!B:O;14;FALSE))</f>
        <v/>
      </c>
      <c r="P132" s="63">
        <f>IF(INPUT_PRODUCT!C145="";"";VLOOKUP(INPUT_PRODUCT!C145;PRODUCT!B:P;15;FALSE))</f>
        <v/>
      </c>
      <c r="Q132" s="63">
        <f>IF(INPUT_PRODUCT!C145="";"";INPUT_PRODUCT!K145)</f>
        <v/>
      </c>
      <c r="R132" s="63" t="inlineStr"/>
      <c r="S132" s="63">
        <f>IF(INPUT_PRODUCT!C145="";"";IF(O132="";"";O132*(1+Q132+R132)))</f>
        <v/>
      </c>
      <c r="T132" s="63">
        <f>IF(INPUT_PRODUCT!C145="";"";IF(S132="";"";S132*F132))</f>
        <v/>
      </c>
      <c r="U132" s="62">
        <f>CONFIG!$B$2</f>
        <v/>
      </c>
      <c r="V132" s="62">
        <f>IF(INPUT_PRODUCT!C145="";"";IF(S132="";"";S132*U132))</f>
        <v/>
      </c>
      <c r="W132" s="0">
        <f>IF(INPUT_PRODUCT!C145="";"";IF(T132="";"";T132*U132))</f>
        <v/>
      </c>
      <c r="X132" s="0">
        <f>IF(INPUT_PRODUCT!C145="";"";VLOOKUP(INPUT_PRODUCT!C145;PRODUCT!B:T;19;FALSE))</f>
        <v/>
      </c>
      <c r="Y132" s="0">
        <f>IF(INPUT_PRODUCT!C145="";"";INPUT_PRODUCT!L145)</f>
        <v/>
      </c>
    </row>
    <row r="133" ht="15.75" customHeight="1" s="125">
      <c r="A133" s="62">
        <f>IF(INPUT_PRODUCT!C146="";"";INPUT_PRODUCT!A146)</f>
        <v/>
      </c>
      <c r="B133" s="62">
        <f>IF(INPUT_PRODUCT!C146="";"";INPUT_PRODUCT!B146)</f>
        <v/>
      </c>
      <c r="C133" s="62">
        <f>IF(INPUT_PRODUCT!C146="";"";INPUT_PRODUCT!C146)</f>
        <v/>
      </c>
      <c r="D133" s="62">
        <f>IF(INPUT_PRODUCT!C146="";"";INDEX(PRODUCT!A:A;MATCH(INPUT_PRODUCT!C146;PRODUCT!B:B;0)))</f>
        <v/>
      </c>
      <c r="E133" s="62">
        <f>IF(INPUT_PRODUCT!C146="";"";VLOOKUP(INPUT_PRODUCT!C146;PRODUCT!B:C;2;FALSE))</f>
        <v/>
      </c>
      <c r="F133" s="62">
        <f>IF(INPUT_PRODUCT!C146="";"";INPUT_PRODUCT!J146)</f>
        <v/>
      </c>
      <c r="G133" s="62">
        <f>IF(INPUT_PRODUCT!C146="";"";INPUT_PRODUCT!G146)</f>
        <v/>
      </c>
      <c r="H133" s="62">
        <f>IF(INPUT_PRODUCT!C146="";"";VLOOKUP(INPUT_PRODUCT!C146;PRODUCT!B:F;5;FALSE))</f>
        <v/>
      </c>
      <c r="I133" s="62">
        <f>IF(INPUT_PRODUCT!C146="";"";VLOOKUP(INPUT_PRODUCT!C146;PRODUCT!B:G;6;FALSE))</f>
        <v/>
      </c>
      <c r="J133" s="62">
        <f>IF(INPUT_PRODUCT!C146="";"";VLOOKUP(INPUT_PRODUCT!C146;PRODUCT!B:H;7;FALSE))</f>
        <v/>
      </c>
      <c r="K133" s="60">
        <f>IF(INPUT_PRODUCT!C146="";"";VLOOKUP(INPUT_PRODUCT!C146;PRODUCT!B:I;8;FALSE))</f>
        <v/>
      </c>
      <c r="L133" s="62">
        <f>IF(INPUT_PRODUCT!C146="";"";VLOOKUP(INPUT_PRODUCT!C146;PRODUCT!B:J;9;FALSE))</f>
        <v/>
      </c>
      <c r="M133" s="62">
        <f>IF(INPUT_PRODUCT!C146="";"";VLOOKUP(INPUT_PRODUCT!C146;PRODUCT!B:K;10;FALSE))</f>
        <v/>
      </c>
      <c r="N133" s="62">
        <f>IF(INPUT_PRODUCT!C146="";"";VLOOKUP(INPUT_PRODUCT!C146;PRODUCT!B:L;11;FALSE))</f>
        <v/>
      </c>
      <c r="O133" s="62">
        <f>IF(INPUT_PRODUCT!C146="";"";VLOOKUP(INPUT_PRODUCT!C146;PRODUCT!B:O;14;FALSE))</f>
        <v/>
      </c>
      <c r="P133" s="63">
        <f>IF(INPUT_PRODUCT!C146="";"";VLOOKUP(INPUT_PRODUCT!C146;PRODUCT!B:P;15;FALSE))</f>
        <v/>
      </c>
      <c r="Q133" s="63">
        <f>IF(INPUT_PRODUCT!C146="";"";INPUT_PRODUCT!K146)</f>
        <v/>
      </c>
      <c r="R133" s="63" t="inlineStr"/>
      <c r="S133" s="63">
        <f>IF(INPUT_PRODUCT!C146="";"";IF(O133="";"";O133*(1+Q133+R133)))</f>
        <v/>
      </c>
      <c r="T133" s="63">
        <f>IF(INPUT_PRODUCT!C146="";"";IF(S133="";"";S133*F133))</f>
        <v/>
      </c>
      <c r="U133" s="62">
        <f>CONFIG!$B$2</f>
        <v/>
      </c>
      <c r="V133" s="62">
        <f>IF(INPUT_PRODUCT!C146="";"";IF(S133="";"";S133*U133))</f>
        <v/>
      </c>
      <c r="W133" s="0">
        <f>IF(INPUT_PRODUCT!C146="";"";IF(T133="";"";T133*U133))</f>
        <v/>
      </c>
      <c r="X133" s="0">
        <f>IF(INPUT_PRODUCT!C146="";"";VLOOKUP(INPUT_PRODUCT!C146;PRODUCT!B:T;19;FALSE))</f>
        <v/>
      </c>
      <c r="Y133" s="0">
        <f>IF(INPUT_PRODUCT!C146="";"";INPUT_PRODUCT!L146)</f>
        <v/>
      </c>
    </row>
    <row r="134" ht="15.75" customHeight="1" s="125">
      <c r="A134" s="62">
        <f>IF(INPUT_PRODUCT!C147="";"";INPUT_PRODUCT!A147)</f>
        <v/>
      </c>
      <c r="B134" s="62">
        <f>IF(INPUT_PRODUCT!C147="";"";INPUT_PRODUCT!B147)</f>
        <v/>
      </c>
      <c r="C134" s="62">
        <f>IF(INPUT_PRODUCT!C147="";"";INPUT_PRODUCT!C147)</f>
        <v/>
      </c>
      <c r="D134" s="62">
        <f>IF(INPUT_PRODUCT!C147="";"";INDEX(PRODUCT!A:A;MATCH(INPUT_PRODUCT!C147;PRODUCT!B:B;0)))</f>
        <v/>
      </c>
      <c r="E134" s="62">
        <f>IF(INPUT_PRODUCT!C147="";"";VLOOKUP(INPUT_PRODUCT!C147;PRODUCT!B:C;2;FALSE))</f>
        <v/>
      </c>
      <c r="F134" s="62">
        <f>IF(INPUT_PRODUCT!C147="";"";INPUT_PRODUCT!J147)</f>
        <v/>
      </c>
      <c r="G134" s="62">
        <f>IF(INPUT_PRODUCT!C147="";"";INPUT_PRODUCT!G147)</f>
        <v/>
      </c>
      <c r="H134" s="62">
        <f>IF(INPUT_PRODUCT!C147="";"";VLOOKUP(INPUT_PRODUCT!C147;PRODUCT!B:F;5;FALSE))</f>
        <v/>
      </c>
      <c r="I134" s="62">
        <f>IF(INPUT_PRODUCT!C147="";"";VLOOKUP(INPUT_PRODUCT!C147;PRODUCT!B:G;6;FALSE))</f>
        <v/>
      </c>
      <c r="J134" s="62">
        <f>IF(INPUT_PRODUCT!C147="";"";VLOOKUP(INPUT_PRODUCT!C147;PRODUCT!B:H;7;FALSE))</f>
        <v/>
      </c>
      <c r="K134" s="60">
        <f>IF(INPUT_PRODUCT!C147="";"";VLOOKUP(INPUT_PRODUCT!C147;PRODUCT!B:I;8;FALSE))</f>
        <v/>
      </c>
      <c r="L134" s="62">
        <f>IF(INPUT_PRODUCT!C147="";"";VLOOKUP(INPUT_PRODUCT!C147;PRODUCT!B:J;9;FALSE))</f>
        <v/>
      </c>
      <c r="M134" s="62">
        <f>IF(INPUT_PRODUCT!C147="";"";VLOOKUP(INPUT_PRODUCT!C147;PRODUCT!B:K;10;FALSE))</f>
        <v/>
      </c>
      <c r="N134" s="62">
        <f>IF(INPUT_PRODUCT!C147="";"";VLOOKUP(INPUT_PRODUCT!C147;PRODUCT!B:L;11;FALSE))</f>
        <v/>
      </c>
      <c r="O134" s="62">
        <f>IF(INPUT_PRODUCT!C147="";"";VLOOKUP(INPUT_PRODUCT!C147;PRODUCT!B:O;14;FALSE))</f>
        <v/>
      </c>
      <c r="P134" s="63">
        <f>IF(INPUT_PRODUCT!C147="";"";VLOOKUP(INPUT_PRODUCT!C147;PRODUCT!B:P;15;FALSE))</f>
        <v/>
      </c>
      <c r="Q134" s="63">
        <f>IF(INPUT_PRODUCT!C147="";"";INPUT_PRODUCT!K147)</f>
        <v/>
      </c>
      <c r="R134" s="63" t="inlineStr"/>
      <c r="S134" s="63">
        <f>IF(INPUT_PRODUCT!C147="";"";IF(O134="";"";O134*(1+Q134+R134)))</f>
        <v/>
      </c>
      <c r="T134" s="63">
        <f>IF(INPUT_PRODUCT!C147="";"";IF(S134="";"";S134*F134))</f>
        <v/>
      </c>
      <c r="U134" s="62">
        <f>CONFIG!$B$2</f>
        <v/>
      </c>
      <c r="V134" s="62">
        <f>IF(INPUT_PRODUCT!C147="";"";IF(S134="";"";S134*U134))</f>
        <v/>
      </c>
      <c r="W134" s="0">
        <f>IF(INPUT_PRODUCT!C147="";"";IF(T134="";"";T134*U134))</f>
        <v/>
      </c>
      <c r="X134" s="0">
        <f>IF(INPUT_PRODUCT!C147="";"";VLOOKUP(INPUT_PRODUCT!C147;PRODUCT!B:T;19;FALSE))</f>
        <v/>
      </c>
      <c r="Y134" s="0">
        <f>IF(INPUT_PRODUCT!C147="";"";INPUT_PRODUCT!L147)</f>
        <v/>
      </c>
    </row>
    <row r="135" ht="15.75" customHeight="1" s="125">
      <c r="A135" s="62">
        <f>IF(INPUT_PRODUCT!C148="";"";INPUT_PRODUCT!A148)</f>
        <v/>
      </c>
      <c r="B135" s="62">
        <f>IF(INPUT_PRODUCT!C148="";"";INPUT_PRODUCT!B148)</f>
        <v/>
      </c>
      <c r="C135" s="62">
        <f>IF(INPUT_PRODUCT!C148="";"";INPUT_PRODUCT!C148)</f>
        <v/>
      </c>
      <c r="D135" s="62">
        <f>IF(INPUT_PRODUCT!C148="";"";INDEX(PRODUCT!A:A;MATCH(INPUT_PRODUCT!C148;PRODUCT!B:B;0)))</f>
        <v/>
      </c>
      <c r="E135" s="62">
        <f>IF(INPUT_PRODUCT!C148="";"";VLOOKUP(INPUT_PRODUCT!C148;PRODUCT!B:C;2;FALSE))</f>
        <v/>
      </c>
      <c r="F135" s="62">
        <f>IF(INPUT_PRODUCT!C148="";"";INPUT_PRODUCT!J148)</f>
        <v/>
      </c>
      <c r="G135" s="62">
        <f>IF(INPUT_PRODUCT!C148="";"";INPUT_PRODUCT!G148)</f>
        <v/>
      </c>
      <c r="H135" s="62">
        <f>IF(INPUT_PRODUCT!C148="";"";VLOOKUP(INPUT_PRODUCT!C148;PRODUCT!B:F;5;FALSE))</f>
        <v/>
      </c>
      <c r="I135" s="62">
        <f>IF(INPUT_PRODUCT!C148="";"";VLOOKUP(INPUT_PRODUCT!C148;PRODUCT!B:G;6;FALSE))</f>
        <v/>
      </c>
      <c r="J135" s="62">
        <f>IF(INPUT_PRODUCT!C148="";"";VLOOKUP(INPUT_PRODUCT!C148;PRODUCT!B:H;7;FALSE))</f>
        <v/>
      </c>
      <c r="K135" s="60">
        <f>IF(INPUT_PRODUCT!C148="";"";VLOOKUP(INPUT_PRODUCT!C148;PRODUCT!B:I;8;FALSE))</f>
        <v/>
      </c>
      <c r="L135" s="62">
        <f>IF(INPUT_PRODUCT!C148="";"";VLOOKUP(INPUT_PRODUCT!C148;PRODUCT!B:J;9;FALSE))</f>
        <v/>
      </c>
      <c r="M135" s="62">
        <f>IF(INPUT_PRODUCT!C148="";"";VLOOKUP(INPUT_PRODUCT!C148;PRODUCT!B:K;10;FALSE))</f>
        <v/>
      </c>
      <c r="N135" s="62">
        <f>IF(INPUT_PRODUCT!C148="";"";VLOOKUP(INPUT_PRODUCT!C148;PRODUCT!B:L;11;FALSE))</f>
        <v/>
      </c>
      <c r="O135" s="62">
        <f>IF(INPUT_PRODUCT!C148="";"";VLOOKUP(INPUT_PRODUCT!C148;PRODUCT!B:O;14;FALSE))</f>
        <v/>
      </c>
      <c r="P135" s="63">
        <f>IF(INPUT_PRODUCT!C148="";"";VLOOKUP(INPUT_PRODUCT!C148;PRODUCT!B:P;15;FALSE))</f>
        <v/>
      </c>
      <c r="Q135" s="63">
        <f>IF(INPUT_PRODUCT!C148="";"";INPUT_PRODUCT!K148)</f>
        <v/>
      </c>
      <c r="R135" s="63" t="inlineStr"/>
      <c r="S135" s="63">
        <f>IF(INPUT_PRODUCT!C148="";"";IF(O135="";"";O135*(1+Q135+R135)))</f>
        <v/>
      </c>
      <c r="T135" s="63">
        <f>IF(INPUT_PRODUCT!C148="";"";IF(S135="";"";S135*F135))</f>
        <v/>
      </c>
      <c r="U135" s="62">
        <f>CONFIG!$B$2</f>
        <v/>
      </c>
      <c r="V135" s="62">
        <f>IF(INPUT_PRODUCT!C148="";"";IF(S135="";"";S135*U135))</f>
        <v/>
      </c>
      <c r="W135" s="0">
        <f>IF(INPUT_PRODUCT!C148="";"";IF(T135="";"";T135*U135))</f>
        <v/>
      </c>
      <c r="X135" s="0">
        <f>IF(INPUT_PRODUCT!C148="";"";VLOOKUP(INPUT_PRODUCT!C148;PRODUCT!B:T;19;FALSE))</f>
        <v/>
      </c>
      <c r="Y135" s="0">
        <f>IF(INPUT_PRODUCT!C148="";"";INPUT_PRODUCT!L148)</f>
        <v/>
      </c>
    </row>
    <row r="136" ht="15.75" customHeight="1" s="125">
      <c r="A136" s="62">
        <f>IF(INPUT_PRODUCT!C149="";"";INPUT_PRODUCT!A149)</f>
        <v/>
      </c>
      <c r="B136" s="62">
        <f>IF(INPUT_PRODUCT!C149="";"";INPUT_PRODUCT!B149)</f>
        <v/>
      </c>
      <c r="C136" s="62">
        <f>IF(INPUT_PRODUCT!C149="";"";INPUT_PRODUCT!C149)</f>
        <v/>
      </c>
      <c r="D136" s="62">
        <f>IF(INPUT_PRODUCT!C149="";"";INDEX(PRODUCT!A:A;MATCH(INPUT_PRODUCT!C149;PRODUCT!B:B;0)))</f>
        <v/>
      </c>
      <c r="E136" s="62">
        <f>IF(INPUT_PRODUCT!C149="";"";VLOOKUP(INPUT_PRODUCT!C149;PRODUCT!B:C;2;FALSE))</f>
        <v/>
      </c>
      <c r="F136" s="62">
        <f>IF(INPUT_PRODUCT!C149="";"";INPUT_PRODUCT!J149)</f>
        <v/>
      </c>
      <c r="G136" s="62">
        <f>IF(INPUT_PRODUCT!C149="";"";INPUT_PRODUCT!G149)</f>
        <v/>
      </c>
      <c r="H136" s="62">
        <f>IF(INPUT_PRODUCT!C149="";"";VLOOKUP(INPUT_PRODUCT!C149;PRODUCT!B:F;5;FALSE))</f>
        <v/>
      </c>
      <c r="I136" s="62">
        <f>IF(INPUT_PRODUCT!C149="";"";VLOOKUP(INPUT_PRODUCT!C149;PRODUCT!B:G;6;FALSE))</f>
        <v/>
      </c>
      <c r="J136" s="62">
        <f>IF(INPUT_PRODUCT!C149="";"";VLOOKUP(INPUT_PRODUCT!C149;PRODUCT!B:H;7;FALSE))</f>
        <v/>
      </c>
      <c r="K136" s="60">
        <f>IF(INPUT_PRODUCT!C149="";"";VLOOKUP(INPUT_PRODUCT!C149;PRODUCT!B:I;8;FALSE))</f>
        <v/>
      </c>
      <c r="L136" s="62">
        <f>IF(INPUT_PRODUCT!C149="";"";VLOOKUP(INPUT_PRODUCT!C149;PRODUCT!B:J;9;FALSE))</f>
        <v/>
      </c>
      <c r="M136" s="62">
        <f>IF(INPUT_PRODUCT!C149="";"";VLOOKUP(INPUT_PRODUCT!C149;PRODUCT!B:K;10;FALSE))</f>
        <v/>
      </c>
      <c r="N136" s="62">
        <f>IF(INPUT_PRODUCT!C149="";"";VLOOKUP(INPUT_PRODUCT!C149;PRODUCT!B:L;11;FALSE))</f>
        <v/>
      </c>
      <c r="O136" s="62">
        <f>IF(INPUT_PRODUCT!C149="";"";VLOOKUP(INPUT_PRODUCT!C149;PRODUCT!B:O;14;FALSE))</f>
        <v/>
      </c>
      <c r="P136" s="63">
        <f>IF(INPUT_PRODUCT!C149="";"";VLOOKUP(INPUT_PRODUCT!C149;PRODUCT!B:P;15;FALSE))</f>
        <v/>
      </c>
      <c r="Q136" s="63">
        <f>IF(INPUT_PRODUCT!C149="";"";INPUT_PRODUCT!K149)</f>
        <v/>
      </c>
      <c r="R136" s="63" t="inlineStr"/>
      <c r="S136" s="63">
        <f>IF(INPUT_PRODUCT!C149="";"";IF(O136="";"";O136*(1+Q136+R136)))</f>
        <v/>
      </c>
      <c r="T136" s="63">
        <f>IF(INPUT_PRODUCT!C149="";"";IF(S136="";"";S136*F136))</f>
        <v/>
      </c>
      <c r="U136" s="62">
        <f>CONFIG!$B$2</f>
        <v/>
      </c>
      <c r="V136" s="62">
        <f>IF(INPUT_PRODUCT!C149="";"";IF(S136="";"";S136*U136))</f>
        <v/>
      </c>
      <c r="W136" s="0">
        <f>IF(INPUT_PRODUCT!C149="";"";IF(T136="";"";T136*U136))</f>
        <v/>
      </c>
      <c r="X136" s="0">
        <f>IF(INPUT_PRODUCT!C149="";"";VLOOKUP(INPUT_PRODUCT!C149;PRODUCT!B:T;19;FALSE))</f>
        <v/>
      </c>
      <c r="Y136" s="0">
        <f>IF(INPUT_PRODUCT!C149="";"";INPUT_PRODUCT!L149)</f>
        <v/>
      </c>
    </row>
    <row r="137" ht="15.75" customHeight="1" s="125">
      <c r="A137" s="62">
        <f>IF(INPUT_PRODUCT!C150="";"";INPUT_PRODUCT!A150)</f>
        <v/>
      </c>
      <c r="B137" s="62">
        <f>IF(INPUT_PRODUCT!C150="";"";INPUT_PRODUCT!B150)</f>
        <v/>
      </c>
      <c r="C137" s="62">
        <f>IF(INPUT_PRODUCT!C150="";"";INPUT_PRODUCT!C150)</f>
        <v/>
      </c>
      <c r="D137" s="62">
        <f>IF(INPUT_PRODUCT!C150="";"";INDEX(PRODUCT!A:A;MATCH(INPUT_PRODUCT!C150;PRODUCT!B:B;0)))</f>
        <v/>
      </c>
      <c r="E137" s="62">
        <f>IF(INPUT_PRODUCT!C150="";"";VLOOKUP(INPUT_PRODUCT!C150;PRODUCT!B:C;2;FALSE))</f>
        <v/>
      </c>
      <c r="F137" s="62">
        <f>IF(INPUT_PRODUCT!C150="";"";INPUT_PRODUCT!J150)</f>
        <v/>
      </c>
      <c r="G137" s="62">
        <f>IF(INPUT_PRODUCT!C150="";"";INPUT_PRODUCT!G150)</f>
        <v/>
      </c>
      <c r="H137" s="62">
        <f>IF(INPUT_PRODUCT!C150="";"";VLOOKUP(INPUT_PRODUCT!C150;PRODUCT!B:F;5;FALSE))</f>
        <v/>
      </c>
      <c r="I137" s="62">
        <f>IF(INPUT_PRODUCT!C150="";"";VLOOKUP(INPUT_PRODUCT!C150;PRODUCT!B:G;6;FALSE))</f>
        <v/>
      </c>
      <c r="J137" s="62">
        <f>IF(INPUT_PRODUCT!C150="";"";VLOOKUP(INPUT_PRODUCT!C150;PRODUCT!B:H;7;FALSE))</f>
        <v/>
      </c>
      <c r="K137" s="60">
        <f>IF(INPUT_PRODUCT!C150="";"";VLOOKUP(INPUT_PRODUCT!C150;PRODUCT!B:I;8;FALSE))</f>
        <v/>
      </c>
      <c r="L137" s="62">
        <f>IF(INPUT_PRODUCT!C150="";"";VLOOKUP(INPUT_PRODUCT!C150;PRODUCT!B:J;9;FALSE))</f>
        <v/>
      </c>
      <c r="M137" s="62">
        <f>IF(INPUT_PRODUCT!C150="";"";VLOOKUP(INPUT_PRODUCT!C150;PRODUCT!B:K;10;FALSE))</f>
        <v/>
      </c>
      <c r="N137" s="62">
        <f>IF(INPUT_PRODUCT!C150="";"";VLOOKUP(INPUT_PRODUCT!C150;PRODUCT!B:L;11;FALSE))</f>
        <v/>
      </c>
      <c r="O137" s="62">
        <f>IF(INPUT_PRODUCT!C150="";"";VLOOKUP(INPUT_PRODUCT!C150;PRODUCT!B:O;14;FALSE))</f>
        <v/>
      </c>
      <c r="P137" s="63">
        <f>IF(INPUT_PRODUCT!C150="";"";VLOOKUP(INPUT_PRODUCT!C150;PRODUCT!B:P;15;FALSE))</f>
        <v/>
      </c>
      <c r="Q137" s="63">
        <f>IF(INPUT_PRODUCT!C150="";"";INPUT_PRODUCT!K150)</f>
        <v/>
      </c>
      <c r="R137" s="63" t="inlineStr"/>
      <c r="S137" s="63">
        <f>IF(INPUT_PRODUCT!C150="";"";IF(O137="";"";O137*(1+Q137+R137)))</f>
        <v/>
      </c>
      <c r="T137" s="63">
        <f>IF(INPUT_PRODUCT!C150="";"";IF(S137="";"";S137*F137))</f>
        <v/>
      </c>
      <c r="U137" s="62">
        <f>CONFIG!$B$2</f>
        <v/>
      </c>
      <c r="V137" s="62">
        <f>IF(INPUT_PRODUCT!C150="";"";IF(S137="";"";S137*U137))</f>
        <v/>
      </c>
      <c r="W137" s="0">
        <f>IF(INPUT_PRODUCT!C150="";"";IF(T137="";"";T137*U137))</f>
        <v/>
      </c>
      <c r="X137" s="0">
        <f>IF(INPUT_PRODUCT!C150="";"";VLOOKUP(INPUT_PRODUCT!C150;PRODUCT!B:T;19;FALSE))</f>
        <v/>
      </c>
      <c r="Y137" s="0">
        <f>IF(INPUT_PRODUCT!C150="";"";INPUT_PRODUCT!L150)</f>
        <v/>
      </c>
    </row>
    <row r="138" ht="15.75" customHeight="1" s="125">
      <c r="A138" s="62">
        <f>IF(INPUT_PRODUCT!C151="";"";INPUT_PRODUCT!A151)</f>
        <v/>
      </c>
      <c r="B138" s="62">
        <f>IF(INPUT_PRODUCT!C151="";"";INPUT_PRODUCT!B151)</f>
        <v/>
      </c>
      <c r="C138" s="62">
        <f>IF(INPUT_PRODUCT!C151="";"";INPUT_PRODUCT!C151)</f>
        <v/>
      </c>
      <c r="D138" s="62">
        <f>IF(INPUT_PRODUCT!C151="";"";INDEX(PRODUCT!A:A;MATCH(INPUT_PRODUCT!C151;PRODUCT!B:B;0)))</f>
        <v/>
      </c>
      <c r="E138" s="62">
        <f>IF(INPUT_PRODUCT!C151="";"";VLOOKUP(INPUT_PRODUCT!C151;PRODUCT!B:C;2;FALSE))</f>
        <v/>
      </c>
      <c r="F138" s="62">
        <f>IF(INPUT_PRODUCT!C151="";"";INPUT_PRODUCT!J151)</f>
        <v/>
      </c>
      <c r="G138" s="62">
        <f>IF(INPUT_PRODUCT!C151="";"";INPUT_PRODUCT!G151)</f>
        <v/>
      </c>
      <c r="H138" s="62">
        <f>IF(INPUT_PRODUCT!C151="";"";VLOOKUP(INPUT_PRODUCT!C151;PRODUCT!B:F;5;FALSE))</f>
        <v/>
      </c>
      <c r="I138" s="62">
        <f>IF(INPUT_PRODUCT!C151="";"";VLOOKUP(INPUT_PRODUCT!C151;PRODUCT!B:G;6;FALSE))</f>
        <v/>
      </c>
      <c r="J138" s="62">
        <f>IF(INPUT_PRODUCT!C151="";"";VLOOKUP(INPUT_PRODUCT!C151;PRODUCT!B:H;7;FALSE))</f>
        <v/>
      </c>
      <c r="K138" s="60">
        <f>IF(INPUT_PRODUCT!C151="";"";VLOOKUP(INPUT_PRODUCT!C151;PRODUCT!B:I;8;FALSE))</f>
        <v/>
      </c>
      <c r="L138" s="62">
        <f>IF(INPUT_PRODUCT!C151="";"";VLOOKUP(INPUT_PRODUCT!C151;PRODUCT!B:J;9;FALSE))</f>
        <v/>
      </c>
      <c r="M138" s="62">
        <f>IF(INPUT_PRODUCT!C151="";"";VLOOKUP(INPUT_PRODUCT!C151;PRODUCT!B:K;10;FALSE))</f>
        <v/>
      </c>
      <c r="N138" s="62">
        <f>IF(INPUT_PRODUCT!C151="";"";VLOOKUP(INPUT_PRODUCT!C151;PRODUCT!B:L;11;FALSE))</f>
        <v/>
      </c>
      <c r="O138" s="62">
        <f>IF(INPUT_PRODUCT!C151="";"";VLOOKUP(INPUT_PRODUCT!C151;PRODUCT!B:O;14;FALSE))</f>
        <v/>
      </c>
      <c r="P138" s="63">
        <f>IF(INPUT_PRODUCT!C151="";"";VLOOKUP(INPUT_PRODUCT!C151;PRODUCT!B:P;15;FALSE))</f>
        <v/>
      </c>
      <c r="Q138" s="63">
        <f>IF(INPUT_PRODUCT!C151="";"";INPUT_PRODUCT!K151)</f>
        <v/>
      </c>
      <c r="R138" s="63" t="inlineStr"/>
      <c r="S138" s="63">
        <f>IF(INPUT_PRODUCT!C151="";"";IF(O138="";"";O138*(1+Q138+R138)))</f>
        <v/>
      </c>
      <c r="T138" s="63">
        <f>IF(INPUT_PRODUCT!C151="";"";IF(S138="";"";S138*F138))</f>
        <v/>
      </c>
      <c r="U138" s="62">
        <f>CONFIG!$B$2</f>
        <v/>
      </c>
      <c r="V138" s="62">
        <f>IF(INPUT_PRODUCT!C151="";"";IF(S138="";"";S138*U138))</f>
        <v/>
      </c>
      <c r="W138" s="0">
        <f>IF(INPUT_PRODUCT!C151="";"";IF(T138="";"";T138*U138))</f>
        <v/>
      </c>
      <c r="X138" s="0">
        <f>IF(INPUT_PRODUCT!C151="";"";VLOOKUP(INPUT_PRODUCT!C151;PRODUCT!B:T;19;FALSE))</f>
        <v/>
      </c>
      <c r="Y138" s="0">
        <f>IF(INPUT_PRODUCT!C151="";"";INPUT_PRODUCT!L151)</f>
        <v/>
      </c>
    </row>
    <row r="139" ht="15.75" customHeight="1" s="125">
      <c r="A139" s="62">
        <f>IF(INPUT_PRODUCT!C152="";"";INPUT_PRODUCT!A152)</f>
        <v/>
      </c>
      <c r="B139" s="62">
        <f>IF(INPUT_PRODUCT!C152="";"";INPUT_PRODUCT!B152)</f>
        <v/>
      </c>
      <c r="C139" s="62">
        <f>IF(INPUT_PRODUCT!C152="";"";INPUT_PRODUCT!C152)</f>
        <v/>
      </c>
      <c r="D139" s="62">
        <f>IF(INPUT_PRODUCT!C152="";"";INDEX(PRODUCT!A:A;MATCH(INPUT_PRODUCT!C152;PRODUCT!B:B;0)))</f>
        <v/>
      </c>
      <c r="E139" s="62">
        <f>IF(INPUT_PRODUCT!C152="";"";VLOOKUP(INPUT_PRODUCT!C152;PRODUCT!B:C;2;FALSE))</f>
        <v/>
      </c>
      <c r="F139" s="62">
        <f>IF(INPUT_PRODUCT!C152="";"";INPUT_PRODUCT!J152)</f>
        <v/>
      </c>
      <c r="G139" s="62">
        <f>IF(INPUT_PRODUCT!C152="";"";INPUT_PRODUCT!G152)</f>
        <v/>
      </c>
      <c r="H139" s="62">
        <f>IF(INPUT_PRODUCT!C152="";"";VLOOKUP(INPUT_PRODUCT!C152;PRODUCT!B:F;5;FALSE))</f>
        <v/>
      </c>
      <c r="I139" s="62">
        <f>IF(INPUT_PRODUCT!C152="";"";VLOOKUP(INPUT_PRODUCT!C152;PRODUCT!B:G;6;FALSE))</f>
        <v/>
      </c>
      <c r="J139" s="62">
        <f>IF(INPUT_PRODUCT!C152="";"";VLOOKUP(INPUT_PRODUCT!C152;PRODUCT!B:H;7;FALSE))</f>
        <v/>
      </c>
      <c r="K139" s="60">
        <f>IF(INPUT_PRODUCT!C152="";"";VLOOKUP(INPUT_PRODUCT!C152;PRODUCT!B:I;8;FALSE))</f>
        <v/>
      </c>
      <c r="L139" s="62">
        <f>IF(INPUT_PRODUCT!C152="";"";VLOOKUP(INPUT_PRODUCT!C152;PRODUCT!B:J;9;FALSE))</f>
        <v/>
      </c>
      <c r="M139" s="62">
        <f>IF(INPUT_PRODUCT!C152="";"";VLOOKUP(INPUT_PRODUCT!C152;PRODUCT!B:K;10;FALSE))</f>
        <v/>
      </c>
      <c r="N139" s="62">
        <f>IF(INPUT_PRODUCT!C152="";"";VLOOKUP(INPUT_PRODUCT!C152;PRODUCT!B:L;11;FALSE))</f>
        <v/>
      </c>
      <c r="O139" s="62">
        <f>IF(INPUT_PRODUCT!C152="";"";VLOOKUP(INPUT_PRODUCT!C152;PRODUCT!B:O;14;FALSE))</f>
        <v/>
      </c>
      <c r="P139" s="63">
        <f>IF(INPUT_PRODUCT!C152="";"";VLOOKUP(INPUT_PRODUCT!C152;PRODUCT!B:P;15;FALSE))</f>
        <v/>
      </c>
      <c r="Q139" s="63">
        <f>IF(INPUT_PRODUCT!C152="";"";INPUT_PRODUCT!K152)</f>
        <v/>
      </c>
      <c r="R139" s="63" t="inlineStr"/>
      <c r="S139" s="63">
        <f>IF(INPUT_PRODUCT!C152="";"";IF(O139="";"";O139*(1+Q139+R139)))</f>
        <v/>
      </c>
      <c r="T139" s="63">
        <f>IF(INPUT_PRODUCT!C152="";"";IF(S139="";"";S139*F139))</f>
        <v/>
      </c>
      <c r="U139" s="62">
        <f>CONFIG!$B$2</f>
        <v/>
      </c>
      <c r="V139" s="62">
        <f>IF(INPUT_PRODUCT!C152="";"";IF(S139="";"";S139*U139))</f>
        <v/>
      </c>
      <c r="W139" s="0">
        <f>IF(INPUT_PRODUCT!C152="";"";IF(T139="";"";T139*U139))</f>
        <v/>
      </c>
      <c r="X139" s="0">
        <f>IF(INPUT_PRODUCT!C152="";"";VLOOKUP(INPUT_PRODUCT!C152;PRODUCT!B:T;19;FALSE))</f>
        <v/>
      </c>
      <c r="Y139" s="0">
        <f>IF(INPUT_PRODUCT!C152="";"";INPUT_PRODUCT!L152)</f>
        <v/>
      </c>
    </row>
    <row r="140" ht="15.75" customHeight="1" s="125">
      <c r="A140" s="62">
        <f>IF(INPUT_PRODUCT!C153="";"";INPUT_PRODUCT!A153)</f>
        <v/>
      </c>
      <c r="B140" s="62">
        <f>IF(INPUT_PRODUCT!C153="";"";INPUT_PRODUCT!B153)</f>
        <v/>
      </c>
      <c r="C140" s="62">
        <f>IF(INPUT_PRODUCT!C153="";"";INPUT_PRODUCT!C153)</f>
        <v/>
      </c>
      <c r="D140" s="62">
        <f>IF(INPUT_PRODUCT!C153="";"";INDEX(PRODUCT!A:A;MATCH(INPUT_PRODUCT!C153;PRODUCT!B:B;0)))</f>
        <v/>
      </c>
      <c r="E140" s="62">
        <f>IF(INPUT_PRODUCT!C153="";"";VLOOKUP(INPUT_PRODUCT!C153;PRODUCT!B:C;2;FALSE))</f>
        <v/>
      </c>
      <c r="F140" s="62">
        <f>IF(INPUT_PRODUCT!C153="";"";INPUT_PRODUCT!J153)</f>
        <v/>
      </c>
      <c r="G140" s="62">
        <f>IF(INPUT_PRODUCT!C153="";"";INPUT_PRODUCT!G153)</f>
        <v/>
      </c>
      <c r="H140" s="62">
        <f>IF(INPUT_PRODUCT!C153="";"";VLOOKUP(INPUT_PRODUCT!C153;PRODUCT!B:F;5;FALSE))</f>
        <v/>
      </c>
      <c r="I140" s="62">
        <f>IF(INPUT_PRODUCT!C153="";"";VLOOKUP(INPUT_PRODUCT!C153;PRODUCT!B:G;6;FALSE))</f>
        <v/>
      </c>
      <c r="J140" s="62">
        <f>IF(INPUT_PRODUCT!C153="";"";VLOOKUP(INPUT_PRODUCT!C153;PRODUCT!B:H;7;FALSE))</f>
        <v/>
      </c>
      <c r="K140" s="60">
        <f>IF(INPUT_PRODUCT!C153="";"";VLOOKUP(INPUT_PRODUCT!C153;PRODUCT!B:I;8;FALSE))</f>
        <v/>
      </c>
      <c r="L140" s="62">
        <f>IF(INPUT_PRODUCT!C153="";"";VLOOKUP(INPUT_PRODUCT!C153;PRODUCT!B:J;9;FALSE))</f>
        <v/>
      </c>
      <c r="M140" s="62">
        <f>IF(INPUT_PRODUCT!C153="";"";VLOOKUP(INPUT_PRODUCT!C153;PRODUCT!B:K;10;FALSE))</f>
        <v/>
      </c>
      <c r="N140" s="62">
        <f>IF(INPUT_PRODUCT!C153="";"";VLOOKUP(INPUT_PRODUCT!C153;PRODUCT!B:L;11;FALSE))</f>
        <v/>
      </c>
      <c r="O140" s="62">
        <f>IF(INPUT_PRODUCT!C153="";"";VLOOKUP(INPUT_PRODUCT!C153;PRODUCT!B:O;14;FALSE))</f>
        <v/>
      </c>
      <c r="P140" s="63">
        <f>IF(INPUT_PRODUCT!C153="";"";VLOOKUP(INPUT_PRODUCT!C153;PRODUCT!B:P;15;FALSE))</f>
        <v/>
      </c>
      <c r="Q140" s="63">
        <f>IF(INPUT_PRODUCT!C153="";"";INPUT_PRODUCT!K153)</f>
        <v/>
      </c>
      <c r="R140" s="63" t="inlineStr"/>
      <c r="S140" s="63">
        <f>IF(INPUT_PRODUCT!C153="";"";IF(O140="";"";O140*(1+Q140+R140)))</f>
        <v/>
      </c>
      <c r="T140" s="63">
        <f>IF(INPUT_PRODUCT!C153="";"";IF(S140="";"";S140*F140))</f>
        <v/>
      </c>
      <c r="U140" s="62">
        <f>CONFIG!$B$2</f>
        <v/>
      </c>
      <c r="V140" s="62">
        <f>IF(INPUT_PRODUCT!C153="";"";IF(S140="";"";S140*U140))</f>
        <v/>
      </c>
      <c r="W140" s="0">
        <f>IF(INPUT_PRODUCT!C153="";"";IF(T140="";"";T140*U140))</f>
        <v/>
      </c>
      <c r="X140" s="0">
        <f>IF(INPUT_PRODUCT!C153="";"";VLOOKUP(INPUT_PRODUCT!C153;PRODUCT!B:T;19;FALSE))</f>
        <v/>
      </c>
      <c r="Y140" s="0">
        <f>IF(INPUT_PRODUCT!C153="";"";INPUT_PRODUCT!L153)</f>
        <v/>
      </c>
    </row>
    <row r="141" ht="15.75" customHeight="1" s="125">
      <c r="A141" s="62">
        <f>IF(INPUT_PRODUCT!C154="";"";INPUT_PRODUCT!A154)</f>
        <v/>
      </c>
      <c r="B141" s="62">
        <f>IF(INPUT_PRODUCT!C154="";"";INPUT_PRODUCT!B154)</f>
        <v/>
      </c>
      <c r="C141" s="62">
        <f>IF(INPUT_PRODUCT!C154="";"";INPUT_PRODUCT!C154)</f>
        <v/>
      </c>
      <c r="D141" s="62">
        <f>IF(INPUT_PRODUCT!C154="";"";INDEX(PRODUCT!A:A;MATCH(INPUT_PRODUCT!C154;PRODUCT!B:B;0)))</f>
        <v/>
      </c>
      <c r="E141" s="62">
        <f>IF(INPUT_PRODUCT!C154="";"";VLOOKUP(INPUT_PRODUCT!C154;PRODUCT!B:C;2;FALSE))</f>
        <v/>
      </c>
      <c r="F141" s="62">
        <f>IF(INPUT_PRODUCT!C154="";"";INPUT_PRODUCT!J154)</f>
        <v/>
      </c>
      <c r="G141" s="62">
        <f>IF(INPUT_PRODUCT!C154="";"";INPUT_PRODUCT!G154)</f>
        <v/>
      </c>
      <c r="H141" s="62">
        <f>IF(INPUT_PRODUCT!C154="";"";VLOOKUP(INPUT_PRODUCT!C154;PRODUCT!B:F;5;FALSE))</f>
        <v/>
      </c>
      <c r="I141" s="62">
        <f>IF(INPUT_PRODUCT!C154="";"";VLOOKUP(INPUT_PRODUCT!C154;PRODUCT!B:G;6;FALSE))</f>
        <v/>
      </c>
      <c r="J141" s="62">
        <f>IF(INPUT_PRODUCT!C154="";"";VLOOKUP(INPUT_PRODUCT!C154;PRODUCT!B:H;7;FALSE))</f>
        <v/>
      </c>
      <c r="K141" s="60">
        <f>IF(INPUT_PRODUCT!C154="";"";VLOOKUP(INPUT_PRODUCT!C154;PRODUCT!B:I;8;FALSE))</f>
        <v/>
      </c>
      <c r="L141" s="62">
        <f>IF(INPUT_PRODUCT!C154="";"";VLOOKUP(INPUT_PRODUCT!C154;PRODUCT!B:J;9;FALSE))</f>
        <v/>
      </c>
      <c r="M141" s="62">
        <f>IF(INPUT_PRODUCT!C154="";"";VLOOKUP(INPUT_PRODUCT!C154;PRODUCT!B:K;10;FALSE))</f>
        <v/>
      </c>
      <c r="N141" s="62">
        <f>IF(INPUT_PRODUCT!C154="";"";VLOOKUP(INPUT_PRODUCT!C154;PRODUCT!B:L;11;FALSE))</f>
        <v/>
      </c>
      <c r="O141" s="62">
        <f>IF(INPUT_PRODUCT!C154="";"";VLOOKUP(INPUT_PRODUCT!C154;PRODUCT!B:O;14;FALSE))</f>
        <v/>
      </c>
      <c r="P141" s="63">
        <f>IF(INPUT_PRODUCT!C154="";"";VLOOKUP(INPUT_PRODUCT!C154;PRODUCT!B:P;15;FALSE))</f>
        <v/>
      </c>
      <c r="Q141" s="63">
        <f>IF(INPUT_PRODUCT!C154="";"";INPUT_PRODUCT!K154)</f>
        <v/>
      </c>
      <c r="R141" s="63" t="inlineStr"/>
      <c r="S141" s="63">
        <f>IF(INPUT_PRODUCT!C154="";"";IF(O141="";"";O141*(1+Q141+R141)))</f>
        <v/>
      </c>
      <c r="T141" s="63">
        <f>IF(INPUT_PRODUCT!C154="";"";IF(S141="";"";S141*F141))</f>
        <v/>
      </c>
      <c r="U141" s="62">
        <f>CONFIG!$B$2</f>
        <v/>
      </c>
      <c r="V141" s="62">
        <f>IF(INPUT_PRODUCT!C154="";"";IF(S141="";"";S141*U141))</f>
        <v/>
      </c>
      <c r="W141" s="0">
        <f>IF(INPUT_PRODUCT!C154="";"";IF(T141="";"";T141*U141))</f>
        <v/>
      </c>
      <c r="X141" s="0">
        <f>IF(INPUT_PRODUCT!C154="";"";VLOOKUP(INPUT_PRODUCT!C154;PRODUCT!B:T;19;FALSE))</f>
        <v/>
      </c>
      <c r="Y141" s="0">
        <f>IF(INPUT_PRODUCT!C154="";"";INPUT_PRODUCT!L154)</f>
        <v/>
      </c>
    </row>
    <row r="142" ht="15.75" customHeight="1" s="125">
      <c r="A142" s="62">
        <f>IF(INPUT_PRODUCT!C155="";"";INPUT_PRODUCT!A155)</f>
        <v/>
      </c>
      <c r="B142" s="62">
        <f>IF(INPUT_PRODUCT!C155="";"";INPUT_PRODUCT!B155)</f>
        <v/>
      </c>
      <c r="C142" s="62">
        <f>IF(INPUT_PRODUCT!C155="";"";INPUT_PRODUCT!C155)</f>
        <v/>
      </c>
      <c r="D142" s="62">
        <f>IF(INPUT_PRODUCT!C155="";"";INDEX(PRODUCT!A:A;MATCH(INPUT_PRODUCT!C155;PRODUCT!B:B;0)))</f>
        <v/>
      </c>
      <c r="E142" s="62">
        <f>IF(INPUT_PRODUCT!C155="";"";VLOOKUP(INPUT_PRODUCT!C155;PRODUCT!B:C;2;FALSE))</f>
        <v/>
      </c>
      <c r="F142" s="62">
        <f>IF(INPUT_PRODUCT!C155="";"";INPUT_PRODUCT!J155)</f>
        <v/>
      </c>
      <c r="G142" s="62">
        <f>IF(INPUT_PRODUCT!C155="";"";INPUT_PRODUCT!G155)</f>
        <v/>
      </c>
      <c r="H142" s="62">
        <f>IF(INPUT_PRODUCT!C155="";"";VLOOKUP(INPUT_PRODUCT!C155;PRODUCT!B:F;5;FALSE))</f>
        <v/>
      </c>
      <c r="I142" s="62">
        <f>IF(INPUT_PRODUCT!C155="";"";VLOOKUP(INPUT_PRODUCT!C155;PRODUCT!B:G;6;FALSE))</f>
        <v/>
      </c>
      <c r="J142" s="62">
        <f>IF(INPUT_PRODUCT!C155="";"";VLOOKUP(INPUT_PRODUCT!C155;PRODUCT!B:H;7;FALSE))</f>
        <v/>
      </c>
      <c r="K142" s="60">
        <f>IF(INPUT_PRODUCT!C155="";"";VLOOKUP(INPUT_PRODUCT!C155;PRODUCT!B:I;8;FALSE))</f>
        <v/>
      </c>
      <c r="L142" s="62">
        <f>IF(INPUT_PRODUCT!C155="";"";VLOOKUP(INPUT_PRODUCT!C155;PRODUCT!B:J;9;FALSE))</f>
        <v/>
      </c>
      <c r="M142" s="62">
        <f>IF(INPUT_PRODUCT!C155="";"";VLOOKUP(INPUT_PRODUCT!C155;PRODUCT!B:K;10;FALSE))</f>
        <v/>
      </c>
      <c r="N142" s="62">
        <f>IF(INPUT_PRODUCT!C155="";"";VLOOKUP(INPUT_PRODUCT!C155;PRODUCT!B:L;11;FALSE))</f>
        <v/>
      </c>
      <c r="O142" s="62">
        <f>IF(INPUT_PRODUCT!C155="";"";VLOOKUP(INPUT_PRODUCT!C155;PRODUCT!B:O;14;FALSE))</f>
        <v/>
      </c>
      <c r="P142" s="63">
        <f>IF(INPUT_PRODUCT!C155="";"";VLOOKUP(INPUT_PRODUCT!C155;PRODUCT!B:P;15;FALSE))</f>
        <v/>
      </c>
      <c r="Q142" s="63">
        <f>IF(INPUT_PRODUCT!C155="";"";INPUT_PRODUCT!K155)</f>
        <v/>
      </c>
      <c r="R142" s="63" t="inlineStr"/>
      <c r="S142" s="63">
        <f>IF(INPUT_PRODUCT!C155="";"";IF(O142="";"";O142*(1+Q142+R142)))</f>
        <v/>
      </c>
      <c r="T142" s="63">
        <f>IF(INPUT_PRODUCT!C155="";"";IF(S142="";"";S142*F142))</f>
        <v/>
      </c>
      <c r="U142" s="62">
        <f>CONFIG!$B$2</f>
        <v/>
      </c>
      <c r="V142" s="62">
        <f>IF(INPUT_PRODUCT!C155="";"";IF(S142="";"";S142*U142))</f>
        <v/>
      </c>
      <c r="W142" s="0">
        <f>IF(INPUT_PRODUCT!C155="";"";IF(T142="";"";T142*U142))</f>
        <v/>
      </c>
      <c r="X142" s="0">
        <f>IF(INPUT_PRODUCT!C155="";"";VLOOKUP(INPUT_PRODUCT!C155;PRODUCT!B:T;19;FALSE))</f>
        <v/>
      </c>
      <c r="Y142" s="0">
        <f>IF(INPUT_PRODUCT!C155="";"";INPUT_PRODUCT!L155)</f>
        <v/>
      </c>
    </row>
    <row r="143" ht="15.75" customHeight="1" s="125">
      <c r="A143" s="62">
        <f>IF(INPUT_PRODUCT!C156="";"";INPUT_PRODUCT!A156)</f>
        <v/>
      </c>
      <c r="B143" s="62">
        <f>IF(INPUT_PRODUCT!C156="";"";INPUT_PRODUCT!B156)</f>
        <v/>
      </c>
      <c r="C143" s="62">
        <f>IF(INPUT_PRODUCT!C156="";"";INPUT_PRODUCT!C156)</f>
        <v/>
      </c>
      <c r="D143" s="62">
        <f>IF(INPUT_PRODUCT!C156="";"";INDEX(PRODUCT!A:A;MATCH(INPUT_PRODUCT!C156;PRODUCT!B:B;0)))</f>
        <v/>
      </c>
      <c r="E143" s="62">
        <f>IF(INPUT_PRODUCT!C156="";"";VLOOKUP(INPUT_PRODUCT!C156;PRODUCT!B:C;2;FALSE))</f>
        <v/>
      </c>
      <c r="F143" s="62">
        <f>IF(INPUT_PRODUCT!C156="";"";INPUT_PRODUCT!J156)</f>
        <v/>
      </c>
      <c r="G143" s="62">
        <f>IF(INPUT_PRODUCT!C156="";"";INPUT_PRODUCT!G156)</f>
        <v/>
      </c>
      <c r="H143" s="62">
        <f>IF(INPUT_PRODUCT!C156="";"";VLOOKUP(INPUT_PRODUCT!C156;PRODUCT!B:F;5;FALSE))</f>
        <v/>
      </c>
      <c r="I143" s="62">
        <f>IF(INPUT_PRODUCT!C156="";"";VLOOKUP(INPUT_PRODUCT!C156;PRODUCT!B:G;6;FALSE))</f>
        <v/>
      </c>
      <c r="J143" s="62">
        <f>IF(INPUT_PRODUCT!C156="";"";VLOOKUP(INPUT_PRODUCT!C156;PRODUCT!B:H;7;FALSE))</f>
        <v/>
      </c>
      <c r="K143" s="60">
        <f>IF(INPUT_PRODUCT!C156="";"";VLOOKUP(INPUT_PRODUCT!C156;PRODUCT!B:I;8;FALSE))</f>
        <v/>
      </c>
      <c r="L143" s="62">
        <f>IF(INPUT_PRODUCT!C156="";"";VLOOKUP(INPUT_PRODUCT!C156;PRODUCT!B:J;9;FALSE))</f>
        <v/>
      </c>
      <c r="M143" s="62">
        <f>IF(INPUT_PRODUCT!C156="";"";VLOOKUP(INPUT_PRODUCT!C156;PRODUCT!B:K;10;FALSE))</f>
        <v/>
      </c>
      <c r="N143" s="62">
        <f>IF(INPUT_PRODUCT!C156="";"";VLOOKUP(INPUT_PRODUCT!C156;PRODUCT!B:L;11;FALSE))</f>
        <v/>
      </c>
      <c r="O143" s="62">
        <f>IF(INPUT_PRODUCT!C156="";"";VLOOKUP(INPUT_PRODUCT!C156;PRODUCT!B:O;14;FALSE))</f>
        <v/>
      </c>
      <c r="P143" s="63">
        <f>IF(INPUT_PRODUCT!C156="";"";VLOOKUP(INPUT_PRODUCT!C156;PRODUCT!B:P;15;FALSE))</f>
        <v/>
      </c>
      <c r="Q143" s="63">
        <f>IF(INPUT_PRODUCT!C156="";"";INPUT_PRODUCT!K156)</f>
        <v/>
      </c>
      <c r="R143" s="63" t="inlineStr"/>
      <c r="S143" s="63">
        <f>IF(INPUT_PRODUCT!C156="";"";IF(O143="";"";O143*(1+Q143+R143)))</f>
        <v/>
      </c>
      <c r="T143" s="63">
        <f>IF(INPUT_PRODUCT!C156="";"";IF(S143="";"";S143*F143))</f>
        <v/>
      </c>
      <c r="U143" s="62">
        <f>CONFIG!$B$2</f>
        <v/>
      </c>
      <c r="V143" s="62">
        <f>IF(INPUT_PRODUCT!C156="";"";IF(S143="";"";S143*U143))</f>
        <v/>
      </c>
      <c r="W143" s="0">
        <f>IF(INPUT_PRODUCT!C156="";"";IF(T143="";"";T143*U143))</f>
        <v/>
      </c>
      <c r="X143" s="0">
        <f>IF(INPUT_PRODUCT!C156="";"";VLOOKUP(INPUT_PRODUCT!C156;PRODUCT!B:T;19;FALSE))</f>
        <v/>
      </c>
      <c r="Y143" s="0">
        <f>IF(INPUT_PRODUCT!C156="";"";INPUT_PRODUCT!L156)</f>
        <v/>
      </c>
    </row>
    <row r="144" ht="15.75" customHeight="1" s="125">
      <c r="A144" s="62">
        <f>IF(INPUT_PRODUCT!C157="";"";INPUT_PRODUCT!A157)</f>
        <v/>
      </c>
      <c r="B144" s="62">
        <f>IF(INPUT_PRODUCT!C157="";"";INPUT_PRODUCT!B157)</f>
        <v/>
      </c>
      <c r="C144" s="62">
        <f>IF(INPUT_PRODUCT!C157="";"";INPUT_PRODUCT!C157)</f>
        <v/>
      </c>
      <c r="D144" s="62">
        <f>IF(INPUT_PRODUCT!C157="";"";INDEX(PRODUCT!A:A;MATCH(INPUT_PRODUCT!C157;PRODUCT!B:B;0)))</f>
        <v/>
      </c>
      <c r="E144" s="62">
        <f>IF(INPUT_PRODUCT!C157="";"";VLOOKUP(INPUT_PRODUCT!C157;PRODUCT!B:C;2;FALSE))</f>
        <v/>
      </c>
      <c r="F144" s="62">
        <f>IF(INPUT_PRODUCT!C157="";"";INPUT_PRODUCT!J157)</f>
        <v/>
      </c>
      <c r="G144" s="62">
        <f>IF(INPUT_PRODUCT!C157="";"";INPUT_PRODUCT!G157)</f>
        <v/>
      </c>
      <c r="H144" s="62">
        <f>IF(INPUT_PRODUCT!C157="";"";VLOOKUP(INPUT_PRODUCT!C157;PRODUCT!B:F;5;FALSE))</f>
        <v/>
      </c>
      <c r="I144" s="62">
        <f>IF(INPUT_PRODUCT!C157="";"";VLOOKUP(INPUT_PRODUCT!C157;PRODUCT!B:G;6;FALSE))</f>
        <v/>
      </c>
      <c r="J144" s="62">
        <f>IF(INPUT_PRODUCT!C157="";"";VLOOKUP(INPUT_PRODUCT!C157;PRODUCT!B:H;7;FALSE))</f>
        <v/>
      </c>
      <c r="K144" s="60">
        <f>IF(INPUT_PRODUCT!C157="";"";VLOOKUP(INPUT_PRODUCT!C157;PRODUCT!B:I;8;FALSE))</f>
        <v/>
      </c>
      <c r="L144" s="62">
        <f>IF(INPUT_PRODUCT!C157="";"";VLOOKUP(INPUT_PRODUCT!C157;PRODUCT!B:J;9;FALSE))</f>
        <v/>
      </c>
      <c r="M144" s="62">
        <f>IF(INPUT_PRODUCT!C157="";"";VLOOKUP(INPUT_PRODUCT!C157;PRODUCT!B:K;10;FALSE))</f>
        <v/>
      </c>
      <c r="N144" s="62">
        <f>IF(INPUT_PRODUCT!C157="";"";VLOOKUP(INPUT_PRODUCT!C157;PRODUCT!B:L;11;FALSE))</f>
        <v/>
      </c>
      <c r="O144" s="62">
        <f>IF(INPUT_PRODUCT!C157="";"";VLOOKUP(INPUT_PRODUCT!C157;PRODUCT!B:O;14;FALSE))</f>
        <v/>
      </c>
      <c r="P144" s="63">
        <f>IF(INPUT_PRODUCT!C157="";"";VLOOKUP(INPUT_PRODUCT!C157;PRODUCT!B:P;15;FALSE))</f>
        <v/>
      </c>
      <c r="Q144" s="63">
        <f>IF(INPUT_PRODUCT!C157="";"";INPUT_PRODUCT!K157)</f>
        <v/>
      </c>
      <c r="R144" s="63" t="inlineStr"/>
      <c r="S144" s="63">
        <f>IF(INPUT_PRODUCT!C157="";"";IF(O144="";"";O144*(1+Q144+R144)))</f>
        <v/>
      </c>
      <c r="T144" s="63">
        <f>IF(INPUT_PRODUCT!C157="";"";IF(S144="";"";S144*F144))</f>
        <v/>
      </c>
      <c r="U144" s="62">
        <f>CONFIG!$B$2</f>
        <v/>
      </c>
      <c r="V144" s="62">
        <f>IF(INPUT_PRODUCT!C157="";"";IF(S144="";"";S144*U144))</f>
        <v/>
      </c>
      <c r="W144" s="0">
        <f>IF(INPUT_PRODUCT!C157="";"";IF(T144="";"";T144*U144))</f>
        <v/>
      </c>
      <c r="X144" s="0">
        <f>IF(INPUT_PRODUCT!C157="";"";VLOOKUP(INPUT_PRODUCT!C157;PRODUCT!B:T;19;FALSE))</f>
        <v/>
      </c>
      <c r="Y144" s="0">
        <f>IF(INPUT_PRODUCT!C157="";"";INPUT_PRODUCT!L157)</f>
        <v/>
      </c>
    </row>
    <row r="145" ht="15.75" customHeight="1" s="125">
      <c r="A145" s="62">
        <f>IF(INPUT_PRODUCT!C158="";"";INPUT_PRODUCT!A158)</f>
        <v/>
      </c>
      <c r="B145" s="62">
        <f>IF(INPUT_PRODUCT!C158="";"";INPUT_PRODUCT!B158)</f>
        <v/>
      </c>
      <c r="C145" s="62">
        <f>IF(INPUT_PRODUCT!C158="";"";INPUT_PRODUCT!C158)</f>
        <v/>
      </c>
      <c r="D145" s="62">
        <f>IF(INPUT_PRODUCT!C158="";"";INDEX(PRODUCT!A:A;MATCH(INPUT_PRODUCT!C158;PRODUCT!B:B;0)))</f>
        <v/>
      </c>
      <c r="E145" s="62">
        <f>IF(INPUT_PRODUCT!C158="";"";VLOOKUP(INPUT_PRODUCT!C158;PRODUCT!B:C;2;FALSE))</f>
        <v/>
      </c>
      <c r="F145" s="62">
        <f>IF(INPUT_PRODUCT!C158="";"";INPUT_PRODUCT!J158)</f>
        <v/>
      </c>
      <c r="G145" s="62">
        <f>IF(INPUT_PRODUCT!C158="";"";INPUT_PRODUCT!G158)</f>
        <v/>
      </c>
      <c r="H145" s="62">
        <f>IF(INPUT_PRODUCT!C158="";"";VLOOKUP(INPUT_PRODUCT!C158;PRODUCT!B:F;5;FALSE))</f>
        <v/>
      </c>
      <c r="I145" s="62">
        <f>IF(INPUT_PRODUCT!C158="";"";VLOOKUP(INPUT_PRODUCT!C158;PRODUCT!B:G;6;FALSE))</f>
        <v/>
      </c>
      <c r="J145" s="62">
        <f>IF(INPUT_PRODUCT!C158="";"";VLOOKUP(INPUT_PRODUCT!C158;PRODUCT!B:H;7;FALSE))</f>
        <v/>
      </c>
      <c r="K145" s="60">
        <f>IF(INPUT_PRODUCT!C158="";"";VLOOKUP(INPUT_PRODUCT!C158;PRODUCT!B:I;8;FALSE))</f>
        <v/>
      </c>
      <c r="L145" s="62">
        <f>IF(INPUT_PRODUCT!C158="";"";VLOOKUP(INPUT_PRODUCT!C158;PRODUCT!B:J;9;FALSE))</f>
        <v/>
      </c>
      <c r="M145" s="62">
        <f>IF(INPUT_PRODUCT!C158="";"";VLOOKUP(INPUT_PRODUCT!C158;PRODUCT!B:K;10;FALSE))</f>
        <v/>
      </c>
      <c r="N145" s="62">
        <f>IF(INPUT_PRODUCT!C158="";"";VLOOKUP(INPUT_PRODUCT!C158;PRODUCT!B:L;11;FALSE))</f>
        <v/>
      </c>
      <c r="O145" s="62">
        <f>IF(INPUT_PRODUCT!C158="";"";VLOOKUP(INPUT_PRODUCT!C158;PRODUCT!B:O;14;FALSE))</f>
        <v/>
      </c>
      <c r="P145" s="63">
        <f>IF(INPUT_PRODUCT!C158="";"";VLOOKUP(INPUT_PRODUCT!C158;PRODUCT!B:P;15;FALSE))</f>
        <v/>
      </c>
      <c r="Q145" s="63">
        <f>IF(INPUT_PRODUCT!C158="";"";INPUT_PRODUCT!K158)</f>
        <v/>
      </c>
      <c r="R145" s="63" t="inlineStr"/>
      <c r="S145" s="63">
        <f>IF(INPUT_PRODUCT!C158="";"";IF(O145="";"";O145*(1+Q145+R145)))</f>
        <v/>
      </c>
      <c r="T145" s="63">
        <f>IF(INPUT_PRODUCT!C158="";"";IF(S145="";"";S145*F145))</f>
        <v/>
      </c>
      <c r="U145" s="62">
        <f>CONFIG!$B$2</f>
        <v/>
      </c>
      <c r="V145" s="62">
        <f>IF(INPUT_PRODUCT!C158="";"";IF(S145="";"";S145*U145))</f>
        <v/>
      </c>
      <c r="W145" s="0">
        <f>IF(INPUT_PRODUCT!C158="";"";IF(T145="";"";T145*U145))</f>
        <v/>
      </c>
      <c r="X145" s="0">
        <f>IF(INPUT_PRODUCT!C158="";"";VLOOKUP(INPUT_PRODUCT!C158;PRODUCT!B:T;19;FALSE))</f>
        <v/>
      </c>
      <c r="Y145" s="0">
        <f>IF(INPUT_PRODUCT!C158="";"";INPUT_PRODUCT!L158)</f>
        <v/>
      </c>
    </row>
    <row r="146" ht="15.75" customHeight="1" s="125">
      <c r="A146" s="62">
        <f>IF(INPUT_PRODUCT!C159="";"";INPUT_PRODUCT!A159)</f>
        <v/>
      </c>
      <c r="B146" s="62">
        <f>IF(INPUT_PRODUCT!C159="";"";INPUT_PRODUCT!B159)</f>
        <v/>
      </c>
      <c r="C146" s="62">
        <f>IF(INPUT_PRODUCT!C159="";"";INPUT_PRODUCT!C159)</f>
        <v/>
      </c>
      <c r="D146" s="62">
        <f>IF(INPUT_PRODUCT!C159="";"";INDEX(PRODUCT!A:A;MATCH(INPUT_PRODUCT!C159;PRODUCT!B:B;0)))</f>
        <v/>
      </c>
      <c r="E146" s="62">
        <f>IF(INPUT_PRODUCT!C159="";"";VLOOKUP(INPUT_PRODUCT!C159;PRODUCT!B:C;2;FALSE))</f>
        <v/>
      </c>
      <c r="F146" s="62">
        <f>IF(INPUT_PRODUCT!C159="";"";INPUT_PRODUCT!J159)</f>
        <v/>
      </c>
      <c r="G146" s="62">
        <f>IF(INPUT_PRODUCT!C159="";"";INPUT_PRODUCT!G159)</f>
        <v/>
      </c>
      <c r="H146" s="62">
        <f>IF(INPUT_PRODUCT!C159="";"";VLOOKUP(INPUT_PRODUCT!C159;PRODUCT!B:F;5;FALSE))</f>
        <v/>
      </c>
      <c r="I146" s="62">
        <f>IF(INPUT_PRODUCT!C159="";"";VLOOKUP(INPUT_PRODUCT!C159;PRODUCT!B:G;6;FALSE))</f>
        <v/>
      </c>
      <c r="J146" s="62">
        <f>IF(INPUT_PRODUCT!C159="";"";VLOOKUP(INPUT_PRODUCT!C159;PRODUCT!B:H;7;FALSE))</f>
        <v/>
      </c>
      <c r="K146" s="60">
        <f>IF(INPUT_PRODUCT!C159="";"";VLOOKUP(INPUT_PRODUCT!C159;PRODUCT!B:I;8;FALSE))</f>
        <v/>
      </c>
      <c r="L146" s="62">
        <f>IF(INPUT_PRODUCT!C159="";"";VLOOKUP(INPUT_PRODUCT!C159;PRODUCT!B:J;9;FALSE))</f>
        <v/>
      </c>
      <c r="M146" s="62">
        <f>IF(INPUT_PRODUCT!C159="";"";VLOOKUP(INPUT_PRODUCT!C159;PRODUCT!B:K;10;FALSE))</f>
        <v/>
      </c>
      <c r="N146" s="62">
        <f>IF(INPUT_PRODUCT!C159="";"";VLOOKUP(INPUT_PRODUCT!C159;PRODUCT!B:L;11;FALSE))</f>
        <v/>
      </c>
      <c r="O146" s="62">
        <f>IF(INPUT_PRODUCT!C159="";"";VLOOKUP(INPUT_PRODUCT!C159;PRODUCT!B:O;14;FALSE))</f>
        <v/>
      </c>
      <c r="P146" s="63">
        <f>IF(INPUT_PRODUCT!C159="";"";VLOOKUP(INPUT_PRODUCT!C159;PRODUCT!B:P;15;FALSE))</f>
        <v/>
      </c>
      <c r="Q146" s="63">
        <f>IF(INPUT_PRODUCT!C159="";"";INPUT_PRODUCT!K159)</f>
        <v/>
      </c>
      <c r="R146" s="63" t="inlineStr"/>
      <c r="S146" s="63">
        <f>IF(INPUT_PRODUCT!C159="";"";IF(O146="";"";O146*(1+Q146+R146)))</f>
        <v/>
      </c>
      <c r="T146" s="63">
        <f>IF(INPUT_PRODUCT!C159="";"";IF(S146="";"";S146*F146))</f>
        <v/>
      </c>
      <c r="U146" s="62">
        <f>CONFIG!$B$2</f>
        <v/>
      </c>
      <c r="V146" s="62">
        <f>IF(INPUT_PRODUCT!C159="";"";IF(S146="";"";S146*U146))</f>
        <v/>
      </c>
      <c r="W146" s="0">
        <f>IF(INPUT_PRODUCT!C159="";"";IF(T146="";"";T146*U146))</f>
        <v/>
      </c>
      <c r="X146" s="0">
        <f>IF(INPUT_PRODUCT!C159="";"";VLOOKUP(INPUT_PRODUCT!C159;PRODUCT!B:T;19;FALSE))</f>
        <v/>
      </c>
      <c r="Y146" s="0">
        <f>IF(INPUT_PRODUCT!C159="";"";INPUT_PRODUCT!L159)</f>
        <v/>
      </c>
    </row>
    <row r="147" ht="15.75" customHeight="1" s="125">
      <c r="A147" s="62">
        <f>IF(INPUT_PRODUCT!C160="";"";INPUT_PRODUCT!A160)</f>
        <v/>
      </c>
      <c r="B147" s="62">
        <f>IF(INPUT_PRODUCT!C160="";"";INPUT_PRODUCT!B160)</f>
        <v/>
      </c>
      <c r="C147" s="62">
        <f>IF(INPUT_PRODUCT!C160="";"";INPUT_PRODUCT!C160)</f>
        <v/>
      </c>
      <c r="D147" s="62">
        <f>IF(INPUT_PRODUCT!C160="";"";INDEX(PRODUCT!A:A;MATCH(INPUT_PRODUCT!C160;PRODUCT!B:B;0)))</f>
        <v/>
      </c>
      <c r="E147" s="62">
        <f>IF(INPUT_PRODUCT!C160="";"";VLOOKUP(INPUT_PRODUCT!C160;PRODUCT!B:C;2;FALSE))</f>
        <v/>
      </c>
      <c r="F147" s="62">
        <f>IF(INPUT_PRODUCT!C160="";"";INPUT_PRODUCT!J160)</f>
        <v/>
      </c>
      <c r="G147" s="62">
        <f>IF(INPUT_PRODUCT!C160="";"";INPUT_PRODUCT!G160)</f>
        <v/>
      </c>
      <c r="H147" s="62">
        <f>IF(INPUT_PRODUCT!C160="";"";VLOOKUP(INPUT_PRODUCT!C160;PRODUCT!B:F;5;FALSE))</f>
        <v/>
      </c>
      <c r="I147" s="62">
        <f>IF(INPUT_PRODUCT!C160="";"";VLOOKUP(INPUT_PRODUCT!C160;PRODUCT!B:G;6;FALSE))</f>
        <v/>
      </c>
      <c r="J147" s="62">
        <f>IF(INPUT_PRODUCT!C160="";"";VLOOKUP(INPUT_PRODUCT!C160;PRODUCT!B:H;7;FALSE))</f>
        <v/>
      </c>
      <c r="K147" s="60">
        <f>IF(INPUT_PRODUCT!C160="";"";VLOOKUP(INPUT_PRODUCT!C160;PRODUCT!B:I;8;FALSE))</f>
        <v/>
      </c>
      <c r="L147" s="62">
        <f>IF(INPUT_PRODUCT!C160="";"";VLOOKUP(INPUT_PRODUCT!C160;PRODUCT!B:J;9;FALSE))</f>
        <v/>
      </c>
      <c r="M147" s="62">
        <f>IF(INPUT_PRODUCT!C160="";"";VLOOKUP(INPUT_PRODUCT!C160;PRODUCT!B:K;10;FALSE))</f>
        <v/>
      </c>
      <c r="N147" s="62">
        <f>IF(INPUT_PRODUCT!C160="";"";VLOOKUP(INPUT_PRODUCT!C160;PRODUCT!B:L;11;FALSE))</f>
        <v/>
      </c>
      <c r="O147" s="62">
        <f>IF(INPUT_PRODUCT!C160="";"";VLOOKUP(INPUT_PRODUCT!C160;PRODUCT!B:O;14;FALSE))</f>
        <v/>
      </c>
      <c r="P147" s="63">
        <f>IF(INPUT_PRODUCT!C160="";"";VLOOKUP(INPUT_PRODUCT!C160;PRODUCT!B:P;15;FALSE))</f>
        <v/>
      </c>
      <c r="Q147" s="63">
        <f>IF(INPUT_PRODUCT!C160="";"";INPUT_PRODUCT!K160)</f>
        <v/>
      </c>
      <c r="R147" s="63" t="inlineStr"/>
      <c r="S147" s="63">
        <f>IF(INPUT_PRODUCT!C160="";"";IF(O147="";"";O147*(1+Q147+R147)))</f>
        <v/>
      </c>
      <c r="T147" s="63">
        <f>IF(INPUT_PRODUCT!C160="";"";IF(S147="";"";S147*F147))</f>
        <v/>
      </c>
      <c r="U147" s="62">
        <f>CONFIG!$B$2</f>
        <v/>
      </c>
      <c r="V147" s="62">
        <f>IF(INPUT_PRODUCT!C160="";"";IF(S147="";"";S147*U147))</f>
        <v/>
      </c>
      <c r="W147" s="0">
        <f>IF(INPUT_PRODUCT!C160="";"";IF(T147="";"";T147*U147))</f>
        <v/>
      </c>
      <c r="X147" s="0">
        <f>IF(INPUT_PRODUCT!C160="";"";VLOOKUP(INPUT_PRODUCT!C160;PRODUCT!B:T;19;FALSE))</f>
        <v/>
      </c>
      <c r="Y147" s="0">
        <f>IF(INPUT_PRODUCT!C160="";"";INPUT_PRODUCT!L160)</f>
        <v/>
      </c>
    </row>
    <row r="148" ht="15.75" customHeight="1" s="125">
      <c r="A148" s="62">
        <f>IF(INPUT_PRODUCT!C161="";"";INPUT_PRODUCT!A161)</f>
        <v/>
      </c>
      <c r="B148" s="62">
        <f>IF(INPUT_PRODUCT!C161="";"";INPUT_PRODUCT!B161)</f>
        <v/>
      </c>
      <c r="C148" s="62">
        <f>IF(INPUT_PRODUCT!C161="";"";INPUT_PRODUCT!C161)</f>
        <v/>
      </c>
      <c r="D148" s="62">
        <f>IF(INPUT_PRODUCT!C161="";"";INDEX(PRODUCT!A:A;MATCH(INPUT_PRODUCT!C161;PRODUCT!B:B;0)))</f>
        <v/>
      </c>
      <c r="E148" s="62">
        <f>IF(INPUT_PRODUCT!C161="";"";VLOOKUP(INPUT_PRODUCT!C161;PRODUCT!B:C;2;FALSE))</f>
        <v/>
      </c>
      <c r="F148" s="62">
        <f>IF(INPUT_PRODUCT!C161="";"";INPUT_PRODUCT!J161)</f>
        <v/>
      </c>
      <c r="G148" s="62">
        <f>IF(INPUT_PRODUCT!C161="";"";INPUT_PRODUCT!G161)</f>
        <v/>
      </c>
      <c r="H148" s="62">
        <f>IF(INPUT_PRODUCT!C161="";"";VLOOKUP(INPUT_PRODUCT!C161;PRODUCT!B:F;5;FALSE))</f>
        <v/>
      </c>
      <c r="I148" s="62">
        <f>IF(INPUT_PRODUCT!C161="";"";VLOOKUP(INPUT_PRODUCT!C161;PRODUCT!B:G;6;FALSE))</f>
        <v/>
      </c>
      <c r="J148" s="62">
        <f>IF(INPUT_PRODUCT!C161="";"";VLOOKUP(INPUT_PRODUCT!C161;PRODUCT!B:H;7;FALSE))</f>
        <v/>
      </c>
      <c r="K148" s="60">
        <f>IF(INPUT_PRODUCT!C161="";"";VLOOKUP(INPUT_PRODUCT!C161;PRODUCT!B:I;8;FALSE))</f>
        <v/>
      </c>
      <c r="L148" s="62">
        <f>IF(INPUT_PRODUCT!C161="";"";VLOOKUP(INPUT_PRODUCT!C161;PRODUCT!B:J;9;FALSE))</f>
        <v/>
      </c>
      <c r="M148" s="62">
        <f>IF(INPUT_PRODUCT!C161="";"";VLOOKUP(INPUT_PRODUCT!C161;PRODUCT!B:K;10;FALSE))</f>
        <v/>
      </c>
      <c r="N148" s="62">
        <f>IF(INPUT_PRODUCT!C161="";"";VLOOKUP(INPUT_PRODUCT!C161;PRODUCT!B:L;11;FALSE))</f>
        <v/>
      </c>
      <c r="O148" s="62">
        <f>IF(INPUT_PRODUCT!C161="";"";VLOOKUP(INPUT_PRODUCT!C161;PRODUCT!B:O;14;FALSE))</f>
        <v/>
      </c>
      <c r="P148" s="63">
        <f>IF(INPUT_PRODUCT!C161="";"";VLOOKUP(INPUT_PRODUCT!C161;PRODUCT!B:P;15;FALSE))</f>
        <v/>
      </c>
      <c r="Q148" s="63">
        <f>IF(INPUT_PRODUCT!C161="";"";INPUT_PRODUCT!K161)</f>
        <v/>
      </c>
      <c r="R148" s="63" t="inlineStr"/>
      <c r="S148" s="63">
        <f>IF(INPUT_PRODUCT!C161="";"";IF(O148="";"";O148*(1+Q148+R148)))</f>
        <v/>
      </c>
      <c r="T148" s="63">
        <f>IF(INPUT_PRODUCT!C161="";"";IF(S148="";"";S148*F148))</f>
        <v/>
      </c>
      <c r="U148" s="62">
        <f>CONFIG!$B$2</f>
        <v/>
      </c>
      <c r="V148" s="62">
        <f>IF(INPUT_PRODUCT!C161="";"";IF(S148="";"";S148*U148))</f>
        <v/>
      </c>
      <c r="W148" s="0">
        <f>IF(INPUT_PRODUCT!C161="";"";IF(T148="";"";T148*U148))</f>
        <v/>
      </c>
      <c r="X148" s="0">
        <f>IF(INPUT_PRODUCT!C161="";"";VLOOKUP(INPUT_PRODUCT!C161;PRODUCT!B:T;19;FALSE))</f>
        <v/>
      </c>
      <c r="Y148" s="0">
        <f>IF(INPUT_PRODUCT!C161="";"";INPUT_PRODUCT!L161)</f>
        <v/>
      </c>
    </row>
    <row r="149" ht="15.75" customHeight="1" s="125">
      <c r="A149" s="62">
        <f>IF(INPUT_PRODUCT!C162="";"";INPUT_PRODUCT!A162)</f>
        <v/>
      </c>
      <c r="B149" s="62">
        <f>IF(INPUT_PRODUCT!C162="";"";INPUT_PRODUCT!B162)</f>
        <v/>
      </c>
      <c r="C149" s="62">
        <f>IF(INPUT_PRODUCT!C162="";"";INPUT_PRODUCT!C162)</f>
        <v/>
      </c>
      <c r="D149" s="62">
        <f>IF(INPUT_PRODUCT!C162="";"";INDEX(PRODUCT!A:A;MATCH(INPUT_PRODUCT!C162;PRODUCT!B:B;0)))</f>
        <v/>
      </c>
      <c r="E149" s="62">
        <f>IF(INPUT_PRODUCT!C162="";"";VLOOKUP(INPUT_PRODUCT!C162;PRODUCT!B:C;2;FALSE))</f>
        <v/>
      </c>
      <c r="F149" s="62">
        <f>IF(INPUT_PRODUCT!C162="";"";INPUT_PRODUCT!J162)</f>
        <v/>
      </c>
      <c r="G149" s="62">
        <f>IF(INPUT_PRODUCT!C162="";"";INPUT_PRODUCT!G162)</f>
        <v/>
      </c>
      <c r="H149" s="62">
        <f>IF(INPUT_PRODUCT!C162="";"";VLOOKUP(INPUT_PRODUCT!C162;PRODUCT!B:F;5;FALSE))</f>
        <v/>
      </c>
      <c r="I149" s="62">
        <f>IF(INPUT_PRODUCT!C162="";"";VLOOKUP(INPUT_PRODUCT!C162;PRODUCT!B:G;6;FALSE))</f>
        <v/>
      </c>
      <c r="J149" s="62">
        <f>IF(INPUT_PRODUCT!C162="";"";VLOOKUP(INPUT_PRODUCT!C162;PRODUCT!B:H;7;FALSE))</f>
        <v/>
      </c>
      <c r="K149" s="60">
        <f>IF(INPUT_PRODUCT!C162="";"";VLOOKUP(INPUT_PRODUCT!C162;PRODUCT!B:I;8;FALSE))</f>
        <v/>
      </c>
      <c r="L149" s="62">
        <f>IF(INPUT_PRODUCT!C162="";"";VLOOKUP(INPUT_PRODUCT!C162;PRODUCT!B:J;9;FALSE))</f>
        <v/>
      </c>
      <c r="M149" s="62">
        <f>IF(INPUT_PRODUCT!C162="";"";VLOOKUP(INPUT_PRODUCT!C162;PRODUCT!B:K;10;FALSE))</f>
        <v/>
      </c>
      <c r="N149" s="62">
        <f>IF(INPUT_PRODUCT!C162="";"";VLOOKUP(INPUT_PRODUCT!C162;PRODUCT!B:L;11;FALSE))</f>
        <v/>
      </c>
      <c r="O149" s="62">
        <f>IF(INPUT_PRODUCT!C162="";"";VLOOKUP(INPUT_PRODUCT!C162;PRODUCT!B:O;14;FALSE))</f>
        <v/>
      </c>
      <c r="P149" s="63">
        <f>IF(INPUT_PRODUCT!C162="";"";VLOOKUP(INPUT_PRODUCT!C162;PRODUCT!B:P;15;FALSE))</f>
        <v/>
      </c>
      <c r="Q149" s="63">
        <f>IF(INPUT_PRODUCT!C162="";"";INPUT_PRODUCT!K162)</f>
        <v/>
      </c>
      <c r="R149" s="63" t="inlineStr"/>
      <c r="S149" s="63">
        <f>IF(INPUT_PRODUCT!C162="";"";IF(O149="";"";O149*(1+Q149+R149)))</f>
        <v/>
      </c>
      <c r="T149" s="63">
        <f>IF(INPUT_PRODUCT!C162="";"";IF(S149="";"";S149*F149))</f>
        <v/>
      </c>
      <c r="U149" s="62">
        <f>CONFIG!$B$2</f>
        <v/>
      </c>
      <c r="V149" s="62">
        <f>IF(INPUT_PRODUCT!C162="";"";IF(S149="";"";S149*U149))</f>
        <v/>
      </c>
      <c r="W149" s="0">
        <f>IF(INPUT_PRODUCT!C162="";"";IF(T149="";"";T149*U149))</f>
        <v/>
      </c>
      <c r="X149" s="0">
        <f>IF(INPUT_PRODUCT!C162="";"";VLOOKUP(INPUT_PRODUCT!C162;PRODUCT!B:T;19;FALSE))</f>
        <v/>
      </c>
      <c r="Y149" s="0">
        <f>IF(INPUT_PRODUCT!C162="";"";INPUT_PRODUCT!L162)</f>
        <v/>
      </c>
    </row>
    <row r="150" ht="15.75" customHeight="1" s="125">
      <c r="A150" s="62">
        <f>IF(INPUT_PRODUCT!C163="";"";INPUT_PRODUCT!A163)</f>
        <v/>
      </c>
      <c r="B150" s="62">
        <f>IF(INPUT_PRODUCT!C163="";"";INPUT_PRODUCT!B163)</f>
        <v/>
      </c>
      <c r="C150" s="62">
        <f>IF(INPUT_PRODUCT!C163="";"";INPUT_PRODUCT!C163)</f>
        <v/>
      </c>
      <c r="D150" s="62">
        <f>IF(INPUT_PRODUCT!C163="";"";INDEX(PRODUCT!A:A;MATCH(INPUT_PRODUCT!C163;PRODUCT!B:B;0)))</f>
        <v/>
      </c>
      <c r="E150" s="62">
        <f>IF(INPUT_PRODUCT!C163="";"";VLOOKUP(INPUT_PRODUCT!C163;PRODUCT!B:C;2;FALSE))</f>
        <v/>
      </c>
      <c r="F150" s="62">
        <f>IF(INPUT_PRODUCT!C163="";"";INPUT_PRODUCT!J163)</f>
        <v/>
      </c>
      <c r="G150" s="62">
        <f>IF(INPUT_PRODUCT!C163="";"";INPUT_PRODUCT!G163)</f>
        <v/>
      </c>
      <c r="H150" s="62">
        <f>IF(INPUT_PRODUCT!C163="";"";VLOOKUP(INPUT_PRODUCT!C163;PRODUCT!B:F;5;FALSE))</f>
        <v/>
      </c>
      <c r="I150" s="62">
        <f>IF(INPUT_PRODUCT!C163="";"";VLOOKUP(INPUT_PRODUCT!C163;PRODUCT!B:G;6;FALSE))</f>
        <v/>
      </c>
      <c r="J150" s="62">
        <f>IF(INPUT_PRODUCT!C163="";"";VLOOKUP(INPUT_PRODUCT!C163;PRODUCT!B:H;7;FALSE))</f>
        <v/>
      </c>
      <c r="K150" s="60">
        <f>IF(INPUT_PRODUCT!C163="";"";VLOOKUP(INPUT_PRODUCT!C163;PRODUCT!B:I;8;FALSE))</f>
        <v/>
      </c>
      <c r="L150" s="62">
        <f>IF(INPUT_PRODUCT!C163="";"";VLOOKUP(INPUT_PRODUCT!C163;PRODUCT!B:J;9;FALSE))</f>
        <v/>
      </c>
      <c r="M150" s="62">
        <f>IF(INPUT_PRODUCT!C163="";"";VLOOKUP(INPUT_PRODUCT!C163;PRODUCT!B:K;10;FALSE))</f>
        <v/>
      </c>
      <c r="N150" s="62">
        <f>IF(INPUT_PRODUCT!C163="";"";VLOOKUP(INPUT_PRODUCT!C163;PRODUCT!B:L;11;FALSE))</f>
        <v/>
      </c>
      <c r="O150" s="62">
        <f>IF(INPUT_PRODUCT!C163="";"";VLOOKUP(INPUT_PRODUCT!C163;PRODUCT!B:O;14;FALSE))</f>
        <v/>
      </c>
      <c r="P150" s="63">
        <f>IF(INPUT_PRODUCT!C163="";"";VLOOKUP(INPUT_PRODUCT!C163;PRODUCT!B:P;15;FALSE))</f>
        <v/>
      </c>
      <c r="Q150" s="63">
        <f>IF(INPUT_PRODUCT!C163="";"";INPUT_PRODUCT!K163)</f>
        <v/>
      </c>
      <c r="R150" s="63" t="inlineStr"/>
      <c r="S150" s="63">
        <f>IF(INPUT_PRODUCT!C163="";"";IF(O150="";"";O150*(1+Q150+R150)))</f>
        <v/>
      </c>
      <c r="T150" s="63">
        <f>IF(INPUT_PRODUCT!C163="";"";IF(S150="";"";S150*F150))</f>
        <v/>
      </c>
      <c r="U150" s="62">
        <f>CONFIG!$B$2</f>
        <v/>
      </c>
      <c r="V150" s="62">
        <f>IF(INPUT_PRODUCT!C163="";"";IF(S150="";"";S150*U150))</f>
        <v/>
      </c>
      <c r="W150" s="0">
        <f>IF(INPUT_PRODUCT!C163="";"";IF(T150="";"";T150*U150))</f>
        <v/>
      </c>
      <c r="X150" s="0">
        <f>IF(INPUT_PRODUCT!C163="";"";VLOOKUP(INPUT_PRODUCT!C163;PRODUCT!B:T;19;FALSE))</f>
        <v/>
      </c>
      <c r="Y150" s="0">
        <f>IF(INPUT_PRODUCT!C163="";"";INPUT_PRODUCT!L163)</f>
        <v/>
      </c>
    </row>
    <row r="151" ht="15.75" customHeight="1" s="125">
      <c r="A151" s="62">
        <f>IF(INPUT_PRODUCT!C164="";"";INPUT_PRODUCT!A164)</f>
        <v/>
      </c>
      <c r="B151" s="62">
        <f>IF(INPUT_PRODUCT!C164="";"";INPUT_PRODUCT!B164)</f>
        <v/>
      </c>
      <c r="C151" s="62">
        <f>IF(INPUT_PRODUCT!C164="";"";INPUT_PRODUCT!C164)</f>
        <v/>
      </c>
      <c r="D151" s="62">
        <f>IF(INPUT_PRODUCT!C164="";"";INDEX(PRODUCT!A:A;MATCH(INPUT_PRODUCT!C164;PRODUCT!B:B;0)))</f>
        <v/>
      </c>
      <c r="E151" s="62">
        <f>IF(INPUT_PRODUCT!C164="";"";VLOOKUP(INPUT_PRODUCT!C164;PRODUCT!B:C;2;FALSE))</f>
        <v/>
      </c>
      <c r="F151" s="62">
        <f>IF(INPUT_PRODUCT!C164="";"";INPUT_PRODUCT!J164)</f>
        <v/>
      </c>
      <c r="G151" s="62">
        <f>IF(INPUT_PRODUCT!C164="";"";INPUT_PRODUCT!G164)</f>
        <v/>
      </c>
      <c r="H151" s="62">
        <f>IF(INPUT_PRODUCT!C164="";"";VLOOKUP(INPUT_PRODUCT!C164;PRODUCT!B:F;5;FALSE))</f>
        <v/>
      </c>
      <c r="I151" s="62">
        <f>IF(INPUT_PRODUCT!C164="";"";VLOOKUP(INPUT_PRODUCT!C164;PRODUCT!B:G;6;FALSE))</f>
        <v/>
      </c>
      <c r="J151" s="62">
        <f>IF(INPUT_PRODUCT!C164="";"";VLOOKUP(INPUT_PRODUCT!C164;PRODUCT!B:H;7;FALSE))</f>
        <v/>
      </c>
      <c r="K151" s="60">
        <f>IF(INPUT_PRODUCT!C164="";"";VLOOKUP(INPUT_PRODUCT!C164;PRODUCT!B:I;8;FALSE))</f>
        <v/>
      </c>
      <c r="L151" s="62">
        <f>IF(INPUT_PRODUCT!C164="";"";VLOOKUP(INPUT_PRODUCT!C164;PRODUCT!B:J;9;FALSE))</f>
        <v/>
      </c>
      <c r="M151" s="62">
        <f>IF(INPUT_PRODUCT!C164="";"";VLOOKUP(INPUT_PRODUCT!C164;PRODUCT!B:K;10;FALSE))</f>
        <v/>
      </c>
      <c r="N151" s="62">
        <f>IF(INPUT_PRODUCT!C164="";"";VLOOKUP(INPUT_PRODUCT!C164;PRODUCT!B:L;11;FALSE))</f>
        <v/>
      </c>
      <c r="O151" s="62">
        <f>IF(INPUT_PRODUCT!C164="";"";VLOOKUP(INPUT_PRODUCT!C164;PRODUCT!B:O;14;FALSE))</f>
        <v/>
      </c>
      <c r="P151" s="63">
        <f>IF(INPUT_PRODUCT!C164="";"";VLOOKUP(INPUT_PRODUCT!C164;PRODUCT!B:P;15;FALSE))</f>
        <v/>
      </c>
      <c r="Q151" s="63">
        <f>IF(INPUT_PRODUCT!C164="";"";INPUT_PRODUCT!K164)</f>
        <v/>
      </c>
      <c r="R151" s="63" t="inlineStr"/>
      <c r="S151" s="63">
        <f>IF(INPUT_PRODUCT!C164="";"";IF(O151="";"";O151*(1+Q151+R151)))</f>
        <v/>
      </c>
      <c r="T151" s="63">
        <f>IF(INPUT_PRODUCT!C164="";"";IF(S151="";"";S151*F151))</f>
        <v/>
      </c>
      <c r="U151" s="62">
        <f>CONFIG!$B$2</f>
        <v/>
      </c>
      <c r="V151" s="62">
        <f>IF(INPUT_PRODUCT!C164="";"";IF(S151="";"";S151*U151))</f>
        <v/>
      </c>
      <c r="W151" s="0">
        <f>IF(INPUT_PRODUCT!C164="";"";IF(T151="";"";T151*U151))</f>
        <v/>
      </c>
      <c r="X151" s="0">
        <f>IF(INPUT_PRODUCT!C164="";"";VLOOKUP(INPUT_PRODUCT!C164;PRODUCT!B:T;19;FALSE))</f>
        <v/>
      </c>
      <c r="Y151" s="0">
        <f>IF(INPUT_PRODUCT!C164="";"";INPUT_PRODUCT!L164)</f>
        <v/>
      </c>
    </row>
    <row r="152" ht="15.75" customHeight="1" s="125">
      <c r="A152" s="62">
        <f>IF(INPUT_PRODUCT!C165="";"";INPUT_PRODUCT!A165)</f>
        <v/>
      </c>
      <c r="B152" s="62">
        <f>IF(INPUT_PRODUCT!C165="";"";INPUT_PRODUCT!B165)</f>
        <v/>
      </c>
      <c r="C152" s="62">
        <f>IF(INPUT_PRODUCT!C165="";"";INPUT_PRODUCT!C165)</f>
        <v/>
      </c>
      <c r="D152" s="62">
        <f>IF(INPUT_PRODUCT!C165="";"";INDEX(PRODUCT!A:A;MATCH(INPUT_PRODUCT!C165;PRODUCT!B:B;0)))</f>
        <v/>
      </c>
      <c r="E152" s="62">
        <f>IF(INPUT_PRODUCT!C165="";"";VLOOKUP(INPUT_PRODUCT!C165;PRODUCT!B:C;2;FALSE))</f>
        <v/>
      </c>
      <c r="F152" s="62">
        <f>IF(INPUT_PRODUCT!C165="";"";INPUT_PRODUCT!J165)</f>
        <v/>
      </c>
      <c r="G152" s="62">
        <f>IF(INPUT_PRODUCT!C165="";"";INPUT_PRODUCT!G165)</f>
        <v/>
      </c>
      <c r="H152" s="62">
        <f>IF(INPUT_PRODUCT!C165="";"";VLOOKUP(INPUT_PRODUCT!C165;PRODUCT!B:F;5;FALSE))</f>
        <v/>
      </c>
      <c r="I152" s="62">
        <f>IF(INPUT_PRODUCT!C165="";"";VLOOKUP(INPUT_PRODUCT!C165;PRODUCT!B:G;6;FALSE))</f>
        <v/>
      </c>
      <c r="J152" s="62">
        <f>IF(INPUT_PRODUCT!C165="";"";VLOOKUP(INPUT_PRODUCT!C165;PRODUCT!B:H;7;FALSE))</f>
        <v/>
      </c>
      <c r="K152" s="60">
        <f>IF(INPUT_PRODUCT!C165="";"";VLOOKUP(INPUT_PRODUCT!C165;PRODUCT!B:I;8;FALSE))</f>
        <v/>
      </c>
      <c r="L152" s="62">
        <f>IF(INPUT_PRODUCT!C165="";"";VLOOKUP(INPUT_PRODUCT!C165;PRODUCT!B:J;9;FALSE))</f>
        <v/>
      </c>
      <c r="M152" s="62">
        <f>IF(INPUT_PRODUCT!C165="";"";VLOOKUP(INPUT_PRODUCT!C165;PRODUCT!B:K;10;FALSE))</f>
        <v/>
      </c>
      <c r="N152" s="62">
        <f>IF(INPUT_PRODUCT!C165="";"";VLOOKUP(INPUT_PRODUCT!C165;PRODUCT!B:L;11;FALSE))</f>
        <v/>
      </c>
      <c r="O152" s="62">
        <f>IF(INPUT_PRODUCT!C165="";"";VLOOKUP(INPUT_PRODUCT!C165;PRODUCT!B:O;14;FALSE))</f>
        <v/>
      </c>
      <c r="P152" s="63">
        <f>IF(INPUT_PRODUCT!C165="";"";VLOOKUP(INPUT_PRODUCT!C165;PRODUCT!B:P;15;FALSE))</f>
        <v/>
      </c>
      <c r="Q152" s="63">
        <f>IF(INPUT_PRODUCT!C165="";"";INPUT_PRODUCT!K165)</f>
        <v/>
      </c>
      <c r="R152" s="63" t="inlineStr"/>
      <c r="S152" s="63">
        <f>IF(INPUT_PRODUCT!C165="";"";IF(O152="";"";O152*(1+Q152+R152)))</f>
        <v/>
      </c>
      <c r="T152" s="63">
        <f>IF(INPUT_PRODUCT!C165="";"";IF(S152="";"";S152*F152))</f>
        <v/>
      </c>
      <c r="U152" s="62">
        <f>CONFIG!$B$2</f>
        <v/>
      </c>
      <c r="V152" s="62">
        <f>IF(INPUT_PRODUCT!C165="";"";IF(S152="";"";S152*U152))</f>
        <v/>
      </c>
      <c r="W152" s="0">
        <f>IF(INPUT_PRODUCT!C165="";"";IF(T152="";"";T152*U152))</f>
        <v/>
      </c>
      <c r="X152" s="0">
        <f>IF(INPUT_PRODUCT!C165="";"";VLOOKUP(INPUT_PRODUCT!C165;PRODUCT!B:T;19;FALSE))</f>
        <v/>
      </c>
      <c r="Y152" s="0">
        <f>IF(INPUT_PRODUCT!C165="";"";INPUT_PRODUCT!L165)</f>
        <v/>
      </c>
    </row>
    <row r="153" ht="15.75" customHeight="1" s="125">
      <c r="A153" s="62">
        <f>IF(INPUT_PRODUCT!C166="";"";INPUT_PRODUCT!A166)</f>
        <v/>
      </c>
      <c r="B153" s="62">
        <f>IF(INPUT_PRODUCT!C166="";"";INPUT_PRODUCT!B166)</f>
        <v/>
      </c>
      <c r="C153" s="62">
        <f>IF(INPUT_PRODUCT!C166="";"";INPUT_PRODUCT!C166)</f>
        <v/>
      </c>
      <c r="D153" s="62">
        <f>IF(INPUT_PRODUCT!C166="";"";INDEX(PRODUCT!A:A;MATCH(INPUT_PRODUCT!C166;PRODUCT!B:B;0)))</f>
        <v/>
      </c>
      <c r="E153" s="62">
        <f>IF(INPUT_PRODUCT!C166="";"";VLOOKUP(INPUT_PRODUCT!C166;PRODUCT!B:C;2;FALSE))</f>
        <v/>
      </c>
      <c r="F153" s="62">
        <f>IF(INPUT_PRODUCT!C166="";"";INPUT_PRODUCT!J166)</f>
        <v/>
      </c>
      <c r="G153" s="62">
        <f>IF(INPUT_PRODUCT!C166="";"";INPUT_PRODUCT!G166)</f>
        <v/>
      </c>
      <c r="H153" s="62">
        <f>IF(INPUT_PRODUCT!C166="";"";VLOOKUP(INPUT_PRODUCT!C166;PRODUCT!B:F;5;FALSE))</f>
        <v/>
      </c>
      <c r="I153" s="62">
        <f>IF(INPUT_PRODUCT!C166="";"";VLOOKUP(INPUT_PRODUCT!C166;PRODUCT!B:G;6;FALSE))</f>
        <v/>
      </c>
      <c r="J153" s="62">
        <f>IF(INPUT_PRODUCT!C166="";"";VLOOKUP(INPUT_PRODUCT!C166;PRODUCT!B:H;7;FALSE))</f>
        <v/>
      </c>
      <c r="K153" s="60">
        <f>IF(INPUT_PRODUCT!C166="";"";VLOOKUP(INPUT_PRODUCT!C166;PRODUCT!B:I;8;FALSE))</f>
        <v/>
      </c>
      <c r="L153" s="62">
        <f>IF(INPUT_PRODUCT!C166="";"";VLOOKUP(INPUT_PRODUCT!C166;PRODUCT!B:J;9;FALSE))</f>
        <v/>
      </c>
      <c r="M153" s="62">
        <f>IF(INPUT_PRODUCT!C166="";"";VLOOKUP(INPUT_PRODUCT!C166;PRODUCT!B:K;10;FALSE))</f>
        <v/>
      </c>
      <c r="N153" s="62">
        <f>IF(INPUT_PRODUCT!C166="";"";VLOOKUP(INPUT_PRODUCT!C166;PRODUCT!B:L;11;FALSE))</f>
        <v/>
      </c>
      <c r="O153" s="62">
        <f>IF(INPUT_PRODUCT!C166="";"";VLOOKUP(INPUT_PRODUCT!C166;PRODUCT!B:O;14;FALSE))</f>
        <v/>
      </c>
      <c r="P153" s="63">
        <f>IF(INPUT_PRODUCT!C166="";"";VLOOKUP(INPUT_PRODUCT!C166;PRODUCT!B:P;15;FALSE))</f>
        <v/>
      </c>
      <c r="Q153" s="63">
        <f>IF(INPUT_PRODUCT!C166="";"";INPUT_PRODUCT!K166)</f>
        <v/>
      </c>
      <c r="R153" s="63" t="inlineStr"/>
      <c r="S153" s="63">
        <f>IF(INPUT_PRODUCT!C166="";"";IF(O153="";"";O153*(1+Q153+R153)))</f>
        <v/>
      </c>
      <c r="T153" s="63">
        <f>IF(INPUT_PRODUCT!C166="";"";IF(S153="";"";S153*F153))</f>
        <v/>
      </c>
      <c r="U153" s="62">
        <f>CONFIG!$B$2</f>
        <v/>
      </c>
      <c r="V153" s="62">
        <f>IF(INPUT_PRODUCT!C166="";"";IF(S153="";"";S153*U153))</f>
        <v/>
      </c>
      <c r="W153" s="0">
        <f>IF(INPUT_PRODUCT!C166="";"";IF(T153="";"";T153*U153))</f>
        <v/>
      </c>
      <c r="X153" s="0">
        <f>IF(INPUT_PRODUCT!C166="";"";VLOOKUP(INPUT_PRODUCT!C166;PRODUCT!B:T;19;FALSE))</f>
        <v/>
      </c>
      <c r="Y153" s="0">
        <f>IF(INPUT_PRODUCT!C166="";"";INPUT_PRODUCT!L166)</f>
        <v/>
      </c>
    </row>
    <row r="154" ht="15.75" customHeight="1" s="125">
      <c r="A154" s="62">
        <f>IF(INPUT_PRODUCT!C167="";"";INPUT_PRODUCT!A167)</f>
        <v/>
      </c>
      <c r="B154" s="62">
        <f>IF(INPUT_PRODUCT!C167="";"";INPUT_PRODUCT!B167)</f>
        <v/>
      </c>
      <c r="C154" s="62">
        <f>IF(INPUT_PRODUCT!C167="";"";INPUT_PRODUCT!C167)</f>
        <v/>
      </c>
      <c r="D154" s="62">
        <f>IF(INPUT_PRODUCT!C167="";"";INDEX(PRODUCT!A:A;MATCH(INPUT_PRODUCT!C167;PRODUCT!B:B;0)))</f>
        <v/>
      </c>
      <c r="E154" s="62">
        <f>IF(INPUT_PRODUCT!C167="";"";VLOOKUP(INPUT_PRODUCT!C167;PRODUCT!B:C;2;FALSE))</f>
        <v/>
      </c>
      <c r="F154" s="62">
        <f>IF(INPUT_PRODUCT!C167="";"";INPUT_PRODUCT!J167)</f>
        <v/>
      </c>
      <c r="G154" s="62">
        <f>IF(INPUT_PRODUCT!C167="";"";INPUT_PRODUCT!G167)</f>
        <v/>
      </c>
      <c r="H154" s="62">
        <f>IF(INPUT_PRODUCT!C167="";"";VLOOKUP(INPUT_PRODUCT!C167;PRODUCT!B:F;5;FALSE))</f>
        <v/>
      </c>
      <c r="I154" s="62">
        <f>IF(INPUT_PRODUCT!C167="";"";VLOOKUP(INPUT_PRODUCT!C167;PRODUCT!B:G;6;FALSE))</f>
        <v/>
      </c>
      <c r="J154" s="62">
        <f>IF(INPUT_PRODUCT!C167="";"";VLOOKUP(INPUT_PRODUCT!C167;PRODUCT!B:H;7;FALSE))</f>
        <v/>
      </c>
      <c r="K154" s="60">
        <f>IF(INPUT_PRODUCT!C167="";"";VLOOKUP(INPUT_PRODUCT!C167;PRODUCT!B:I;8;FALSE))</f>
        <v/>
      </c>
      <c r="L154" s="62">
        <f>IF(INPUT_PRODUCT!C167="";"";VLOOKUP(INPUT_PRODUCT!C167;PRODUCT!B:J;9;FALSE))</f>
        <v/>
      </c>
      <c r="M154" s="62">
        <f>IF(INPUT_PRODUCT!C167="";"";VLOOKUP(INPUT_PRODUCT!C167;PRODUCT!B:K;10;FALSE))</f>
        <v/>
      </c>
      <c r="N154" s="62">
        <f>IF(INPUT_PRODUCT!C167="";"";VLOOKUP(INPUT_PRODUCT!C167;PRODUCT!B:L;11;FALSE))</f>
        <v/>
      </c>
      <c r="O154" s="62">
        <f>IF(INPUT_PRODUCT!C167="";"";VLOOKUP(INPUT_PRODUCT!C167;PRODUCT!B:O;14;FALSE))</f>
        <v/>
      </c>
      <c r="P154" s="63">
        <f>IF(INPUT_PRODUCT!C167="";"";VLOOKUP(INPUT_PRODUCT!C167;PRODUCT!B:P;15;FALSE))</f>
        <v/>
      </c>
      <c r="Q154" s="63">
        <f>IF(INPUT_PRODUCT!C167="";"";INPUT_PRODUCT!K167)</f>
        <v/>
      </c>
      <c r="R154" s="63" t="inlineStr"/>
      <c r="S154" s="63">
        <f>IF(INPUT_PRODUCT!C167="";"";IF(O154="";"";O154*(1+Q154+R154)))</f>
        <v/>
      </c>
      <c r="T154" s="63">
        <f>IF(INPUT_PRODUCT!C167="";"";IF(S154="";"";S154*F154))</f>
        <v/>
      </c>
      <c r="U154" s="62">
        <f>CONFIG!$B$2</f>
        <v/>
      </c>
      <c r="V154" s="62">
        <f>IF(INPUT_PRODUCT!C167="";"";IF(S154="";"";S154*U154))</f>
        <v/>
      </c>
      <c r="W154" s="0">
        <f>IF(INPUT_PRODUCT!C167="";"";IF(T154="";"";T154*U154))</f>
        <v/>
      </c>
      <c r="X154" s="0">
        <f>IF(INPUT_PRODUCT!C167="";"";VLOOKUP(INPUT_PRODUCT!C167;PRODUCT!B:T;19;FALSE))</f>
        <v/>
      </c>
      <c r="Y154" s="0">
        <f>IF(INPUT_PRODUCT!C167="";"";INPUT_PRODUCT!L167)</f>
        <v/>
      </c>
    </row>
    <row r="155" ht="15.75" customHeight="1" s="125">
      <c r="A155" s="62">
        <f>IF(INPUT_PRODUCT!C168="";"";INPUT_PRODUCT!A168)</f>
        <v/>
      </c>
      <c r="B155" s="62">
        <f>IF(INPUT_PRODUCT!C168="";"";INPUT_PRODUCT!B168)</f>
        <v/>
      </c>
      <c r="C155" s="62">
        <f>IF(INPUT_PRODUCT!C168="";"";INPUT_PRODUCT!C168)</f>
        <v/>
      </c>
      <c r="D155" s="62">
        <f>IF(INPUT_PRODUCT!C168="";"";INDEX(PRODUCT!A:A;MATCH(INPUT_PRODUCT!C168;PRODUCT!B:B;0)))</f>
        <v/>
      </c>
      <c r="E155" s="62">
        <f>IF(INPUT_PRODUCT!C168="";"";VLOOKUP(INPUT_PRODUCT!C168;PRODUCT!B:C;2;FALSE))</f>
        <v/>
      </c>
      <c r="F155" s="62">
        <f>IF(INPUT_PRODUCT!C168="";"";INPUT_PRODUCT!J168)</f>
        <v/>
      </c>
      <c r="G155" s="62">
        <f>IF(INPUT_PRODUCT!C168="";"";INPUT_PRODUCT!G168)</f>
        <v/>
      </c>
      <c r="H155" s="62">
        <f>IF(INPUT_PRODUCT!C168="";"";VLOOKUP(INPUT_PRODUCT!C168;PRODUCT!B:F;5;FALSE))</f>
        <v/>
      </c>
      <c r="I155" s="62">
        <f>IF(INPUT_PRODUCT!C168="";"";VLOOKUP(INPUT_PRODUCT!C168;PRODUCT!B:G;6;FALSE))</f>
        <v/>
      </c>
      <c r="J155" s="62">
        <f>IF(INPUT_PRODUCT!C168="";"";VLOOKUP(INPUT_PRODUCT!C168;PRODUCT!B:H;7;FALSE))</f>
        <v/>
      </c>
      <c r="K155" s="60">
        <f>IF(INPUT_PRODUCT!C168="";"";VLOOKUP(INPUT_PRODUCT!C168;PRODUCT!B:I;8;FALSE))</f>
        <v/>
      </c>
      <c r="L155" s="62">
        <f>IF(INPUT_PRODUCT!C168="";"";VLOOKUP(INPUT_PRODUCT!C168;PRODUCT!B:J;9;FALSE))</f>
        <v/>
      </c>
      <c r="M155" s="62">
        <f>IF(INPUT_PRODUCT!C168="";"";VLOOKUP(INPUT_PRODUCT!C168;PRODUCT!B:K;10;FALSE))</f>
        <v/>
      </c>
      <c r="N155" s="62">
        <f>IF(INPUT_PRODUCT!C168="";"";VLOOKUP(INPUT_PRODUCT!C168;PRODUCT!B:L;11;FALSE))</f>
        <v/>
      </c>
      <c r="O155" s="62">
        <f>IF(INPUT_PRODUCT!C168="";"";VLOOKUP(INPUT_PRODUCT!C168;PRODUCT!B:O;14;FALSE))</f>
        <v/>
      </c>
      <c r="P155" s="63">
        <f>IF(INPUT_PRODUCT!C168="";"";VLOOKUP(INPUT_PRODUCT!C168;PRODUCT!B:P;15;FALSE))</f>
        <v/>
      </c>
      <c r="Q155" s="63">
        <f>IF(INPUT_PRODUCT!C168="";"";INPUT_PRODUCT!K168)</f>
        <v/>
      </c>
      <c r="R155" s="63" t="inlineStr"/>
      <c r="S155" s="63">
        <f>IF(INPUT_PRODUCT!C168="";"";IF(O155="";"";O155*(1+Q155+R155)))</f>
        <v/>
      </c>
      <c r="T155" s="63">
        <f>IF(INPUT_PRODUCT!C168="";"";IF(S155="";"";S155*F155))</f>
        <v/>
      </c>
      <c r="U155" s="62">
        <f>CONFIG!$B$2</f>
        <v/>
      </c>
      <c r="V155" s="62">
        <f>IF(INPUT_PRODUCT!C168="";"";IF(S155="";"";S155*U155))</f>
        <v/>
      </c>
      <c r="W155" s="0">
        <f>IF(INPUT_PRODUCT!C168="";"";IF(T155="";"";T155*U155))</f>
        <v/>
      </c>
      <c r="X155" s="0">
        <f>IF(INPUT_PRODUCT!C168="";"";VLOOKUP(INPUT_PRODUCT!C168;PRODUCT!B:T;19;FALSE))</f>
        <v/>
      </c>
      <c r="Y155" s="0">
        <f>IF(INPUT_PRODUCT!C168="";"";INPUT_PRODUCT!L168)</f>
        <v/>
      </c>
    </row>
    <row r="156" ht="15.75" customHeight="1" s="125">
      <c r="A156" s="62">
        <f>IF(INPUT_PRODUCT!C169="";"";INPUT_PRODUCT!A169)</f>
        <v/>
      </c>
      <c r="B156" s="62">
        <f>IF(INPUT_PRODUCT!C169="";"";INPUT_PRODUCT!B169)</f>
        <v/>
      </c>
      <c r="C156" s="62">
        <f>IF(INPUT_PRODUCT!C169="";"";INPUT_PRODUCT!C169)</f>
        <v/>
      </c>
      <c r="D156" s="62">
        <f>IF(INPUT_PRODUCT!C169="";"";INDEX(PRODUCT!A:A;MATCH(INPUT_PRODUCT!C169;PRODUCT!B:B;0)))</f>
        <v/>
      </c>
      <c r="E156" s="62">
        <f>IF(INPUT_PRODUCT!C169="";"";VLOOKUP(INPUT_PRODUCT!C169;PRODUCT!B:C;2;FALSE))</f>
        <v/>
      </c>
      <c r="F156" s="62">
        <f>IF(INPUT_PRODUCT!C169="";"";INPUT_PRODUCT!J169)</f>
        <v/>
      </c>
      <c r="G156" s="62">
        <f>IF(INPUT_PRODUCT!C169="";"";INPUT_PRODUCT!G169)</f>
        <v/>
      </c>
      <c r="H156" s="62">
        <f>IF(INPUT_PRODUCT!C169="";"";VLOOKUP(INPUT_PRODUCT!C169;PRODUCT!B:F;5;FALSE))</f>
        <v/>
      </c>
      <c r="I156" s="62">
        <f>IF(INPUT_PRODUCT!C169="";"";VLOOKUP(INPUT_PRODUCT!C169;PRODUCT!B:G;6;FALSE))</f>
        <v/>
      </c>
      <c r="J156" s="62">
        <f>IF(INPUT_PRODUCT!C169="";"";VLOOKUP(INPUT_PRODUCT!C169;PRODUCT!B:H;7;FALSE))</f>
        <v/>
      </c>
      <c r="K156" s="60">
        <f>IF(INPUT_PRODUCT!C169="";"";VLOOKUP(INPUT_PRODUCT!C169;PRODUCT!B:I;8;FALSE))</f>
        <v/>
      </c>
      <c r="L156" s="62">
        <f>IF(INPUT_PRODUCT!C169="";"";VLOOKUP(INPUT_PRODUCT!C169;PRODUCT!B:J;9;FALSE))</f>
        <v/>
      </c>
      <c r="M156" s="62">
        <f>IF(INPUT_PRODUCT!C169="";"";VLOOKUP(INPUT_PRODUCT!C169;PRODUCT!B:K;10;FALSE))</f>
        <v/>
      </c>
      <c r="N156" s="62">
        <f>IF(INPUT_PRODUCT!C169="";"";VLOOKUP(INPUT_PRODUCT!C169;PRODUCT!B:L;11;FALSE))</f>
        <v/>
      </c>
      <c r="O156" s="62">
        <f>IF(INPUT_PRODUCT!C169="";"";VLOOKUP(INPUT_PRODUCT!C169;PRODUCT!B:O;14;FALSE))</f>
        <v/>
      </c>
      <c r="P156" s="63">
        <f>IF(INPUT_PRODUCT!C169="";"";VLOOKUP(INPUT_PRODUCT!C169;PRODUCT!B:P;15;FALSE))</f>
        <v/>
      </c>
      <c r="Q156" s="63">
        <f>IF(INPUT_PRODUCT!C169="";"";INPUT_PRODUCT!K169)</f>
        <v/>
      </c>
      <c r="R156" s="63" t="inlineStr"/>
      <c r="S156" s="63">
        <f>IF(INPUT_PRODUCT!C169="";"";IF(O156="";"";O156*(1+Q156+R156)))</f>
        <v/>
      </c>
      <c r="T156" s="63">
        <f>IF(INPUT_PRODUCT!C169="";"";IF(S156="";"";S156*F156))</f>
        <v/>
      </c>
      <c r="U156" s="62">
        <f>CONFIG!$B$2</f>
        <v/>
      </c>
      <c r="V156" s="62">
        <f>IF(INPUT_PRODUCT!C169="";"";IF(S156="";"";S156*U156))</f>
        <v/>
      </c>
      <c r="W156" s="0">
        <f>IF(INPUT_PRODUCT!C169="";"";IF(T156="";"";T156*U156))</f>
        <v/>
      </c>
      <c r="X156" s="0">
        <f>IF(INPUT_PRODUCT!C169="";"";VLOOKUP(INPUT_PRODUCT!C169;PRODUCT!B:T;19;FALSE))</f>
        <v/>
      </c>
      <c r="Y156" s="0">
        <f>IF(INPUT_PRODUCT!C169="";"";INPUT_PRODUCT!L169)</f>
        <v/>
      </c>
    </row>
    <row r="157" ht="15.75" customHeight="1" s="125">
      <c r="A157" s="62">
        <f>IF(INPUT_PRODUCT!C170="";"";INPUT_PRODUCT!A170)</f>
        <v/>
      </c>
      <c r="B157" s="62">
        <f>IF(INPUT_PRODUCT!C170="";"";INPUT_PRODUCT!B170)</f>
        <v/>
      </c>
      <c r="C157" s="62">
        <f>IF(INPUT_PRODUCT!C170="";"";INPUT_PRODUCT!C170)</f>
        <v/>
      </c>
      <c r="D157" s="62">
        <f>IF(INPUT_PRODUCT!C170="";"";INDEX(PRODUCT!A:A;MATCH(INPUT_PRODUCT!C170;PRODUCT!B:B;0)))</f>
        <v/>
      </c>
      <c r="E157" s="62">
        <f>IF(INPUT_PRODUCT!C170="";"";VLOOKUP(INPUT_PRODUCT!C170;PRODUCT!B:C;2;FALSE))</f>
        <v/>
      </c>
      <c r="F157" s="62">
        <f>IF(INPUT_PRODUCT!C170="";"";INPUT_PRODUCT!J170)</f>
        <v/>
      </c>
      <c r="G157" s="62">
        <f>IF(INPUT_PRODUCT!C170="";"";INPUT_PRODUCT!G170)</f>
        <v/>
      </c>
      <c r="H157" s="62">
        <f>IF(INPUT_PRODUCT!C170="";"";VLOOKUP(INPUT_PRODUCT!C170;PRODUCT!B:F;5;FALSE))</f>
        <v/>
      </c>
      <c r="I157" s="62">
        <f>IF(INPUT_PRODUCT!C170="";"";VLOOKUP(INPUT_PRODUCT!C170;PRODUCT!B:G;6;FALSE))</f>
        <v/>
      </c>
      <c r="J157" s="62">
        <f>IF(INPUT_PRODUCT!C170="";"";VLOOKUP(INPUT_PRODUCT!C170;PRODUCT!B:H;7;FALSE))</f>
        <v/>
      </c>
      <c r="K157" s="60">
        <f>IF(INPUT_PRODUCT!C170="";"";VLOOKUP(INPUT_PRODUCT!C170;PRODUCT!B:I;8;FALSE))</f>
        <v/>
      </c>
      <c r="L157" s="62">
        <f>IF(INPUT_PRODUCT!C170="";"";VLOOKUP(INPUT_PRODUCT!C170;PRODUCT!B:J;9;FALSE))</f>
        <v/>
      </c>
      <c r="M157" s="62">
        <f>IF(INPUT_PRODUCT!C170="";"";VLOOKUP(INPUT_PRODUCT!C170;PRODUCT!B:K;10;FALSE))</f>
        <v/>
      </c>
      <c r="N157" s="62">
        <f>IF(INPUT_PRODUCT!C170="";"";VLOOKUP(INPUT_PRODUCT!C170;PRODUCT!B:L;11;FALSE))</f>
        <v/>
      </c>
      <c r="O157" s="62">
        <f>IF(INPUT_PRODUCT!C170="";"";VLOOKUP(INPUT_PRODUCT!C170;PRODUCT!B:O;14;FALSE))</f>
        <v/>
      </c>
      <c r="P157" s="63">
        <f>IF(INPUT_PRODUCT!C170="";"";VLOOKUP(INPUT_PRODUCT!C170;PRODUCT!B:P;15;FALSE))</f>
        <v/>
      </c>
      <c r="Q157" s="63">
        <f>IF(INPUT_PRODUCT!C170="";"";INPUT_PRODUCT!K170)</f>
        <v/>
      </c>
      <c r="R157" s="63" t="inlineStr"/>
      <c r="S157" s="63">
        <f>IF(INPUT_PRODUCT!C170="";"";IF(O157="";"";O157*(1+Q157+R157)))</f>
        <v/>
      </c>
      <c r="T157" s="63">
        <f>IF(INPUT_PRODUCT!C170="";"";IF(S157="";"";S157*F157))</f>
        <v/>
      </c>
      <c r="U157" s="62">
        <f>CONFIG!$B$2</f>
        <v/>
      </c>
      <c r="V157" s="62">
        <f>IF(INPUT_PRODUCT!C170="";"";IF(S157="";"";S157*U157))</f>
        <v/>
      </c>
      <c r="W157" s="0">
        <f>IF(INPUT_PRODUCT!C170="";"";IF(T157="";"";T157*U157))</f>
        <v/>
      </c>
      <c r="X157" s="0">
        <f>IF(INPUT_PRODUCT!C170="";"";VLOOKUP(INPUT_PRODUCT!C170;PRODUCT!B:T;19;FALSE))</f>
        <v/>
      </c>
      <c r="Y157" s="0">
        <f>IF(INPUT_PRODUCT!C170="";"";INPUT_PRODUCT!L170)</f>
        <v/>
      </c>
    </row>
    <row r="158" ht="15.75" customHeight="1" s="125">
      <c r="A158" s="62">
        <f>IF(INPUT_PRODUCT!C171="";"";INPUT_PRODUCT!A171)</f>
        <v/>
      </c>
      <c r="B158" s="62">
        <f>IF(INPUT_PRODUCT!C171="";"";INPUT_PRODUCT!B171)</f>
        <v/>
      </c>
      <c r="C158" s="62">
        <f>IF(INPUT_PRODUCT!C171="";"";INPUT_PRODUCT!C171)</f>
        <v/>
      </c>
      <c r="D158" s="62">
        <f>IF(INPUT_PRODUCT!C171="";"";INDEX(PRODUCT!A:A;MATCH(INPUT_PRODUCT!C171;PRODUCT!B:B;0)))</f>
        <v/>
      </c>
      <c r="E158" s="62">
        <f>IF(INPUT_PRODUCT!C171="";"";VLOOKUP(INPUT_PRODUCT!C171;PRODUCT!B:C;2;FALSE))</f>
        <v/>
      </c>
      <c r="F158" s="62">
        <f>IF(INPUT_PRODUCT!C171="";"";INPUT_PRODUCT!J171)</f>
        <v/>
      </c>
      <c r="G158" s="62">
        <f>IF(INPUT_PRODUCT!C171="";"";INPUT_PRODUCT!G171)</f>
        <v/>
      </c>
      <c r="H158" s="62">
        <f>IF(INPUT_PRODUCT!C171="";"";VLOOKUP(INPUT_PRODUCT!C171;PRODUCT!B:F;5;FALSE))</f>
        <v/>
      </c>
      <c r="I158" s="62">
        <f>IF(INPUT_PRODUCT!C171="";"";VLOOKUP(INPUT_PRODUCT!C171;PRODUCT!B:G;6;FALSE))</f>
        <v/>
      </c>
      <c r="J158" s="62">
        <f>IF(INPUT_PRODUCT!C171="";"";VLOOKUP(INPUT_PRODUCT!C171;PRODUCT!B:H;7;FALSE))</f>
        <v/>
      </c>
      <c r="K158" s="60">
        <f>IF(INPUT_PRODUCT!C171="";"";VLOOKUP(INPUT_PRODUCT!C171;PRODUCT!B:I;8;FALSE))</f>
        <v/>
      </c>
      <c r="L158" s="62">
        <f>IF(INPUT_PRODUCT!C171="";"";VLOOKUP(INPUT_PRODUCT!C171;PRODUCT!B:J;9;FALSE))</f>
        <v/>
      </c>
      <c r="M158" s="62">
        <f>IF(INPUT_PRODUCT!C171="";"";VLOOKUP(INPUT_PRODUCT!C171;PRODUCT!B:K;10;FALSE))</f>
        <v/>
      </c>
      <c r="N158" s="62">
        <f>IF(INPUT_PRODUCT!C171="";"";VLOOKUP(INPUT_PRODUCT!C171;PRODUCT!B:L;11;FALSE))</f>
        <v/>
      </c>
      <c r="O158" s="62">
        <f>IF(INPUT_PRODUCT!C171="";"";VLOOKUP(INPUT_PRODUCT!C171;PRODUCT!B:O;14;FALSE))</f>
        <v/>
      </c>
      <c r="P158" s="63">
        <f>IF(INPUT_PRODUCT!C171="";"";VLOOKUP(INPUT_PRODUCT!C171;PRODUCT!B:P;15;FALSE))</f>
        <v/>
      </c>
      <c r="Q158" s="63">
        <f>IF(INPUT_PRODUCT!C171="";"";INPUT_PRODUCT!K171)</f>
        <v/>
      </c>
      <c r="R158" s="63" t="inlineStr"/>
      <c r="S158" s="63">
        <f>IF(INPUT_PRODUCT!C171="";"";IF(O158="";"";O158*(1+Q158+R158)))</f>
        <v/>
      </c>
      <c r="T158" s="63">
        <f>IF(INPUT_PRODUCT!C171="";"";IF(S158="";"";S158*F158))</f>
        <v/>
      </c>
      <c r="U158" s="62">
        <f>CONFIG!$B$2</f>
        <v/>
      </c>
      <c r="V158" s="62">
        <f>IF(INPUT_PRODUCT!C171="";"";IF(S158="";"";S158*U158))</f>
        <v/>
      </c>
      <c r="W158" s="0">
        <f>IF(INPUT_PRODUCT!C171="";"";IF(T158="";"";T158*U158))</f>
        <v/>
      </c>
      <c r="X158" s="0">
        <f>IF(INPUT_PRODUCT!C171="";"";VLOOKUP(INPUT_PRODUCT!C171;PRODUCT!B:T;19;FALSE))</f>
        <v/>
      </c>
      <c r="Y158" s="0">
        <f>IF(INPUT_PRODUCT!C171="";"";INPUT_PRODUCT!L171)</f>
        <v/>
      </c>
    </row>
    <row r="159" ht="15.75" customHeight="1" s="125">
      <c r="A159" s="62">
        <f>IF(INPUT_PRODUCT!C172="";"";INPUT_PRODUCT!A172)</f>
        <v/>
      </c>
      <c r="B159" s="62">
        <f>IF(INPUT_PRODUCT!C172="";"";INPUT_PRODUCT!B172)</f>
        <v/>
      </c>
      <c r="C159" s="62">
        <f>IF(INPUT_PRODUCT!C172="";"";INPUT_PRODUCT!C172)</f>
        <v/>
      </c>
      <c r="D159" s="62">
        <f>IF(INPUT_PRODUCT!C172="";"";INDEX(PRODUCT!A:A;MATCH(INPUT_PRODUCT!C172;PRODUCT!B:B;0)))</f>
        <v/>
      </c>
      <c r="E159" s="62">
        <f>IF(INPUT_PRODUCT!C172="";"";VLOOKUP(INPUT_PRODUCT!C172;PRODUCT!B:C;2;FALSE))</f>
        <v/>
      </c>
      <c r="F159" s="62">
        <f>IF(INPUT_PRODUCT!C172="";"";INPUT_PRODUCT!J172)</f>
        <v/>
      </c>
      <c r="G159" s="62">
        <f>IF(INPUT_PRODUCT!C172="";"";INPUT_PRODUCT!G172)</f>
        <v/>
      </c>
      <c r="H159" s="62">
        <f>IF(INPUT_PRODUCT!C172="";"";VLOOKUP(INPUT_PRODUCT!C172;PRODUCT!B:F;5;FALSE))</f>
        <v/>
      </c>
      <c r="I159" s="62">
        <f>IF(INPUT_PRODUCT!C172="";"";VLOOKUP(INPUT_PRODUCT!C172;PRODUCT!B:G;6;FALSE))</f>
        <v/>
      </c>
      <c r="J159" s="62">
        <f>IF(INPUT_PRODUCT!C172="";"";VLOOKUP(INPUT_PRODUCT!C172;PRODUCT!B:H;7;FALSE))</f>
        <v/>
      </c>
      <c r="K159" s="60">
        <f>IF(INPUT_PRODUCT!C172="";"";VLOOKUP(INPUT_PRODUCT!C172;PRODUCT!B:I;8;FALSE))</f>
        <v/>
      </c>
      <c r="L159" s="62">
        <f>IF(INPUT_PRODUCT!C172="";"";VLOOKUP(INPUT_PRODUCT!C172;PRODUCT!B:J;9;FALSE))</f>
        <v/>
      </c>
      <c r="M159" s="62">
        <f>IF(INPUT_PRODUCT!C172="";"";VLOOKUP(INPUT_PRODUCT!C172;PRODUCT!B:K;10;FALSE))</f>
        <v/>
      </c>
      <c r="N159" s="62">
        <f>IF(INPUT_PRODUCT!C172="";"";VLOOKUP(INPUT_PRODUCT!C172;PRODUCT!B:L;11;FALSE))</f>
        <v/>
      </c>
      <c r="O159" s="62">
        <f>IF(INPUT_PRODUCT!C172="";"";VLOOKUP(INPUT_PRODUCT!C172;PRODUCT!B:O;14;FALSE))</f>
        <v/>
      </c>
      <c r="P159" s="63">
        <f>IF(INPUT_PRODUCT!C172="";"";VLOOKUP(INPUT_PRODUCT!C172;PRODUCT!B:P;15;FALSE))</f>
        <v/>
      </c>
      <c r="Q159" s="63">
        <f>IF(INPUT_PRODUCT!C172="";"";INPUT_PRODUCT!K172)</f>
        <v/>
      </c>
      <c r="R159" s="63" t="inlineStr"/>
      <c r="S159" s="63">
        <f>IF(INPUT_PRODUCT!C172="";"";IF(O159="";"";O159*(1+Q159+R159)))</f>
        <v/>
      </c>
      <c r="T159" s="63">
        <f>IF(INPUT_PRODUCT!C172="";"";IF(S159="";"";S159*F159))</f>
        <v/>
      </c>
      <c r="U159" s="62">
        <f>CONFIG!$B$2</f>
        <v/>
      </c>
      <c r="V159" s="62">
        <f>IF(INPUT_PRODUCT!C172="";"";IF(S159="";"";S159*U159))</f>
        <v/>
      </c>
      <c r="W159" s="0">
        <f>IF(INPUT_PRODUCT!C172="";"";IF(T159="";"";T159*U159))</f>
        <v/>
      </c>
      <c r="X159" s="0">
        <f>IF(INPUT_PRODUCT!C172="";"";VLOOKUP(INPUT_PRODUCT!C172;PRODUCT!B:T;19;FALSE))</f>
        <v/>
      </c>
      <c r="Y159" s="0">
        <f>IF(INPUT_PRODUCT!C172="";"";INPUT_PRODUCT!L172)</f>
        <v/>
      </c>
    </row>
    <row r="160" ht="15.75" customHeight="1" s="125">
      <c r="A160" s="62">
        <f>IF(INPUT_PRODUCT!C173="";"";INPUT_PRODUCT!A173)</f>
        <v/>
      </c>
      <c r="B160" s="62">
        <f>IF(INPUT_PRODUCT!C173="";"";INPUT_PRODUCT!B173)</f>
        <v/>
      </c>
      <c r="C160" s="62">
        <f>IF(INPUT_PRODUCT!C173="";"";INPUT_PRODUCT!C173)</f>
        <v/>
      </c>
      <c r="D160" s="62">
        <f>IF(INPUT_PRODUCT!C173="";"";INDEX(PRODUCT!A:A;MATCH(INPUT_PRODUCT!C173;PRODUCT!B:B;0)))</f>
        <v/>
      </c>
      <c r="E160" s="62">
        <f>IF(INPUT_PRODUCT!C173="";"";VLOOKUP(INPUT_PRODUCT!C173;PRODUCT!B:C;2;FALSE))</f>
        <v/>
      </c>
      <c r="F160" s="62">
        <f>IF(INPUT_PRODUCT!C173="";"";INPUT_PRODUCT!J173)</f>
        <v/>
      </c>
      <c r="G160" s="62">
        <f>IF(INPUT_PRODUCT!C173="";"";INPUT_PRODUCT!G173)</f>
        <v/>
      </c>
      <c r="H160" s="62">
        <f>IF(INPUT_PRODUCT!C173="";"";VLOOKUP(INPUT_PRODUCT!C173;PRODUCT!B:F;5;FALSE))</f>
        <v/>
      </c>
      <c r="I160" s="62">
        <f>IF(INPUT_PRODUCT!C173="";"";VLOOKUP(INPUT_PRODUCT!C173;PRODUCT!B:G;6;FALSE))</f>
        <v/>
      </c>
      <c r="J160" s="62">
        <f>IF(INPUT_PRODUCT!C173="";"";VLOOKUP(INPUT_PRODUCT!C173;PRODUCT!B:H;7;FALSE))</f>
        <v/>
      </c>
      <c r="K160" s="60">
        <f>IF(INPUT_PRODUCT!C173="";"";VLOOKUP(INPUT_PRODUCT!C173;PRODUCT!B:I;8;FALSE))</f>
        <v/>
      </c>
      <c r="L160" s="62">
        <f>IF(INPUT_PRODUCT!C173="";"";VLOOKUP(INPUT_PRODUCT!C173;PRODUCT!B:J;9;FALSE))</f>
        <v/>
      </c>
      <c r="M160" s="62">
        <f>IF(INPUT_PRODUCT!C173="";"";VLOOKUP(INPUT_PRODUCT!C173;PRODUCT!B:K;10;FALSE))</f>
        <v/>
      </c>
      <c r="N160" s="62">
        <f>IF(INPUT_PRODUCT!C173="";"";VLOOKUP(INPUT_PRODUCT!C173;PRODUCT!B:L;11;FALSE))</f>
        <v/>
      </c>
      <c r="O160" s="62">
        <f>IF(INPUT_PRODUCT!C173="";"";VLOOKUP(INPUT_PRODUCT!C173;PRODUCT!B:O;14;FALSE))</f>
        <v/>
      </c>
      <c r="P160" s="63">
        <f>IF(INPUT_PRODUCT!C173="";"";VLOOKUP(INPUT_PRODUCT!C173;PRODUCT!B:P;15;FALSE))</f>
        <v/>
      </c>
      <c r="Q160" s="63">
        <f>IF(INPUT_PRODUCT!C173="";"";INPUT_PRODUCT!K173)</f>
        <v/>
      </c>
      <c r="R160" s="63" t="inlineStr"/>
      <c r="S160" s="63">
        <f>IF(INPUT_PRODUCT!C173="";"";IF(O160="";"";O160*(1+Q160+R160)))</f>
        <v/>
      </c>
      <c r="T160" s="63">
        <f>IF(INPUT_PRODUCT!C173="";"";IF(S160="";"";S160*F160))</f>
        <v/>
      </c>
      <c r="U160" s="62">
        <f>CONFIG!$B$2</f>
        <v/>
      </c>
      <c r="V160" s="62">
        <f>IF(INPUT_PRODUCT!C173="";"";IF(S160="";"";S160*U160))</f>
        <v/>
      </c>
      <c r="W160" s="0">
        <f>IF(INPUT_PRODUCT!C173="";"";IF(T160="";"";T160*U160))</f>
        <v/>
      </c>
      <c r="X160" s="0">
        <f>IF(INPUT_PRODUCT!C173="";"";VLOOKUP(INPUT_PRODUCT!C173;PRODUCT!B:T;19;FALSE))</f>
        <v/>
      </c>
      <c r="Y160" s="0">
        <f>IF(INPUT_PRODUCT!C173="";"";INPUT_PRODUCT!L173)</f>
        <v/>
      </c>
    </row>
    <row r="161" ht="15.75" customHeight="1" s="125">
      <c r="A161" s="62">
        <f>IF(INPUT_PRODUCT!C174="";"";INPUT_PRODUCT!A174)</f>
        <v/>
      </c>
      <c r="B161" s="62">
        <f>IF(INPUT_PRODUCT!C174="";"";INPUT_PRODUCT!B174)</f>
        <v/>
      </c>
      <c r="C161" s="62">
        <f>IF(INPUT_PRODUCT!C174="";"";INPUT_PRODUCT!C174)</f>
        <v/>
      </c>
      <c r="D161" s="62">
        <f>IF(INPUT_PRODUCT!C174="";"";INDEX(PRODUCT!A:A;MATCH(INPUT_PRODUCT!C174;PRODUCT!B:B;0)))</f>
        <v/>
      </c>
      <c r="E161" s="62">
        <f>IF(INPUT_PRODUCT!C174="";"";VLOOKUP(INPUT_PRODUCT!C174;PRODUCT!B:C;2;FALSE))</f>
        <v/>
      </c>
      <c r="F161" s="62">
        <f>IF(INPUT_PRODUCT!C174="";"";INPUT_PRODUCT!J174)</f>
        <v/>
      </c>
      <c r="G161" s="62">
        <f>IF(INPUT_PRODUCT!C174="";"";INPUT_PRODUCT!G174)</f>
        <v/>
      </c>
      <c r="H161" s="62">
        <f>IF(INPUT_PRODUCT!C174="";"";VLOOKUP(INPUT_PRODUCT!C174;PRODUCT!B:F;5;FALSE))</f>
        <v/>
      </c>
      <c r="I161" s="62">
        <f>IF(INPUT_PRODUCT!C174="";"";VLOOKUP(INPUT_PRODUCT!C174;PRODUCT!B:G;6;FALSE))</f>
        <v/>
      </c>
      <c r="J161" s="62">
        <f>IF(INPUT_PRODUCT!C174="";"";VLOOKUP(INPUT_PRODUCT!C174;PRODUCT!B:H;7;FALSE))</f>
        <v/>
      </c>
      <c r="K161" s="60">
        <f>IF(INPUT_PRODUCT!C174="";"";VLOOKUP(INPUT_PRODUCT!C174;PRODUCT!B:I;8;FALSE))</f>
        <v/>
      </c>
      <c r="L161" s="62">
        <f>IF(INPUT_PRODUCT!C174="";"";VLOOKUP(INPUT_PRODUCT!C174;PRODUCT!B:J;9;FALSE))</f>
        <v/>
      </c>
      <c r="M161" s="62">
        <f>IF(INPUT_PRODUCT!C174="";"";VLOOKUP(INPUT_PRODUCT!C174;PRODUCT!B:K;10;FALSE))</f>
        <v/>
      </c>
      <c r="N161" s="62">
        <f>IF(INPUT_PRODUCT!C174="";"";VLOOKUP(INPUT_PRODUCT!C174;PRODUCT!B:L;11;FALSE))</f>
        <v/>
      </c>
      <c r="O161" s="62">
        <f>IF(INPUT_PRODUCT!C174="";"";VLOOKUP(INPUT_PRODUCT!C174;PRODUCT!B:O;14;FALSE))</f>
        <v/>
      </c>
      <c r="P161" s="63">
        <f>IF(INPUT_PRODUCT!C174="";"";VLOOKUP(INPUT_PRODUCT!C174;PRODUCT!B:P;15;FALSE))</f>
        <v/>
      </c>
      <c r="Q161" s="63">
        <f>IF(INPUT_PRODUCT!C174="";"";INPUT_PRODUCT!K174)</f>
        <v/>
      </c>
      <c r="R161" s="63" t="inlineStr"/>
      <c r="S161" s="63">
        <f>IF(INPUT_PRODUCT!C174="";"";IF(O161="";"";O161*(1+Q161+R161)))</f>
        <v/>
      </c>
      <c r="T161" s="63">
        <f>IF(INPUT_PRODUCT!C174="";"";IF(S161="";"";S161*F161))</f>
        <v/>
      </c>
      <c r="U161" s="62">
        <f>CONFIG!$B$2</f>
        <v/>
      </c>
      <c r="V161" s="62">
        <f>IF(INPUT_PRODUCT!C174="";"";IF(S161="";"";S161*U161))</f>
        <v/>
      </c>
      <c r="W161" s="0">
        <f>IF(INPUT_PRODUCT!C174="";"";IF(T161="";"";T161*U161))</f>
        <v/>
      </c>
      <c r="X161" s="0">
        <f>IF(INPUT_PRODUCT!C174="";"";VLOOKUP(INPUT_PRODUCT!C174;PRODUCT!B:T;19;FALSE))</f>
        <v/>
      </c>
      <c r="Y161" s="0">
        <f>IF(INPUT_PRODUCT!C174="";"";INPUT_PRODUCT!L174)</f>
        <v/>
      </c>
    </row>
    <row r="162" ht="15.75" customHeight="1" s="125">
      <c r="A162" s="62">
        <f>IF(INPUT_PRODUCT!C175="";"";INPUT_PRODUCT!A175)</f>
        <v/>
      </c>
      <c r="B162" s="62">
        <f>IF(INPUT_PRODUCT!C175="";"";INPUT_PRODUCT!B175)</f>
        <v/>
      </c>
      <c r="C162" s="62">
        <f>IF(INPUT_PRODUCT!C175="";"";INPUT_PRODUCT!C175)</f>
        <v/>
      </c>
      <c r="D162" s="62">
        <f>IF(INPUT_PRODUCT!C175="";"";INDEX(PRODUCT!A:A;MATCH(INPUT_PRODUCT!C175;PRODUCT!B:B;0)))</f>
        <v/>
      </c>
      <c r="E162" s="62">
        <f>IF(INPUT_PRODUCT!C175="";"";VLOOKUP(INPUT_PRODUCT!C175;PRODUCT!B:C;2;FALSE))</f>
        <v/>
      </c>
      <c r="F162" s="62">
        <f>IF(INPUT_PRODUCT!C175="";"";INPUT_PRODUCT!J175)</f>
        <v/>
      </c>
      <c r="G162" s="62">
        <f>IF(INPUT_PRODUCT!C175="";"";INPUT_PRODUCT!G175)</f>
        <v/>
      </c>
      <c r="H162" s="62">
        <f>IF(INPUT_PRODUCT!C175="";"";VLOOKUP(INPUT_PRODUCT!C175;PRODUCT!B:F;5;FALSE))</f>
        <v/>
      </c>
      <c r="I162" s="62">
        <f>IF(INPUT_PRODUCT!C175="";"";VLOOKUP(INPUT_PRODUCT!C175;PRODUCT!B:G;6;FALSE))</f>
        <v/>
      </c>
      <c r="J162" s="62">
        <f>IF(INPUT_PRODUCT!C175="";"";VLOOKUP(INPUT_PRODUCT!C175;PRODUCT!B:H;7;FALSE))</f>
        <v/>
      </c>
      <c r="K162" s="60">
        <f>IF(INPUT_PRODUCT!C175="";"";VLOOKUP(INPUT_PRODUCT!C175;PRODUCT!B:I;8;FALSE))</f>
        <v/>
      </c>
      <c r="L162" s="62">
        <f>IF(INPUT_PRODUCT!C175="";"";VLOOKUP(INPUT_PRODUCT!C175;PRODUCT!B:J;9;FALSE))</f>
        <v/>
      </c>
      <c r="M162" s="62">
        <f>IF(INPUT_PRODUCT!C175="";"";VLOOKUP(INPUT_PRODUCT!C175;PRODUCT!B:K;10;FALSE))</f>
        <v/>
      </c>
      <c r="N162" s="62">
        <f>IF(INPUT_PRODUCT!C175="";"";VLOOKUP(INPUT_PRODUCT!C175;PRODUCT!B:L;11;FALSE))</f>
        <v/>
      </c>
      <c r="O162" s="62">
        <f>IF(INPUT_PRODUCT!C175="";"";VLOOKUP(INPUT_PRODUCT!C175;PRODUCT!B:O;14;FALSE))</f>
        <v/>
      </c>
      <c r="P162" s="63">
        <f>IF(INPUT_PRODUCT!C175="";"";VLOOKUP(INPUT_PRODUCT!C175;PRODUCT!B:P;15;FALSE))</f>
        <v/>
      </c>
      <c r="Q162" s="63">
        <f>IF(INPUT_PRODUCT!C175="";"";INPUT_PRODUCT!K175)</f>
        <v/>
      </c>
      <c r="R162" s="63" t="inlineStr"/>
      <c r="S162" s="63">
        <f>IF(INPUT_PRODUCT!C175="";"";IF(O162="";"";O162*(1+Q162+R162)))</f>
        <v/>
      </c>
      <c r="T162" s="63">
        <f>IF(INPUT_PRODUCT!C175="";"";IF(S162="";"";S162*F162))</f>
        <v/>
      </c>
      <c r="U162" s="62">
        <f>CONFIG!$B$2</f>
        <v/>
      </c>
      <c r="V162" s="62">
        <f>IF(INPUT_PRODUCT!C175="";"";IF(S162="";"";S162*U162))</f>
        <v/>
      </c>
      <c r="W162" s="0">
        <f>IF(INPUT_PRODUCT!C175="";"";IF(T162="";"";T162*U162))</f>
        <v/>
      </c>
      <c r="X162" s="0">
        <f>IF(INPUT_PRODUCT!C175="";"";VLOOKUP(INPUT_PRODUCT!C175;PRODUCT!B:T;19;FALSE))</f>
        <v/>
      </c>
      <c r="Y162" s="0">
        <f>IF(INPUT_PRODUCT!C175="";"";INPUT_PRODUCT!L175)</f>
        <v/>
      </c>
    </row>
    <row r="163" ht="15.75" customHeight="1" s="125">
      <c r="A163" s="62">
        <f>IF(INPUT_PRODUCT!C176="";"";INPUT_PRODUCT!A176)</f>
        <v/>
      </c>
      <c r="B163" s="62">
        <f>IF(INPUT_PRODUCT!C176="";"";INPUT_PRODUCT!B176)</f>
        <v/>
      </c>
      <c r="C163" s="62">
        <f>IF(INPUT_PRODUCT!C176="";"";INPUT_PRODUCT!C176)</f>
        <v/>
      </c>
      <c r="D163" s="62">
        <f>IF(INPUT_PRODUCT!C176="";"";INDEX(PRODUCT!A:A;MATCH(INPUT_PRODUCT!C176;PRODUCT!B:B;0)))</f>
        <v/>
      </c>
      <c r="E163" s="62">
        <f>IF(INPUT_PRODUCT!C176="";"";VLOOKUP(INPUT_PRODUCT!C176;PRODUCT!B:C;2;FALSE))</f>
        <v/>
      </c>
      <c r="F163" s="62">
        <f>IF(INPUT_PRODUCT!C176="";"";INPUT_PRODUCT!J176)</f>
        <v/>
      </c>
      <c r="G163" s="62">
        <f>IF(INPUT_PRODUCT!C176="";"";INPUT_PRODUCT!G176)</f>
        <v/>
      </c>
      <c r="H163" s="62">
        <f>IF(INPUT_PRODUCT!C176="";"";VLOOKUP(INPUT_PRODUCT!C176;PRODUCT!B:F;5;FALSE))</f>
        <v/>
      </c>
      <c r="I163" s="62">
        <f>IF(INPUT_PRODUCT!C176="";"";VLOOKUP(INPUT_PRODUCT!C176;PRODUCT!B:G;6;FALSE))</f>
        <v/>
      </c>
      <c r="J163" s="62">
        <f>IF(INPUT_PRODUCT!C176="";"";VLOOKUP(INPUT_PRODUCT!C176;PRODUCT!B:H;7;FALSE))</f>
        <v/>
      </c>
      <c r="K163" s="60">
        <f>IF(INPUT_PRODUCT!C176="";"";VLOOKUP(INPUT_PRODUCT!C176;PRODUCT!B:I;8;FALSE))</f>
        <v/>
      </c>
      <c r="L163" s="62">
        <f>IF(INPUT_PRODUCT!C176="";"";VLOOKUP(INPUT_PRODUCT!C176;PRODUCT!B:J;9;FALSE))</f>
        <v/>
      </c>
      <c r="M163" s="62">
        <f>IF(INPUT_PRODUCT!C176="";"";VLOOKUP(INPUT_PRODUCT!C176;PRODUCT!B:K;10;FALSE))</f>
        <v/>
      </c>
      <c r="N163" s="62">
        <f>IF(INPUT_PRODUCT!C176="";"";VLOOKUP(INPUT_PRODUCT!C176;PRODUCT!B:L;11;FALSE))</f>
        <v/>
      </c>
      <c r="O163" s="62">
        <f>IF(INPUT_PRODUCT!C176="";"";VLOOKUP(INPUT_PRODUCT!C176;PRODUCT!B:O;14;FALSE))</f>
        <v/>
      </c>
      <c r="P163" s="63">
        <f>IF(INPUT_PRODUCT!C176="";"";VLOOKUP(INPUT_PRODUCT!C176;PRODUCT!B:P;15;FALSE))</f>
        <v/>
      </c>
      <c r="Q163" s="63">
        <f>IF(INPUT_PRODUCT!C176="";"";INPUT_PRODUCT!K176)</f>
        <v/>
      </c>
      <c r="R163" s="63" t="inlineStr"/>
      <c r="S163" s="63">
        <f>IF(INPUT_PRODUCT!C176="";"";IF(O163="";"";O163*(1+Q163+R163)))</f>
        <v/>
      </c>
      <c r="T163" s="63">
        <f>IF(INPUT_PRODUCT!C176="";"";IF(S163="";"";S163*F163))</f>
        <v/>
      </c>
      <c r="U163" s="62">
        <f>CONFIG!$B$2</f>
        <v/>
      </c>
      <c r="V163" s="62">
        <f>IF(INPUT_PRODUCT!C176="";"";IF(S163="";"";S163*U163))</f>
        <v/>
      </c>
      <c r="W163" s="0">
        <f>IF(INPUT_PRODUCT!C176="";"";IF(T163="";"";T163*U163))</f>
        <v/>
      </c>
      <c r="X163" s="0">
        <f>IF(INPUT_PRODUCT!C176="";"";VLOOKUP(INPUT_PRODUCT!C176;PRODUCT!B:T;19;FALSE))</f>
        <v/>
      </c>
      <c r="Y163" s="0">
        <f>IF(INPUT_PRODUCT!C176="";"";INPUT_PRODUCT!L176)</f>
        <v/>
      </c>
    </row>
    <row r="164" ht="15.75" customHeight="1" s="125">
      <c r="A164" s="62">
        <f>IF(INPUT_PRODUCT!C177="";"";INPUT_PRODUCT!A177)</f>
        <v/>
      </c>
      <c r="B164" s="62">
        <f>IF(INPUT_PRODUCT!C177="";"";INPUT_PRODUCT!B177)</f>
        <v/>
      </c>
      <c r="C164" s="62">
        <f>IF(INPUT_PRODUCT!C177="";"";INPUT_PRODUCT!C177)</f>
        <v/>
      </c>
      <c r="D164" s="62">
        <f>IF(INPUT_PRODUCT!C177="";"";INDEX(PRODUCT!A:A;MATCH(INPUT_PRODUCT!C177;PRODUCT!B:B;0)))</f>
        <v/>
      </c>
      <c r="E164" s="62">
        <f>IF(INPUT_PRODUCT!C177="";"";VLOOKUP(INPUT_PRODUCT!C177;PRODUCT!B:C;2;FALSE))</f>
        <v/>
      </c>
      <c r="F164" s="62">
        <f>IF(INPUT_PRODUCT!C177="";"";INPUT_PRODUCT!J177)</f>
        <v/>
      </c>
      <c r="G164" s="62">
        <f>IF(INPUT_PRODUCT!C177="";"";INPUT_PRODUCT!G177)</f>
        <v/>
      </c>
      <c r="H164" s="62">
        <f>IF(INPUT_PRODUCT!C177="";"";VLOOKUP(INPUT_PRODUCT!C177;PRODUCT!B:F;5;FALSE))</f>
        <v/>
      </c>
      <c r="I164" s="62">
        <f>IF(INPUT_PRODUCT!C177="";"";VLOOKUP(INPUT_PRODUCT!C177;PRODUCT!B:G;6;FALSE))</f>
        <v/>
      </c>
      <c r="J164" s="62">
        <f>IF(INPUT_PRODUCT!C177="";"";VLOOKUP(INPUT_PRODUCT!C177;PRODUCT!B:H;7;FALSE))</f>
        <v/>
      </c>
      <c r="K164" s="60">
        <f>IF(INPUT_PRODUCT!C177="";"";VLOOKUP(INPUT_PRODUCT!C177;PRODUCT!B:I;8;FALSE))</f>
        <v/>
      </c>
      <c r="L164" s="62">
        <f>IF(INPUT_PRODUCT!C177="";"";VLOOKUP(INPUT_PRODUCT!C177;PRODUCT!B:J;9;FALSE))</f>
        <v/>
      </c>
      <c r="M164" s="62">
        <f>IF(INPUT_PRODUCT!C177="";"";VLOOKUP(INPUT_PRODUCT!C177;PRODUCT!B:K;10;FALSE))</f>
        <v/>
      </c>
      <c r="N164" s="62">
        <f>IF(INPUT_PRODUCT!C177="";"";VLOOKUP(INPUT_PRODUCT!C177;PRODUCT!B:L;11;FALSE))</f>
        <v/>
      </c>
      <c r="O164" s="62">
        <f>IF(INPUT_PRODUCT!C177="";"";VLOOKUP(INPUT_PRODUCT!C177;PRODUCT!B:O;14;FALSE))</f>
        <v/>
      </c>
      <c r="P164" s="63">
        <f>IF(INPUT_PRODUCT!C177="";"";VLOOKUP(INPUT_PRODUCT!C177;PRODUCT!B:P;15;FALSE))</f>
        <v/>
      </c>
      <c r="Q164" s="63">
        <f>IF(INPUT_PRODUCT!C177="";"";INPUT_PRODUCT!K177)</f>
        <v/>
      </c>
      <c r="R164" s="63" t="inlineStr"/>
      <c r="S164" s="63">
        <f>IF(INPUT_PRODUCT!C177="";"";IF(O164="";"";O164*(1+Q164+R164)))</f>
        <v/>
      </c>
      <c r="T164" s="63">
        <f>IF(INPUT_PRODUCT!C177="";"";IF(S164="";"";S164*F164))</f>
        <v/>
      </c>
      <c r="U164" s="62">
        <f>CONFIG!$B$2</f>
        <v/>
      </c>
      <c r="V164" s="62">
        <f>IF(INPUT_PRODUCT!C177="";"";IF(S164="";"";S164*U164))</f>
        <v/>
      </c>
      <c r="W164" s="0">
        <f>IF(INPUT_PRODUCT!C177="";"";IF(T164="";"";T164*U164))</f>
        <v/>
      </c>
      <c r="X164" s="0">
        <f>IF(INPUT_PRODUCT!C177="";"";VLOOKUP(INPUT_PRODUCT!C177;PRODUCT!B:T;19;FALSE))</f>
        <v/>
      </c>
      <c r="Y164" s="0">
        <f>IF(INPUT_PRODUCT!C177="";"";INPUT_PRODUCT!L177)</f>
        <v/>
      </c>
    </row>
    <row r="165" ht="15.75" customHeight="1" s="125">
      <c r="A165" s="62">
        <f>IF(INPUT_PRODUCT!C178="";"";INPUT_PRODUCT!A178)</f>
        <v/>
      </c>
      <c r="B165" s="62">
        <f>IF(INPUT_PRODUCT!C178="";"";INPUT_PRODUCT!B178)</f>
        <v/>
      </c>
      <c r="C165" s="62">
        <f>IF(INPUT_PRODUCT!C178="";"";INPUT_PRODUCT!C178)</f>
        <v/>
      </c>
      <c r="D165" s="62">
        <f>IF(INPUT_PRODUCT!C178="";"";INDEX(PRODUCT!A:A;MATCH(INPUT_PRODUCT!C178;PRODUCT!B:B;0)))</f>
        <v/>
      </c>
      <c r="E165" s="62">
        <f>IF(INPUT_PRODUCT!C178="";"";VLOOKUP(INPUT_PRODUCT!C178;PRODUCT!B:C;2;FALSE))</f>
        <v/>
      </c>
      <c r="F165" s="62">
        <f>IF(INPUT_PRODUCT!C178="";"";INPUT_PRODUCT!J178)</f>
        <v/>
      </c>
      <c r="G165" s="62">
        <f>IF(INPUT_PRODUCT!C178="";"";INPUT_PRODUCT!G178)</f>
        <v/>
      </c>
      <c r="H165" s="62">
        <f>IF(INPUT_PRODUCT!C178="";"";VLOOKUP(INPUT_PRODUCT!C178;PRODUCT!B:F;5;FALSE))</f>
        <v/>
      </c>
      <c r="I165" s="62">
        <f>IF(INPUT_PRODUCT!C178="";"";VLOOKUP(INPUT_PRODUCT!C178;PRODUCT!B:G;6;FALSE))</f>
        <v/>
      </c>
      <c r="J165" s="62">
        <f>IF(INPUT_PRODUCT!C178="";"";VLOOKUP(INPUT_PRODUCT!C178;PRODUCT!B:H;7;FALSE))</f>
        <v/>
      </c>
      <c r="K165" s="60">
        <f>IF(INPUT_PRODUCT!C178="";"";VLOOKUP(INPUT_PRODUCT!C178;PRODUCT!B:I;8;FALSE))</f>
        <v/>
      </c>
      <c r="L165" s="62">
        <f>IF(INPUT_PRODUCT!C178="";"";VLOOKUP(INPUT_PRODUCT!C178;PRODUCT!B:J;9;FALSE))</f>
        <v/>
      </c>
      <c r="M165" s="62">
        <f>IF(INPUT_PRODUCT!C178="";"";VLOOKUP(INPUT_PRODUCT!C178;PRODUCT!B:K;10;FALSE))</f>
        <v/>
      </c>
      <c r="N165" s="62">
        <f>IF(INPUT_PRODUCT!C178="";"";VLOOKUP(INPUT_PRODUCT!C178;PRODUCT!B:L;11;FALSE))</f>
        <v/>
      </c>
      <c r="O165" s="62">
        <f>IF(INPUT_PRODUCT!C178="";"";VLOOKUP(INPUT_PRODUCT!C178;PRODUCT!B:O;14;FALSE))</f>
        <v/>
      </c>
      <c r="P165" s="63">
        <f>IF(INPUT_PRODUCT!C178="";"";VLOOKUP(INPUT_PRODUCT!C178;PRODUCT!B:P;15;FALSE))</f>
        <v/>
      </c>
      <c r="Q165" s="63">
        <f>IF(INPUT_PRODUCT!C178="";"";INPUT_PRODUCT!K178)</f>
        <v/>
      </c>
      <c r="R165" s="63" t="inlineStr"/>
      <c r="S165" s="63">
        <f>IF(INPUT_PRODUCT!C178="";"";IF(O165="";"";O165*(1+Q165+R165)))</f>
        <v/>
      </c>
      <c r="T165" s="63">
        <f>IF(INPUT_PRODUCT!C178="";"";IF(S165="";"";S165*F165))</f>
        <v/>
      </c>
      <c r="U165" s="62">
        <f>CONFIG!$B$2</f>
        <v/>
      </c>
      <c r="V165" s="62">
        <f>IF(INPUT_PRODUCT!C178="";"";IF(S165="";"";S165*U165))</f>
        <v/>
      </c>
      <c r="W165" s="0">
        <f>IF(INPUT_PRODUCT!C178="";"";IF(T165="";"";T165*U165))</f>
        <v/>
      </c>
      <c r="X165" s="0">
        <f>IF(INPUT_PRODUCT!C178="";"";VLOOKUP(INPUT_PRODUCT!C178;PRODUCT!B:T;19;FALSE))</f>
        <v/>
      </c>
      <c r="Y165" s="0">
        <f>IF(INPUT_PRODUCT!C178="";"";INPUT_PRODUCT!L178)</f>
        <v/>
      </c>
    </row>
    <row r="166" ht="15.75" customHeight="1" s="125">
      <c r="A166" s="62">
        <f>IF(INPUT_PRODUCT!C179="";"";INPUT_PRODUCT!A179)</f>
        <v/>
      </c>
      <c r="B166" s="62">
        <f>IF(INPUT_PRODUCT!C179="";"";INPUT_PRODUCT!B179)</f>
        <v/>
      </c>
      <c r="C166" s="62">
        <f>IF(INPUT_PRODUCT!C179="";"";INPUT_PRODUCT!C179)</f>
        <v/>
      </c>
      <c r="D166" s="62">
        <f>IF(INPUT_PRODUCT!C179="";"";INDEX(PRODUCT!A:A;MATCH(INPUT_PRODUCT!C179;PRODUCT!B:B;0)))</f>
        <v/>
      </c>
      <c r="E166" s="62">
        <f>IF(INPUT_PRODUCT!C179="";"";VLOOKUP(INPUT_PRODUCT!C179;PRODUCT!B:C;2;FALSE))</f>
        <v/>
      </c>
      <c r="F166" s="62">
        <f>IF(INPUT_PRODUCT!C179="";"";INPUT_PRODUCT!J179)</f>
        <v/>
      </c>
      <c r="G166" s="62">
        <f>IF(INPUT_PRODUCT!C179="";"";INPUT_PRODUCT!G179)</f>
        <v/>
      </c>
      <c r="H166" s="62">
        <f>IF(INPUT_PRODUCT!C179="";"";VLOOKUP(INPUT_PRODUCT!C179;PRODUCT!B:F;5;FALSE))</f>
        <v/>
      </c>
      <c r="I166" s="62">
        <f>IF(INPUT_PRODUCT!C179="";"";VLOOKUP(INPUT_PRODUCT!C179;PRODUCT!B:G;6;FALSE))</f>
        <v/>
      </c>
      <c r="J166" s="62">
        <f>IF(INPUT_PRODUCT!C179="";"";VLOOKUP(INPUT_PRODUCT!C179;PRODUCT!B:H;7;FALSE))</f>
        <v/>
      </c>
      <c r="K166" s="60">
        <f>IF(INPUT_PRODUCT!C179="";"";VLOOKUP(INPUT_PRODUCT!C179;PRODUCT!B:I;8;FALSE))</f>
        <v/>
      </c>
      <c r="L166" s="62">
        <f>IF(INPUT_PRODUCT!C179="";"";VLOOKUP(INPUT_PRODUCT!C179;PRODUCT!B:J;9;FALSE))</f>
        <v/>
      </c>
      <c r="M166" s="62">
        <f>IF(INPUT_PRODUCT!C179="";"";VLOOKUP(INPUT_PRODUCT!C179;PRODUCT!B:K;10;FALSE))</f>
        <v/>
      </c>
      <c r="N166" s="62">
        <f>IF(INPUT_PRODUCT!C179="";"";VLOOKUP(INPUT_PRODUCT!C179;PRODUCT!B:L;11;FALSE))</f>
        <v/>
      </c>
      <c r="O166" s="62">
        <f>IF(INPUT_PRODUCT!C179="";"";VLOOKUP(INPUT_PRODUCT!C179;PRODUCT!B:O;14;FALSE))</f>
        <v/>
      </c>
      <c r="P166" s="63">
        <f>IF(INPUT_PRODUCT!C179="";"";VLOOKUP(INPUT_PRODUCT!C179;PRODUCT!B:P;15;FALSE))</f>
        <v/>
      </c>
      <c r="Q166" s="63">
        <f>IF(INPUT_PRODUCT!C179="";"";INPUT_PRODUCT!K179)</f>
        <v/>
      </c>
      <c r="R166" s="63" t="inlineStr"/>
      <c r="S166" s="63">
        <f>IF(INPUT_PRODUCT!C179="";"";IF(O166="";"";O166*(1+Q166+R166)))</f>
        <v/>
      </c>
      <c r="T166" s="63">
        <f>IF(INPUT_PRODUCT!C179="";"";IF(S166="";"";S166*F166))</f>
        <v/>
      </c>
      <c r="U166" s="62">
        <f>CONFIG!$B$2</f>
        <v/>
      </c>
      <c r="V166" s="62">
        <f>IF(INPUT_PRODUCT!C179="";"";IF(S166="";"";S166*U166))</f>
        <v/>
      </c>
      <c r="W166" s="0">
        <f>IF(INPUT_PRODUCT!C179="";"";IF(T166="";"";T166*U166))</f>
        <v/>
      </c>
      <c r="X166" s="0">
        <f>IF(INPUT_PRODUCT!C179="";"";VLOOKUP(INPUT_PRODUCT!C179;PRODUCT!B:T;19;FALSE))</f>
        <v/>
      </c>
      <c r="Y166" s="0">
        <f>IF(INPUT_PRODUCT!C179="";"";INPUT_PRODUCT!L179)</f>
        <v/>
      </c>
    </row>
    <row r="167" ht="15.75" customHeight="1" s="125">
      <c r="A167" s="62">
        <f>IF(INPUT_PRODUCT!C180="";"";INPUT_PRODUCT!A180)</f>
        <v/>
      </c>
      <c r="B167" s="62">
        <f>IF(INPUT_PRODUCT!C180="";"";INPUT_PRODUCT!B180)</f>
        <v/>
      </c>
      <c r="C167" s="62">
        <f>IF(INPUT_PRODUCT!C180="";"";INPUT_PRODUCT!C180)</f>
        <v/>
      </c>
      <c r="D167" s="62">
        <f>IF(INPUT_PRODUCT!C180="";"";INDEX(PRODUCT!A:A;MATCH(INPUT_PRODUCT!C180;PRODUCT!B:B;0)))</f>
        <v/>
      </c>
      <c r="E167" s="62">
        <f>IF(INPUT_PRODUCT!C180="";"";VLOOKUP(INPUT_PRODUCT!C180;PRODUCT!B:C;2;FALSE))</f>
        <v/>
      </c>
      <c r="F167" s="62">
        <f>IF(INPUT_PRODUCT!C180="";"";INPUT_PRODUCT!J180)</f>
        <v/>
      </c>
      <c r="G167" s="62">
        <f>IF(INPUT_PRODUCT!C180="";"";INPUT_PRODUCT!G180)</f>
        <v/>
      </c>
      <c r="H167" s="62">
        <f>IF(INPUT_PRODUCT!C180="";"";VLOOKUP(INPUT_PRODUCT!C180;PRODUCT!B:F;5;FALSE))</f>
        <v/>
      </c>
      <c r="I167" s="62">
        <f>IF(INPUT_PRODUCT!C180="";"";VLOOKUP(INPUT_PRODUCT!C180;PRODUCT!B:G;6;FALSE))</f>
        <v/>
      </c>
      <c r="J167" s="62">
        <f>IF(INPUT_PRODUCT!C180="";"";VLOOKUP(INPUT_PRODUCT!C180;PRODUCT!B:H;7;FALSE))</f>
        <v/>
      </c>
      <c r="K167" s="60">
        <f>IF(INPUT_PRODUCT!C180="";"";VLOOKUP(INPUT_PRODUCT!C180;PRODUCT!B:I;8;FALSE))</f>
        <v/>
      </c>
      <c r="L167" s="62">
        <f>IF(INPUT_PRODUCT!C180="";"";VLOOKUP(INPUT_PRODUCT!C180;PRODUCT!B:J;9;FALSE))</f>
        <v/>
      </c>
      <c r="M167" s="62">
        <f>IF(INPUT_PRODUCT!C180="";"";VLOOKUP(INPUT_PRODUCT!C180;PRODUCT!B:K;10;FALSE))</f>
        <v/>
      </c>
      <c r="N167" s="62">
        <f>IF(INPUT_PRODUCT!C180="";"";VLOOKUP(INPUT_PRODUCT!C180;PRODUCT!B:L;11;FALSE))</f>
        <v/>
      </c>
      <c r="O167" s="62">
        <f>IF(INPUT_PRODUCT!C180="";"";VLOOKUP(INPUT_PRODUCT!C180;PRODUCT!B:O;14;FALSE))</f>
        <v/>
      </c>
      <c r="P167" s="63">
        <f>IF(INPUT_PRODUCT!C180="";"";VLOOKUP(INPUT_PRODUCT!C180;PRODUCT!B:P;15;FALSE))</f>
        <v/>
      </c>
      <c r="Q167" s="63">
        <f>IF(INPUT_PRODUCT!C180="";"";INPUT_PRODUCT!K180)</f>
        <v/>
      </c>
      <c r="R167" s="63" t="inlineStr"/>
      <c r="S167" s="63">
        <f>IF(INPUT_PRODUCT!C180="";"";IF(O167="";"";O167*(1+Q167+R167)))</f>
        <v/>
      </c>
      <c r="T167" s="63">
        <f>IF(INPUT_PRODUCT!C180="";"";IF(S167="";"";S167*F167))</f>
        <v/>
      </c>
      <c r="U167" s="62">
        <f>CONFIG!$B$2</f>
        <v/>
      </c>
      <c r="V167" s="62">
        <f>IF(INPUT_PRODUCT!C180="";"";IF(S167="";"";S167*U167))</f>
        <v/>
      </c>
      <c r="W167" s="0">
        <f>IF(INPUT_PRODUCT!C180="";"";IF(T167="";"";T167*U167))</f>
        <v/>
      </c>
      <c r="X167" s="0">
        <f>IF(INPUT_PRODUCT!C180="";"";VLOOKUP(INPUT_PRODUCT!C180;PRODUCT!B:T;19;FALSE))</f>
        <v/>
      </c>
      <c r="Y167" s="0">
        <f>IF(INPUT_PRODUCT!C180="";"";INPUT_PRODUCT!L180)</f>
        <v/>
      </c>
    </row>
    <row r="168" ht="15.75" customHeight="1" s="125">
      <c r="A168" s="62">
        <f>IF(INPUT_PRODUCT!C181="";"";INPUT_PRODUCT!A181)</f>
        <v/>
      </c>
      <c r="B168" s="62">
        <f>IF(INPUT_PRODUCT!C181="";"";INPUT_PRODUCT!B181)</f>
        <v/>
      </c>
      <c r="C168" s="62">
        <f>IF(INPUT_PRODUCT!C181="";"";INPUT_PRODUCT!C181)</f>
        <v/>
      </c>
      <c r="D168" s="62">
        <f>IF(INPUT_PRODUCT!C181="";"";INDEX(PRODUCT!A:A;MATCH(INPUT_PRODUCT!C181;PRODUCT!B:B;0)))</f>
        <v/>
      </c>
      <c r="E168" s="62">
        <f>IF(INPUT_PRODUCT!C181="";"";VLOOKUP(INPUT_PRODUCT!C181;PRODUCT!B:C;2;FALSE))</f>
        <v/>
      </c>
      <c r="F168" s="62">
        <f>IF(INPUT_PRODUCT!C181="";"";INPUT_PRODUCT!J181)</f>
        <v/>
      </c>
      <c r="G168" s="62">
        <f>IF(INPUT_PRODUCT!C181="";"";INPUT_PRODUCT!G181)</f>
        <v/>
      </c>
      <c r="H168" s="62">
        <f>IF(INPUT_PRODUCT!C181="";"";VLOOKUP(INPUT_PRODUCT!C181;PRODUCT!B:F;5;FALSE))</f>
        <v/>
      </c>
      <c r="I168" s="62">
        <f>IF(INPUT_PRODUCT!C181="";"";VLOOKUP(INPUT_PRODUCT!C181;PRODUCT!B:G;6;FALSE))</f>
        <v/>
      </c>
      <c r="J168" s="62">
        <f>IF(INPUT_PRODUCT!C181="";"";VLOOKUP(INPUT_PRODUCT!C181;PRODUCT!B:H;7;FALSE))</f>
        <v/>
      </c>
      <c r="K168" s="60">
        <f>IF(INPUT_PRODUCT!C181="";"";VLOOKUP(INPUT_PRODUCT!C181;PRODUCT!B:I;8;FALSE))</f>
        <v/>
      </c>
      <c r="L168" s="62">
        <f>IF(INPUT_PRODUCT!C181="";"";VLOOKUP(INPUT_PRODUCT!C181;PRODUCT!B:J;9;FALSE))</f>
        <v/>
      </c>
      <c r="M168" s="62">
        <f>IF(INPUT_PRODUCT!C181="";"";VLOOKUP(INPUT_PRODUCT!C181;PRODUCT!B:K;10;FALSE))</f>
        <v/>
      </c>
      <c r="N168" s="62">
        <f>IF(INPUT_PRODUCT!C181="";"";VLOOKUP(INPUT_PRODUCT!C181;PRODUCT!B:L;11;FALSE))</f>
        <v/>
      </c>
      <c r="O168" s="62">
        <f>IF(INPUT_PRODUCT!C181="";"";VLOOKUP(INPUT_PRODUCT!C181;PRODUCT!B:O;14;FALSE))</f>
        <v/>
      </c>
      <c r="P168" s="63">
        <f>IF(INPUT_PRODUCT!C181="";"";VLOOKUP(INPUT_PRODUCT!C181;PRODUCT!B:P;15;FALSE))</f>
        <v/>
      </c>
      <c r="Q168" s="63">
        <f>IF(INPUT_PRODUCT!C181="";"";INPUT_PRODUCT!K181)</f>
        <v/>
      </c>
      <c r="R168" s="63" t="inlineStr"/>
      <c r="S168" s="63">
        <f>IF(INPUT_PRODUCT!C181="";"";IF(O168="";"";O168*(1+Q168+R168)))</f>
        <v/>
      </c>
      <c r="T168" s="63">
        <f>IF(INPUT_PRODUCT!C181="";"";IF(S168="";"";S168*F168))</f>
        <v/>
      </c>
      <c r="U168" s="62">
        <f>CONFIG!$B$2</f>
        <v/>
      </c>
      <c r="V168" s="62">
        <f>IF(INPUT_PRODUCT!C181="";"";IF(S168="";"";S168*U168))</f>
        <v/>
      </c>
      <c r="W168" s="0">
        <f>IF(INPUT_PRODUCT!C181="";"";IF(T168="";"";T168*U168))</f>
        <v/>
      </c>
      <c r="X168" s="0">
        <f>IF(INPUT_PRODUCT!C181="";"";VLOOKUP(INPUT_PRODUCT!C181;PRODUCT!B:T;19;FALSE))</f>
        <v/>
      </c>
      <c r="Y168" s="0">
        <f>IF(INPUT_PRODUCT!C181="";"";INPUT_PRODUCT!L181)</f>
        <v/>
      </c>
    </row>
    <row r="169" ht="15.75" customHeight="1" s="125">
      <c r="A169" s="62">
        <f>IF(INPUT_PRODUCT!C182="";"";INPUT_PRODUCT!A182)</f>
        <v/>
      </c>
      <c r="B169" s="62">
        <f>IF(INPUT_PRODUCT!C182="";"";INPUT_PRODUCT!B182)</f>
        <v/>
      </c>
      <c r="C169" s="62">
        <f>IF(INPUT_PRODUCT!C182="";"";INPUT_PRODUCT!C182)</f>
        <v/>
      </c>
      <c r="D169" s="62">
        <f>IF(INPUT_PRODUCT!C182="";"";INDEX(PRODUCT!A:A;MATCH(INPUT_PRODUCT!C182;PRODUCT!B:B;0)))</f>
        <v/>
      </c>
      <c r="E169" s="62">
        <f>IF(INPUT_PRODUCT!C182="";"";VLOOKUP(INPUT_PRODUCT!C182;PRODUCT!B:C;2;FALSE))</f>
        <v/>
      </c>
      <c r="F169" s="62">
        <f>IF(INPUT_PRODUCT!C182="";"";INPUT_PRODUCT!J182)</f>
        <v/>
      </c>
      <c r="G169" s="62">
        <f>IF(INPUT_PRODUCT!C182="";"";INPUT_PRODUCT!G182)</f>
        <v/>
      </c>
      <c r="H169" s="62">
        <f>IF(INPUT_PRODUCT!C182="";"";VLOOKUP(INPUT_PRODUCT!C182;PRODUCT!B:F;5;FALSE))</f>
        <v/>
      </c>
      <c r="I169" s="62">
        <f>IF(INPUT_PRODUCT!C182="";"";VLOOKUP(INPUT_PRODUCT!C182;PRODUCT!B:G;6;FALSE))</f>
        <v/>
      </c>
      <c r="J169" s="62">
        <f>IF(INPUT_PRODUCT!C182="";"";VLOOKUP(INPUT_PRODUCT!C182;PRODUCT!B:H;7;FALSE))</f>
        <v/>
      </c>
      <c r="K169" s="60">
        <f>IF(INPUT_PRODUCT!C182="";"";VLOOKUP(INPUT_PRODUCT!C182;PRODUCT!B:I;8;FALSE))</f>
        <v/>
      </c>
      <c r="L169" s="62">
        <f>IF(INPUT_PRODUCT!C182="";"";VLOOKUP(INPUT_PRODUCT!C182;PRODUCT!B:J;9;FALSE))</f>
        <v/>
      </c>
      <c r="M169" s="62">
        <f>IF(INPUT_PRODUCT!C182="";"";VLOOKUP(INPUT_PRODUCT!C182;PRODUCT!B:K;10;FALSE))</f>
        <v/>
      </c>
      <c r="N169" s="62">
        <f>IF(INPUT_PRODUCT!C182="";"";VLOOKUP(INPUT_PRODUCT!C182;PRODUCT!B:L;11;FALSE))</f>
        <v/>
      </c>
      <c r="O169" s="62">
        <f>IF(INPUT_PRODUCT!C182="";"";VLOOKUP(INPUT_PRODUCT!C182;PRODUCT!B:O;14;FALSE))</f>
        <v/>
      </c>
      <c r="P169" s="63">
        <f>IF(INPUT_PRODUCT!C182="";"";VLOOKUP(INPUT_PRODUCT!C182;PRODUCT!B:P;15;FALSE))</f>
        <v/>
      </c>
      <c r="Q169" s="63">
        <f>IF(INPUT_PRODUCT!C182="";"";INPUT_PRODUCT!K182)</f>
        <v/>
      </c>
      <c r="R169" s="63" t="inlineStr"/>
      <c r="S169" s="63">
        <f>IF(INPUT_PRODUCT!C182="";"";IF(O169="";"";O169*(1+Q169+R169)))</f>
        <v/>
      </c>
      <c r="T169" s="63">
        <f>IF(INPUT_PRODUCT!C182="";"";IF(S169="";"";S169*F169))</f>
        <v/>
      </c>
      <c r="U169" s="62">
        <f>CONFIG!$B$2</f>
        <v/>
      </c>
      <c r="V169" s="62">
        <f>IF(INPUT_PRODUCT!C182="";"";IF(S169="";"";S169*U169))</f>
        <v/>
      </c>
      <c r="W169" s="0">
        <f>IF(INPUT_PRODUCT!C182="";"";IF(T169="";"";T169*U169))</f>
        <v/>
      </c>
      <c r="X169" s="0">
        <f>IF(INPUT_PRODUCT!C182="";"";VLOOKUP(INPUT_PRODUCT!C182;PRODUCT!B:T;19;FALSE))</f>
        <v/>
      </c>
      <c r="Y169" s="0">
        <f>IF(INPUT_PRODUCT!C182="";"";INPUT_PRODUCT!L182)</f>
        <v/>
      </c>
    </row>
    <row r="170" ht="15.75" customHeight="1" s="125">
      <c r="A170" s="62">
        <f>IF(INPUT_PRODUCT!C183="";"";INPUT_PRODUCT!A183)</f>
        <v/>
      </c>
      <c r="B170" s="62">
        <f>IF(INPUT_PRODUCT!C183="";"";INPUT_PRODUCT!B183)</f>
        <v/>
      </c>
      <c r="C170" s="62">
        <f>IF(INPUT_PRODUCT!C183="";"";INPUT_PRODUCT!C183)</f>
        <v/>
      </c>
      <c r="D170" s="62">
        <f>IF(INPUT_PRODUCT!C183="";"";INDEX(PRODUCT!A:A;MATCH(INPUT_PRODUCT!C183;PRODUCT!B:B;0)))</f>
        <v/>
      </c>
      <c r="E170" s="62">
        <f>IF(INPUT_PRODUCT!C183="";"";VLOOKUP(INPUT_PRODUCT!C183;PRODUCT!B:C;2;FALSE))</f>
        <v/>
      </c>
      <c r="F170" s="62">
        <f>IF(INPUT_PRODUCT!C183="";"";INPUT_PRODUCT!J183)</f>
        <v/>
      </c>
      <c r="G170" s="62">
        <f>IF(INPUT_PRODUCT!C183="";"";INPUT_PRODUCT!G183)</f>
        <v/>
      </c>
      <c r="H170" s="62">
        <f>IF(INPUT_PRODUCT!C183="";"";VLOOKUP(INPUT_PRODUCT!C183;PRODUCT!B:F;5;FALSE))</f>
        <v/>
      </c>
      <c r="I170" s="62">
        <f>IF(INPUT_PRODUCT!C183="";"";VLOOKUP(INPUT_PRODUCT!C183;PRODUCT!B:G;6;FALSE))</f>
        <v/>
      </c>
      <c r="J170" s="62">
        <f>IF(INPUT_PRODUCT!C183="";"";VLOOKUP(INPUT_PRODUCT!C183;PRODUCT!B:H;7;FALSE))</f>
        <v/>
      </c>
      <c r="K170" s="60">
        <f>IF(INPUT_PRODUCT!C183="";"";VLOOKUP(INPUT_PRODUCT!C183;PRODUCT!B:I;8;FALSE))</f>
        <v/>
      </c>
      <c r="L170" s="62">
        <f>IF(INPUT_PRODUCT!C183="";"";VLOOKUP(INPUT_PRODUCT!C183;PRODUCT!B:J;9;FALSE))</f>
        <v/>
      </c>
      <c r="M170" s="62">
        <f>IF(INPUT_PRODUCT!C183="";"";VLOOKUP(INPUT_PRODUCT!C183;PRODUCT!B:K;10;FALSE))</f>
        <v/>
      </c>
      <c r="N170" s="62">
        <f>IF(INPUT_PRODUCT!C183="";"";VLOOKUP(INPUT_PRODUCT!C183;PRODUCT!B:L;11;FALSE))</f>
        <v/>
      </c>
      <c r="O170" s="62">
        <f>IF(INPUT_PRODUCT!C183="";"";VLOOKUP(INPUT_PRODUCT!C183;PRODUCT!B:O;14;FALSE))</f>
        <v/>
      </c>
      <c r="P170" s="63">
        <f>IF(INPUT_PRODUCT!C183="";"";VLOOKUP(INPUT_PRODUCT!C183;PRODUCT!B:P;15;FALSE))</f>
        <v/>
      </c>
      <c r="Q170" s="63">
        <f>IF(INPUT_PRODUCT!C183="";"";INPUT_PRODUCT!K183)</f>
        <v/>
      </c>
      <c r="R170" s="63" t="inlineStr"/>
      <c r="S170" s="63">
        <f>IF(INPUT_PRODUCT!C183="";"";IF(O170="";"";O170*(1+Q170+R170)))</f>
        <v/>
      </c>
      <c r="T170" s="63">
        <f>IF(INPUT_PRODUCT!C183="";"";IF(S170="";"";S170*F170))</f>
        <v/>
      </c>
      <c r="U170" s="62">
        <f>CONFIG!$B$2</f>
        <v/>
      </c>
      <c r="V170" s="62">
        <f>IF(INPUT_PRODUCT!C183="";"";IF(S170="";"";S170*U170))</f>
        <v/>
      </c>
      <c r="W170" s="0">
        <f>IF(INPUT_PRODUCT!C183="";"";IF(T170="";"";T170*U170))</f>
        <v/>
      </c>
      <c r="X170" s="0">
        <f>IF(INPUT_PRODUCT!C183="";"";VLOOKUP(INPUT_PRODUCT!C183;PRODUCT!B:T;19;FALSE))</f>
        <v/>
      </c>
      <c r="Y170" s="0">
        <f>IF(INPUT_PRODUCT!C183="";"";INPUT_PRODUCT!L183)</f>
        <v/>
      </c>
    </row>
    <row r="171" ht="15.75" customHeight="1" s="125">
      <c r="A171" s="62">
        <f>IF(INPUT_PRODUCT!C184="";"";INPUT_PRODUCT!A184)</f>
        <v/>
      </c>
      <c r="B171" s="62">
        <f>IF(INPUT_PRODUCT!C184="";"";INPUT_PRODUCT!B184)</f>
        <v/>
      </c>
      <c r="C171" s="62">
        <f>IF(INPUT_PRODUCT!C184="";"";INPUT_PRODUCT!C184)</f>
        <v/>
      </c>
      <c r="D171" s="62">
        <f>IF(INPUT_PRODUCT!C184="";"";INDEX(PRODUCT!A:A;MATCH(INPUT_PRODUCT!C184;PRODUCT!B:B;0)))</f>
        <v/>
      </c>
      <c r="E171" s="62">
        <f>IF(INPUT_PRODUCT!C184="";"";VLOOKUP(INPUT_PRODUCT!C184;PRODUCT!B:C;2;FALSE))</f>
        <v/>
      </c>
      <c r="F171" s="62">
        <f>IF(INPUT_PRODUCT!C184="";"";INPUT_PRODUCT!J184)</f>
        <v/>
      </c>
      <c r="G171" s="62">
        <f>IF(INPUT_PRODUCT!C184="";"";INPUT_PRODUCT!G184)</f>
        <v/>
      </c>
      <c r="H171" s="62">
        <f>IF(INPUT_PRODUCT!C184="";"";VLOOKUP(INPUT_PRODUCT!C184;PRODUCT!B:F;5;FALSE))</f>
        <v/>
      </c>
      <c r="I171" s="62">
        <f>IF(INPUT_PRODUCT!C184="";"";VLOOKUP(INPUT_PRODUCT!C184;PRODUCT!B:G;6;FALSE))</f>
        <v/>
      </c>
      <c r="J171" s="62">
        <f>IF(INPUT_PRODUCT!C184="";"";VLOOKUP(INPUT_PRODUCT!C184;PRODUCT!B:H;7;FALSE))</f>
        <v/>
      </c>
      <c r="K171" s="60">
        <f>IF(INPUT_PRODUCT!C184="";"";VLOOKUP(INPUT_PRODUCT!C184;PRODUCT!B:I;8;FALSE))</f>
        <v/>
      </c>
      <c r="L171" s="62">
        <f>IF(INPUT_PRODUCT!C184="";"";VLOOKUP(INPUT_PRODUCT!C184;PRODUCT!B:J;9;FALSE))</f>
        <v/>
      </c>
      <c r="M171" s="62">
        <f>IF(INPUT_PRODUCT!C184="";"";VLOOKUP(INPUT_PRODUCT!C184;PRODUCT!B:K;10;FALSE))</f>
        <v/>
      </c>
      <c r="N171" s="62">
        <f>IF(INPUT_PRODUCT!C184="";"";VLOOKUP(INPUT_PRODUCT!C184;PRODUCT!B:L;11;FALSE))</f>
        <v/>
      </c>
      <c r="O171" s="62">
        <f>IF(INPUT_PRODUCT!C184="";"";VLOOKUP(INPUT_PRODUCT!C184;PRODUCT!B:O;14;FALSE))</f>
        <v/>
      </c>
      <c r="P171" s="63">
        <f>IF(INPUT_PRODUCT!C184="";"";VLOOKUP(INPUT_PRODUCT!C184;PRODUCT!B:P;15;FALSE))</f>
        <v/>
      </c>
      <c r="Q171" s="63">
        <f>IF(INPUT_PRODUCT!C184="";"";INPUT_PRODUCT!K184)</f>
        <v/>
      </c>
      <c r="R171" s="63" t="inlineStr"/>
      <c r="S171" s="63">
        <f>IF(INPUT_PRODUCT!C184="";"";IF(O171="";"";O171*(1+Q171+R171)))</f>
        <v/>
      </c>
      <c r="T171" s="63">
        <f>IF(INPUT_PRODUCT!C184="";"";IF(S171="";"";S171*F171))</f>
        <v/>
      </c>
      <c r="U171" s="62">
        <f>CONFIG!$B$2</f>
        <v/>
      </c>
      <c r="V171" s="62">
        <f>IF(INPUT_PRODUCT!C184="";"";IF(S171="";"";S171*U171))</f>
        <v/>
      </c>
      <c r="W171" s="0">
        <f>IF(INPUT_PRODUCT!C184="";"";IF(T171="";"";T171*U171))</f>
        <v/>
      </c>
      <c r="X171" s="0">
        <f>IF(INPUT_PRODUCT!C184="";"";VLOOKUP(INPUT_PRODUCT!C184;PRODUCT!B:T;19;FALSE))</f>
        <v/>
      </c>
      <c r="Y171" s="0">
        <f>IF(INPUT_PRODUCT!C184="";"";INPUT_PRODUCT!L184)</f>
        <v/>
      </c>
    </row>
    <row r="172" ht="15.75" customHeight="1" s="125">
      <c r="A172" s="62">
        <f>IF(INPUT_PRODUCT!C185="";"";INPUT_PRODUCT!A185)</f>
        <v/>
      </c>
      <c r="B172" s="62">
        <f>IF(INPUT_PRODUCT!C185="";"";INPUT_PRODUCT!B185)</f>
        <v/>
      </c>
      <c r="C172" s="62">
        <f>IF(INPUT_PRODUCT!C185="";"";INPUT_PRODUCT!C185)</f>
        <v/>
      </c>
      <c r="D172" s="62">
        <f>IF(INPUT_PRODUCT!C185="";"";INDEX(PRODUCT!A:A;MATCH(INPUT_PRODUCT!C185;PRODUCT!B:B;0)))</f>
        <v/>
      </c>
      <c r="E172" s="62">
        <f>IF(INPUT_PRODUCT!C185="";"";VLOOKUP(INPUT_PRODUCT!C185;PRODUCT!B:C;2;FALSE))</f>
        <v/>
      </c>
      <c r="F172" s="62">
        <f>IF(INPUT_PRODUCT!C185="";"";INPUT_PRODUCT!J185)</f>
        <v/>
      </c>
      <c r="G172" s="62">
        <f>IF(INPUT_PRODUCT!C185="";"";INPUT_PRODUCT!G185)</f>
        <v/>
      </c>
      <c r="H172" s="62">
        <f>IF(INPUT_PRODUCT!C185="";"";VLOOKUP(INPUT_PRODUCT!C185;PRODUCT!B:F;5;FALSE))</f>
        <v/>
      </c>
      <c r="I172" s="62">
        <f>IF(INPUT_PRODUCT!C185="";"";VLOOKUP(INPUT_PRODUCT!C185;PRODUCT!B:G;6;FALSE))</f>
        <v/>
      </c>
      <c r="J172" s="62">
        <f>IF(INPUT_PRODUCT!C185="";"";VLOOKUP(INPUT_PRODUCT!C185;PRODUCT!B:H;7;FALSE))</f>
        <v/>
      </c>
      <c r="K172" s="60">
        <f>IF(INPUT_PRODUCT!C185="";"";VLOOKUP(INPUT_PRODUCT!C185;PRODUCT!B:I;8;FALSE))</f>
        <v/>
      </c>
      <c r="L172" s="62">
        <f>IF(INPUT_PRODUCT!C185="";"";VLOOKUP(INPUT_PRODUCT!C185;PRODUCT!B:J;9;FALSE))</f>
        <v/>
      </c>
      <c r="M172" s="62">
        <f>IF(INPUT_PRODUCT!C185="";"";VLOOKUP(INPUT_PRODUCT!C185;PRODUCT!B:K;10;FALSE))</f>
        <v/>
      </c>
      <c r="N172" s="62">
        <f>IF(INPUT_PRODUCT!C185="";"";VLOOKUP(INPUT_PRODUCT!C185;PRODUCT!B:L;11;FALSE))</f>
        <v/>
      </c>
      <c r="O172" s="62">
        <f>IF(INPUT_PRODUCT!C185="";"";VLOOKUP(INPUT_PRODUCT!C185;PRODUCT!B:O;14;FALSE))</f>
        <v/>
      </c>
      <c r="P172" s="63">
        <f>IF(INPUT_PRODUCT!C185="";"";VLOOKUP(INPUT_PRODUCT!C185;PRODUCT!B:P;15;FALSE))</f>
        <v/>
      </c>
      <c r="Q172" s="63">
        <f>IF(INPUT_PRODUCT!C185="";"";INPUT_PRODUCT!K185)</f>
        <v/>
      </c>
      <c r="R172" s="63" t="inlineStr"/>
      <c r="S172" s="63">
        <f>IF(INPUT_PRODUCT!C185="";"";IF(O172="";"";O172*(1+Q172+R172)))</f>
        <v/>
      </c>
      <c r="T172" s="63">
        <f>IF(INPUT_PRODUCT!C185="";"";IF(S172="";"";S172*F172))</f>
        <v/>
      </c>
      <c r="U172" s="62">
        <f>CONFIG!$B$2</f>
        <v/>
      </c>
      <c r="V172" s="62">
        <f>IF(INPUT_PRODUCT!C185="";"";IF(S172="";"";S172*U172))</f>
        <v/>
      </c>
      <c r="W172" s="0">
        <f>IF(INPUT_PRODUCT!C185="";"";IF(T172="";"";T172*U172))</f>
        <v/>
      </c>
      <c r="X172" s="0">
        <f>IF(INPUT_PRODUCT!C185="";"";VLOOKUP(INPUT_PRODUCT!C185;PRODUCT!B:T;19;FALSE))</f>
        <v/>
      </c>
      <c r="Y172" s="0">
        <f>IF(INPUT_PRODUCT!C185="";"";INPUT_PRODUCT!L185)</f>
        <v/>
      </c>
    </row>
    <row r="173" ht="15.75" customHeight="1" s="125">
      <c r="A173" s="62">
        <f>IF(INPUT_PRODUCT!C186="";"";INPUT_PRODUCT!A186)</f>
        <v/>
      </c>
      <c r="B173" s="62">
        <f>IF(INPUT_PRODUCT!C186="";"";INPUT_PRODUCT!B186)</f>
        <v/>
      </c>
      <c r="C173" s="62">
        <f>IF(INPUT_PRODUCT!C186="";"";INPUT_PRODUCT!C186)</f>
        <v/>
      </c>
      <c r="D173" s="62">
        <f>IF(INPUT_PRODUCT!C186="";"";INDEX(PRODUCT!A:A;MATCH(INPUT_PRODUCT!C186;PRODUCT!B:B;0)))</f>
        <v/>
      </c>
      <c r="E173" s="62">
        <f>IF(INPUT_PRODUCT!C186="";"";VLOOKUP(INPUT_PRODUCT!C186;PRODUCT!B:C;2;FALSE))</f>
        <v/>
      </c>
      <c r="F173" s="62">
        <f>IF(INPUT_PRODUCT!C186="";"";INPUT_PRODUCT!J186)</f>
        <v/>
      </c>
      <c r="G173" s="62">
        <f>IF(INPUT_PRODUCT!C186="";"";INPUT_PRODUCT!G186)</f>
        <v/>
      </c>
      <c r="H173" s="62">
        <f>IF(INPUT_PRODUCT!C186="";"";VLOOKUP(INPUT_PRODUCT!C186;PRODUCT!B:F;5;FALSE))</f>
        <v/>
      </c>
      <c r="I173" s="62">
        <f>IF(INPUT_PRODUCT!C186="";"";VLOOKUP(INPUT_PRODUCT!C186;PRODUCT!B:G;6;FALSE))</f>
        <v/>
      </c>
      <c r="J173" s="62">
        <f>IF(INPUT_PRODUCT!C186="";"";VLOOKUP(INPUT_PRODUCT!C186;PRODUCT!B:H;7;FALSE))</f>
        <v/>
      </c>
      <c r="K173" s="60">
        <f>IF(INPUT_PRODUCT!C186="";"";VLOOKUP(INPUT_PRODUCT!C186;PRODUCT!B:I;8;FALSE))</f>
        <v/>
      </c>
      <c r="L173" s="62">
        <f>IF(INPUT_PRODUCT!C186="";"";VLOOKUP(INPUT_PRODUCT!C186;PRODUCT!B:J;9;FALSE))</f>
        <v/>
      </c>
      <c r="M173" s="62">
        <f>IF(INPUT_PRODUCT!C186="";"";VLOOKUP(INPUT_PRODUCT!C186;PRODUCT!B:K;10;FALSE))</f>
        <v/>
      </c>
      <c r="N173" s="62">
        <f>IF(INPUT_PRODUCT!C186="";"";VLOOKUP(INPUT_PRODUCT!C186;PRODUCT!B:L;11;FALSE))</f>
        <v/>
      </c>
      <c r="O173" s="62">
        <f>IF(INPUT_PRODUCT!C186="";"";VLOOKUP(INPUT_PRODUCT!C186;PRODUCT!B:O;14;FALSE))</f>
        <v/>
      </c>
      <c r="P173" s="63">
        <f>IF(INPUT_PRODUCT!C186="";"";VLOOKUP(INPUT_PRODUCT!C186;PRODUCT!B:P;15;FALSE))</f>
        <v/>
      </c>
      <c r="Q173" s="63">
        <f>IF(INPUT_PRODUCT!C186="";"";INPUT_PRODUCT!K186)</f>
        <v/>
      </c>
      <c r="R173" s="63" t="inlineStr"/>
      <c r="S173" s="63">
        <f>IF(INPUT_PRODUCT!C186="";"";IF(O173="";"";O173*(1+Q173+R173)))</f>
        <v/>
      </c>
      <c r="T173" s="63">
        <f>IF(INPUT_PRODUCT!C186="";"";IF(S173="";"";S173*F173))</f>
        <v/>
      </c>
      <c r="U173" s="62">
        <f>CONFIG!$B$2</f>
        <v/>
      </c>
      <c r="V173" s="62">
        <f>IF(INPUT_PRODUCT!C186="";"";IF(S173="";"";S173*U173))</f>
        <v/>
      </c>
      <c r="W173" s="0">
        <f>IF(INPUT_PRODUCT!C186="";"";IF(T173="";"";T173*U173))</f>
        <v/>
      </c>
      <c r="X173" s="0">
        <f>IF(INPUT_PRODUCT!C186="";"";VLOOKUP(INPUT_PRODUCT!C186;PRODUCT!B:T;19;FALSE))</f>
        <v/>
      </c>
      <c r="Y173" s="0">
        <f>IF(INPUT_PRODUCT!C186="";"";INPUT_PRODUCT!L186)</f>
        <v/>
      </c>
    </row>
    <row r="174" ht="15.75" customHeight="1" s="125">
      <c r="A174" s="62">
        <f>IF(INPUT_PRODUCT!C187="";"";INPUT_PRODUCT!A187)</f>
        <v/>
      </c>
      <c r="B174" s="62">
        <f>IF(INPUT_PRODUCT!C187="";"";INPUT_PRODUCT!B187)</f>
        <v/>
      </c>
      <c r="C174" s="62">
        <f>IF(INPUT_PRODUCT!C187="";"";INPUT_PRODUCT!C187)</f>
        <v/>
      </c>
      <c r="D174" s="62">
        <f>IF(INPUT_PRODUCT!C187="";"";INDEX(PRODUCT!A:A;MATCH(INPUT_PRODUCT!C187;PRODUCT!B:B;0)))</f>
        <v/>
      </c>
      <c r="E174" s="62">
        <f>IF(INPUT_PRODUCT!C187="";"";VLOOKUP(INPUT_PRODUCT!C187;PRODUCT!B:C;2;FALSE))</f>
        <v/>
      </c>
      <c r="F174" s="62">
        <f>IF(INPUT_PRODUCT!C187="";"";INPUT_PRODUCT!J187)</f>
        <v/>
      </c>
      <c r="G174" s="62">
        <f>IF(INPUT_PRODUCT!C187="";"";INPUT_PRODUCT!G187)</f>
        <v/>
      </c>
      <c r="H174" s="62">
        <f>IF(INPUT_PRODUCT!C187="";"";VLOOKUP(INPUT_PRODUCT!C187;PRODUCT!B:F;5;FALSE))</f>
        <v/>
      </c>
      <c r="I174" s="62">
        <f>IF(INPUT_PRODUCT!C187="";"";VLOOKUP(INPUT_PRODUCT!C187;PRODUCT!B:G;6;FALSE))</f>
        <v/>
      </c>
      <c r="J174" s="62">
        <f>IF(INPUT_PRODUCT!C187="";"";VLOOKUP(INPUT_PRODUCT!C187;PRODUCT!B:H;7;FALSE))</f>
        <v/>
      </c>
      <c r="K174" s="60">
        <f>IF(INPUT_PRODUCT!C187="";"";VLOOKUP(INPUT_PRODUCT!C187;PRODUCT!B:I;8;FALSE))</f>
        <v/>
      </c>
      <c r="L174" s="62">
        <f>IF(INPUT_PRODUCT!C187="";"";VLOOKUP(INPUT_PRODUCT!C187;PRODUCT!B:J;9;FALSE))</f>
        <v/>
      </c>
      <c r="M174" s="62">
        <f>IF(INPUT_PRODUCT!C187="";"";VLOOKUP(INPUT_PRODUCT!C187;PRODUCT!B:K;10;FALSE))</f>
        <v/>
      </c>
      <c r="N174" s="62">
        <f>IF(INPUT_PRODUCT!C187="";"";VLOOKUP(INPUT_PRODUCT!C187;PRODUCT!B:L;11;FALSE))</f>
        <v/>
      </c>
      <c r="O174" s="62">
        <f>IF(INPUT_PRODUCT!C187="";"";VLOOKUP(INPUT_PRODUCT!C187;PRODUCT!B:O;14;FALSE))</f>
        <v/>
      </c>
      <c r="P174" s="63">
        <f>IF(INPUT_PRODUCT!C187="";"";VLOOKUP(INPUT_PRODUCT!C187;PRODUCT!B:P;15;FALSE))</f>
        <v/>
      </c>
      <c r="Q174" s="63">
        <f>IF(INPUT_PRODUCT!C187="";"";INPUT_PRODUCT!K187)</f>
        <v/>
      </c>
      <c r="R174" s="63" t="inlineStr"/>
      <c r="S174" s="63">
        <f>IF(INPUT_PRODUCT!C187="";"";IF(O174="";"";O174*(1+Q174+R174)))</f>
        <v/>
      </c>
      <c r="T174" s="63">
        <f>IF(INPUT_PRODUCT!C187="";"";IF(S174="";"";S174*F174))</f>
        <v/>
      </c>
      <c r="U174" s="62">
        <f>CONFIG!$B$2</f>
        <v/>
      </c>
      <c r="V174" s="62">
        <f>IF(INPUT_PRODUCT!C187="";"";IF(S174="";"";S174*U174))</f>
        <v/>
      </c>
      <c r="W174" s="0">
        <f>IF(INPUT_PRODUCT!C187="";"";IF(T174="";"";T174*U174))</f>
        <v/>
      </c>
      <c r="X174" s="0">
        <f>IF(INPUT_PRODUCT!C187="";"";VLOOKUP(INPUT_PRODUCT!C187;PRODUCT!B:T;19;FALSE))</f>
        <v/>
      </c>
      <c r="Y174" s="0">
        <f>IF(INPUT_PRODUCT!C187="";"";INPUT_PRODUCT!L187)</f>
        <v/>
      </c>
    </row>
    <row r="175" ht="15.75" customHeight="1" s="125">
      <c r="A175" s="62">
        <f>IF(INPUT_PRODUCT!C188="";"";INPUT_PRODUCT!A188)</f>
        <v/>
      </c>
      <c r="B175" s="62">
        <f>IF(INPUT_PRODUCT!C188="";"";INPUT_PRODUCT!B188)</f>
        <v/>
      </c>
      <c r="C175" s="62">
        <f>IF(INPUT_PRODUCT!C188="";"";INPUT_PRODUCT!C188)</f>
        <v/>
      </c>
      <c r="D175" s="62">
        <f>IF(INPUT_PRODUCT!C188="";"";INDEX(PRODUCT!A:A;MATCH(INPUT_PRODUCT!C188;PRODUCT!B:B;0)))</f>
        <v/>
      </c>
      <c r="E175" s="62">
        <f>IF(INPUT_PRODUCT!C188="";"";VLOOKUP(INPUT_PRODUCT!C188;PRODUCT!B:C;2;FALSE))</f>
        <v/>
      </c>
      <c r="F175" s="62">
        <f>IF(INPUT_PRODUCT!C188="";"";INPUT_PRODUCT!J188)</f>
        <v/>
      </c>
      <c r="G175" s="62">
        <f>IF(INPUT_PRODUCT!C188="";"";INPUT_PRODUCT!G188)</f>
        <v/>
      </c>
      <c r="H175" s="62">
        <f>IF(INPUT_PRODUCT!C188="";"";VLOOKUP(INPUT_PRODUCT!C188;PRODUCT!B:F;5;FALSE))</f>
        <v/>
      </c>
      <c r="I175" s="62">
        <f>IF(INPUT_PRODUCT!C188="";"";VLOOKUP(INPUT_PRODUCT!C188;PRODUCT!B:G;6;FALSE))</f>
        <v/>
      </c>
      <c r="J175" s="62">
        <f>IF(INPUT_PRODUCT!C188="";"";VLOOKUP(INPUT_PRODUCT!C188;PRODUCT!B:H;7;FALSE))</f>
        <v/>
      </c>
      <c r="K175" s="60">
        <f>IF(INPUT_PRODUCT!C188="";"";VLOOKUP(INPUT_PRODUCT!C188;PRODUCT!B:I;8;FALSE))</f>
        <v/>
      </c>
      <c r="L175" s="62">
        <f>IF(INPUT_PRODUCT!C188="";"";VLOOKUP(INPUT_PRODUCT!C188;PRODUCT!B:J;9;FALSE))</f>
        <v/>
      </c>
      <c r="M175" s="62">
        <f>IF(INPUT_PRODUCT!C188="";"";VLOOKUP(INPUT_PRODUCT!C188;PRODUCT!B:K;10;FALSE))</f>
        <v/>
      </c>
      <c r="N175" s="62">
        <f>IF(INPUT_PRODUCT!C188="";"";VLOOKUP(INPUT_PRODUCT!C188;PRODUCT!B:L;11;FALSE))</f>
        <v/>
      </c>
      <c r="O175" s="62">
        <f>IF(INPUT_PRODUCT!C188="";"";VLOOKUP(INPUT_PRODUCT!C188;PRODUCT!B:O;14;FALSE))</f>
        <v/>
      </c>
      <c r="P175" s="63">
        <f>IF(INPUT_PRODUCT!C188="";"";VLOOKUP(INPUT_PRODUCT!C188;PRODUCT!B:P;15;FALSE))</f>
        <v/>
      </c>
      <c r="Q175" s="63">
        <f>IF(INPUT_PRODUCT!C188="";"";INPUT_PRODUCT!K188)</f>
        <v/>
      </c>
      <c r="R175" s="63" t="inlineStr"/>
      <c r="S175" s="63">
        <f>IF(INPUT_PRODUCT!C188="";"";IF(O175="";"";O175*(1+Q175+R175)))</f>
        <v/>
      </c>
      <c r="T175" s="63">
        <f>IF(INPUT_PRODUCT!C188="";"";IF(S175="";"";S175*F175))</f>
        <v/>
      </c>
      <c r="U175" s="62">
        <f>CONFIG!$B$2</f>
        <v/>
      </c>
      <c r="V175" s="62">
        <f>IF(INPUT_PRODUCT!C188="";"";IF(S175="";"";S175*U175))</f>
        <v/>
      </c>
      <c r="W175" s="0">
        <f>IF(INPUT_PRODUCT!C188="";"";IF(T175="";"";T175*U175))</f>
        <v/>
      </c>
      <c r="X175" s="0">
        <f>IF(INPUT_PRODUCT!C188="";"";VLOOKUP(INPUT_PRODUCT!C188;PRODUCT!B:T;19;FALSE))</f>
        <v/>
      </c>
      <c r="Y175" s="0">
        <f>IF(INPUT_PRODUCT!C188="";"";INPUT_PRODUCT!L188)</f>
        <v/>
      </c>
    </row>
    <row r="176" ht="15.75" customHeight="1" s="125">
      <c r="A176" s="62">
        <f>IF(INPUT_PRODUCT!C189="";"";INPUT_PRODUCT!A189)</f>
        <v/>
      </c>
      <c r="B176" s="62">
        <f>IF(INPUT_PRODUCT!C189="";"";INPUT_PRODUCT!B189)</f>
        <v/>
      </c>
      <c r="C176" s="62">
        <f>IF(INPUT_PRODUCT!C189="";"";INPUT_PRODUCT!C189)</f>
        <v/>
      </c>
      <c r="D176" s="62">
        <f>IF(INPUT_PRODUCT!C189="";"";INDEX(PRODUCT!A:A;MATCH(INPUT_PRODUCT!C189;PRODUCT!B:B;0)))</f>
        <v/>
      </c>
      <c r="E176" s="62">
        <f>IF(INPUT_PRODUCT!C189="";"";VLOOKUP(INPUT_PRODUCT!C189;PRODUCT!B:C;2;FALSE))</f>
        <v/>
      </c>
      <c r="F176" s="62">
        <f>IF(INPUT_PRODUCT!C189="";"";INPUT_PRODUCT!J189)</f>
        <v/>
      </c>
      <c r="G176" s="62">
        <f>IF(INPUT_PRODUCT!C189="";"";INPUT_PRODUCT!G189)</f>
        <v/>
      </c>
      <c r="H176" s="62">
        <f>IF(INPUT_PRODUCT!C189="";"";VLOOKUP(INPUT_PRODUCT!C189;PRODUCT!B:F;5;FALSE))</f>
        <v/>
      </c>
      <c r="I176" s="62">
        <f>IF(INPUT_PRODUCT!C189="";"";VLOOKUP(INPUT_PRODUCT!C189;PRODUCT!B:G;6;FALSE))</f>
        <v/>
      </c>
      <c r="J176" s="62">
        <f>IF(INPUT_PRODUCT!C189="";"";VLOOKUP(INPUT_PRODUCT!C189;PRODUCT!B:H;7;FALSE))</f>
        <v/>
      </c>
      <c r="K176" s="60">
        <f>IF(INPUT_PRODUCT!C189="";"";VLOOKUP(INPUT_PRODUCT!C189;PRODUCT!B:I;8;FALSE))</f>
        <v/>
      </c>
      <c r="L176" s="62">
        <f>IF(INPUT_PRODUCT!C189="";"";VLOOKUP(INPUT_PRODUCT!C189;PRODUCT!B:J;9;FALSE))</f>
        <v/>
      </c>
      <c r="M176" s="62">
        <f>IF(INPUT_PRODUCT!C189="";"";VLOOKUP(INPUT_PRODUCT!C189;PRODUCT!B:K;10;FALSE))</f>
        <v/>
      </c>
      <c r="N176" s="62">
        <f>IF(INPUT_PRODUCT!C189="";"";VLOOKUP(INPUT_PRODUCT!C189;PRODUCT!B:L;11;FALSE))</f>
        <v/>
      </c>
      <c r="O176" s="62">
        <f>IF(INPUT_PRODUCT!C189="";"";VLOOKUP(INPUT_PRODUCT!C189;PRODUCT!B:O;14;FALSE))</f>
        <v/>
      </c>
      <c r="P176" s="63">
        <f>IF(INPUT_PRODUCT!C189="";"";VLOOKUP(INPUT_PRODUCT!C189;PRODUCT!B:P;15;FALSE))</f>
        <v/>
      </c>
      <c r="Q176" s="63">
        <f>IF(INPUT_PRODUCT!C189="";"";INPUT_PRODUCT!K189)</f>
        <v/>
      </c>
      <c r="R176" s="63" t="inlineStr"/>
      <c r="S176" s="63">
        <f>IF(INPUT_PRODUCT!C189="";"";IF(O176="";"";O176*(1+Q176+R176)))</f>
        <v/>
      </c>
      <c r="T176" s="63">
        <f>IF(INPUT_PRODUCT!C189="";"";IF(S176="";"";S176*F176))</f>
        <v/>
      </c>
      <c r="U176" s="62">
        <f>CONFIG!$B$2</f>
        <v/>
      </c>
      <c r="V176" s="62">
        <f>IF(INPUT_PRODUCT!C189="";"";IF(S176="";"";S176*U176))</f>
        <v/>
      </c>
      <c r="W176" s="0">
        <f>IF(INPUT_PRODUCT!C189="";"";IF(T176="";"";T176*U176))</f>
        <v/>
      </c>
      <c r="X176" s="0">
        <f>IF(INPUT_PRODUCT!C189="";"";VLOOKUP(INPUT_PRODUCT!C189;PRODUCT!B:T;19;FALSE))</f>
        <v/>
      </c>
      <c r="Y176" s="0">
        <f>IF(INPUT_PRODUCT!C189="";"";INPUT_PRODUCT!L189)</f>
        <v/>
      </c>
    </row>
    <row r="177" ht="15.75" customHeight="1" s="125">
      <c r="A177" s="62">
        <f>IF(INPUT_PRODUCT!C190="";"";INPUT_PRODUCT!A190)</f>
        <v/>
      </c>
      <c r="B177" s="62">
        <f>IF(INPUT_PRODUCT!C190="";"";INPUT_PRODUCT!B190)</f>
        <v/>
      </c>
      <c r="C177" s="62">
        <f>IF(INPUT_PRODUCT!C190="";"";INPUT_PRODUCT!C190)</f>
        <v/>
      </c>
      <c r="D177" s="62">
        <f>IF(INPUT_PRODUCT!C190="";"";INDEX(PRODUCT!A:A;MATCH(INPUT_PRODUCT!C190;PRODUCT!B:B;0)))</f>
        <v/>
      </c>
      <c r="E177" s="62">
        <f>IF(INPUT_PRODUCT!C190="";"";VLOOKUP(INPUT_PRODUCT!C190;PRODUCT!B:C;2;FALSE))</f>
        <v/>
      </c>
      <c r="F177" s="62">
        <f>IF(INPUT_PRODUCT!C190="";"";INPUT_PRODUCT!J190)</f>
        <v/>
      </c>
      <c r="G177" s="62">
        <f>IF(INPUT_PRODUCT!C190="";"";INPUT_PRODUCT!G190)</f>
        <v/>
      </c>
      <c r="H177" s="62">
        <f>IF(INPUT_PRODUCT!C190="";"";VLOOKUP(INPUT_PRODUCT!C190;PRODUCT!B:F;5;FALSE))</f>
        <v/>
      </c>
      <c r="I177" s="62">
        <f>IF(INPUT_PRODUCT!C190="";"";VLOOKUP(INPUT_PRODUCT!C190;PRODUCT!B:G;6;FALSE))</f>
        <v/>
      </c>
      <c r="J177" s="62">
        <f>IF(INPUT_PRODUCT!C190="";"";VLOOKUP(INPUT_PRODUCT!C190;PRODUCT!B:H;7;FALSE))</f>
        <v/>
      </c>
      <c r="K177" s="60">
        <f>IF(INPUT_PRODUCT!C190="";"";VLOOKUP(INPUT_PRODUCT!C190;PRODUCT!B:I;8;FALSE))</f>
        <v/>
      </c>
      <c r="L177" s="62">
        <f>IF(INPUT_PRODUCT!C190="";"";VLOOKUP(INPUT_PRODUCT!C190;PRODUCT!B:J;9;FALSE))</f>
        <v/>
      </c>
      <c r="M177" s="62">
        <f>IF(INPUT_PRODUCT!C190="";"";VLOOKUP(INPUT_PRODUCT!C190;PRODUCT!B:K;10;FALSE))</f>
        <v/>
      </c>
      <c r="N177" s="62">
        <f>IF(INPUT_PRODUCT!C190="";"";VLOOKUP(INPUT_PRODUCT!C190;PRODUCT!B:L;11;FALSE))</f>
        <v/>
      </c>
      <c r="O177" s="62">
        <f>IF(INPUT_PRODUCT!C190="";"";VLOOKUP(INPUT_PRODUCT!C190;PRODUCT!B:O;14;FALSE))</f>
        <v/>
      </c>
      <c r="P177" s="63">
        <f>IF(INPUT_PRODUCT!C190="";"";VLOOKUP(INPUT_PRODUCT!C190;PRODUCT!B:P;15;FALSE))</f>
        <v/>
      </c>
      <c r="Q177" s="63">
        <f>IF(INPUT_PRODUCT!C190="";"";INPUT_PRODUCT!K190)</f>
        <v/>
      </c>
      <c r="R177" s="63" t="inlineStr"/>
      <c r="S177" s="63">
        <f>IF(INPUT_PRODUCT!C190="";"";IF(O177="";"";O177*(1+Q177+R177)))</f>
        <v/>
      </c>
      <c r="T177" s="63">
        <f>IF(INPUT_PRODUCT!C190="";"";IF(S177="";"";S177*F177))</f>
        <v/>
      </c>
      <c r="U177" s="62">
        <f>CONFIG!$B$2</f>
        <v/>
      </c>
      <c r="V177" s="62">
        <f>IF(INPUT_PRODUCT!C190="";"";IF(S177="";"";S177*U177))</f>
        <v/>
      </c>
      <c r="W177" s="0">
        <f>IF(INPUT_PRODUCT!C190="";"";IF(T177="";"";T177*U177))</f>
        <v/>
      </c>
      <c r="X177" s="0">
        <f>IF(INPUT_PRODUCT!C190="";"";VLOOKUP(INPUT_PRODUCT!C190;PRODUCT!B:T;19;FALSE))</f>
        <v/>
      </c>
      <c r="Y177" s="0">
        <f>IF(INPUT_PRODUCT!C190="";"";INPUT_PRODUCT!L190)</f>
        <v/>
      </c>
    </row>
    <row r="178" ht="15.75" customHeight="1" s="125">
      <c r="A178" s="62">
        <f>IF(INPUT_PRODUCT!C191="";"";INPUT_PRODUCT!A191)</f>
        <v/>
      </c>
      <c r="B178" s="62">
        <f>IF(INPUT_PRODUCT!C191="";"";INPUT_PRODUCT!B191)</f>
        <v/>
      </c>
      <c r="C178" s="62">
        <f>IF(INPUT_PRODUCT!C191="";"";INPUT_PRODUCT!C191)</f>
        <v/>
      </c>
      <c r="D178" s="62">
        <f>IF(INPUT_PRODUCT!C191="";"";INDEX(PRODUCT!A:A;MATCH(INPUT_PRODUCT!C191;PRODUCT!B:B;0)))</f>
        <v/>
      </c>
      <c r="E178" s="62">
        <f>IF(INPUT_PRODUCT!C191="";"";VLOOKUP(INPUT_PRODUCT!C191;PRODUCT!B:C;2;FALSE))</f>
        <v/>
      </c>
      <c r="F178" s="62">
        <f>IF(INPUT_PRODUCT!C191="";"";INPUT_PRODUCT!J191)</f>
        <v/>
      </c>
      <c r="G178" s="62">
        <f>IF(INPUT_PRODUCT!C191="";"";INPUT_PRODUCT!G191)</f>
        <v/>
      </c>
      <c r="H178" s="62">
        <f>IF(INPUT_PRODUCT!C191="";"";VLOOKUP(INPUT_PRODUCT!C191;PRODUCT!B:F;5;FALSE))</f>
        <v/>
      </c>
      <c r="I178" s="62">
        <f>IF(INPUT_PRODUCT!C191="";"";VLOOKUP(INPUT_PRODUCT!C191;PRODUCT!B:G;6;FALSE))</f>
        <v/>
      </c>
      <c r="J178" s="62">
        <f>IF(INPUT_PRODUCT!C191="";"";VLOOKUP(INPUT_PRODUCT!C191;PRODUCT!B:H;7;FALSE))</f>
        <v/>
      </c>
      <c r="K178" s="60">
        <f>IF(INPUT_PRODUCT!C191="";"";VLOOKUP(INPUT_PRODUCT!C191;PRODUCT!B:I;8;FALSE))</f>
        <v/>
      </c>
      <c r="L178" s="62">
        <f>IF(INPUT_PRODUCT!C191="";"";VLOOKUP(INPUT_PRODUCT!C191;PRODUCT!B:J;9;FALSE))</f>
        <v/>
      </c>
      <c r="M178" s="62">
        <f>IF(INPUT_PRODUCT!C191="";"";VLOOKUP(INPUT_PRODUCT!C191;PRODUCT!B:K;10;FALSE))</f>
        <v/>
      </c>
      <c r="N178" s="62">
        <f>IF(INPUT_PRODUCT!C191="";"";VLOOKUP(INPUT_PRODUCT!C191;PRODUCT!B:L;11;FALSE))</f>
        <v/>
      </c>
      <c r="O178" s="62">
        <f>IF(INPUT_PRODUCT!C191="";"";VLOOKUP(INPUT_PRODUCT!C191;PRODUCT!B:O;14;FALSE))</f>
        <v/>
      </c>
      <c r="P178" s="63">
        <f>IF(INPUT_PRODUCT!C191="";"";VLOOKUP(INPUT_PRODUCT!C191;PRODUCT!B:P;15;FALSE))</f>
        <v/>
      </c>
      <c r="Q178" s="63">
        <f>IF(INPUT_PRODUCT!C191="";"";INPUT_PRODUCT!K191)</f>
        <v/>
      </c>
      <c r="R178" s="63" t="inlineStr"/>
      <c r="S178" s="63">
        <f>IF(INPUT_PRODUCT!C191="";"";IF(O178="";"";O178*(1+Q178+R178)))</f>
        <v/>
      </c>
      <c r="T178" s="63">
        <f>IF(INPUT_PRODUCT!C191="";"";IF(S178="";"";S178*F178))</f>
        <v/>
      </c>
      <c r="U178" s="62">
        <f>CONFIG!$B$2</f>
        <v/>
      </c>
      <c r="V178" s="62">
        <f>IF(INPUT_PRODUCT!C191="";"";IF(S178="";"";S178*U178))</f>
        <v/>
      </c>
      <c r="W178" s="0">
        <f>IF(INPUT_PRODUCT!C191="";"";IF(T178="";"";T178*U178))</f>
        <v/>
      </c>
      <c r="X178" s="0">
        <f>IF(INPUT_PRODUCT!C191="";"";VLOOKUP(INPUT_PRODUCT!C191;PRODUCT!B:T;19;FALSE))</f>
        <v/>
      </c>
      <c r="Y178" s="0">
        <f>IF(INPUT_PRODUCT!C191="";"";INPUT_PRODUCT!L191)</f>
        <v/>
      </c>
    </row>
    <row r="179" ht="15.75" customHeight="1" s="125">
      <c r="A179" s="62">
        <f>IF(INPUT_PRODUCT!C192="";"";INPUT_PRODUCT!A192)</f>
        <v/>
      </c>
      <c r="B179" s="62">
        <f>IF(INPUT_PRODUCT!C192="";"";INPUT_PRODUCT!B192)</f>
        <v/>
      </c>
      <c r="C179" s="62">
        <f>IF(INPUT_PRODUCT!C192="";"";INPUT_PRODUCT!C192)</f>
        <v/>
      </c>
      <c r="D179" s="62">
        <f>IF(INPUT_PRODUCT!C192="";"";INDEX(PRODUCT!A:A;MATCH(INPUT_PRODUCT!C192;PRODUCT!B:B;0)))</f>
        <v/>
      </c>
      <c r="E179" s="62">
        <f>IF(INPUT_PRODUCT!C192="";"";VLOOKUP(INPUT_PRODUCT!C192;PRODUCT!B:C;2;FALSE))</f>
        <v/>
      </c>
      <c r="F179" s="62">
        <f>IF(INPUT_PRODUCT!C192="";"";INPUT_PRODUCT!J192)</f>
        <v/>
      </c>
      <c r="G179" s="62">
        <f>IF(INPUT_PRODUCT!C192="";"";INPUT_PRODUCT!G192)</f>
        <v/>
      </c>
      <c r="H179" s="62">
        <f>IF(INPUT_PRODUCT!C192="";"";VLOOKUP(INPUT_PRODUCT!C192;PRODUCT!B:F;5;FALSE))</f>
        <v/>
      </c>
      <c r="I179" s="62">
        <f>IF(INPUT_PRODUCT!C192="";"";VLOOKUP(INPUT_PRODUCT!C192;PRODUCT!B:G;6;FALSE))</f>
        <v/>
      </c>
      <c r="J179" s="62">
        <f>IF(INPUT_PRODUCT!C192="";"";VLOOKUP(INPUT_PRODUCT!C192;PRODUCT!B:H;7;FALSE))</f>
        <v/>
      </c>
      <c r="K179" s="60">
        <f>IF(INPUT_PRODUCT!C192="";"";VLOOKUP(INPUT_PRODUCT!C192;PRODUCT!B:I;8;FALSE))</f>
        <v/>
      </c>
      <c r="L179" s="62">
        <f>IF(INPUT_PRODUCT!C192="";"";VLOOKUP(INPUT_PRODUCT!C192;PRODUCT!B:J;9;FALSE))</f>
        <v/>
      </c>
      <c r="M179" s="62">
        <f>IF(INPUT_PRODUCT!C192="";"";VLOOKUP(INPUT_PRODUCT!C192;PRODUCT!B:K;10;FALSE))</f>
        <v/>
      </c>
      <c r="N179" s="62">
        <f>IF(INPUT_PRODUCT!C192="";"";VLOOKUP(INPUT_PRODUCT!C192;PRODUCT!B:L;11;FALSE))</f>
        <v/>
      </c>
      <c r="O179" s="62">
        <f>IF(INPUT_PRODUCT!C192="";"";VLOOKUP(INPUT_PRODUCT!C192;PRODUCT!B:O;14;FALSE))</f>
        <v/>
      </c>
      <c r="P179" s="63">
        <f>IF(INPUT_PRODUCT!C192="";"";VLOOKUP(INPUT_PRODUCT!C192;PRODUCT!B:P;15;FALSE))</f>
        <v/>
      </c>
      <c r="Q179" s="63">
        <f>IF(INPUT_PRODUCT!C192="";"";INPUT_PRODUCT!K192)</f>
        <v/>
      </c>
      <c r="R179" s="63" t="inlineStr"/>
      <c r="S179" s="63">
        <f>IF(INPUT_PRODUCT!C192="";"";IF(O179="";"";O179*(1+Q179+R179)))</f>
        <v/>
      </c>
      <c r="T179" s="63">
        <f>IF(INPUT_PRODUCT!C192="";"";IF(S179="";"";S179*F179))</f>
        <v/>
      </c>
      <c r="U179" s="62">
        <f>CONFIG!$B$2</f>
        <v/>
      </c>
      <c r="V179" s="62">
        <f>IF(INPUT_PRODUCT!C192="";"";IF(S179="";"";S179*U179))</f>
        <v/>
      </c>
      <c r="W179" s="0">
        <f>IF(INPUT_PRODUCT!C192="";"";IF(T179="";"";T179*U179))</f>
        <v/>
      </c>
      <c r="X179" s="0">
        <f>IF(INPUT_PRODUCT!C192="";"";VLOOKUP(INPUT_PRODUCT!C192;PRODUCT!B:T;19;FALSE))</f>
        <v/>
      </c>
      <c r="Y179" s="0">
        <f>IF(INPUT_PRODUCT!C192="";"";INPUT_PRODUCT!L192)</f>
        <v/>
      </c>
    </row>
    <row r="180" ht="15.75" customHeight="1" s="125">
      <c r="A180" s="62">
        <f>IF(INPUT_PRODUCT!C193="";"";INPUT_PRODUCT!A193)</f>
        <v/>
      </c>
      <c r="B180" s="62">
        <f>IF(INPUT_PRODUCT!C193="";"";INPUT_PRODUCT!B193)</f>
        <v/>
      </c>
      <c r="C180" s="62">
        <f>IF(INPUT_PRODUCT!C193="";"";INPUT_PRODUCT!C193)</f>
        <v/>
      </c>
      <c r="D180" s="62">
        <f>IF(INPUT_PRODUCT!C193="";"";INDEX(PRODUCT!A:A;MATCH(INPUT_PRODUCT!C193;PRODUCT!B:B;0)))</f>
        <v/>
      </c>
      <c r="E180" s="62">
        <f>IF(INPUT_PRODUCT!C193="";"";VLOOKUP(INPUT_PRODUCT!C193;PRODUCT!B:C;2;FALSE))</f>
        <v/>
      </c>
      <c r="F180" s="62">
        <f>IF(INPUT_PRODUCT!C193="";"";INPUT_PRODUCT!J193)</f>
        <v/>
      </c>
      <c r="G180" s="62">
        <f>IF(INPUT_PRODUCT!C193="";"";INPUT_PRODUCT!G193)</f>
        <v/>
      </c>
      <c r="H180" s="62">
        <f>IF(INPUT_PRODUCT!C193="";"";VLOOKUP(INPUT_PRODUCT!C193;PRODUCT!B:F;5;FALSE))</f>
        <v/>
      </c>
      <c r="I180" s="62">
        <f>IF(INPUT_PRODUCT!C193="";"";VLOOKUP(INPUT_PRODUCT!C193;PRODUCT!B:G;6;FALSE))</f>
        <v/>
      </c>
      <c r="J180" s="62">
        <f>IF(INPUT_PRODUCT!C193="";"";VLOOKUP(INPUT_PRODUCT!C193;PRODUCT!B:H;7;FALSE))</f>
        <v/>
      </c>
      <c r="K180" s="60">
        <f>IF(INPUT_PRODUCT!C193="";"";VLOOKUP(INPUT_PRODUCT!C193;PRODUCT!B:I;8;FALSE))</f>
        <v/>
      </c>
      <c r="L180" s="62">
        <f>IF(INPUT_PRODUCT!C193="";"";VLOOKUP(INPUT_PRODUCT!C193;PRODUCT!B:J;9;FALSE))</f>
        <v/>
      </c>
      <c r="M180" s="62">
        <f>IF(INPUT_PRODUCT!C193="";"";VLOOKUP(INPUT_PRODUCT!C193;PRODUCT!B:K;10;FALSE))</f>
        <v/>
      </c>
      <c r="N180" s="62">
        <f>IF(INPUT_PRODUCT!C193="";"";VLOOKUP(INPUT_PRODUCT!C193;PRODUCT!B:L;11;FALSE))</f>
        <v/>
      </c>
      <c r="O180" s="62">
        <f>IF(INPUT_PRODUCT!C193="";"";VLOOKUP(INPUT_PRODUCT!C193;PRODUCT!B:O;14;FALSE))</f>
        <v/>
      </c>
      <c r="P180" s="63">
        <f>IF(INPUT_PRODUCT!C193="";"";VLOOKUP(INPUT_PRODUCT!C193;PRODUCT!B:P;15;FALSE))</f>
        <v/>
      </c>
      <c r="Q180" s="63">
        <f>IF(INPUT_PRODUCT!C193="";"";INPUT_PRODUCT!K193)</f>
        <v/>
      </c>
      <c r="R180" s="63" t="inlineStr"/>
      <c r="S180" s="63">
        <f>IF(INPUT_PRODUCT!C193="";"";IF(O180="";"";O180*(1+Q180+R180)))</f>
        <v/>
      </c>
      <c r="T180" s="63">
        <f>IF(INPUT_PRODUCT!C193="";"";IF(S180="";"";S180*F180))</f>
        <v/>
      </c>
      <c r="U180" s="62">
        <f>CONFIG!$B$2</f>
        <v/>
      </c>
      <c r="V180" s="62">
        <f>IF(INPUT_PRODUCT!C193="";"";IF(S180="";"";S180*U180))</f>
        <v/>
      </c>
      <c r="W180" s="0">
        <f>IF(INPUT_PRODUCT!C193="";"";IF(T180="";"";T180*U180))</f>
        <v/>
      </c>
      <c r="X180" s="0">
        <f>IF(INPUT_PRODUCT!C193="";"";VLOOKUP(INPUT_PRODUCT!C193;PRODUCT!B:T;19;FALSE))</f>
        <v/>
      </c>
      <c r="Y180" s="0">
        <f>IF(INPUT_PRODUCT!C193="";"";INPUT_PRODUCT!L193)</f>
        <v/>
      </c>
    </row>
    <row r="181" ht="15.75" customHeight="1" s="125">
      <c r="A181" s="62">
        <f>IF(INPUT_PRODUCT!C194="";"";INPUT_PRODUCT!A194)</f>
        <v/>
      </c>
      <c r="B181" s="62">
        <f>IF(INPUT_PRODUCT!C194="";"";INPUT_PRODUCT!B194)</f>
        <v/>
      </c>
      <c r="C181" s="62">
        <f>IF(INPUT_PRODUCT!C194="";"";INPUT_PRODUCT!C194)</f>
        <v/>
      </c>
      <c r="D181" s="62">
        <f>IF(INPUT_PRODUCT!C194="";"";INDEX(PRODUCT!A:A;MATCH(INPUT_PRODUCT!C194;PRODUCT!B:B;0)))</f>
        <v/>
      </c>
      <c r="E181" s="62">
        <f>IF(INPUT_PRODUCT!C194="";"";VLOOKUP(INPUT_PRODUCT!C194;PRODUCT!B:C;2;FALSE))</f>
        <v/>
      </c>
      <c r="F181" s="62">
        <f>IF(INPUT_PRODUCT!C194="";"";INPUT_PRODUCT!J194)</f>
        <v/>
      </c>
      <c r="G181" s="62">
        <f>IF(INPUT_PRODUCT!C194="";"";INPUT_PRODUCT!G194)</f>
        <v/>
      </c>
      <c r="H181" s="62">
        <f>IF(INPUT_PRODUCT!C194="";"";VLOOKUP(INPUT_PRODUCT!C194;PRODUCT!B:F;5;FALSE))</f>
        <v/>
      </c>
      <c r="I181" s="62">
        <f>IF(INPUT_PRODUCT!C194="";"";VLOOKUP(INPUT_PRODUCT!C194;PRODUCT!B:G;6;FALSE))</f>
        <v/>
      </c>
      <c r="J181" s="62">
        <f>IF(INPUT_PRODUCT!C194="";"";VLOOKUP(INPUT_PRODUCT!C194;PRODUCT!B:H;7;FALSE))</f>
        <v/>
      </c>
      <c r="K181" s="60">
        <f>IF(INPUT_PRODUCT!C194="";"";VLOOKUP(INPUT_PRODUCT!C194;PRODUCT!B:I;8;FALSE))</f>
        <v/>
      </c>
      <c r="L181" s="62">
        <f>IF(INPUT_PRODUCT!C194="";"";VLOOKUP(INPUT_PRODUCT!C194;PRODUCT!B:J;9;FALSE))</f>
        <v/>
      </c>
      <c r="M181" s="62">
        <f>IF(INPUT_PRODUCT!C194="";"";VLOOKUP(INPUT_PRODUCT!C194;PRODUCT!B:K;10;FALSE))</f>
        <v/>
      </c>
      <c r="N181" s="62">
        <f>IF(INPUT_PRODUCT!C194="";"";VLOOKUP(INPUT_PRODUCT!C194;PRODUCT!B:L;11;FALSE))</f>
        <v/>
      </c>
      <c r="O181" s="62">
        <f>IF(INPUT_PRODUCT!C194="";"";VLOOKUP(INPUT_PRODUCT!C194;PRODUCT!B:O;14;FALSE))</f>
        <v/>
      </c>
      <c r="P181" s="63">
        <f>IF(INPUT_PRODUCT!C194="";"";VLOOKUP(INPUT_PRODUCT!C194;PRODUCT!B:P;15;FALSE))</f>
        <v/>
      </c>
      <c r="Q181" s="63">
        <f>IF(INPUT_PRODUCT!C194="";"";INPUT_PRODUCT!K194)</f>
        <v/>
      </c>
      <c r="R181" s="63" t="inlineStr"/>
      <c r="S181" s="63">
        <f>IF(INPUT_PRODUCT!C194="";"";IF(O181="";"";O181*(1+Q181+R181)))</f>
        <v/>
      </c>
      <c r="T181" s="63">
        <f>IF(INPUT_PRODUCT!C194="";"";IF(S181="";"";S181*F181))</f>
        <v/>
      </c>
      <c r="U181" s="62">
        <f>CONFIG!$B$2</f>
        <v/>
      </c>
      <c r="V181" s="62">
        <f>IF(INPUT_PRODUCT!C194="";"";IF(S181="";"";S181*U181))</f>
        <v/>
      </c>
      <c r="W181" s="0">
        <f>IF(INPUT_PRODUCT!C194="";"";IF(T181="";"";T181*U181))</f>
        <v/>
      </c>
      <c r="X181" s="0">
        <f>IF(INPUT_PRODUCT!C194="";"";VLOOKUP(INPUT_PRODUCT!C194;PRODUCT!B:T;19;FALSE))</f>
        <v/>
      </c>
      <c r="Y181" s="0">
        <f>IF(INPUT_PRODUCT!C194="";"";INPUT_PRODUCT!L194)</f>
        <v/>
      </c>
    </row>
    <row r="182" ht="15.75" customHeight="1" s="125">
      <c r="A182" s="62">
        <f>IF(INPUT_PRODUCT!C195="";"";INPUT_PRODUCT!A195)</f>
        <v/>
      </c>
      <c r="B182" s="62">
        <f>IF(INPUT_PRODUCT!C195="";"";INPUT_PRODUCT!B195)</f>
        <v/>
      </c>
      <c r="C182" s="62">
        <f>IF(INPUT_PRODUCT!C195="";"";INPUT_PRODUCT!C195)</f>
        <v/>
      </c>
      <c r="D182" s="62">
        <f>IF(INPUT_PRODUCT!C195="";"";INDEX(PRODUCT!A:A;MATCH(INPUT_PRODUCT!C195;PRODUCT!B:B;0)))</f>
        <v/>
      </c>
      <c r="E182" s="62">
        <f>IF(INPUT_PRODUCT!C195="";"";VLOOKUP(INPUT_PRODUCT!C195;PRODUCT!B:C;2;FALSE))</f>
        <v/>
      </c>
      <c r="F182" s="62">
        <f>IF(INPUT_PRODUCT!C195="";"";INPUT_PRODUCT!J195)</f>
        <v/>
      </c>
      <c r="G182" s="62">
        <f>IF(INPUT_PRODUCT!C195="";"";INPUT_PRODUCT!G195)</f>
        <v/>
      </c>
      <c r="H182" s="62">
        <f>IF(INPUT_PRODUCT!C195="";"";VLOOKUP(INPUT_PRODUCT!C195;PRODUCT!B:F;5;FALSE))</f>
        <v/>
      </c>
      <c r="I182" s="62">
        <f>IF(INPUT_PRODUCT!C195="";"";VLOOKUP(INPUT_PRODUCT!C195;PRODUCT!B:G;6;FALSE))</f>
        <v/>
      </c>
      <c r="J182" s="62">
        <f>IF(INPUT_PRODUCT!C195="";"";VLOOKUP(INPUT_PRODUCT!C195;PRODUCT!B:H;7;FALSE))</f>
        <v/>
      </c>
      <c r="K182" s="60">
        <f>IF(INPUT_PRODUCT!C195="";"";VLOOKUP(INPUT_PRODUCT!C195;PRODUCT!B:I;8;FALSE))</f>
        <v/>
      </c>
      <c r="L182" s="62">
        <f>IF(INPUT_PRODUCT!C195="";"";VLOOKUP(INPUT_PRODUCT!C195;PRODUCT!B:J;9;FALSE))</f>
        <v/>
      </c>
      <c r="M182" s="62">
        <f>IF(INPUT_PRODUCT!C195="";"";VLOOKUP(INPUT_PRODUCT!C195;PRODUCT!B:K;10;FALSE))</f>
        <v/>
      </c>
      <c r="N182" s="62">
        <f>IF(INPUT_PRODUCT!C195="";"";VLOOKUP(INPUT_PRODUCT!C195;PRODUCT!B:L;11;FALSE))</f>
        <v/>
      </c>
      <c r="O182" s="62">
        <f>IF(INPUT_PRODUCT!C195="";"";VLOOKUP(INPUT_PRODUCT!C195;PRODUCT!B:O;14;FALSE))</f>
        <v/>
      </c>
      <c r="P182" s="63">
        <f>IF(INPUT_PRODUCT!C195="";"";VLOOKUP(INPUT_PRODUCT!C195;PRODUCT!B:P;15;FALSE))</f>
        <v/>
      </c>
      <c r="Q182" s="63">
        <f>IF(INPUT_PRODUCT!C195="";"";INPUT_PRODUCT!K195)</f>
        <v/>
      </c>
      <c r="R182" s="63" t="inlineStr"/>
      <c r="S182" s="63">
        <f>IF(INPUT_PRODUCT!C195="";"";IF(O182="";"";O182*(1+Q182+R182)))</f>
        <v/>
      </c>
      <c r="T182" s="63">
        <f>IF(INPUT_PRODUCT!C195="";"";IF(S182="";"";S182*F182))</f>
        <v/>
      </c>
      <c r="U182" s="62">
        <f>CONFIG!$B$2</f>
        <v/>
      </c>
      <c r="V182" s="62">
        <f>IF(INPUT_PRODUCT!C195="";"";IF(S182="";"";S182*U182))</f>
        <v/>
      </c>
      <c r="W182" s="0">
        <f>IF(INPUT_PRODUCT!C195="";"";IF(T182="";"";T182*U182))</f>
        <v/>
      </c>
      <c r="X182" s="0">
        <f>IF(INPUT_PRODUCT!C195="";"";VLOOKUP(INPUT_PRODUCT!C195;PRODUCT!B:T;19;FALSE))</f>
        <v/>
      </c>
      <c r="Y182" s="0">
        <f>IF(INPUT_PRODUCT!C195="";"";INPUT_PRODUCT!L195)</f>
        <v/>
      </c>
    </row>
    <row r="183" ht="15.75" customHeight="1" s="125">
      <c r="A183" s="62">
        <f>IF(INPUT_PRODUCT!C196="";"";INPUT_PRODUCT!A196)</f>
        <v/>
      </c>
      <c r="B183" s="62">
        <f>IF(INPUT_PRODUCT!C196="";"";INPUT_PRODUCT!B196)</f>
        <v/>
      </c>
      <c r="C183" s="62">
        <f>IF(INPUT_PRODUCT!C196="";"";INPUT_PRODUCT!C196)</f>
        <v/>
      </c>
      <c r="D183" s="62">
        <f>IF(INPUT_PRODUCT!C196="";"";INDEX(PRODUCT!A:A;MATCH(INPUT_PRODUCT!C196;PRODUCT!B:B;0)))</f>
        <v/>
      </c>
      <c r="E183" s="62">
        <f>IF(INPUT_PRODUCT!C196="";"";VLOOKUP(INPUT_PRODUCT!C196;PRODUCT!B:C;2;FALSE))</f>
        <v/>
      </c>
      <c r="F183" s="62">
        <f>IF(INPUT_PRODUCT!C196="";"";INPUT_PRODUCT!J196)</f>
        <v/>
      </c>
      <c r="G183" s="62">
        <f>IF(INPUT_PRODUCT!C196="";"";INPUT_PRODUCT!G196)</f>
        <v/>
      </c>
      <c r="H183" s="62">
        <f>IF(INPUT_PRODUCT!C196="";"";VLOOKUP(INPUT_PRODUCT!C196;PRODUCT!B:F;5;FALSE))</f>
        <v/>
      </c>
      <c r="I183" s="62">
        <f>IF(INPUT_PRODUCT!C196="";"";VLOOKUP(INPUT_PRODUCT!C196;PRODUCT!B:G;6;FALSE))</f>
        <v/>
      </c>
      <c r="J183" s="62">
        <f>IF(INPUT_PRODUCT!C196="";"";VLOOKUP(INPUT_PRODUCT!C196;PRODUCT!B:H;7;FALSE))</f>
        <v/>
      </c>
      <c r="K183" s="60">
        <f>IF(INPUT_PRODUCT!C196="";"";VLOOKUP(INPUT_PRODUCT!C196;PRODUCT!B:I;8;FALSE))</f>
        <v/>
      </c>
      <c r="L183" s="62">
        <f>IF(INPUT_PRODUCT!C196="";"";VLOOKUP(INPUT_PRODUCT!C196;PRODUCT!B:J;9;FALSE))</f>
        <v/>
      </c>
      <c r="M183" s="62">
        <f>IF(INPUT_PRODUCT!C196="";"";VLOOKUP(INPUT_PRODUCT!C196;PRODUCT!B:K;10;FALSE))</f>
        <v/>
      </c>
      <c r="N183" s="62">
        <f>IF(INPUT_PRODUCT!C196="";"";VLOOKUP(INPUT_PRODUCT!C196;PRODUCT!B:L;11;FALSE))</f>
        <v/>
      </c>
      <c r="O183" s="62">
        <f>IF(INPUT_PRODUCT!C196="";"";VLOOKUP(INPUT_PRODUCT!C196;PRODUCT!B:O;14;FALSE))</f>
        <v/>
      </c>
      <c r="P183" s="63">
        <f>IF(INPUT_PRODUCT!C196="";"";VLOOKUP(INPUT_PRODUCT!C196;PRODUCT!B:P;15;FALSE))</f>
        <v/>
      </c>
      <c r="Q183" s="63">
        <f>IF(INPUT_PRODUCT!C196="";"";INPUT_PRODUCT!K196)</f>
        <v/>
      </c>
      <c r="R183" s="63" t="inlineStr"/>
      <c r="S183" s="63">
        <f>IF(INPUT_PRODUCT!C196="";"";IF(O183="";"";O183*(1+Q183+R183)))</f>
        <v/>
      </c>
      <c r="T183" s="63">
        <f>IF(INPUT_PRODUCT!C196="";"";IF(S183="";"";S183*F183))</f>
        <v/>
      </c>
      <c r="U183" s="62">
        <f>CONFIG!$B$2</f>
        <v/>
      </c>
      <c r="V183" s="62">
        <f>IF(INPUT_PRODUCT!C196="";"";IF(S183="";"";S183*U183))</f>
        <v/>
      </c>
      <c r="W183" s="0">
        <f>IF(INPUT_PRODUCT!C196="";"";IF(T183="";"";T183*U183))</f>
        <v/>
      </c>
      <c r="X183" s="0">
        <f>IF(INPUT_PRODUCT!C196="";"";VLOOKUP(INPUT_PRODUCT!C196;PRODUCT!B:T;19;FALSE))</f>
        <v/>
      </c>
      <c r="Y183" s="0">
        <f>IF(INPUT_PRODUCT!C196="";"";INPUT_PRODUCT!L196)</f>
        <v/>
      </c>
    </row>
    <row r="184" ht="15.75" customHeight="1" s="125">
      <c r="A184" s="62">
        <f>IF(INPUT_PRODUCT!C197="";"";INPUT_PRODUCT!A197)</f>
        <v/>
      </c>
      <c r="B184" s="62">
        <f>IF(INPUT_PRODUCT!C197="";"";INPUT_PRODUCT!B197)</f>
        <v/>
      </c>
      <c r="C184" s="62">
        <f>IF(INPUT_PRODUCT!C197="";"";INPUT_PRODUCT!C197)</f>
        <v/>
      </c>
      <c r="D184" s="62">
        <f>IF(INPUT_PRODUCT!C197="";"";INDEX(PRODUCT!A:A;MATCH(INPUT_PRODUCT!C197;PRODUCT!B:B;0)))</f>
        <v/>
      </c>
      <c r="E184" s="62">
        <f>IF(INPUT_PRODUCT!C197="";"";VLOOKUP(INPUT_PRODUCT!C197;PRODUCT!B:C;2;FALSE))</f>
        <v/>
      </c>
      <c r="F184" s="62">
        <f>IF(INPUT_PRODUCT!C197="";"";INPUT_PRODUCT!J197)</f>
        <v/>
      </c>
      <c r="G184" s="62">
        <f>IF(INPUT_PRODUCT!C197="";"";INPUT_PRODUCT!G197)</f>
        <v/>
      </c>
      <c r="H184" s="62">
        <f>IF(INPUT_PRODUCT!C197="";"";VLOOKUP(INPUT_PRODUCT!C197;PRODUCT!B:F;5;FALSE))</f>
        <v/>
      </c>
      <c r="I184" s="62">
        <f>IF(INPUT_PRODUCT!C197="";"";VLOOKUP(INPUT_PRODUCT!C197;PRODUCT!B:G;6;FALSE))</f>
        <v/>
      </c>
      <c r="J184" s="62">
        <f>IF(INPUT_PRODUCT!C197="";"";VLOOKUP(INPUT_PRODUCT!C197;PRODUCT!B:H;7;FALSE))</f>
        <v/>
      </c>
      <c r="K184" s="60">
        <f>IF(INPUT_PRODUCT!C197="";"";VLOOKUP(INPUT_PRODUCT!C197;PRODUCT!B:I;8;FALSE))</f>
        <v/>
      </c>
      <c r="L184" s="62">
        <f>IF(INPUT_PRODUCT!C197="";"";VLOOKUP(INPUT_PRODUCT!C197;PRODUCT!B:J;9;FALSE))</f>
        <v/>
      </c>
      <c r="M184" s="62">
        <f>IF(INPUT_PRODUCT!C197="";"";VLOOKUP(INPUT_PRODUCT!C197;PRODUCT!B:K;10;FALSE))</f>
        <v/>
      </c>
      <c r="N184" s="62">
        <f>IF(INPUT_PRODUCT!C197="";"";VLOOKUP(INPUT_PRODUCT!C197;PRODUCT!B:L;11;FALSE))</f>
        <v/>
      </c>
      <c r="O184" s="62">
        <f>IF(INPUT_PRODUCT!C197="";"";VLOOKUP(INPUT_PRODUCT!C197;PRODUCT!B:O;14;FALSE))</f>
        <v/>
      </c>
      <c r="P184" s="63">
        <f>IF(INPUT_PRODUCT!C197="";"";VLOOKUP(INPUT_PRODUCT!C197;PRODUCT!B:P;15;FALSE))</f>
        <v/>
      </c>
      <c r="Q184" s="63">
        <f>IF(INPUT_PRODUCT!C197="";"";INPUT_PRODUCT!K197)</f>
        <v/>
      </c>
      <c r="R184" s="63" t="inlineStr"/>
      <c r="S184" s="63">
        <f>IF(INPUT_PRODUCT!C197="";"";IF(O184="";"";O184*(1+Q184+R184)))</f>
        <v/>
      </c>
      <c r="T184" s="63">
        <f>IF(INPUT_PRODUCT!C197="";"";IF(S184="";"";S184*F184))</f>
        <v/>
      </c>
      <c r="U184" s="62">
        <f>CONFIG!$B$2</f>
        <v/>
      </c>
      <c r="V184" s="62">
        <f>IF(INPUT_PRODUCT!C197="";"";IF(S184="";"";S184*U184))</f>
        <v/>
      </c>
      <c r="W184" s="0">
        <f>IF(INPUT_PRODUCT!C197="";"";IF(T184="";"";T184*U184))</f>
        <v/>
      </c>
      <c r="X184" s="0">
        <f>IF(INPUT_PRODUCT!C197="";"";VLOOKUP(INPUT_PRODUCT!C197;PRODUCT!B:T;19;FALSE))</f>
        <v/>
      </c>
      <c r="Y184" s="0">
        <f>IF(INPUT_PRODUCT!C197="";"";INPUT_PRODUCT!L197)</f>
        <v/>
      </c>
    </row>
    <row r="185" ht="15.75" customHeight="1" s="125">
      <c r="A185" s="62">
        <f>IF(INPUT_PRODUCT!C198="";"";INPUT_PRODUCT!A198)</f>
        <v/>
      </c>
      <c r="B185" s="62">
        <f>IF(INPUT_PRODUCT!C198="";"";INPUT_PRODUCT!B198)</f>
        <v/>
      </c>
      <c r="C185" s="62">
        <f>IF(INPUT_PRODUCT!C198="";"";INPUT_PRODUCT!C198)</f>
        <v/>
      </c>
      <c r="D185" s="62">
        <f>IF(INPUT_PRODUCT!C198="";"";INDEX(PRODUCT!A:A;MATCH(INPUT_PRODUCT!C198;PRODUCT!B:B;0)))</f>
        <v/>
      </c>
      <c r="E185" s="62">
        <f>IF(INPUT_PRODUCT!C198="";"";VLOOKUP(INPUT_PRODUCT!C198;PRODUCT!B:C;2;FALSE))</f>
        <v/>
      </c>
      <c r="F185" s="62">
        <f>IF(INPUT_PRODUCT!C198="";"";INPUT_PRODUCT!J198)</f>
        <v/>
      </c>
      <c r="G185" s="62">
        <f>IF(INPUT_PRODUCT!C198="";"";INPUT_PRODUCT!G198)</f>
        <v/>
      </c>
      <c r="H185" s="62">
        <f>IF(INPUT_PRODUCT!C198="";"";VLOOKUP(INPUT_PRODUCT!C198;PRODUCT!B:F;5;FALSE))</f>
        <v/>
      </c>
      <c r="I185" s="62">
        <f>IF(INPUT_PRODUCT!C198="";"";VLOOKUP(INPUT_PRODUCT!C198;PRODUCT!B:G;6;FALSE))</f>
        <v/>
      </c>
      <c r="J185" s="62">
        <f>IF(INPUT_PRODUCT!C198="";"";VLOOKUP(INPUT_PRODUCT!C198;PRODUCT!B:H;7;FALSE))</f>
        <v/>
      </c>
      <c r="K185" s="60">
        <f>IF(INPUT_PRODUCT!C198="";"";VLOOKUP(INPUT_PRODUCT!C198;PRODUCT!B:I;8;FALSE))</f>
        <v/>
      </c>
      <c r="L185" s="62">
        <f>IF(INPUT_PRODUCT!C198="";"";VLOOKUP(INPUT_PRODUCT!C198;PRODUCT!B:J;9;FALSE))</f>
        <v/>
      </c>
      <c r="M185" s="62">
        <f>IF(INPUT_PRODUCT!C198="";"";VLOOKUP(INPUT_PRODUCT!C198;PRODUCT!B:K;10;FALSE))</f>
        <v/>
      </c>
      <c r="N185" s="62">
        <f>IF(INPUT_PRODUCT!C198="";"";VLOOKUP(INPUT_PRODUCT!C198;PRODUCT!B:L;11;FALSE))</f>
        <v/>
      </c>
      <c r="O185" s="62">
        <f>IF(INPUT_PRODUCT!C198="";"";VLOOKUP(INPUT_PRODUCT!C198;PRODUCT!B:O;14;FALSE))</f>
        <v/>
      </c>
      <c r="P185" s="63">
        <f>IF(INPUT_PRODUCT!C198="";"";VLOOKUP(INPUT_PRODUCT!C198;PRODUCT!B:P;15;FALSE))</f>
        <v/>
      </c>
      <c r="Q185" s="63">
        <f>IF(INPUT_PRODUCT!C198="";"";INPUT_PRODUCT!K198)</f>
        <v/>
      </c>
      <c r="R185" s="63" t="inlineStr"/>
      <c r="S185" s="63">
        <f>IF(INPUT_PRODUCT!C198="";"";IF(O185="";"";O185*(1+Q185+R185)))</f>
        <v/>
      </c>
      <c r="T185" s="63">
        <f>IF(INPUT_PRODUCT!C198="";"";IF(S185="";"";S185*F185))</f>
        <v/>
      </c>
      <c r="U185" s="62">
        <f>CONFIG!$B$2</f>
        <v/>
      </c>
      <c r="V185" s="62">
        <f>IF(INPUT_PRODUCT!C198="";"";IF(S185="";"";S185*U185))</f>
        <v/>
      </c>
      <c r="W185" s="0">
        <f>IF(INPUT_PRODUCT!C198="";"";IF(T185="";"";T185*U185))</f>
        <v/>
      </c>
      <c r="X185" s="0">
        <f>IF(INPUT_PRODUCT!C198="";"";VLOOKUP(INPUT_PRODUCT!C198;PRODUCT!B:T;19;FALSE))</f>
        <v/>
      </c>
      <c r="Y185" s="0">
        <f>IF(INPUT_PRODUCT!C198="";"";INPUT_PRODUCT!L198)</f>
        <v/>
      </c>
    </row>
    <row r="186" ht="15.75" customHeight="1" s="125">
      <c r="A186" s="62">
        <f>IF(INPUT_PRODUCT!C199="";"";INPUT_PRODUCT!A199)</f>
        <v/>
      </c>
      <c r="B186" s="62">
        <f>IF(INPUT_PRODUCT!C199="";"";INPUT_PRODUCT!B199)</f>
        <v/>
      </c>
      <c r="C186" s="62">
        <f>IF(INPUT_PRODUCT!C199="";"";INPUT_PRODUCT!C199)</f>
        <v/>
      </c>
      <c r="D186" s="62">
        <f>IF(INPUT_PRODUCT!C199="";"";INDEX(PRODUCT!A:A;MATCH(INPUT_PRODUCT!C199;PRODUCT!B:B;0)))</f>
        <v/>
      </c>
      <c r="E186" s="62">
        <f>IF(INPUT_PRODUCT!C199="";"";VLOOKUP(INPUT_PRODUCT!C199;PRODUCT!B:C;2;FALSE))</f>
        <v/>
      </c>
      <c r="F186" s="62">
        <f>IF(INPUT_PRODUCT!C199="";"";INPUT_PRODUCT!J199)</f>
        <v/>
      </c>
      <c r="G186" s="62">
        <f>IF(INPUT_PRODUCT!C199="";"";INPUT_PRODUCT!G199)</f>
        <v/>
      </c>
      <c r="H186" s="62">
        <f>IF(INPUT_PRODUCT!C199="";"";VLOOKUP(INPUT_PRODUCT!C199;PRODUCT!B:F;5;FALSE))</f>
        <v/>
      </c>
      <c r="I186" s="62">
        <f>IF(INPUT_PRODUCT!C199="";"";VLOOKUP(INPUT_PRODUCT!C199;PRODUCT!B:G;6;FALSE))</f>
        <v/>
      </c>
      <c r="J186" s="62">
        <f>IF(INPUT_PRODUCT!C199="";"";VLOOKUP(INPUT_PRODUCT!C199;PRODUCT!B:H;7;FALSE))</f>
        <v/>
      </c>
      <c r="K186" s="60">
        <f>IF(INPUT_PRODUCT!C199="";"";VLOOKUP(INPUT_PRODUCT!C199;PRODUCT!B:I;8;FALSE))</f>
        <v/>
      </c>
      <c r="L186" s="62">
        <f>IF(INPUT_PRODUCT!C199="";"";VLOOKUP(INPUT_PRODUCT!C199;PRODUCT!B:J;9;FALSE))</f>
        <v/>
      </c>
      <c r="M186" s="62">
        <f>IF(INPUT_PRODUCT!C199="";"";VLOOKUP(INPUT_PRODUCT!C199;PRODUCT!B:K;10;FALSE))</f>
        <v/>
      </c>
      <c r="N186" s="62">
        <f>IF(INPUT_PRODUCT!C199="";"";VLOOKUP(INPUT_PRODUCT!C199;PRODUCT!B:L;11;FALSE))</f>
        <v/>
      </c>
      <c r="O186" s="62">
        <f>IF(INPUT_PRODUCT!C199="";"";VLOOKUP(INPUT_PRODUCT!C199;PRODUCT!B:O;14;FALSE))</f>
        <v/>
      </c>
      <c r="P186" s="63">
        <f>IF(INPUT_PRODUCT!C199="";"";VLOOKUP(INPUT_PRODUCT!C199;PRODUCT!B:P;15;FALSE))</f>
        <v/>
      </c>
      <c r="Q186" s="63">
        <f>IF(INPUT_PRODUCT!C199="";"";INPUT_PRODUCT!K199)</f>
        <v/>
      </c>
      <c r="R186" s="63" t="inlineStr"/>
      <c r="S186" s="63">
        <f>IF(INPUT_PRODUCT!C199="";"";IF(O186="";"";O186*(1+Q186+R186)))</f>
        <v/>
      </c>
      <c r="T186" s="63">
        <f>IF(INPUT_PRODUCT!C199="";"";IF(S186="";"";S186*F186))</f>
        <v/>
      </c>
      <c r="U186" s="62">
        <f>CONFIG!$B$2</f>
        <v/>
      </c>
      <c r="V186" s="62">
        <f>IF(INPUT_PRODUCT!C199="";"";IF(S186="";"";S186*U186))</f>
        <v/>
      </c>
      <c r="W186" s="0">
        <f>IF(INPUT_PRODUCT!C199="";"";IF(T186="";"";T186*U186))</f>
        <v/>
      </c>
      <c r="X186" s="0">
        <f>IF(INPUT_PRODUCT!C199="";"";VLOOKUP(INPUT_PRODUCT!C199;PRODUCT!B:T;19;FALSE))</f>
        <v/>
      </c>
      <c r="Y186" s="0">
        <f>IF(INPUT_PRODUCT!C199="";"";INPUT_PRODUCT!L199)</f>
        <v/>
      </c>
    </row>
    <row r="187" ht="15.75" customHeight="1" s="125">
      <c r="A187" s="62">
        <f>IF(INPUT_PRODUCT!C200="";"";INPUT_PRODUCT!A200)</f>
        <v/>
      </c>
      <c r="B187" s="62">
        <f>IF(INPUT_PRODUCT!C200="";"";INPUT_PRODUCT!B200)</f>
        <v/>
      </c>
      <c r="C187" s="62">
        <f>IF(INPUT_PRODUCT!C200="";"";INPUT_PRODUCT!C200)</f>
        <v/>
      </c>
      <c r="D187" s="62">
        <f>IF(INPUT_PRODUCT!C200="";"";INDEX(PRODUCT!A:A;MATCH(INPUT_PRODUCT!C200;PRODUCT!B:B;0)))</f>
        <v/>
      </c>
      <c r="E187" s="62">
        <f>IF(INPUT_PRODUCT!C200="";"";VLOOKUP(INPUT_PRODUCT!C200;PRODUCT!B:C;2;FALSE))</f>
        <v/>
      </c>
      <c r="F187" s="62">
        <f>IF(INPUT_PRODUCT!C200="";"";INPUT_PRODUCT!J200)</f>
        <v/>
      </c>
      <c r="G187" s="62">
        <f>IF(INPUT_PRODUCT!C200="";"";INPUT_PRODUCT!G200)</f>
        <v/>
      </c>
      <c r="H187" s="62">
        <f>IF(INPUT_PRODUCT!C200="";"";VLOOKUP(INPUT_PRODUCT!C200;PRODUCT!B:F;5;FALSE))</f>
        <v/>
      </c>
      <c r="I187" s="62">
        <f>IF(INPUT_PRODUCT!C200="";"";VLOOKUP(INPUT_PRODUCT!C200;PRODUCT!B:G;6;FALSE))</f>
        <v/>
      </c>
      <c r="J187" s="62">
        <f>IF(INPUT_PRODUCT!C200="";"";VLOOKUP(INPUT_PRODUCT!C200;PRODUCT!B:H;7;FALSE))</f>
        <v/>
      </c>
      <c r="K187" s="60">
        <f>IF(INPUT_PRODUCT!C200="";"";VLOOKUP(INPUT_PRODUCT!C200;PRODUCT!B:I;8;FALSE))</f>
        <v/>
      </c>
      <c r="L187" s="62">
        <f>IF(INPUT_PRODUCT!C200="";"";VLOOKUP(INPUT_PRODUCT!C200;PRODUCT!B:J;9;FALSE))</f>
        <v/>
      </c>
      <c r="M187" s="62">
        <f>IF(INPUT_PRODUCT!C200="";"";VLOOKUP(INPUT_PRODUCT!C200;PRODUCT!B:K;10;FALSE))</f>
        <v/>
      </c>
      <c r="N187" s="62">
        <f>IF(INPUT_PRODUCT!C200="";"";VLOOKUP(INPUT_PRODUCT!C200;PRODUCT!B:L;11;FALSE))</f>
        <v/>
      </c>
      <c r="O187" s="62">
        <f>IF(INPUT_PRODUCT!C200="";"";VLOOKUP(INPUT_PRODUCT!C200;PRODUCT!B:O;14;FALSE))</f>
        <v/>
      </c>
      <c r="P187" s="63">
        <f>IF(INPUT_PRODUCT!C200="";"";VLOOKUP(INPUT_PRODUCT!C200;PRODUCT!B:P;15;FALSE))</f>
        <v/>
      </c>
      <c r="Q187" s="63">
        <f>IF(INPUT_PRODUCT!C200="";"";INPUT_PRODUCT!K200)</f>
        <v/>
      </c>
      <c r="R187" s="63" t="inlineStr"/>
      <c r="S187" s="63">
        <f>IF(INPUT_PRODUCT!C200="";"";IF(O187="";"";O187*(1+Q187+R187)))</f>
        <v/>
      </c>
      <c r="T187" s="63">
        <f>IF(INPUT_PRODUCT!C200="";"";IF(S187="";"";S187*F187))</f>
        <v/>
      </c>
      <c r="U187" s="62">
        <f>CONFIG!$B$2</f>
        <v/>
      </c>
      <c r="V187" s="62">
        <f>IF(INPUT_PRODUCT!C200="";"";IF(S187="";"";S187*U187))</f>
        <v/>
      </c>
      <c r="W187" s="0">
        <f>IF(INPUT_PRODUCT!C200="";"";IF(T187="";"";T187*U187))</f>
        <v/>
      </c>
      <c r="X187" s="0">
        <f>IF(INPUT_PRODUCT!C200="";"";VLOOKUP(INPUT_PRODUCT!C200;PRODUCT!B:T;19;FALSE))</f>
        <v/>
      </c>
      <c r="Y187" s="0">
        <f>IF(INPUT_PRODUCT!C200="";"";INPUT_PRODUCT!L200)</f>
        <v/>
      </c>
    </row>
    <row r="188" ht="15.75" customHeight="1" s="125">
      <c r="A188" s="62">
        <f>IF(INPUT_PRODUCT!C201="";"";INPUT_PRODUCT!A201)</f>
        <v/>
      </c>
      <c r="B188" s="62">
        <f>IF(INPUT_PRODUCT!C201="";"";INPUT_PRODUCT!B201)</f>
        <v/>
      </c>
      <c r="C188" s="62">
        <f>IF(INPUT_PRODUCT!C201="";"";INPUT_PRODUCT!C201)</f>
        <v/>
      </c>
      <c r="D188" s="62">
        <f>IF(INPUT_PRODUCT!C201="";"";INDEX(PRODUCT!A:A;MATCH(INPUT_PRODUCT!C201;PRODUCT!B:B;0)))</f>
        <v/>
      </c>
      <c r="E188" s="62">
        <f>IF(INPUT_PRODUCT!C201="";"";VLOOKUP(INPUT_PRODUCT!C201;PRODUCT!B:C;2;FALSE))</f>
        <v/>
      </c>
      <c r="F188" s="62">
        <f>IF(INPUT_PRODUCT!C201="";"";INPUT_PRODUCT!J201)</f>
        <v/>
      </c>
      <c r="G188" s="62">
        <f>IF(INPUT_PRODUCT!C201="";"";INPUT_PRODUCT!G201)</f>
        <v/>
      </c>
      <c r="H188" s="62">
        <f>IF(INPUT_PRODUCT!C201="";"";VLOOKUP(INPUT_PRODUCT!C201;PRODUCT!B:F;5;FALSE))</f>
        <v/>
      </c>
      <c r="I188" s="62">
        <f>IF(INPUT_PRODUCT!C201="";"";VLOOKUP(INPUT_PRODUCT!C201;PRODUCT!B:G;6;FALSE))</f>
        <v/>
      </c>
      <c r="J188" s="62">
        <f>IF(INPUT_PRODUCT!C201="";"";VLOOKUP(INPUT_PRODUCT!C201;PRODUCT!B:H;7;FALSE))</f>
        <v/>
      </c>
      <c r="K188" s="60">
        <f>IF(INPUT_PRODUCT!C201="";"";VLOOKUP(INPUT_PRODUCT!C201;PRODUCT!B:I;8;FALSE))</f>
        <v/>
      </c>
      <c r="L188" s="62">
        <f>IF(INPUT_PRODUCT!C201="";"";VLOOKUP(INPUT_PRODUCT!C201;PRODUCT!B:J;9;FALSE))</f>
        <v/>
      </c>
      <c r="M188" s="62">
        <f>IF(INPUT_PRODUCT!C201="";"";VLOOKUP(INPUT_PRODUCT!C201;PRODUCT!B:K;10;FALSE))</f>
        <v/>
      </c>
      <c r="N188" s="62">
        <f>IF(INPUT_PRODUCT!C201="";"";VLOOKUP(INPUT_PRODUCT!C201;PRODUCT!B:L;11;FALSE))</f>
        <v/>
      </c>
      <c r="O188" s="62">
        <f>IF(INPUT_PRODUCT!C201="";"";VLOOKUP(INPUT_PRODUCT!C201;PRODUCT!B:O;14;FALSE))</f>
        <v/>
      </c>
      <c r="P188" s="63">
        <f>IF(INPUT_PRODUCT!C201="";"";VLOOKUP(INPUT_PRODUCT!C201;PRODUCT!B:P;15;FALSE))</f>
        <v/>
      </c>
      <c r="Q188" s="63">
        <f>IF(INPUT_PRODUCT!C201="";"";INPUT_PRODUCT!K201)</f>
        <v/>
      </c>
      <c r="R188" s="63" t="inlineStr"/>
      <c r="S188" s="63">
        <f>IF(INPUT_PRODUCT!C201="";"";IF(O188="";"";O188*(1+Q188+R188)))</f>
        <v/>
      </c>
      <c r="T188" s="63">
        <f>IF(INPUT_PRODUCT!C201="";"";IF(S188="";"";S188*F188))</f>
        <v/>
      </c>
      <c r="U188" s="62">
        <f>CONFIG!$B$2</f>
        <v/>
      </c>
      <c r="V188" s="62">
        <f>IF(INPUT_PRODUCT!C201="";"";IF(S188="";"";S188*U188))</f>
        <v/>
      </c>
      <c r="W188" s="0">
        <f>IF(INPUT_PRODUCT!C201="";"";IF(T188="";"";T188*U188))</f>
        <v/>
      </c>
      <c r="X188" s="0">
        <f>IF(INPUT_PRODUCT!C201="";"";VLOOKUP(INPUT_PRODUCT!C201;PRODUCT!B:T;19;FALSE))</f>
        <v/>
      </c>
      <c r="Y188" s="0">
        <f>IF(INPUT_PRODUCT!C201="";"";INPUT_PRODUCT!L201)</f>
        <v/>
      </c>
    </row>
    <row r="189" ht="15.75" customHeight="1" s="125">
      <c r="A189" s="62">
        <f>IF(INPUT_PRODUCT!C202="";"";INPUT_PRODUCT!A202)</f>
        <v/>
      </c>
      <c r="B189" s="62">
        <f>IF(INPUT_PRODUCT!C202="";"";INPUT_PRODUCT!B202)</f>
        <v/>
      </c>
      <c r="C189" s="62">
        <f>IF(INPUT_PRODUCT!C202="";"";INPUT_PRODUCT!C202)</f>
        <v/>
      </c>
      <c r="D189" s="62">
        <f>IF(INPUT_PRODUCT!C202="";"";INDEX(PRODUCT!A:A;MATCH(INPUT_PRODUCT!C202;PRODUCT!B:B;0)))</f>
        <v/>
      </c>
      <c r="E189" s="62">
        <f>IF(INPUT_PRODUCT!C202="";"";VLOOKUP(INPUT_PRODUCT!C202;PRODUCT!B:C;2;FALSE))</f>
        <v/>
      </c>
      <c r="F189" s="62">
        <f>IF(INPUT_PRODUCT!C202="";"";INPUT_PRODUCT!J202)</f>
        <v/>
      </c>
      <c r="G189" s="62">
        <f>IF(INPUT_PRODUCT!C202="";"";INPUT_PRODUCT!G202)</f>
        <v/>
      </c>
      <c r="H189" s="62">
        <f>IF(INPUT_PRODUCT!C202="";"";VLOOKUP(INPUT_PRODUCT!C202;PRODUCT!B:F;5;FALSE))</f>
        <v/>
      </c>
      <c r="I189" s="62">
        <f>IF(INPUT_PRODUCT!C202="";"";VLOOKUP(INPUT_PRODUCT!C202;PRODUCT!B:G;6;FALSE))</f>
        <v/>
      </c>
      <c r="J189" s="62">
        <f>IF(INPUT_PRODUCT!C202="";"";VLOOKUP(INPUT_PRODUCT!C202;PRODUCT!B:H;7;FALSE))</f>
        <v/>
      </c>
      <c r="K189" s="60">
        <f>IF(INPUT_PRODUCT!C202="";"";VLOOKUP(INPUT_PRODUCT!C202;PRODUCT!B:I;8;FALSE))</f>
        <v/>
      </c>
      <c r="L189" s="62">
        <f>IF(INPUT_PRODUCT!C202="";"";VLOOKUP(INPUT_PRODUCT!C202;PRODUCT!B:J;9;FALSE))</f>
        <v/>
      </c>
      <c r="M189" s="62">
        <f>IF(INPUT_PRODUCT!C202="";"";VLOOKUP(INPUT_PRODUCT!C202;PRODUCT!B:K;10;FALSE))</f>
        <v/>
      </c>
      <c r="N189" s="62">
        <f>IF(INPUT_PRODUCT!C202="";"";VLOOKUP(INPUT_PRODUCT!C202;PRODUCT!B:L;11;FALSE))</f>
        <v/>
      </c>
      <c r="O189" s="62">
        <f>IF(INPUT_PRODUCT!C202="";"";VLOOKUP(INPUT_PRODUCT!C202;PRODUCT!B:O;14;FALSE))</f>
        <v/>
      </c>
      <c r="P189" s="63">
        <f>IF(INPUT_PRODUCT!C202="";"";VLOOKUP(INPUT_PRODUCT!C202;PRODUCT!B:P;15;FALSE))</f>
        <v/>
      </c>
      <c r="Q189" s="63">
        <f>IF(INPUT_PRODUCT!C202="";"";INPUT_PRODUCT!K202)</f>
        <v/>
      </c>
      <c r="R189" s="63" t="inlineStr"/>
      <c r="S189" s="63">
        <f>IF(INPUT_PRODUCT!C202="";"";IF(O189="";"";O189*(1+Q189+R189)))</f>
        <v/>
      </c>
      <c r="T189" s="63">
        <f>IF(INPUT_PRODUCT!C202="";"";IF(S189="";"";S189*F189))</f>
        <v/>
      </c>
      <c r="U189" s="62">
        <f>CONFIG!$B$2</f>
        <v/>
      </c>
      <c r="V189" s="62">
        <f>IF(INPUT_PRODUCT!C202="";"";IF(S189="";"";S189*U189))</f>
        <v/>
      </c>
      <c r="W189" s="0">
        <f>IF(INPUT_PRODUCT!C202="";"";IF(T189="";"";T189*U189))</f>
        <v/>
      </c>
      <c r="X189" s="0">
        <f>IF(INPUT_PRODUCT!C202="";"";VLOOKUP(INPUT_PRODUCT!C202;PRODUCT!B:T;19;FALSE))</f>
        <v/>
      </c>
      <c r="Y189" s="0">
        <f>IF(INPUT_PRODUCT!C202="";"";INPUT_PRODUCT!L202)</f>
        <v/>
      </c>
    </row>
    <row r="190" ht="15.75" customHeight="1" s="125">
      <c r="A190" s="62">
        <f>IF(INPUT_PRODUCT!C203="";"";INPUT_PRODUCT!A203)</f>
        <v/>
      </c>
      <c r="B190" s="62">
        <f>IF(INPUT_PRODUCT!C203="";"";INPUT_PRODUCT!B203)</f>
        <v/>
      </c>
      <c r="C190" s="62">
        <f>IF(INPUT_PRODUCT!C203="";"";INPUT_PRODUCT!C203)</f>
        <v/>
      </c>
      <c r="D190" s="62">
        <f>IF(INPUT_PRODUCT!C203="";"";INDEX(PRODUCT!A:A;MATCH(INPUT_PRODUCT!C203;PRODUCT!B:B;0)))</f>
        <v/>
      </c>
      <c r="E190" s="62">
        <f>IF(INPUT_PRODUCT!C203="";"";VLOOKUP(INPUT_PRODUCT!C203;PRODUCT!B:C;2;FALSE))</f>
        <v/>
      </c>
      <c r="F190" s="62">
        <f>IF(INPUT_PRODUCT!C203="";"";INPUT_PRODUCT!J203)</f>
        <v/>
      </c>
      <c r="G190" s="62">
        <f>IF(INPUT_PRODUCT!C203="";"";INPUT_PRODUCT!G203)</f>
        <v/>
      </c>
      <c r="H190" s="62">
        <f>IF(INPUT_PRODUCT!C203="";"";VLOOKUP(INPUT_PRODUCT!C203;PRODUCT!B:F;5;FALSE))</f>
        <v/>
      </c>
      <c r="I190" s="62">
        <f>IF(INPUT_PRODUCT!C203="";"";VLOOKUP(INPUT_PRODUCT!C203;PRODUCT!B:G;6;FALSE))</f>
        <v/>
      </c>
      <c r="J190" s="62">
        <f>IF(INPUT_PRODUCT!C203="";"";VLOOKUP(INPUT_PRODUCT!C203;PRODUCT!B:H;7;FALSE))</f>
        <v/>
      </c>
      <c r="K190" s="60">
        <f>IF(INPUT_PRODUCT!C203="";"";VLOOKUP(INPUT_PRODUCT!C203;PRODUCT!B:I;8;FALSE))</f>
        <v/>
      </c>
      <c r="L190" s="62">
        <f>IF(INPUT_PRODUCT!C203="";"";VLOOKUP(INPUT_PRODUCT!C203;PRODUCT!B:J;9;FALSE))</f>
        <v/>
      </c>
      <c r="M190" s="62">
        <f>IF(INPUT_PRODUCT!C203="";"";VLOOKUP(INPUT_PRODUCT!C203;PRODUCT!B:K;10;FALSE))</f>
        <v/>
      </c>
      <c r="N190" s="62">
        <f>IF(INPUT_PRODUCT!C203="";"";VLOOKUP(INPUT_PRODUCT!C203;PRODUCT!B:L;11;FALSE))</f>
        <v/>
      </c>
      <c r="O190" s="62">
        <f>IF(INPUT_PRODUCT!C203="";"";VLOOKUP(INPUT_PRODUCT!C203;PRODUCT!B:O;14;FALSE))</f>
        <v/>
      </c>
      <c r="P190" s="63">
        <f>IF(INPUT_PRODUCT!C203="";"";VLOOKUP(INPUT_PRODUCT!C203;PRODUCT!B:P;15;FALSE))</f>
        <v/>
      </c>
      <c r="Q190" s="63">
        <f>IF(INPUT_PRODUCT!C203="";"";INPUT_PRODUCT!K203)</f>
        <v/>
      </c>
      <c r="R190" s="63" t="inlineStr"/>
      <c r="S190" s="63">
        <f>IF(INPUT_PRODUCT!C203="";"";IF(O190="";"";O190*(1+Q190+R190)))</f>
        <v/>
      </c>
      <c r="T190" s="63">
        <f>IF(INPUT_PRODUCT!C203="";"";IF(S190="";"";S190*F190))</f>
        <v/>
      </c>
      <c r="U190" s="62">
        <f>CONFIG!$B$2</f>
        <v/>
      </c>
      <c r="V190" s="62">
        <f>IF(INPUT_PRODUCT!C203="";"";IF(S190="";"";S190*U190))</f>
        <v/>
      </c>
      <c r="W190" s="0">
        <f>IF(INPUT_PRODUCT!C203="";"";IF(T190="";"";T190*U190))</f>
        <v/>
      </c>
      <c r="X190" s="0">
        <f>IF(INPUT_PRODUCT!C203="";"";VLOOKUP(INPUT_PRODUCT!C203;PRODUCT!B:T;19;FALSE))</f>
        <v/>
      </c>
      <c r="Y190" s="0">
        <f>IF(INPUT_PRODUCT!C203="";"";INPUT_PRODUCT!L203)</f>
        <v/>
      </c>
    </row>
    <row r="191" ht="15.75" customHeight="1" s="125">
      <c r="A191" s="62">
        <f>IF(INPUT_PRODUCT!C204="";"";INPUT_PRODUCT!A204)</f>
        <v/>
      </c>
      <c r="B191" s="62">
        <f>IF(INPUT_PRODUCT!C204="";"";INPUT_PRODUCT!B204)</f>
        <v/>
      </c>
      <c r="C191" s="62">
        <f>IF(INPUT_PRODUCT!C204="";"";INPUT_PRODUCT!C204)</f>
        <v/>
      </c>
      <c r="D191" s="62">
        <f>IF(INPUT_PRODUCT!C204="";"";INDEX(PRODUCT!A:A;MATCH(INPUT_PRODUCT!C204;PRODUCT!B:B;0)))</f>
        <v/>
      </c>
      <c r="E191" s="62">
        <f>IF(INPUT_PRODUCT!C204="";"";VLOOKUP(INPUT_PRODUCT!C204;PRODUCT!B:C;2;FALSE))</f>
        <v/>
      </c>
      <c r="F191" s="62">
        <f>IF(INPUT_PRODUCT!C204="";"";INPUT_PRODUCT!J204)</f>
        <v/>
      </c>
      <c r="G191" s="62">
        <f>IF(INPUT_PRODUCT!C204="";"";INPUT_PRODUCT!G204)</f>
        <v/>
      </c>
      <c r="H191" s="62">
        <f>IF(INPUT_PRODUCT!C204="";"";VLOOKUP(INPUT_PRODUCT!C204;PRODUCT!B:F;5;FALSE))</f>
        <v/>
      </c>
      <c r="I191" s="62">
        <f>IF(INPUT_PRODUCT!C204="";"";VLOOKUP(INPUT_PRODUCT!C204;PRODUCT!B:G;6;FALSE))</f>
        <v/>
      </c>
      <c r="J191" s="62">
        <f>IF(INPUT_PRODUCT!C204="";"";VLOOKUP(INPUT_PRODUCT!C204;PRODUCT!B:H;7;FALSE))</f>
        <v/>
      </c>
      <c r="K191" s="60">
        <f>IF(INPUT_PRODUCT!C204="";"";VLOOKUP(INPUT_PRODUCT!C204;PRODUCT!B:I;8;FALSE))</f>
        <v/>
      </c>
      <c r="L191" s="62">
        <f>IF(INPUT_PRODUCT!C204="";"";VLOOKUP(INPUT_PRODUCT!C204;PRODUCT!B:J;9;FALSE))</f>
        <v/>
      </c>
      <c r="M191" s="62">
        <f>IF(INPUT_PRODUCT!C204="";"";VLOOKUP(INPUT_PRODUCT!C204;PRODUCT!B:K;10;FALSE))</f>
        <v/>
      </c>
      <c r="N191" s="62">
        <f>IF(INPUT_PRODUCT!C204="";"";VLOOKUP(INPUT_PRODUCT!C204;PRODUCT!B:L;11;FALSE))</f>
        <v/>
      </c>
      <c r="O191" s="62">
        <f>IF(INPUT_PRODUCT!C204="";"";VLOOKUP(INPUT_PRODUCT!C204;PRODUCT!B:O;14;FALSE))</f>
        <v/>
      </c>
      <c r="P191" s="63">
        <f>IF(INPUT_PRODUCT!C204="";"";VLOOKUP(INPUT_PRODUCT!C204;PRODUCT!B:P;15;FALSE))</f>
        <v/>
      </c>
      <c r="Q191" s="63">
        <f>IF(INPUT_PRODUCT!C204="";"";INPUT_PRODUCT!K204)</f>
        <v/>
      </c>
      <c r="R191" s="63" t="inlineStr"/>
      <c r="S191" s="63">
        <f>IF(INPUT_PRODUCT!C204="";"";IF(O191="";"";O191*(1+Q191+R191)))</f>
        <v/>
      </c>
      <c r="T191" s="63">
        <f>IF(INPUT_PRODUCT!C204="";"";IF(S191="";"";S191*F191))</f>
        <v/>
      </c>
      <c r="U191" s="62">
        <f>CONFIG!$B$2</f>
        <v/>
      </c>
      <c r="V191" s="62">
        <f>IF(INPUT_PRODUCT!C204="";"";IF(S191="";"";S191*U191))</f>
        <v/>
      </c>
      <c r="W191" s="0">
        <f>IF(INPUT_PRODUCT!C204="";"";IF(T191="";"";T191*U191))</f>
        <v/>
      </c>
      <c r="X191" s="0">
        <f>IF(INPUT_PRODUCT!C204="";"";VLOOKUP(INPUT_PRODUCT!C204;PRODUCT!B:T;19;FALSE))</f>
        <v/>
      </c>
      <c r="Y191" s="0">
        <f>IF(INPUT_PRODUCT!C204="";"";INPUT_PRODUCT!L204)</f>
        <v/>
      </c>
    </row>
    <row r="192" ht="15.75" customHeight="1" s="125">
      <c r="A192" s="62">
        <f>IF(INPUT_PRODUCT!C205="";"";INPUT_PRODUCT!A205)</f>
        <v/>
      </c>
      <c r="B192" s="62">
        <f>IF(INPUT_PRODUCT!C205="";"";INPUT_PRODUCT!B205)</f>
        <v/>
      </c>
      <c r="C192" s="62">
        <f>IF(INPUT_PRODUCT!C205="";"";INPUT_PRODUCT!C205)</f>
        <v/>
      </c>
      <c r="D192" s="62">
        <f>IF(INPUT_PRODUCT!C205="";"";INDEX(PRODUCT!A:A;MATCH(INPUT_PRODUCT!C205;PRODUCT!B:B;0)))</f>
        <v/>
      </c>
      <c r="E192" s="62">
        <f>IF(INPUT_PRODUCT!C205="";"";VLOOKUP(INPUT_PRODUCT!C205;PRODUCT!B:C;2;FALSE))</f>
        <v/>
      </c>
      <c r="F192" s="62">
        <f>IF(INPUT_PRODUCT!C205="";"";INPUT_PRODUCT!J205)</f>
        <v/>
      </c>
      <c r="G192" s="62">
        <f>IF(INPUT_PRODUCT!C205="";"";INPUT_PRODUCT!G205)</f>
        <v/>
      </c>
      <c r="H192" s="62">
        <f>IF(INPUT_PRODUCT!C205="";"";VLOOKUP(INPUT_PRODUCT!C205;PRODUCT!B:F;5;FALSE))</f>
        <v/>
      </c>
      <c r="I192" s="62">
        <f>IF(INPUT_PRODUCT!C205="";"";VLOOKUP(INPUT_PRODUCT!C205;PRODUCT!B:G;6;FALSE))</f>
        <v/>
      </c>
      <c r="J192" s="62">
        <f>IF(INPUT_PRODUCT!C205="";"";VLOOKUP(INPUT_PRODUCT!C205;PRODUCT!B:H;7;FALSE))</f>
        <v/>
      </c>
      <c r="K192" s="60">
        <f>IF(INPUT_PRODUCT!C205="";"";VLOOKUP(INPUT_PRODUCT!C205;PRODUCT!B:I;8;FALSE))</f>
        <v/>
      </c>
      <c r="L192" s="62">
        <f>IF(INPUT_PRODUCT!C205="";"";VLOOKUP(INPUT_PRODUCT!C205;PRODUCT!B:J;9;FALSE))</f>
        <v/>
      </c>
      <c r="M192" s="62">
        <f>IF(INPUT_PRODUCT!C205="";"";VLOOKUP(INPUT_PRODUCT!C205;PRODUCT!B:K;10;FALSE))</f>
        <v/>
      </c>
      <c r="N192" s="62">
        <f>IF(INPUT_PRODUCT!C205="";"";VLOOKUP(INPUT_PRODUCT!C205;PRODUCT!B:L;11;FALSE))</f>
        <v/>
      </c>
      <c r="O192" s="62">
        <f>IF(INPUT_PRODUCT!C205="";"";VLOOKUP(INPUT_PRODUCT!C205;PRODUCT!B:O;14;FALSE))</f>
        <v/>
      </c>
      <c r="P192" s="63">
        <f>IF(INPUT_PRODUCT!C205="";"";VLOOKUP(INPUT_PRODUCT!C205;PRODUCT!B:P;15;FALSE))</f>
        <v/>
      </c>
      <c r="Q192" s="63">
        <f>IF(INPUT_PRODUCT!C205="";"";INPUT_PRODUCT!K205)</f>
        <v/>
      </c>
      <c r="R192" s="63" t="inlineStr"/>
      <c r="S192" s="63">
        <f>IF(INPUT_PRODUCT!C205="";"";IF(O192="";"";O192*(1+Q192+R192)))</f>
        <v/>
      </c>
      <c r="T192" s="63">
        <f>IF(INPUT_PRODUCT!C205="";"";IF(S192="";"";S192*F192))</f>
        <v/>
      </c>
      <c r="U192" s="62">
        <f>CONFIG!$B$2</f>
        <v/>
      </c>
      <c r="V192" s="62">
        <f>IF(INPUT_PRODUCT!C205="";"";IF(S192="";"";S192*U192))</f>
        <v/>
      </c>
      <c r="W192" s="0">
        <f>IF(INPUT_PRODUCT!C205="";"";IF(T192="";"";T192*U192))</f>
        <v/>
      </c>
      <c r="X192" s="0">
        <f>IF(INPUT_PRODUCT!C205="";"";VLOOKUP(INPUT_PRODUCT!C205;PRODUCT!B:T;19;FALSE))</f>
        <v/>
      </c>
      <c r="Y192" s="0">
        <f>IF(INPUT_PRODUCT!C205="";"";INPUT_PRODUCT!L205)</f>
        <v/>
      </c>
    </row>
    <row r="193" ht="15.75" customHeight="1" s="125">
      <c r="A193" s="62">
        <f>IF(INPUT_PRODUCT!C206="";"";INPUT_PRODUCT!A206)</f>
        <v/>
      </c>
      <c r="B193" s="62">
        <f>IF(INPUT_PRODUCT!C206="";"";INPUT_PRODUCT!B206)</f>
        <v/>
      </c>
      <c r="C193" s="62">
        <f>IF(INPUT_PRODUCT!C206="";"";INPUT_PRODUCT!C206)</f>
        <v/>
      </c>
      <c r="D193" s="62">
        <f>IF(INPUT_PRODUCT!C206="";"";INDEX(PRODUCT!A:A;MATCH(INPUT_PRODUCT!C206;PRODUCT!B:B;0)))</f>
        <v/>
      </c>
      <c r="E193" s="62">
        <f>IF(INPUT_PRODUCT!C206="";"";VLOOKUP(INPUT_PRODUCT!C206;PRODUCT!B:C;2;FALSE))</f>
        <v/>
      </c>
      <c r="F193" s="62">
        <f>IF(INPUT_PRODUCT!C206="";"";INPUT_PRODUCT!J206)</f>
        <v/>
      </c>
      <c r="G193" s="62">
        <f>IF(INPUT_PRODUCT!C206="";"";INPUT_PRODUCT!G206)</f>
        <v/>
      </c>
      <c r="H193" s="62">
        <f>IF(INPUT_PRODUCT!C206="";"";VLOOKUP(INPUT_PRODUCT!C206;PRODUCT!B:F;5;FALSE))</f>
        <v/>
      </c>
      <c r="I193" s="62">
        <f>IF(INPUT_PRODUCT!C206="";"";VLOOKUP(INPUT_PRODUCT!C206;PRODUCT!B:G;6;FALSE))</f>
        <v/>
      </c>
      <c r="J193" s="62">
        <f>IF(INPUT_PRODUCT!C206="";"";VLOOKUP(INPUT_PRODUCT!C206;PRODUCT!B:H;7;FALSE))</f>
        <v/>
      </c>
      <c r="K193" s="60">
        <f>IF(INPUT_PRODUCT!C206="";"";VLOOKUP(INPUT_PRODUCT!C206;PRODUCT!B:I;8;FALSE))</f>
        <v/>
      </c>
      <c r="L193" s="62">
        <f>IF(INPUT_PRODUCT!C206="";"";VLOOKUP(INPUT_PRODUCT!C206;PRODUCT!B:J;9;FALSE))</f>
        <v/>
      </c>
      <c r="M193" s="62">
        <f>IF(INPUT_PRODUCT!C206="";"";VLOOKUP(INPUT_PRODUCT!C206;PRODUCT!B:K;10;FALSE))</f>
        <v/>
      </c>
      <c r="N193" s="62">
        <f>IF(INPUT_PRODUCT!C206="";"";VLOOKUP(INPUT_PRODUCT!C206;PRODUCT!B:L;11;FALSE))</f>
        <v/>
      </c>
      <c r="O193" s="62">
        <f>IF(INPUT_PRODUCT!C206="";"";VLOOKUP(INPUT_PRODUCT!C206;PRODUCT!B:O;14;FALSE))</f>
        <v/>
      </c>
      <c r="P193" s="63">
        <f>IF(INPUT_PRODUCT!C206="";"";VLOOKUP(INPUT_PRODUCT!C206;PRODUCT!B:P;15;FALSE))</f>
        <v/>
      </c>
      <c r="Q193" s="63">
        <f>IF(INPUT_PRODUCT!C206="";"";INPUT_PRODUCT!K206)</f>
        <v/>
      </c>
      <c r="R193" s="63" t="inlineStr"/>
      <c r="S193" s="63">
        <f>IF(INPUT_PRODUCT!C206="";"";IF(O193="";"";O193*(1+Q193+R193)))</f>
        <v/>
      </c>
      <c r="T193" s="63">
        <f>IF(INPUT_PRODUCT!C206="";"";IF(S193="";"";S193*F193))</f>
        <v/>
      </c>
      <c r="U193" s="62">
        <f>CONFIG!$B$2</f>
        <v/>
      </c>
      <c r="V193" s="62">
        <f>IF(INPUT_PRODUCT!C206="";"";IF(S193="";"";S193*U193))</f>
        <v/>
      </c>
      <c r="W193" s="0">
        <f>IF(INPUT_PRODUCT!C206="";"";IF(T193="";"";T193*U193))</f>
        <v/>
      </c>
      <c r="X193" s="0">
        <f>IF(INPUT_PRODUCT!C206="";"";VLOOKUP(INPUT_PRODUCT!C206;PRODUCT!B:T;19;FALSE))</f>
        <v/>
      </c>
      <c r="Y193" s="0">
        <f>IF(INPUT_PRODUCT!C206="";"";INPUT_PRODUCT!L206)</f>
        <v/>
      </c>
    </row>
    <row r="194" ht="15.75" customHeight="1" s="125">
      <c r="A194" s="62">
        <f>IF(INPUT_PRODUCT!C207="";"";INPUT_PRODUCT!A207)</f>
        <v/>
      </c>
      <c r="B194" s="62">
        <f>IF(INPUT_PRODUCT!C207="";"";INPUT_PRODUCT!B207)</f>
        <v/>
      </c>
      <c r="C194" s="62">
        <f>IF(INPUT_PRODUCT!C207="";"";INPUT_PRODUCT!C207)</f>
        <v/>
      </c>
      <c r="D194" s="62">
        <f>IF(INPUT_PRODUCT!C207="";"";INDEX(PRODUCT!A:A;MATCH(INPUT_PRODUCT!C207;PRODUCT!B:B;0)))</f>
        <v/>
      </c>
      <c r="E194" s="62">
        <f>IF(INPUT_PRODUCT!C207="";"";VLOOKUP(INPUT_PRODUCT!C207;PRODUCT!B:C;2;FALSE))</f>
        <v/>
      </c>
      <c r="F194" s="62">
        <f>IF(INPUT_PRODUCT!C207="";"";INPUT_PRODUCT!J207)</f>
        <v/>
      </c>
      <c r="G194" s="62">
        <f>IF(INPUT_PRODUCT!C207="";"";INPUT_PRODUCT!G207)</f>
        <v/>
      </c>
      <c r="H194" s="62">
        <f>IF(INPUT_PRODUCT!C207="";"";VLOOKUP(INPUT_PRODUCT!C207;PRODUCT!B:F;5;FALSE))</f>
        <v/>
      </c>
      <c r="I194" s="62">
        <f>IF(INPUT_PRODUCT!C207="";"";VLOOKUP(INPUT_PRODUCT!C207;PRODUCT!B:G;6;FALSE))</f>
        <v/>
      </c>
      <c r="J194" s="62">
        <f>IF(INPUT_PRODUCT!C207="";"";VLOOKUP(INPUT_PRODUCT!C207;PRODUCT!B:H;7;FALSE))</f>
        <v/>
      </c>
      <c r="K194" s="60">
        <f>IF(INPUT_PRODUCT!C207="";"";VLOOKUP(INPUT_PRODUCT!C207;PRODUCT!B:I;8;FALSE))</f>
        <v/>
      </c>
      <c r="L194" s="62">
        <f>IF(INPUT_PRODUCT!C207="";"";VLOOKUP(INPUT_PRODUCT!C207;PRODUCT!B:J;9;FALSE))</f>
        <v/>
      </c>
      <c r="M194" s="62">
        <f>IF(INPUT_PRODUCT!C207="";"";VLOOKUP(INPUT_PRODUCT!C207;PRODUCT!B:K;10;FALSE))</f>
        <v/>
      </c>
      <c r="N194" s="62">
        <f>IF(INPUT_PRODUCT!C207="";"";VLOOKUP(INPUT_PRODUCT!C207;PRODUCT!B:L;11;FALSE))</f>
        <v/>
      </c>
      <c r="O194" s="62">
        <f>IF(INPUT_PRODUCT!C207="";"";VLOOKUP(INPUT_PRODUCT!C207;PRODUCT!B:O;14;FALSE))</f>
        <v/>
      </c>
      <c r="P194" s="63">
        <f>IF(INPUT_PRODUCT!C207="";"";VLOOKUP(INPUT_PRODUCT!C207;PRODUCT!B:P;15;FALSE))</f>
        <v/>
      </c>
      <c r="Q194" s="63">
        <f>IF(INPUT_PRODUCT!C207="";"";INPUT_PRODUCT!K207)</f>
        <v/>
      </c>
      <c r="R194" s="63" t="inlineStr"/>
      <c r="S194" s="63">
        <f>IF(INPUT_PRODUCT!C207="";"";IF(O194="";"";O194*(1+Q194+R194)))</f>
        <v/>
      </c>
      <c r="T194" s="63">
        <f>IF(INPUT_PRODUCT!C207="";"";IF(S194="";"";S194*F194))</f>
        <v/>
      </c>
      <c r="U194" s="62">
        <f>CONFIG!$B$2</f>
        <v/>
      </c>
      <c r="V194" s="62">
        <f>IF(INPUT_PRODUCT!C207="";"";IF(S194="";"";S194*U194))</f>
        <v/>
      </c>
      <c r="W194" s="0">
        <f>IF(INPUT_PRODUCT!C207="";"";IF(T194="";"";T194*U194))</f>
        <v/>
      </c>
      <c r="X194" s="0">
        <f>IF(INPUT_PRODUCT!C207="";"";VLOOKUP(INPUT_PRODUCT!C207;PRODUCT!B:T;19;FALSE))</f>
        <v/>
      </c>
      <c r="Y194" s="0">
        <f>IF(INPUT_PRODUCT!C207="";"";INPUT_PRODUCT!L207)</f>
        <v/>
      </c>
    </row>
    <row r="195" ht="15.75" customHeight="1" s="125">
      <c r="A195" s="62">
        <f>IF(INPUT_PRODUCT!C208="";"";INPUT_PRODUCT!A208)</f>
        <v/>
      </c>
      <c r="B195" s="62">
        <f>IF(INPUT_PRODUCT!C208="";"";INPUT_PRODUCT!B208)</f>
        <v/>
      </c>
      <c r="C195" s="62">
        <f>IF(INPUT_PRODUCT!C208="";"";INPUT_PRODUCT!C208)</f>
        <v/>
      </c>
      <c r="D195" s="62">
        <f>IF(INPUT_PRODUCT!C208="";"";INDEX(PRODUCT!A:A;MATCH(INPUT_PRODUCT!C208;PRODUCT!B:B;0)))</f>
        <v/>
      </c>
      <c r="E195" s="62">
        <f>IF(INPUT_PRODUCT!C208="";"";VLOOKUP(INPUT_PRODUCT!C208;PRODUCT!B:C;2;FALSE))</f>
        <v/>
      </c>
      <c r="F195" s="62">
        <f>IF(INPUT_PRODUCT!C208="";"";INPUT_PRODUCT!J208)</f>
        <v/>
      </c>
      <c r="G195" s="62">
        <f>IF(INPUT_PRODUCT!C208="";"";INPUT_PRODUCT!G208)</f>
        <v/>
      </c>
      <c r="H195" s="62">
        <f>IF(INPUT_PRODUCT!C208="";"";VLOOKUP(INPUT_PRODUCT!C208;PRODUCT!B:F;5;FALSE))</f>
        <v/>
      </c>
      <c r="I195" s="62">
        <f>IF(INPUT_PRODUCT!C208="";"";VLOOKUP(INPUT_PRODUCT!C208;PRODUCT!B:G;6;FALSE))</f>
        <v/>
      </c>
      <c r="J195" s="62">
        <f>IF(INPUT_PRODUCT!C208="";"";VLOOKUP(INPUT_PRODUCT!C208;PRODUCT!B:H;7;FALSE))</f>
        <v/>
      </c>
      <c r="K195" s="60">
        <f>IF(INPUT_PRODUCT!C208="";"";VLOOKUP(INPUT_PRODUCT!C208;PRODUCT!B:I;8;FALSE))</f>
        <v/>
      </c>
      <c r="L195" s="62">
        <f>IF(INPUT_PRODUCT!C208="";"";VLOOKUP(INPUT_PRODUCT!C208;PRODUCT!B:J;9;FALSE))</f>
        <v/>
      </c>
      <c r="M195" s="62">
        <f>IF(INPUT_PRODUCT!C208="";"";VLOOKUP(INPUT_PRODUCT!C208;PRODUCT!B:K;10;FALSE))</f>
        <v/>
      </c>
      <c r="N195" s="62">
        <f>IF(INPUT_PRODUCT!C208="";"";VLOOKUP(INPUT_PRODUCT!C208;PRODUCT!B:L;11;FALSE))</f>
        <v/>
      </c>
      <c r="O195" s="62">
        <f>IF(INPUT_PRODUCT!C208="";"";VLOOKUP(INPUT_PRODUCT!C208;PRODUCT!B:O;14;FALSE))</f>
        <v/>
      </c>
      <c r="P195" s="63">
        <f>IF(INPUT_PRODUCT!C208="";"";VLOOKUP(INPUT_PRODUCT!C208;PRODUCT!B:P;15;FALSE))</f>
        <v/>
      </c>
      <c r="Q195" s="63">
        <f>IF(INPUT_PRODUCT!C208="";"";INPUT_PRODUCT!K208)</f>
        <v/>
      </c>
      <c r="R195" s="63" t="inlineStr"/>
      <c r="S195" s="63">
        <f>IF(INPUT_PRODUCT!C208="";"";IF(O195="";"";O195*(1+Q195+R195)))</f>
        <v/>
      </c>
      <c r="T195" s="63">
        <f>IF(INPUT_PRODUCT!C208="";"";IF(S195="";"";S195*F195))</f>
        <v/>
      </c>
      <c r="U195" s="62">
        <f>CONFIG!$B$2</f>
        <v/>
      </c>
      <c r="V195" s="62">
        <f>IF(INPUT_PRODUCT!C208="";"";IF(S195="";"";S195*U195))</f>
        <v/>
      </c>
      <c r="W195" s="0">
        <f>IF(INPUT_PRODUCT!C208="";"";IF(T195="";"";T195*U195))</f>
        <v/>
      </c>
      <c r="X195" s="0">
        <f>IF(INPUT_PRODUCT!C208="";"";VLOOKUP(INPUT_PRODUCT!C208;PRODUCT!B:T;19;FALSE))</f>
        <v/>
      </c>
      <c r="Y195" s="0">
        <f>IF(INPUT_PRODUCT!C208="";"";INPUT_PRODUCT!L208)</f>
        <v/>
      </c>
    </row>
    <row r="196" ht="15.75" customHeight="1" s="125">
      <c r="A196" s="62">
        <f>IF(INPUT_PRODUCT!C209="";"";INPUT_PRODUCT!A209)</f>
        <v/>
      </c>
      <c r="B196" s="62">
        <f>IF(INPUT_PRODUCT!C209="";"";INPUT_PRODUCT!B209)</f>
        <v/>
      </c>
      <c r="C196" s="62">
        <f>IF(INPUT_PRODUCT!C209="";"";INPUT_PRODUCT!C209)</f>
        <v/>
      </c>
      <c r="D196" s="62">
        <f>IF(INPUT_PRODUCT!C209="";"";INDEX(PRODUCT!A:A;MATCH(INPUT_PRODUCT!C209;PRODUCT!B:B;0)))</f>
        <v/>
      </c>
      <c r="E196" s="62">
        <f>IF(INPUT_PRODUCT!C209="";"";VLOOKUP(INPUT_PRODUCT!C209;PRODUCT!B:C;2;FALSE))</f>
        <v/>
      </c>
      <c r="F196" s="62">
        <f>IF(INPUT_PRODUCT!C209="";"";INPUT_PRODUCT!J209)</f>
        <v/>
      </c>
      <c r="G196" s="62">
        <f>IF(INPUT_PRODUCT!C209="";"";INPUT_PRODUCT!G209)</f>
        <v/>
      </c>
      <c r="H196" s="62">
        <f>IF(INPUT_PRODUCT!C209="";"";VLOOKUP(INPUT_PRODUCT!C209;PRODUCT!B:F;5;FALSE))</f>
        <v/>
      </c>
      <c r="I196" s="62">
        <f>IF(INPUT_PRODUCT!C209="";"";VLOOKUP(INPUT_PRODUCT!C209;PRODUCT!B:G;6;FALSE))</f>
        <v/>
      </c>
      <c r="J196" s="62">
        <f>IF(INPUT_PRODUCT!C209="";"";VLOOKUP(INPUT_PRODUCT!C209;PRODUCT!B:H;7;FALSE))</f>
        <v/>
      </c>
      <c r="K196" s="60">
        <f>IF(INPUT_PRODUCT!C209="";"";VLOOKUP(INPUT_PRODUCT!C209;PRODUCT!B:I;8;FALSE))</f>
        <v/>
      </c>
      <c r="L196" s="62">
        <f>IF(INPUT_PRODUCT!C209="";"";VLOOKUP(INPUT_PRODUCT!C209;PRODUCT!B:J;9;FALSE))</f>
        <v/>
      </c>
      <c r="M196" s="62">
        <f>IF(INPUT_PRODUCT!C209="";"";VLOOKUP(INPUT_PRODUCT!C209;PRODUCT!B:K;10;FALSE))</f>
        <v/>
      </c>
      <c r="N196" s="62">
        <f>IF(INPUT_PRODUCT!C209="";"";VLOOKUP(INPUT_PRODUCT!C209;PRODUCT!B:L;11;FALSE))</f>
        <v/>
      </c>
      <c r="O196" s="62">
        <f>IF(INPUT_PRODUCT!C209="";"";VLOOKUP(INPUT_PRODUCT!C209;PRODUCT!B:O;14;FALSE))</f>
        <v/>
      </c>
      <c r="P196" s="63">
        <f>IF(INPUT_PRODUCT!C209="";"";VLOOKUP(INPUT_PRODUCT!C209;PRODUCT!B:P;15;FALSE))</f>
        <v/>
      </c>
      <c r="Q196" s="63">
        <f>IF(INPUT_PRODUCT!C209="";"";INPUT_PRODUCT!K209)</f>
        <v/>
      </c>
      <c r="R196" s="63" t="inlineStr"/>
      <c r="S196" s="63">
        <f>IF(INPUT_PRODUCT!C209="";"";IF(O196="";"";O196*(1+Q196+R196)))</f>
        <v/>
      </c>
      <c r="T196" s="63">
        <f>IF(INPUT_PRODUCT!C209="";"";IF(S196="";"";S196*F196))</f>
        <v/>
      </c>
      <c r="U196" s="62">
        <f>CONFIG!$B$2</f>
        <v/>
      </c>
      <c r="V196" s="62">
        <f>IF(INPUT_PRODUCT!C209="";"";IF(S196="";"";S196*U196))</f>
        <v/>
      </c>
      <c r="W196" s="0">
        <f>IF(INPUT_PRODUCT!C209="";"";IF(T196="";"";T196*U196))</f>
        <v/>
      </c>
      <c r="X196" s="0">
        <f>IF(INPUT_PRODUCT!C209="";"";VLOOKUP(INPUT_PRODUCT!C209;PRODUCT!B:T;19;FALSE))</f>
        <v/>
      </c>
      <c r="Y196" s="0">
        <f>IF(INPUT_PRODUCT!C209="";"";INPUT_PRODUCT!L209)</f>
        <v/>
      </c>
    </row>
    <row r="197" ht="15.75" customHeight="1" s="125">
      <c r="A197" s="62">
        <f>IF(INPUT_PRODUCT!C210="";"";INPUT_PRODUCT!A210)</f>
        <v/>
      </c>
      <c r="B197" s="62">
        <f>IF(INPUT_PRODUCT!C210="";"";INPUT_PRODUCT!B210)</f>
        <v/>
      </c>
      <c r="C197" s="62">
        <f>IF(INPUT_PRODUCT!C210="";"";INPUT_PRODUCT!C210)</f>
        <v/>
      </c>
      <c r="D197" s="62">
        <f>IF(INPUT_PRODUCT!C210="";"";INDEX(PRODUCT!A:A;MATCH(INPUT_PRODUCT!C210;PRODUCT!B:B;0)))</f>
        <v/>
      </c>
      <c r="E197" s="62">
        <f>IF(INPUT_PRODUCT!C210="";"";VLOOKUP(INPUT_PRODUCT!C210;PRODUCT!B:C;2;FALSE))</f>
        <v/>
      </c>
      <c r="F197" s="62">
        <f>IF(INPUT_PRODUCT!C210="";"";INPUT_PRODUCT!J210)</f>
        <v/>
      </c>
      <c r="G197" s="62">
        <f>IF(INPUT_PRODUCT!C210="";"";INPUT_PRODUCT!G210)</f>
        <v/>
      </c>
      <c r="H197" s="62">
        <f>IF(INPUT_PRODUCT!C210="";"";VLOOKUP(INPUT_PRODUCT!C210;PRODUCT!B:F;5;FALSE))</f>
        <v/>
      </c>
      <c r="I197" s="62">
        <f>IF(INPUT_PRODUCT!C210="";"";VLOOKUP(INPUT_PRODUCT!C210;PRODUCT!B:G;6;FALSE))</f>
        <v/>
      </c>
      <c r="J197" s="62">
        <f>IF(INPUT_PRODUCT!C210="";"";VLOOKUP(INPUT_PRODUCT!C210;PRODUCT!B:H;7;FALSE))</f>
        <v/>
      </c>
      <c r="K197" s="60">
        <f>IF(INPUT_PRODUCT!C210="";"";VLOOKUP(INPUT_PRODUCT!C210;PRODUCT!B:I;8;FALSE))</f>
        <v/>
      </c>
      <c r="L197" s="62">
        <f>IF(INPUT_PRODUCT!C210="";"";VLOOKUP(INPUT_PRODUCT!C210;PRODUCT!B:J;9;FALSE))</f>
        <v/>
      </c>
      <c r="M197" s="62">
        <f>IF(INPUT_PRODUCT!C210="";"";VLOOKUP(INPUT_PRODUCT!C210;PRODUCT!B:K;10;FALSE))</f>
        <v/>
      </c>
      <c r="N197" s="62">
        <f>IF(INPUT_PRODUCT!C210="";"";VLOOKUP(INPUT_PRODUCT!C210;PRODUCT!B:L;11;FALSE))</f>
        <v/>
      </c>
      <c r="O197" s="62">
        <f>IF(INPUT_PRODUCT!C210="";"";VLOOKUP(INPUT_PRODUCT!C210;PRODUCT!B:O;14;FALSE))</f>
        <v/>
      </c>
      <c r="P197" s="63">
        <f>IF(INPUT_PRODUCT!C210="";"";VLOOKUP(INPUT_PRODUCT!C210;PRODUCT!B:P;15;FALSE))</f>
        <v/>
      </c>
      <c r="Q197" s="63">
        <f>IF(INPUT_PRODUCT!C210="";"";INPUT_PRODUCT!K210)</f>
        <v/>
      </c>
      <c r="R197" s="63" t="inlineStr"/>
      <c r="S197" s="63">
        <f>IF(INPUT_PRODUCT!C210="";"";IF(O197="";"";O197*(1+Q197+R197)))</f>
        <v/>
      </c>
      <c r="T197" s="63">
        <f>IF(INPUT_PRODUCT!C210="";"";IF(S197="";"";S197*F197))</f>
        <v/>
      </c>
      <c r="U197" s="62">
        <f>CONFIG!$B$2</f>
        <v/>
      </c>
      <c r="V197" s="62">
        <f>IF(INPUT_PRODUCT!C210="";"";IF(S197="";"";S197*U197))</f>
        <v/>
      </c>
      <c r="W197" s="0">
        <f>IF(INPUT_PRODUCT!C210="";"";IF(T197="";"";T197*U197))</f>
        <v/>
      </c>
      <c r="X197" s="0">
        <f>IF(INPUT_PRODUCT!C210="";"";VLOOKUP(INPUT_PRODUCT!C210;PRODUCT!B:T;19;FALSE))</f>
        <v/>
      </c>
      <c r="Y197" s="0">
        <f>IF(INPUT_PRODUCT!C210="";"";INPUT_PRODUCT!L210)</f>
        <v/>
      </c>
    </row>
    <row r="198" ht="15.75" customHeight="1" s="125">
      <c r="A198" s="62">
        <f>IF(INPUT_PRODUCT!C211="";"";INPUT_PRODUCT!A211)</f>
        <v/>
      </c>
      <c r="B198" s="62">
        <f>IF(INPUT_PRODUCT!C211="";"";INPUT_PRODUCT!B211)</f>
        <v/>
      </c>
      <c r="C198" s="62">
        <f>IF(INPUT_PRODUCT!C211="";"";INPUT_PRODUCT!C211)</f>
        <v/>
      </c>
      <c r="D198" s="62">
        <f>IF(INPUT_PRODUCT!C211="";"";INDEX(PRODUCT!A:A;MATCH(INPUT_PRODUCT!C211;PRODUCT!B:B;0)))</f>
        <v/>
      </c>
      <c r="E198" s="62">
        <f>IF(INPUT_PRODUCT!C211="";"";VLOOKUP(INPUT_PRODUCT!C211;PRODUCT!B:C;2;FALSE))</f>
        <v/>
      </c>
      <c r="F198" s="62">
        <f>IF(INPUT_PRODUCT!C211="";"";INPUT_PRODUCT!J211)</f>
        <v/>
      </c>
      <c r="G198" s="62">
        <f>IF(INPUT_PRODUCT!C211="";"";INPUT_PRODUCT!G211)</f>
        <v/>
      </c>
      <c r="H198" s="62">
        <f>IF(INPUT_PRODUCT!C211="";"";VLOOKUP(INPUT_PRODUCT!C211;PRODUCT!B:F;5;FALSE))</f>
        <v/>
      </c>
      <c r="I198" s="62">
        <f>IF(INPUT_PRODUCT!C211="";"";VLOOKUP(INPUT_PRODUCT!C211;PRODUCT!B:G;6;FALSE))</f>
        <v/>
      </c>
      <c r="J198" s="62">
        <f>IF(INPUT_PRODUCT!C211="";"";VLOOKUP(INPUT_PRODUCT!C211;PRODUCT!B:H;7;FALSE))</f>
        <v/>
      </c>
      <c r="K198" s="60">
        <f>IF(INPUT_PRODUCT!C211="";"";VLOOKUP(INPUT_PRODUCT!C211;PRODUCT!B:I;8;FALSE))</f>
        <v/>
      </c>
      <c r="L198" s="62">
        <f>IF(INPUT_PRODUCT!C211="";"";VLOOKUP(INPUT_PRODUCT!C211;PRODUCT!B:J;9;FALSE))</f>
        <v/>
      </c>
      <c r="M198" s="62">
        <f>IF(INPUT_PRODUCT!C211="";"";VLOOKUP(INPUT_PRODUCT!C211;PRODUCT!B:K;10;FALSE))</f>
        <v/>
      </c>
      <c r="N198" s="62">
        <f>IF(INPUT_PRODUCT!C211="";"";VLOOKUP(INPUT_PRODUCT!C211;PRODUCT!B:L;11;FALSE))</f>
        <v/>
      </c>
      <c r="O198" s="62">
        <f>IF(INPUT_PRODUCT!C211="";"";VLOOKUP(INPUT_PRODUCT!C211;PRODUCT!B:O;14;FALSE))</f>
        <v/>
      </c>
      <c r="P198" s="63">
        <f>IF(INPUT_PRODUCT!C211="";"";VLOOKUP(INPUT_PRODUCT!C211;PRODUCT!B:P;15;FALSE))</f>
        <v/>
      </c>
      <c r="Q198" s="63">
        <f>IF(INPUT_PRODUCT!C211="";"";INPUT_PRODUCT!K211)</f>
        <v/>
      </c>
      <c r="R198" s="63" t="inlineStr"/>
      <c r="S198" s="63">
        <f>IF(INPUT_PRODUCT!C211="";"";IF(O198="";"";O198*(1+Q198+R198)))</f>
        <v/>
      </c>
      <c r="T198" s="63">
        <f>IF(INPUT_PRODUCT!C211="";"";IF(S198="";"";S198*F198))</f>
        <v/>
      </c>
      <c r="U198" s="62">
        <f>CONFIG!$B$2</f>
        <v/>
      </c>
      <c r="V198" s="62">
        <f>IF(INPUT_PRODUCT!C211="";"";IF(S198="";"";S198*U198))</f>
        <v/>
      </c>
      <c r="W198" s="0">
        <f>IF(INPUT_PRODUCT!C211="";"";IF(T198="";"";T198*U198))</f>
        <v/>
      </c>
      <c r="X198" s="0">
        <f>IF(INPUT_PRODUCT!C211="";"";VLOOKUP(INPUT_PRODUCT!C211;PRODUCT!B:T;19;FALSE))</f>
        <v/>
      </c>
      <c r="Y198" s="0">
        <f>IF(INPUT_PRODUCT!C211="";"";INPUT_PRODUCT!L211)</f>
        <v/>
      </c>
    </row>
    <row r="199" ht="15.75" customHeight="1" s="125">
      <c r="A199" s="62">
        <f>IF(INPUT_PRODUCT!C212="";"";INPUT_PRODUCT!A212)</f>
        <v/>
      </c>
      <c r="B199" s="62">
        <f>IF(INPUT_PRODUCT!C212="";"";INPUT_PRODUCT!B212)</f>
        <v/>
      </c>
      <c r="C199" s="62">
        <f>IF(INPUT_PRODUCT!C212="";"";INPUT_PRODUCT!C212)</f>
        <v/>
      </c>
      <c r="D199" s="62">
        <f>IF(INPUT_PRODUCT!C212="";"";INDEX(PRODUCT!A:A;MATCH(INPUT_PRODUCT!C212;PRODUCT!B:B;0)))</f>
        <v/>
      </c>
      <c r="E199" s="62">
        <f>IF(INPUT_PRODUCT!C212="";"";VLOOKUP(INPUT_PRODUCT!C212;PRODUCT!B:C;2;FALSE))</f>
        <v/>
      </c>
      <c r="F199" s="62">
        <f>IF(INPUT_PRODUCT!C212="";"";INPUT_PRODUCT!J212)</f>
        <v/>
      </c>
      <c r="G199" s="62">
        <f>IF(INPUT_PRODUCT!C212="";"";INPUT_PRODUCT!G212)</f>
        <v/>
      </c>
      <c r="H199" s="62">
        <f>IF(INPUT_PRODUCT!C212="";"";VLOOKUP(INPUT_PRODUCT!C212;PRODUCT!B:F;5;FALSE))</f>
        <v/>
      </c>
      <c r="I199" s="62">
        <f>IF(INPUT_PRODUCT!C212="";"";VLOOKUP(INPUT_PRODUCT!C212;PRODUCT!B:G;6;FALSE))</f>
        <v/>
      </c>
      <c r="J199" s="62">
        <f>IF(INPUT_PRODUCT!C212="";"";VLOOKUP(INPUT_PRODUCT!C212;PRODUCT!B:H;7;FALSE))</f>
        <v/>
      </c>
      <c r="K199" s="60">
        <f>IF(INPUT_PRODUCT!C212="";"";VLOOKUP(INPUT_PRODUCT!C212;PRODUCT!B:I;8;FALSE))</f>
        <v/>
      </c>
      <c r="L199" s="62">
        <f>IF(INPUT_PRODUCT!C212="";"";VLOOKUP(INPUT_PRODUCT!C212;PRODUCT!B:J;9;FALSE))</f>
        <v/>
      </c>
      <c r="M199" s="62">
        <f>IF(INPUT_PRODUCT!C212="";"";VLOOKUP(INPUT_PRODUCT!C212;PRODUCT!B:K;10;FALSE))</f>
        <v/>
      </c>
      <c r="N199" s="62">
        <f>IF(INPUT_PRODUCT!C212="";"";VLOOKUP(INPUT_PRODUCT!C212;PRODUCT!B:L;11;FALSE))</f>
        <v/>
      </c>
      <c r="O199" s="62">
        <f>IF(INPUT_PRODUCT!C212="";"";VLOOKUP(INPUT_PRODUCT!C212;PRODUCT!B:O;14;FALSE))</f>
        <v/>
      </c>
      <c r="P199" s="63">
        <f>IF(INPUT_PRODUCT!C212="";"";VLOOKUP(INPUT_PRODUCT!C212;PRODUCT!B:P;15;FALSE))</f>
        <v/>
      </c>
      <c r="Q199" s="63">
        <f>IF(INPUT_PRODUCT!C212="";"";INPUT_PRODUCT!K212)</f>
        <v/>
      </c>
      <c r="R199" s="63" t="inlineStr"/>
      <c r="S199" s="63">
        <f>IF(INPUT_PRODUCT!C212="";"";IF(O199="";"";O199*(1+Q199+R199)))</f>
        <v/>
      </c>
      <c r="T199" s="63">
        <f>IF(INPUT_PRODUCT!C212="";"";IF(S199="";"";S199*F199))</f>
        <v/>
      </c>
      <c r="U199" s="62">
        <f>CONFIG!$B$2</f>
        <v/>
      </c>
      <c r="V199" s="62">
        <f>IF(INPUT_PRODUCT!C212="";"";IF(S199="";"";S199*U199))</f>
        <v/>
      </c>
      <c r="W199" s="0">
        <f>IF(INPUT_PRODUCT!C212="";"";IF(T199="";"";T199*U199))</f>
        <v/>
      </c>
      <c r="X199" s="0">
        <f>IF(INPUT_PRODUCT!C212="";"";VLOOKUP(INPUT_PRODUCT!C212;PRODUCT!B:T;19;FALSE))</f>
        <v/>
      </c>
      <c r="Y199" s="0">
        <f>IF(INPUT_PRODUCT!C212="";"";INPUT_PRODUCT!L212)</f>
        <v/>
      </c>
    </row>
    <row r="200" ht="15.75" customHeight="1" s="125">
      <c r="A200" s="62" t="n"/>
      <c r="B200" s="62" t="n"/>
      <c r="C200" s="62" t="n"/>
      <c r="D200" s="62" t="n"/>
      <c r="E200" s="62" t="n"/>
      <c r="F200" s="62" t="n"/>
      <c r="G200" s="62" t="n"/>
      <c r="H200" s="62" t="n"/>
      <c r="I200" s="62" t="n"/>
      <c r="J200" s="62" t="n"/>
      <c r="K200" s="60" t="n"/>
      <c r="L200" s="62" t="n"/>
      <c r="M200" s="62" t="n"/>
      <c r="N200" s="62" t="n"/>
      <c r="O200" s="62" t="n"/>
      <c r="P200" s="63" t="n"/>
      <c r="Q200" s="63" t="n"/>
      <c r="R200" s="63" t="n"/>
      <c r="S200" s="63" t="n"/>
      <c r="T200" s="63" t="n"/>
      <c r="U200" s="62" t="n"/>
      <c r="V200" s="62" t="n"/>
    </row>
    <row r="201" ht="15.75" customHeight="1" s="125">
      <c r="A201" s="62" t="n"/>
      <c r="B201" s="62" t="n"/>
      <c r="C201" s="62" t="n"/>
      <c r="D201" s="62" t="n"/>
      <c r="E201" s="62" t="n"/>
      <c r="F201" s="62" t="n"/>
      <c r="G201" s="62" t="n"/>
      <c r="H201" s="62" t="n"/>
      <c r="I201" s="62" t="n"/>
      <c r="J201" s="62" t="n"/>
      <c r="K201" s="60" t="n"/>
      <c r="L201" s="62" t="n"/>
      <c r="M201" s="62" t="n"/>
      <c r="N201" s="62" t="n"/>
      <c r="O201" s="62" t="n"/>
      <c r="P201" s="63" t="n"/>
      <c r="Q201" s="63" t="n"/>
      <c r="R201" s="63" t="n"/>
      <c r="S201" s="63" t="n"/>
      <c r="T201" s="63" t="n"/>
      <c r="U201" s="62" t="n"/>
      <c r="V201" s="62" t="n"/>
    </row>
    <row r="202" ht="15.75" customHeight="1" s="125">
      <c r="A202" s="62" t="n"/>
      <c r="B202" s="62" t="n"/>
      <c r="C202" s="62" t="n"/>
      <c r="D202" s="62" t="n"/>
      <c r="E202" s="62" t="n"/>
      <c r="F202" s="62" t="n"/>
      <c r="G202" s="62" t="n"/>
      <c r="H202" s="62" t="n"/>
      <c r="I202" s="62" t="n"/>
      <c r="J202" s="62" t="n"/>
      <c r="K202" s="60" t="n"/>
      <c r="L202" s="62" t="n"/>
      <c r="M202" s="62" t="n"/>
      <c r="N202" s="62" t="n"/>
      <c r="O202" s="62" t="n"/>
      <c r="P202" s="63" t="n"/>
      <c r="Q202" s="63" t="n"/>
      <c r="R202" s="63" t="n"/>
      <c r="S202" s="63" t="n"/>
      <c r="T202" s="63" t="n"/>
      <c r="U202" s="62" t="n"/>
      <c r="V202" s="62" t="n"/>
    </row>
    <row r="203" ht="15.75" customHeight="1" s="125">
      <c r="A203" s="62" t="n"/>
      <c r="B203" s="62" t="n"/>
      <c r="C203" s="62" t="n"/>
      <c r="D203" s="62" t="n"/>
      <c r="E203" s="62" t="n"/>
      <c r="F203" s="62" t="n"/>
      <c r="G203" s="62" t="n"/>
      <c r="H203" s="62" t="n"/>
      <c r="I203" s="62" t="n"/>
      <c r="J203" s="62" t="n"/>
      <c r="K203" s="60" t="n"/>
      <c r="L203" s="62" t="n"/>
      <c r="M203" s="62" t="n"/>
      <c r="N203" s="62" t="n"/>
      <c r="O203" s="62" t="n"/>
      <c r="P203" s="63" t="n"/>
      <c r="Q203" s="63" t="n"/>
      <c r="R203" s="63" t="n"/>
      <c r="S203" s="63" t="n"/>
      <c r="T203" s="63" t="n"/>
      <c r="U203" s="62" t="n"/>
      <c r="V203" s="62" t="n"/>
    </row>
    <row r="204" ht="15.75" customHeight="1" s="125">
      <c r="A204" s="62" t="n"/>
      <c r="B204" s="62" t="n"/>
      <c r="C204" s="62" t="n"/>
      <c r="D204" s="62" t="n"/>
      <c r="E204" s="62" t="n"/>
      <c r="F204" s="62" t="n"/>
      <c r="G204" s="62" t="n"/>
      <c r="H204" s="62" t="n"/>
      <c r="I204" s="62" t="n"/>
      <c r="J204" s="62" t="n"/>
      <c r="K204" s="60" t="n"/>
      <c r="L204" s="62" t="n"/>
      <c r="M204" s="62" t="n"/>
      <c r="N204" s="62" t="n"/>
      <c r="O204" s="62" t="n"/>
      <c r="P204" s="63" t="n"/>
      <c r="Q204" s="63" t="n"/>
      <c r="R204" s="63" t="n"/>
      <c r="S204" s="63" t="n"/>
      <c r="T204" s="63" t="n"/>
      <c r="U204" s="62" t="n"/>
      <c r="V204" s="62" t="n"/>
    </row>
    <row r="205" ht="15.75" customHeight="1" s="125">
      <c r="A205" s="62" t="n"/>
      <c r="B205" s="62" t="n"/>
      <c r="C205" s="62" t="n"/>
      <c r="D205" s="62" t="n"/>
      <c r="E205" s="62" t="n"/>
      <c r="F205" s="62" t="n"/>
      <c r="G205" s="62" t="n"/>
      <c r="H205" s="62" t="n"/>
      <c r="I205" s="62" t="n"/>
      <c r="J205" s="62" t="n"/>
      <c r="K205" s="60" t="n"/>
      <c r="L205" s="62" t="n"/>
      <c r="M205" s="62" t="n"/>
      <c r="N205" s="62" t="n"/>
      <c r="O205" s="62" t="n"/>
      <c r="P205" s="63" t="n"/>
      <c r="Q205" s="63" t="n"/>
      <c r="R205" s="63" t="n"/>
      <c r="S205" s="63" t="n"/>
      <c r="T205" s="63" t="n"/>
      <c r="U205" s="62" t="n"/>
      <c r="V205" s="62" t="n"/>
    </row>
    <row r="206" ht="15.75" customHeight="1" s="125">
      <c r="A206" s="62" t="n"/>
      <c r="B206" s="62" t="n"/>
      <c r="C206" s="62" t="n"/>
      <c r="D206" s="62" t="n"/>
      <c r="E206" s="62" t="n"/>
      <c r="F206" s="62" t="n"/>
      <c r="G206" s="62" t="n"/>
      <c r="H206" s="62" t="n"/>
      <c r="I206" s="62" t="n"/>
      <c r="J206" s="62" t="n"/>
      <c r="K206" s="60" t="n"/>
      <c r="L206" s="62" t="n"/>
      <c r="M206" s="62" t="n"/>
      <c r="N206" s="62" t="n"/>
      <c r="O206" s="62" t="n"/>
      <c r="P206" s="63" t="n"/>
      <c r="Q206" s="63" t="n"/>
      <c r="R206" s="63" t="n"/>
      <c r="S206" s="63" t="n"/>
      <c r="T206" s="63" t="n"/>
      <c r="U206" s="62" t="n"/>
      <c r="V206" s="62" t="n"/>
    </row>
    <row r="207" ht="15.75" customHeight="1" s="125">
      <c r="A207" s="62" t="n"/>
      <c r="B207" s="62" t="n"/>
      <c r="C207" s="62" t="n"/>
      <c r="D207" s="62" t="n"/>
      <c r="E207" s="62" t="n"/>
      <c r="F207" s="62" t="n"/>
      <c r="G207" s="62" t="n"/>
      <c r="H207" s="62" t="n"/>
      <c r="I207" s="62" t="n"/>
      <c r="J207" s="62" t="n"/>
      <c r="K207" s="60" t="n"/>
      <c r="L207" s="62" t="n"/>
      <c r="M207" s="62" t="n"/>
      <c r="N207" s="62" t="n"/>
      <c r="O207" s="62" t="n"/>
      <c r="P207" s="63" t="n"/>
      <c r="Q207" s="63" t="n"/>
      <c r="R207" s="63" t="n"/>
      <c r="S207" s="63" t="n"/>
      <c r="T207" s="63" t="n"/>
      <c r="U207" s="62" t="n"/>
      <c r="V207" s="62" t="n"/>
    </row>
    <row r="208" ht="15.75" customHeight="1" s="125">
      <c r="A208" s="62" t="n"/>
      <c r="B208" s="62" t="n"/>
      <c r="C208" s="62" t="n"/>
      <c r="D208" s="62" t="n"/>
      <c r="E208" s="62" t="n"/>
      <c r="F208" s="62" t="n"/>
      <c r="G208" s="62" t="n"/>
      <c r="H208" s="62" t="n"/>
      <c r="I208" s="62" t="n"/>
      <c r="J208" s="62" t="n"/>
      <c r="K208" s="60" t="n"/>
      <c r="L208" s="62" t="n"/>
      <c r="M208" s="62" t="n"/>
      <c r="N208" s="62" t="n"/>
      <c r="O208" s="62" t="n"/>
      <c r="P208" s="63" t="n"/>
      <c r="Q208" s="63" t="n"/>
      <c r="R208" s="63" t="n"/>
      <c r="S208" s="63" t="n"/>
      <c r="T208" s="63" t="n"/>
      <c r="U208" s="62" t="n"/>
      <c r="V208" s="62" t="n"/>
    </row>
    <row r="209" ht="15.75" customHeight="1" s="125">
      <c r="A209" s="62" t="n"/>
      <c r="B209" s="62" t="n"/>
      <c r="C209" s="62" t="n"/>
      <c r="D209" s="62" t="n"/>
      <c r="E209" s="62" t="n"/>
      <c r="F209" s="62" t="n"/>
      <c r="G209" s="62" t="n"/>
      <c r="H209" s="62" t="n"/>
      <c r="I209" s="62" t="n"/>
      <c r="J209" s="62" t="n"/>
      <c r="K209" s="60" t="n"/>
      <c r="L209" s="62" t="n"/>
      <c r="M209" s="62" t="n"/>
      <c r="N209" s="62" t="n"/>
      <c r="O209" s="62" t="n"/>
      <c r="P209" s="63" t="n"/>
      <c r="Q209" s="63" t="n"/>
      <c r="R209" s="63" t="n"/>
      <c r="S209" s="63" t="n"/>
      <c r="T209" s="63" t="n"/>
      <c r="U209" s="62" t="n"/>
      <c r="V209" s="62" t="n"/>
    </row>
    <row r="210" ht="15.75" customHeight="1" s="125">
      <c r="A210" s="62" t="n"/>
      <c r="B210" s="62" t="n"/>
      <c r="C210" s="62" t="n"/>
      <c r="D210" s="62" t="n"/>
      <c r="E210" s="62" t="n"/>
      <c r="F210" s="62" t="n"/>
      <c r="G210" s="62" t="n"/>
      <c r="H210" s="62" t="n"/>
      <c r="I210" s="62" t="n"/>
      <c r="J210" s="62" t="n"/>
      <c r="K210" s="60" t="n"/>
      <c r="L210" s="62" t="n"/>
      <c r="M210" s="62" t="n"/>
      <c r="N210" s="62" t="n"/>
      <c r="O210" s="62" t="n"/>
      <c r="P210" s="63" t="n"/>
      <c r="Q210" s="63" t="n"/>
      <c r="R210" s="63" t="n"/>
      <c r="S210" s="63" t="n"/>
      <c r="T210" s="63" t="n"/>
      <c r="U210" s="62" t="n"/>
      <c r="V210" s="62" t="n"/>
    </row>
    <row r="211" ht="15.75" customHeight="1" s="125">
      <c r="A211" s="62" t="n"/>
      <c r="B211" s="62" t="n"/>
      <c r="C211" s="62" t="n"/>
      <c r="D211" s="62" t="n"/>
      <c r="E211" s="62" t="n"/>
      <c r="F211" s="62" t="n"/>
      <c r="G211" s="62" t="n"/>
      <c r="H211" s="62" t="n"/>
      <c r="I211" s="62" t="n"/>
      <c r="J211" s="62" t="n"/>
      <c r="K211" s="60" t="n"/>
      <c r="L211" s="62" t="n"/>
      <c r="M211" s="62" t="n"/>
      <c r="N211" s="62" t="n"/>
      <c r="O211" s="62" t="n"/>
      <c r="P211" s="63" t="n"/>
      <c r="Q211" s="63" t="n"/>
      <c r="R211" s="63" t="n"/>
      <c r="S211" s="63" t="n"/>
      <c r="T211" s="63" t="n"/>
      <c r="U211" s="62" t="n"/>
      <c r="V211" s="62" t="n"/>
    </row>
    <row r="212" ht="15.75" customHeight="1" s="125">
      <c r="A212" s="62" t="n"/>
      <c r="B212" s="62" t="n"/>
      <c r="C212" s="62" t="n"/>
      <c r="D212" s="62" t="n"/>
      <c r="E212" s="62" t="n"/>
      <c r="F212" s="62" t="n"/>
      <c r="G212" s="62" t="n"/>
      <c r="H212" s="62" t="n"/>
      <c r="I212" s="62" t="n"/>
      <c r="J212" s="62" t="n"/>
      <c r="K212" s="60" t="n"/>
      <c r="L212" s="62" t="n"/>
      <c r="M212" s="62" t="n"/>
      <c r="N212" s="62" t="n"/>
      <c r="O212" s="62" t="n"/>
      <c r="P212" s="63" t="n"/>
      <c r="Q212" s="63" t="n"/>
      <c r="R212" s="63" t="n"/>
      <c r="S212" s="63" t="n"/>
      <c r="T212" s="63" t="n"/>
      <c r="U212" s="62" t="n"/>
      <c r="V212" s="62" t="n"/>
    </row>
    <row r="213" ht="15.75" customHeight="1" s="125">
      <c r="A213" s="62" t="n"/>
      <c r="B213" s="62" t="n"/>
      <c r="C213" s="62" t="n"/>
      <c r="D213" s="62" t="n"/>
      <c r="E213" s="62" t="n"/>
      <c r="F213" s="62" t="n"/>
      <c r="G213" s="62" t="n"/>
      <c r="H213" s="62" t="n"/>
      <c r="I213" s="62" t="n"/>
      <c r="J213" s="62" t="n"/>
      <c r="K213" s="60" t="n"/>
      <c r="L213" s="62" t="n"/>
      <c r="M213" s="62" t="n"/>
      <c r="N213" s="62" t="n"/>
      <c r="O213" s="62" t="n"/>
      <c r="P213" s="63" t="n"/>
      <c r="Q213" s="63" t="n"/>
      <c r="R213" s="63" t="n"/>
      <c r="S213" s="63" t="n"/>
      <c r="T213" s="63" t="n"/>
      <c r="U213" s="62" t="n"/>
      <c r="V213" s="62" t="n"/>
    </row>
    <row r="214" ht="15.75" customHeight="1" s="125">
      <c r="A214" s="62" t="n"/>
      <c r="B214" s="62" t="n"/>
      <c r="C214" s="62" t="n"/>
      <c r="D214" s="62" t="n"/>
      <c r="E214" s="62" t="n"/>
      <c r="F214" s="62" t="n"/>
      <c r="G214" s="62" t="n"/>
      <c r="H214" s="62" t="n"/>
      <c r="I214" s="62" t="n"/>
      <c r="J214" s="62" t="n"/>
      <c r="K214" s="60" t="n"/>
      <c r="L214" s="62" t="n"/>
      <c r="M214" s="62" t="n"/>
      <c r="N214" s="62" t="n"/>
      <c r="O214" s="62" t="n"/>
      <c r="P214" s="63" t="n"/>
      <c r="Q214" s="63" t="n"/>
      <c r="R214" s="63" t="n"/>
      <c r="S214" s="63" t="n"/>
      <c r="T214" s="63" t="n"/>
      <c r="U214" s="62" t="n"/>
      <c r="V214" s="62" t="n"/>
    </row>
    <row r="215" ht="15.75" customHeight="1" s="125">
      <c r="A215" s="62" t="n"/>
      <c r="B215" s="62" t="n"/>
      <c r="C215" s="62" t="n"/>
      <c r="D215" s="62" t="n"/>
      <c r="E215" s="62" t="n"/>
      <c r="F215" s="62" t="n"/>
      <c r="G215" s="62" t="n"/>
      <c r="H215" s="62" t="n"/>
      <c r="I215" s="62" t="n"/>
      <c r="J215" s="62" t="n"/>
      <c r="K215" s="60" t="n"/>
      <c r="L215" s="62" t="n"/>
      <c r="M215" s="62" t="n"/>
      <c r="N215" s="62" t="n"/>
      <c r="O215" s="62" t="n"/>
      <c r="P215" s="63" t="n"/>
      <c r="Q215" s="63" t="n"/>
      <c r="R215" s="63" t="n"/>
      <c r="S215" s="63" t="n"/>
      <c r="T215" s="63" t="n"/>
      <c r="U215" s="62" t="n"/>
      <c r="V215" s="62" t="n"/>
    </row>
    <row r="216" ht="15.75" customHeight="1" s="125">
      <c r="A216" s="62" t="n"/>
      <c r="B216" s="62" t="n"/>
      <c r="C216" s="62" t="n"/>
      <c r="D216" s="62" t="n"/>
      <c r="E216" s="62" t="n"/>
      <c r="F216" s="62" t="n"/>
      <c r="G216" s="62" t="n"/>
      <c r="H216" s="62" t="n"/>
      <c r="I216" s="62" t="n"/>
      <c r="J216" s="62" t="n"/>
      <c r="K216" s="60" t="n"/>
      <c r="L216" s="62" t="n"/>
      <c r="M216" s="62" t="n"/>
      <c r="N216" s="62" t="n"/>
      <c r="O216" s="62" t="n"/>
      <c r="P216" s="63" t="n"/>
      <c r="Q216" s="63" t="n"/>
      <c r="R216" s="63" t="n"/>
      <c r="S216" s="63" t="n"/>
      <c r="T216" s="63" t="n"/>
      <c r="U216" s="62" t="n"/>
      <c r="V216" s="62" t="n"/>
    </row>
    <row r="217" ht="15.75" customHeight="1" s="125">
      <c r="A217" s="62" t="n"/>
      <c r="B217" s="62" t="n"/>
      <c r="C217" s="62" t="n"/>
      <c r="D217" s="62" t="n"/>
      <c r="E217" s="62" t="n"/>
      <c r="F217" s="62" t="n"/>
      <c r="G217" s="62" t="n"/>
      <c r="H217" s="62" t="n"/>
      <c r="I217" s="62" t="n"/>
      <c r="J217" s="62" t="n"/>
      <c r="K217" s="60" t="n"/>
      <c r="L217" s="62" t="n"/>
      <c r="M217" s="62" t="n"/>
      <c r="N217" s="62" t="n"/>
      <c r="O217" s="62" t="n"/>
      <c r="P217" s="63" t="n"/>
      <c r="Q217" s="63" t="n"/>
      <c r="R217" s="63" t="n"/>
      <c r="S217" s="63" t="n"/>
      <c r="T217" s="63" t="n"/>
      <c r="U217" s="62" t="n"/>
      <c r="V217" s="62" t="n"/>
    </row>
    <row r="218" ht="15.75" customHeight="1" s="125">
      <c r="A218" s="62" t="n"/>
      <c r="B218" s="62" t="n"/>
      <c r="C218" s="62" t="n"/>
      <c r="D218" s="62" t="n"/>
      <c r="E218" s="62" t="n"/>
      <c r="F218" s="62" t="n"/>
      <c r="G218" s="62" t="n"/>
      <c r="H218" s="62" t="n"/>
      <c r="I218" s="62" t="n"/>
      <c r="J218" s="62" t="n"/>
      <c r="K218" s="60" t="n"/>
      <c r="L218" s="62" t="n"/>
      <c r="M218" s="62" t="n"/>
      <c r="N218" s="62" t="n"/>
      <c r="O218" s="62" t="n"/>
      <c r="P218" s="63" t="n"/>
      <c r="Q218" s="63" t="n"/>
      <c r="R218" s="63" t="n"/>
      <c r="S218" s="63" t="n"/>
      <c r="T218" s="63" t="n"/>
      <c r="U218" s="62" t="n"/>
      <c r="V218" s="62" t="n"/>
    </row>
    <row r="219" ht="15.75" customHeight="1" s="125">
      <c r="A219" s="62" t="n"/>
      <c r="B219" s="62" t="n"/>
      <c r="C219" s="62" t="n"/>
      <c r="D219" s="62" t="n"/>
      <c r="E219" s="62" t="n"/>
      <c r="F219" s="62" t="n"/>
      <c r="G219" s="62" t="n"/>
      <c r="H219" s="62" t="n"/>
      <c r="I219" s="62" t="n"/>
      <c r="J219" s="62" t="n"/>
      <c r="K219" s="60" t="n"/>
      <c r="L219" s="62" t="n"/>
      <c r="M219" s="62" t="n"/>
      <c r="N219" s="62" t="n"/>
      <c r="O219" s="62" t="n"/>
      <c r="P219" s="63" t="n"/>
      <c r="Q219" s="63" t="n"/>
      <c r="R219" s="63" t="n"/>
      <c r="S219" s="63" t="n"/>
      <c r="T219" s="63" t="n"/>
      <c r="U219" s="62" t="n"/>
      <c r="V219" s="62" t="n"/>
    </row>
    <row r="220" ht="15.75" customHeight="1" s="125">
      <c r="A220" s="62" t="n"/>
      <c r="B220" s="62" t="n"/>
      <c r="C220" s="62" t="n"/>
      <c r="D220" s="62" t="n"/>
      <c r="E220" s="62" t="n"/>
      <c r="F220" s="62" t="n"/>
      <c r="G220" s="62" t="n"/>
      <c r="H220" s="62" t="n"/>
      <c r="I220" s="62" t="n"/>
      <c r="J220" s="62" t="n"/>
      <c r="K220" s="60" t="n"/>
      <c r="L220" s="62" t="n"/>
      <c r="M220" s="62" t="n"/>
      <c r="N220" s="62" t="n"/>
      <c r="O220" s="62" t="n"/>
      <c r="P220" s="63" t="n"/>
      <c r="Q220" s="63" t="n"/>
      <c r="R220" s="63" t="n"/>
      <c r="S220" s="63" t="n"/>
      <c r="T220" s="63" t="n"/>
      <c r="U220" s="62" t="n"/>
      <c r="V220" s="62" t="n"/>
    </row>
    <row r="221" ht="15.75" customHeight="1" s="125">
      <c r="A221" s="62" t="n"/>
      <c r="B221" s="62" t="n"/>
      <c r="C221" s="62" t="n"/>
      <c r="D221" s="62" t="n"/>
      <c r="E221" s="62" t="n"/>
      <c r="F221" s="62" t="n"/>
      <c r="G221" s="62" t="n"/>
      <c r="H221" s="62" t="n"/>
      <c r="I221" s="62" t="n"/>
      <c r="J221" s="62" t="n"/>
      <c r="K221" s="60" t="n"/>
      <c r="L221" s="62" t="n"/>
      <c r="M221" s="62" t="n"/>
      <c r="N221" s="62" t="n"/>
      <c r="O221" s="62" t="n"/>
      <c r="P221" s="63" t="n"/>
      <c r="Q221" s="63" t="n"/>
      <c r="R221" s="63" t="n"/>
      <c r="S221" s="63" t="n"/>
      <c r="T221" s="63" t="n"/>
      <c r="U221" s="62" t="n"/>
      <c r="V221" s="62" t="n"/>
    </row>
    <row r="222" ht="15.75" customHeight="1" s="125">
      <c r="A222" s="62" t="n"/>
      <c r="B222" s="62" t="n"/>
      <c r="C222" s="62" t="n"/>
      <c r="D222" s="62" t="n"/>
      <c r="E222" s="62" t="n"/>
      <c r="F222" s="62" t="n"/>
      <c r="G222" s="62" t="n"/>
      <c r="H222" s="62" t="n"/>
      <c r="I222" s="62" t="n"/>
      <c r="J222" s="62" t="n"/>
      <c r="K222" s="60" t="n"/>
      <c r="L222" s="62" t="n"/>
      <c r="M222" s="62" t="n"/>
      <c r="N222" s="62" t="n"/>
      <c r="O222" s="62" t="n"/>
      <c r="P222" s="63" t="n"/>
      <c r="Q222" s="63" t="n"/>
      <c r="R222" s="63" t="n"/>
      <c r="S222" s="63" t="n"/>
      <c r="T222" s="63" t="n"/>
      <c r="U222" s="62" t="n"/>
      <c r="V222" s="62" t="n"/>
    </row>
    <row r="223" ht="15.75" customHeight="1" s="125">
      <c r="A223" s="62" t="n"/>
      <c r="B223" s="62" t="n"/>
      <c r="C223" s="62" t="n"/>
      <c r="D223" s="62" t="n"/>
      <c r="E223" s="62" t="n"/>
      <c r="F223" s="62" t="n"/>
      <c r="G223" s="62" t="n"/>
      <c r="H223" s="62" t="n"/>
      <c r="I223" s="62" t="n"/>
      <c r="J223" s="62" t="n"/>
      <c r="K223" s="60" t="n"/>
      <c r="L223" s="62" t="n"/>
      <c r="M223" s="62" t="n"/>
      <c r="N223" s="62" t="n"/>
      <c r="O223" s="62" t="n"/>
      <c r="P223" s="63" t="n"/>
      <c r="Q223" s="63" t="n"/>
      <c r="R223" s="63" t="n"/>
      <c r="S223" s="63" t="n"/>
      <c r="T223" s="63" t="n"/>
      <c r="U223" s="62" t="n"/>
      <c r="V223" s="62" t="n"/>
    </row>
    <row r="224" ht="15.75" customHeight="1" s="125">
      <c r="A224" s="62" t="n"/>
      <c r="B224" s="62" t="n"/>
      <c r="C224" s="62" t="n"/>
      <c r="D224" s="62" t="n"/>
      <c r="E224" s="62" t="n"/>
      <c r="F224" s="62" t="n"/>
      <c r="G224" s="62" t="n"/>
      <c r="H224" s="62" t="n"/>
      <c r="I224" s="62" t="n"/>
      <c r="J224" s="62" t="n"/>
      <c r="K224" s="60" t="n"/>
      <c r="L224" s="62" t="n"/>
      <c r="M224" s="62" t="n"/>
      <c r="N224" s="62" t="n"/>
      <c r="O224" s="62" t="n"/>
      <c r="P224" s="63" t="n"/>
      <c r="Q224" s="63" t="n"/>
      <c r="R224" s="63" t="n"/>
      <c r="S224" s="63" t="n"/>
      <c r="T224" s="63" t="n"/>
      <c r="U224" s="62" t="n"/>
      <c r="V224" s="62" t="n"/>
    </row>
    <row r="225" ht="15.75" customHeight="1" s="125">
      <c r="A225" s="62" t="n"/>
      <c r="B225" s="62" t="n"/>
      <c r="C225" s="62" t="n"/>
      <c r="D225" s="62" t="n"/>
      <c r="E225" s="62" t="n"/>
      <c r="F225" s="62" t="n"/>
      <c r="G225" s="62" t="n"/>
      <c r="H225" s="62" t="n"/>
      <c r="I225" s="62" t="n"/>
      <c r="J225" s="62" t="n"/>
      <c r="K225" s="60" t="n"/>
      <c r="L225" s="62" t="n"/>
      <c r="M225" s="62" t="n"/>
      <c r="N225" s="62" t="n"/>
      <c r="O225" s="62" t="n"/>
      <c r="P225" s="63" t="n"/>
      <c r="Q225" s="63" t="n"/>
      <c r="R225" s="63" t="n"/>
      <c r="S225" s="63" t="n"/>
      <c r="T225" s="63" t="n"/>
      <c r="U225" s="62" t="n"/>
      <c r="V225" s="62" t="n"/>
    </row>
    <row r="226" ht="15.75" customHeight="1" s="125">
      <c r="A226" s="62" t="n"/>
      <c r="B226" s="62" t="n"/>
      <c r="C226" s="62" t="n"/>
      <c r="D226" s="62" t="n"/>
      <c r="E226" s="62" t="n"/>
      <c r="F226" s="62" t="n"/>
      <c r="G226" s="62" t="n"/>
      <c r="H226" s="62" t="n"/>
      <c r="I226" s="62" t="n"/>
      <c r="J226" s="62" t="n"/>
      <c r="K226" s="60" t="n"/>
      <c r="L226" s="62" t="n"/>
      <c r="M226" s="62" t="n"/>
      <c r="N226" s="62" t="n"/>
      <c r="O226" s="62" t="n"/>
      <c r="P226" s="63" t="n"/>
      <c r="Q226" s="63" t="n"/>
      <c r="R226" s="63" t="n"/>
      <c r="S226" s="63" t="n"/>
      <c r="T226" s="63" t="n"/>
      <c r="U226" s="62" t="n"/>
      <c r="V226" s="62" t="n"/>
    </row>
    <row r="227" ht="15.75" customHeight="1" s="125">
      <c r="A227" s="62" t="n"/>
      <c r="B227" s="62" t="n"/>
      <c r="C227" s="62" t="n"/>
      <c r="D227" s="62" t="n"/>
      <c r="E227" s="62" t="n"/>
      <c r="F227" s="62" t="n"/>
      <c r="G227" s="62" t="n"/>
      <c r="H227" s="62" t="n"/>
      <c r="I227" s="62" t="n"/>
      <c r="J227" s="62" t="n"/>
      <c r="K227" s="60" t="n"/>
      <c r="L227" s="62" t="n"/>
      <c r="M227" s="62" t="n"/>
      <c r="N227" s="62" t="n"/>
      <c r="O227" s="62" t="n"/>
      <c r="P227" s="63" t="n"/>
      <c r="Q227" s="63" t="n"/>
      <c r="R227" s="63" t="n"/>
      <c r="S227" s="63" t="n"/>
      <c r="T227" s="63" t="n"/>
      <c r="U227" s="62" t="n"/>
      <c r="V227" s="62" t="n"/>
    </row>
    <row r="228" ht="15.75" customHeight="1" s="125">
      <c r="A228" s="62" t="n"/>
      <c r="B228" s="62" t="n"/>
      <c r="C228" s="62" t="n"/>
      <c r="D228" s="62" t="n"/>
      <c r="E228" s="62" t="n"/>
      <c r="F228" s="62" t="n"/>
      <c r="G228" s="62" t="n"/>
      <c r="H228" s="62" t="n"/>
      <c r="I228" s="62" t="n"/>
      <c r="J228" s="62" t="n"/>
      <c r="K228" s="60" t="n"/>
      <c r="L228" s="62" t="n"/>
      <c r="M228" s="62" t="n"/>
      <c r="N228" s="62" t="n"/>
      <c r="O228" s="62" t="n"/>
      <c r="P228" s="63" t="n"/>
      <c r="Q228" s="63" t="n"/>
      <c r="R228" s="63" t="n"/>
      <c r="S228" s="63" t="n"/>
      <c r="T228" s="63" t="n"/>
      <c r="U228" s="62" t="n"/>
      <c r="V228" s="62" t="n"/>
    </row>
    <row r="229" ht="15.75" customHeight="1" s="125">
      <c r="A229" s="62" t="n"/>
      <c r="B229" s="62" t="n"/>
      <c r="C229" s="62" t="n"/>
      <c r="D229" s="62" t="n"/>
      <c r="E229" s="62" t="n"/>
      <c r="F229" s="62" t="n"/>
      <c r="G229" s="62" t="n"/>
      <c r="H229" s="62" t="n"/>
      <c r="I229" s="62" t="n"/>
      <c r="J229" s="62" t="n"/>
      <c r="K229" s="60" t="n"/>
      <c r="L229" s="62" t="n"/>
      <c r="M229" s="62" t="n"/>
      <c r="N229" s="62" t="n"/>
      <c r="O229" s="62" t="n"/>
      <c r="P229" s="63" t="n"/>
      <c r="Q229" s="63" t="n"/>
      <c r="R229" s="63" t="n"/>
      <c r="S229" s="63" t="n"/>
      <c r="T229" s="63" t="n"/>
      <c r="U229" s="62" t="n"/>
      <c r="V229" s="62" t="n"/>
    </row>
    <row r="230" ht="15.75" customHeight="1" s="125">
      <c r="A230" s="62" t="n"/>
      <c r="B230" s="62" t="n"/>
      <c r="C230" s="62" t="n"/>
      <c r="D230" s="62" t="n"/>
      <c r="E230" s="62" t="n"/>
      <c r="F230" s="62" t="n"/>
      <c r="G230" s="62" t="n"/>
      <c r="H230" s="62" t="n"/>
      <c r="I230" s="62" t="n"/>
      <c r="J230" s="62" t="n"/>
      <c r="K230" s="60" t="n"/>
      <c r="L230" s="62" t="n"/>
      <c r="M230" s="62" t="n"/>
      <c r="N230" s="62" t="n"/>
      <c r="O230" s="62" t="n"/>
      <c r="P230" s="63" t="n"/>
      <c r="Q230" s="63" t="n"/>
      <c r="R230" s="63" t="n"/>
      <c r="S230" s="63" t="n"/>
      <c r="T230" s="63" t="n"/>
      <c r="U230" s="62" t="n"/>
      <c r="V230" s="62" t="n"/>
    </row>
    <row r="231" ht="15.75" customHeight="1" s="125">
      <c r="A231" s="62" t="n"/>
      <c r="B231" s="62" t="n"/>
      <c r="C231" s="62" t="n"/>
      <c r="D231" s="62" t="n"/>
      <c r="E231" s="62" t="n"/>
      <c r="F231" s="62" t="n"/>
      <c r="G231" s="62" t="n"/>
      <c r="H231" s="62" t="n"/>
      <c r="I231" s="62" t="n"/>
      <c r="J231" s="62" t="n"/>
      <c r="K231" s="60" t="n"/>
      <c r="L231" s="62" t="n"/>
      <c r="M231" s="62" t="n"/>
      <c r="N231" s="62" t="n"/>
      <c r="O231" s="62" t="n"/>
      <c r="P231" s="63" t="n"/>
      <c r="Q231" s="63" t="n"/>
      <c r="R231" s="63" t="n"/>
      <c r="S231" s="63" t="n"/>
      <c r="T231" s="63" t="n"/>
      <c r="U231" s="62" t="n"/>
      <c r="V231" s="62" t="n"/>
    </row>
    <row r="232" ht="15.75" customHeight="1" s="125">
      <c r="A232" s="62" t="n"/>
      <c r="B232" s="62" t="n"/>
      <c r="C232" s="62" t="n"/>
      <c r="D232" s="62" t="n"/>
      <c r="E232" s="62" t="n"/>
      <c r="F232" s="62" t="n"/>
      <c r="G232" s="62" t="n"/>
      <c r="H232" s="62" t="n"/>
      <c r="I232" s="62" t="n"/>
      <c r="J232" s="62" t="n"/>
      <c r="K232" s="60" t="n"/>
      <c r="L232" s="62" t="n"/>
      <c r="M232" s="62" t="n"/>
      <c r="N232" s="62" t="n"/>
      <c r="O232" s="62" t="n"/>
      <c r="P232" s="63" t="n"/>
      <c r="Q232" s="63" t="n"/>
      <c r="R232" s="63" t="n"/>
      <c r="S232" s="63" t="n"/>
      <c r="T232" s="63" t="n"/>
      <c r="U232" s="62" t="n"/>
      <c r="V232" s="62" t="n"/>
    </row>
    <row r="233" ht="15.75" customHeight="1" s="125">
      <c r="A233" s="62" t="n"/>
      <c r="B233" s="62" t="n"/>
      <c r="C233" s="62" t="n"/>
      <c r="D233" s="62" t="n"/>
      <c r="E233" s="62" t="n"/>
      <c r="F233" s="62" t="n"/>
      <c r="G233" s="62" t="n"/>
      <c r="H233" s="62" t="n"/>
      <c r="I233" s="62" t="n"/>
      <c r="J233" s="62" t="n"/>
      <c r="K233" s="60" t="n"/>
      <c r="L233" s="62" t="n"/>
      <c r="M233" s="62" t="n"/>
      <c r="N233" s="62" t="n"/>
      <c r="O233" s="62" t="n"/>
      <c r="P233" s="63" t="n"/>
      <c r="Q233" s="63" t="n"/>
      <c r="R233" s="63" t="n"/>
      <c r="S233" s="63" t="n"/>
      <c r="T233" s="63" t="n"/>
      <c r="U233" s="62" t="n"/>
      <c r="V233" s="62" t="n"/>
    </row>
    <row r="234" ht="15.75" customHeight="1" s="125">
      <c r="A234" s="62" t="n"/>
      <c r="B234" s="62" t="n"/>
      <c r="C234" s="62" t="n"/>
      <c r="D234" s="62" t="n"/>
      <c r="E234" s="62" t="n"/>
      <c r="F234" s="62" t="n"/>
      <c r="G234" s="62" t="n"/>
      <c r="H234" s="62" t="n"/>
      <c r="I234" s="62" t="n"/>
      <c r="J234" s="62" t="n"/>
      <c r="K234" s="60" t="n"/>
      <c r="L234" s="62" t="n"/>
      <c r="M234" s="62" t="n"/>
      <c r="N234" s="62" t="n"/>
      <c r="O234" s="62" t="n"/>
      <c r="P234" s="63" t="n"/>
      <c r="Q234" s="63" t="n"/>
      <c r="R234" s="63" t="n"/>
      <c r="S234" s="63" t="n"/>
      <c r="T234" s="63" t="n"/>
      <c r="U234" s="62" t="n"/>
      <c r="V234" s="62" t="n"/>
    </row>
    <row r="235" ht="15.75" customHeight="1" s="125">
      <c r="A235" s="62" t="n"/>
      <c r="B235" s="62" t="n"/>
      <c r="C235" s="62" t="n"/>
      <c r="D235" s="62" t="n"/>
      <c r="E235" s="62" t="n"/>
      <c r="F235" s="62" t="n"/>
      <c r="G235" s="62" t="n"/>
      <c r="H235" s="62" t="n"/>
      <c r="I235" s="62" t="n"/>
      <c r="J235" s="62" t="n"/>
      <c r="K235" s="60" t="n"/>
      <c r="L235" s="62" t="n"/>
      <c r="M235" s="62" t="n"/>
      <c r="N235" s="62" t="n"/>
      <c r="O235" s="62" t="n"/>
      <c r="P235" s="63" t="n"/>
      <c r="Q235" s="63" t="n"/>
      <c r="R235" s="63" t="n"/>
      <c r="S235" s="63" t="n"/>
      <c r="T235" s="63" t="n"/>
      <c r="U235" s="62" t="n"/>
      <c r="V235" s="62" t="n"/>
    </row>
    <row r="236" ht="15.75" customHeight="1" s="125">
      <c r="A236" s="62" t="n"/>
      <c r="B236" s="62" t="n"/>
      <c r="C236" s="62" t="n"/>
      <c r="D236" s="62" t="n"/>
      <c r="E236" s="62" t="n"/>
      <c r="F236" s="62" t="n"/>
      <c r="G236" s="62" t="n"/>
      <c r="H236" s="62" t="n"/>
      <c r="I236" s="62" t="n"/>
      <c r="J236" s="62" t="n"/>
      <c r="K236" s="60" t="n"/>
      <c r="L236" s="62" t="n"/>
      <c r="M236" s="62" t="n"/>
      <c r="N236" s="62" t="n"/>
      <c r="O236" s="62" t="n"/>
      <c r="P236" s="63" t="n"/>
      <c r="Q236" s="63" t="n"/>
      <c r="R236" s="63" t="n"/>
      <c r="S236" s="63" t="n"/>
      <c r="T236" s="63" t="n"/>
      <c r="U236" s="62" t="n"/>
      <c r="V236" s="62" t="n"/>
    </row>
    <row r="237" ht="15.75" customHeight="1" s="125">
      <c r="A237" s="62" t="n"/>
      <c r="B237" s="62" t="n"/>
      <c r="C237" s="62" t="n"/>
      <c r="D237" s="62" t="n"/>
      <c r="E237" s="62" t="n"/>
      <c r="F237" s="62" t="n"/>
      <c r="G237" s="62" t="n"/>
      <c r="H237" s="62" t="n"/>
      <c r="I237" s="62" t="n"/>
      <c r="J237" s="62" t="n"/>
      <c r="K237" s="60" t="n"/>
      <c r="L237" s="62" t="n"/>
      <c r="M237" s="62" t="n"/>
      <c r="N237" s="62" t="n"/>
      <c r="O237" s="62" t="n"/>
      <c r="P237" s="63" t="n"/>
      <c r="Q237" s="63" t="n"/>
      <c r="R237" s="63" t="n"/>
      <c r="S237" s="63" t="n"/>
      <c r="T237" s="63" t="n"/>
      <c r="U237" s="62" t="n"/>
      <c r="V237" s="62" t="n"/>
    </row>
    <row r="238" ht="15.75" customHeight="1" s="125">
      <c r="A238" s="62" t="n"/>
      <c r="B238" s="62" t="n"/>
      <c r="C238" s="62" t="n"/>
      <c r="D238" s="62" t="n"/>
      <c r="E238" s="62" t="n"/>
      <c r="F238" s="62" t="n"/>
      <c r="G238" s="62" t="n"/>
      <c r="H238" s="62" t="n"/>
      <c r="I238" s="62" t="n"/>
      <c r="J238" s="62" t="n"/>
      <c r="K238" s="60" t="n"/>
      <c r="L238" s="62" t="n"/>
      <c r="M238" s="62" t="n"/>
      <c r="N238" s="62" t="n"/>
      <c r="O238" s="62" t="n"/>
      <c r="P238" s="63" t="n"/>
      <c r="Q238" s="63" t="n"/>
      <c r="R238" s="63" t="n"/>
      <c r="S238" s="63" t="n"/>
      <c r="T238" s="63" t="n"/>
      <c r="U238" s="62" t="n"/>
      <c r="V238" s="62" t="n"/>
    </row>
    <row r="239" ht="15.75" customHeight="1" s="125">
      <c r="A239" s="62" t="n"/>
      <c r="B239" s="62" t="n"/>
      <c r="C239" s="62" t="n"/>
      <c r="D239" s="62" t="n"/>
      <c r="E239" s="62" t="n"/>
      <c r="F239" s="62" t="n"/>
      <c r="G239" s="62" t="n"/>
      <c r="H239" s="62" t="n"/>
      <c r="I239" s="62" t="n"/>
      <c r="J239" s="62" t="n"/>
      <c r="K239" s="60" t="n"/>
      <c r="L239" s="62" t="n"/>
      <c r="M239" s="62" t="n"/>
      <c r="N239" s="62" t="n"/>
      <c r="O239" s="62" t="n"/>
      <c r="P239" s="63" t="n"/>
      <c r="Q239" s="63" t="n"/>
      <c r="R239" s="63" t="n"/>
      <c r="S239" s="63" t="n"/>
      <c r="T239" s="63" t="n"/>
      <c r="U239" s="62" t="n"/>
      <c r="V239" s="62" t="n"/>
    </row>
    <row r="240" ht="15.75" customHeight="1" s="125">
      <c r="A240" s="62" t="n"/>
      <c r="B240" s="62" t="n"/>
      <c r="C240" s="62" t="n"/>
      <c r="D240" s="62" t="n"/>
      <c r="E240" s="62" t="n"/>
      <c r="F240" s="62" t="n"/>
      <c r="G240" s="62" t="n"/>
      <c r="H240" s="62" t="n"/>
      <c r="I240" s="62" t="n"/>
      <c r="J240" s="62" t="n"/>
      <c r="K240" s="60" t="n"/>
      <c r="L240" s="62" t="n"/>
      <c r="M240" s="62" t="n"/>
      <c r="N240" s="62" t="n"/>
      <c r="O240" s="62" t="n"/>
      <c r="P240" s="63" t="n"/>
      <c r="Q240" s="63" t="n"/>
      <c r="R240" s="63" t="n"/>
      <c r="S240" s="63" t="n"/>
      <c r="T240" s="63" t="n"/>
      <c r="U240" s="62" t="n"/>
      <c r="V240" s="62" t="n"/>
    </row>
    <row r="241" ht="15.75" customHeight="1" s="125">
      <c r="A241" s="62" t="n"/>
      <c r="B241" s="62" t="n"/>
      <c r="C241" s="62" t="n"/>
      <c r="D241" s="62" t="n"/>
      <c r="E241" s="62" t="n"/>
      <c r="F241" s="62" t="n"/>
      <c r="G241" s="62" t="n"/>
      <c r="H241" s="62" t="n"/>
      <c r="I241" s="62" t="n"/>
      <c r="J241" s="62" t="n"/>
      <c r="K241" s="60" t="n"/>
      <c r="L241" s="62" t="n"/>
      <c r="M241" s="62" t="n"/>
      <c r="N241" s="62" t="n"/>
      <c r="O241" s="62" t="n"/>
      <c r="P241" s="63" t="n"/>
      <c r="Q241" s="63" t="n"/>
      <c r="R241" s="63" t="n"/>
      <c r="S241" s="63" t="n"/>
      <c r="T241" s="63" t="n"/>
      <c r="U241" s="62" t="n"/>
      <c r="V241" s="62" t="n"/>
    </row>
    <row r="242" ht="15.75" customHeight="1" s="125">
      <c r="A242" s="62" t="n"/>
      <c r="B242" s="62" t="n"/>
      <c r="C242" s="62" t="n"/>
      <c r="D242" s="62" t="n"/>
      <c r="E242" s="62" t="n"/>
      <c r="F242" s="62" t="n"/>
      <c r="G242" s="62" t="n"/>
      <c r="H242" s="62" t="n"/>
      <c r="I242" s="62" t="n"/>
      <c r="J242" s="62" t="n"/>
      <c r="K242" s="60" t="n"/>
      <c r="L242" s="62" t="n"/>
      <c r="M242" s="62" t="n"/>
      <c r="N242" s="62" t="n"/>
      <c r="O242" s="62" t="n"/>
      <c r="P242" s="63" t="n"/>
      <c r="Q242" s="63" t="n"/>
      <c r="R242" s="63" t="n"/>
      <c r="S242" s="63" t="n"/>
      <c r="T242" s="63" t="n"/>
      <c r="U242" s="62" t="n"/>
      <c r="V242" s="62" t="n"/>
    </row>
    <row r="243" ht="15.75" customHeight="1" s="125">
      <c r="A243" s="62" t="n"/>
      <c r="B243" s="62" t="n"/>
      <c r="C243" s="62" t="n"/>
      <c r="D243" s="62" t="n"/>
      <c r="E243" s="62" t="n"/>
      <c r="F243" s="62" t="n"/>
      <c r="G243" s="62" t="n"/>
      <c r="H243" s="62" t="n"/>
      <c r="I243" s="62" t="n"/>
      <c r="J243" s="62" t="n"/>
      <c r="K243" s="60" t="n"/>
      <c r="L243" s="62" t="n"/>
      <c r="M243" s="62" t="n"/>
      <c r="N243" s="62" t="n"/>
      <c r="O243" s="62" t="n"/>
      <c r="P243" s="63" t="n"/>
      <c r="Q243" s="63" t="n"/>
      <c r="R243" s="63" t="n"/>
      <c r="S243" s="63" t="n"/>
      <c r="T243" s="63" t="n"/>
      <c r="U243" s="62" t="n"/>
      <c r="V243" s="62" t="n"/>
    </row>
    <row r="244" ht="15.75" customHeight="1" s="125">
      <c r="A244" s="62" t="n"/>
      <c r="B244" s="62" t="n"/>
      <c r="C244" s="62" t="n"/>
      <c r="D244" s="62" t="n"/>
      <c r="E244" s="62" t="n"/>
      <c r="F244" s="62" t="n"/>
      <c r="G244" s="62" t="n"/>
      <c r="H244" s="62" t="n"/>
      <c r="I244" s="62" t="n"/>
      <c r="J244" s="62" t="n"/>
      <c r="K244" s="60" t="n"/>
      <c r="L244" s="62" t="n"/>
      <c r="M244" s="62" t="n"/>
      <c r="N244" s="62" t="n"/>
      <c r="O244" s="62" t="n"/>
      <c r="P244" s="63" t="n"/>
      <c r="Q244" s="63" t="n"/>
      <c r="R244" s="63" t="n"/>
      <c r="S244" s="63" t="n"/>
      <c r="T244" s="63" t="n"/>
      <c r="U244" s="62" t="n"/>
      <c r="V244" s="62" t="n"/>
    </row>
    <row r="245" ht="15.75" customHeight="1" s="125">
      <c r="A245" s="62" t="n"/>
      <c r="B245" s="62" t="n"/>
      <c r="C245" s="62" t="n"/>
      <c r="D245" s="62" t="n"/>
      <c r="E245" s="62" t="n"/>
      <c r="F245" s="62" t="n"/>
      <c r="G245" s="62" t="n"/>
      <c r="H245" s="62" t="n"/>
      <c r="I245" s="62" t="n"/>
      <c r="J245" s="62" t="n"/>
      <c r="K245" s="60" t="n"/>
      <c r="L245" s="62" t="n"/>
      <c r="M245" s="62" t="n"/>
      <c r="N245" s="62" t="n"/>
      <c r="O245" s="62" t="n"/>
      <c r="P245" s="63" t="n"/>
      <c r="Q245" s="63" t="n"/>
      <c r="R245" s="63" t="n"/>
      <c r="S245" s="63" t="n"/>
      <c r="T245" s="63" t="n"/>
      <c r="U245" s="62" t="n"/>
      <c r="V245" s="62" t="n"/>
    </row>
    <row r="246" ht="15.75" customHeight="1" s="125">
      <c r="A246" s="62" t="n"/>
      <c r="B246" s="62" t="n"/>
      <c r="C246" s="62" t="n"/>
      <c r="D246" s="62" t="n"/>
      <c r="E246" s="62" t="n"/>
      <c r="F246" s="62" t="n"/>
      <c r="G246" s="62" t="n"/>
      <c r="H246" s="62" t="n"/>
      <c r="I246" s="62" t="n"/>
      <c r="J246" s="62" t="n"/>
      <c r="K246" s="60" t="n"/>
      <c r="L246" s="62" t="n"/>
      <c r="M246" s="62" t="n"/>
      <c r="N246" s="62" t="n"/>
      <c r="O246" s="62" t="n"/>
      <c r="P246" s="63" t="n"/>
      <c r="Q246" s="63" t="n"/>
      <c r="R246" s="63" t="n"/>
      <c r="S246" s="63" t="n"/>
      <c r="T246" s="63" t="n"/>
      <c r="U246" s="62" t="n"/>
      <c r="V246" s="62" t="n"/>
    </row>
    <row r="247" ht="15.75" customHeight="1" s="125">
      <c r="A247" s="62" t="n"/>
      <c r="B247" s="62" t="n"/>
      <c r="C247" s="62" t="n"/>
      <c r="D247" s="62" t="n"/>
      <c r="E247" s="62" t="n"/>
      <c r="F247" s="62" t="n"/>
      <c r="G247" s="62" t="n"/>
      <c r="H247" s="62" t="n"/>
      <c r="I247" s="62" t="n"/>
      <c r="J247" s="62" t="n"/>
      <c r="K247" s="60" t="n"/>
      <c r="L247" s="62" t="n"/>
      <c r="M247" s="62" t="n"/>
      <c r="N247" s="62" t="n"/>
      <c r="O247" s="62" t="n"/>
      <c r="P247" s="63" t="n"/>
      <c r="Q247" s="63" t="n"/>
      <c r="R247" s="63" t="n"/>
      <c r="S247" s="63" t="n"/>
      <c r="T247" s="63" t="n"/>
      <c r="U247" s="62" t="n"/>
      <c r="V247" s="62" t="n"/>
    </row>
    <row r="248" ht="15.75" customHeight="1" s="125">
      <c r="A248" s="62" t="n"/>
      <c r="B248" s="62" t="n"/>
      <c r="C248" s="62" t="n"/>
      <c r="D248" s="62" t="n"/>
      <c r="E248" s="62" t="n"/>
      <c r="F248" s="62" t="n"/>
      <c r="G248" s="62" t="n"/>
      <c r="H248" s="62" t="n"/>
      <c r="I248" s="62" t="n"/>
      <c r="J248" s="62" t="n"/>
      <c r="K248" s="60" t="n"/>
      <c r="L248" s="62" t="n"/>
      <c r="M248" s="62" t="n"/>
      <c r="N248" s="62" t="n"/>
      <c r="O248" s="62" t="n"/>
      <c r="P248" s="63" t="n"/>
      <c r="Q248" s="63" t="n"/>
      <c r="R248" s="63" t="n"/>
      <c r="S248" s="63" t="n"/>
      <c r="T248" s="63" t="n"/>
      <c r="U248" s="62" t="n"/>
      <c r="V248" s="62" t="n"/>
    </row>
    <row r="249" ht="15.75" customHeight="1" s="125">
      <c r="A249" s="62" t="n"/>
      <c r="B249" s="62" t="n"/>
      <c r="C249" s="62" t="n"/>
      <c r="D249" s="62" t="n"/>
      <c r="E249" s="62" t="n"/>
      <c r="F249" s="62" t="n"/>
      <c r="G249" s="62" t="n"/>
      <c r="H249" s="62" t="n"/>
      <c r="I249" s="62" t="n"/>
      <c r="J249" s="62" t="n"/>
      <c r="K249" s="60" t="n"/>
      <c r="L249" s="62" t="n"/>
      <c r="M249" s="62" t="n"/>
      <c r="N249" s="62" t="n"/>
      <c r="O249" s="62" t="n"/>
      <c r="P249" s="63" t="n"/>
      <c r="Q249" s="63" t="n"/>
      <c r="R249" s="63" t="n"/>
      <c r="S249" s="63" t="n"/>
      <c r="T249" s="63" t="n"/>
      <c r="U249" s="62" t="n"/>
      <c r="V249" s="62" t="n"/>
    </row>
    <row r="250" ht="15.75" customHeight="1" s="125">
      <c r="A250" s="62" t="n"/>
      <c r="B250" s="62" t="n"/>
      <c r="C250" s="62" t="n"/>
      <c r="D250" s="62" t="n"/>
      <c r="E250" s="62" t="n"/>
      <c r="F250" s="62" t="n"/>
      <c r="G250" s="62" t="n"/>
      <c r="H250" s="62" t="n"/>
      <c r="I250" s="62" t="n"/>
      <c r="J250" s="62" t="n"/>
      <c r="K250" s="60" t="n"/>
      <c r="L250" s="62" t="n"/>
      <c r="M250" s="62" t="n"/>
      <c r="N250" s="62" t="n"/>
      <c r="O250" s="62" t="n"/>
      <c r="P250" s="63" t="n"/>
      <c r="Q250" s="63" t="n"/>
      <c r="R250" s="63" t="n"/>
      <c r="S250" s="63" t="n"/>
      <c r="T250" s="63" t="n"/>
      <c r="U250" s="62" t="n"/>
      <c r="V250" s="62" t="n"/>
    </row>
    <row r="251" ht="15.75" customHeight="1" s="125">
      <c r="A251" s="62" t="n"/>
      <c r="B251" s="62" t="n"/>
      <c r="C251" s="62" t="n"/>
      <c r="D251" s="62" t="n"/>
      <c r="E251" s="62" t="n"/>
      <c r="F251" s="62" t="n"/>
      <c r="G251" s="62" t="n"/>
      <c r="H251" s="62" t="n"/>
      <c r="I251" s="62" t="n"/>
      <c r="J251" s="62" t="n"/>
      <c r="K251" s="60" t="n"/>
      <c r="L251" s="62" t="n"/>
      <c r="M251" s="62" t="n"/>
      <c r="N251" s="62" t="n"/>
      <c r="O251" s="62" t="n"/>
      <c r="P251" s="63" t="n"/>
      <c r="Q251" s="63" t="n"/>
      <c r="R251" s="63" t="n"/>
      <c r="S251" s="63" t="n"/>
      <c r="T251" s="63" t="n"/>
      <c r="U251" s="62" t="n"/>
      <c r="V251" s="2" t="n"/>
    </row>
    <row r="252" ht="15.75" customHeight="1" s="125">
      <c r="A252" s="62" t="n"/>
      <c r="B252" s="62" t="n"/>
      <c r="C252" s="62" t="n"/>
      <c r="D252" s="62" t="n"/>
      <c r="E252" s="62" t="n"/>
      <c r="F252" s="62" t="n"/>
      <c r="G252" s="62" t="n"/>
      <c r="H252" s="62" t="n"/>
      <c r="I252" s="62" t="n"/>
      <c r="J252" s="62" t="n"/>
      <c r="K252" s="60" t="n"/>
      <c r="L252" s="62" t="n"/>
      <c r="M252" s="62" t="n"/>
      <c r="N252" s="62" t="n"/>
      <c r="O252" s="62" t="n"/>
      <c r="P252" s="63" t="n"/>
      <c r="Q252" s="63" t="n"/>
      <c r="R252" s="63" t="n"/>
      <c r="S252" s="63" t="n"/>
      <c r="T252" s="63" t="n"/>
      <c r="U252" s="62" t="n"/>
      <c r="V252" s="2" t="n"/>
    </row>
    <row r="253" ht="15.75" customHeight="1" s="125">
      <c r="A253" s="62" t="n"/>
      <c r="B253" s="62" t="n"/>
      <c r="C253" s="62" t="n"/>
      <c r="D253" s="62" t="n"/>
      <c r="E253" s="62" t="n"/>
      <c r="F253" s="62" t="n"/>
      <c r="G253" s="62" t="n"/>
      <c r="H253" s="62" t="n"/>
      <c r="I253" s="62" t="n"/>
      <c r="J253" s="62" t="n"/>
      <c r="K253" s="60" t="n"/>
      <c r="L253" s="62" t="n"/>
      <c r="M253" s="62" t="n"/>
      <c r="N253" s="62" t="n"/>
      <c r="O253" s="62" t="n"/>
      <c r="P253" s="63" t="n"/>
      <c r="Q253" s="63" t="n"/>
      <c r="R253" s="63" t="n"/>
      <c r="S253" s="63" t="n"/>
      <c r="T253" s="63" t="n"/>
      <c r="U253" s="62" t="n"/>
      <c r="V253" s="2" t="n"/>
    </row>
    <row r="254" ht="15.75" customHeight="1" s="125">
      <c r="A254" s="62" t="n"/>
      <c r="B254" s="62" t="n"/>
      <c r="C254" s="62" t="n"/>
      <c r="D254" s="62" t="n"/>
      <c r="E254" s="62" t="n"/>
      <c r="F254" s="62" t="n"/>
      <c r="G254" s="62" t="n"/>
      <c r="H254" s="62" t="n"/>
      <c r="I254" s="62" t="n"/>
      <c r="J254" s="62" t="n"/>
      <c r="K254" s="60" t="n"/>
      <c r="L254" s="62" t="n"/>
      <c r="M254" s="62" t="n"/>
      <c r="N254" s="62" t="n"/>
      <c r="O254" s="62" t="n"/>
      <c r="P254" s="63" t="n"/>
      <c r="Q254" s="63" t="n"/>
      <c r="R254" s="63" t="n"/>
      <c r="S254" s="63" t="n"/>
      <c r="T254" s="63" t="n"/>
      <c r="U254" s="62" t="n"/>
      <c r="V254" s="2" t="n"/>
    </row>
    <row r="255" ht="15.75" customHeight="1" s="125">
      <c r="A255" s="62" t="n"/>
      <c r="B255" s="62" t="n"/>
      <c r="C255" s="62" t="n"/>
      <c r="D255" s="62" t="n"/>
      <c r="E255" s="62" t="n"/>
      <c r="F255" s="62" t="n"/>
      <c r="G255" s="62" t="n"/>
      <c r="H255" s="62" t="n"/>
      <c r="I255" s="62" t="n"/>
      <c r="J255" s="62" t="n"/>
      <c r="K255" s="60" t="n"/>
      <c r="L255" s="62" t="n"/>
      <c r="M255" s="62" t="n"/>
      <c r="N255" s="62" t="n"/>
      <c r="O255" s="62" t="n"/>
      <c r="P255" s="63" t="n"/>
      <c r="Q255" s="63" t="n"/>
      <c r="R255" s="63" t="n"/>
      <c r="S255" s="63" t="n"/>
      <c r="T255" s="63" t="n"/>
      <c r="U255" s="62" t="n"/>
      <c r="V255" s="2" t="n"/>
    </row>
    <row r="256" ht="15.75" customHeight="1" s="125">
      <c r="A256" s="62" t="n"/>
      <c r="B256" s="62" t="n"/>
      <c r="C256" s="62" t="n"/>
      <c r="D256" s="62" t="n"/>
      <c r="E256" s="62" t="n"/>
      <c r="F256" s="62" t="n"/>
      <c r="G256" s="62" t="n"/>
      <c r="H256" s="62" t="n"/>
      <c r="I256" s="62" t="n"/>
      <c r="J256" s="62" t="n"/>
      <c r="K256" s="60" t="n"/>
      <c r="L256" s="62" t="n"/>
      <c r="M256" s="62" t="n"/>
      <c r="N256" s="62" t="n"/>
      <c r="O256" s="62" t="n"/>
      <c r="P256" s="63" t="n"/>
      <c r="Q256" s="63" t="n"/>
      <c r="R256" s="63" t="n"/>
      <c r="S256" s="63" t="n"/>
      <c r="T256" s="63" t="n"/>
      <c r="U256" s="62" t="n"/>
      <c r="V256" s="2" t="n"/>
    </row>
    <row r="257" ht="15.75" customHeight="1" s="125">
      <c r="A257" s="62" t="n"/>
      <c r="B257" s="62" t="n"/>
      <c r="C257" s="62" t="n"/>
      <c r="D257" s="62" t="n"/>
      <c r="E257" s="62" t="n"/>
      <c r="F257" s="62" t="n"/>
      <c r="G257" s="62" t="n"/>
      <c r="H257" s="62" t="n"/>
      <c r="I257" s="62" t="n"/>
      <c r="J257" s="62" t="n"/>
      <c r="K257" s="60" t="n"/>
      <c r="L257" s="62" t="n"/>
      <c r="M257" s="62" t="n"/>
      <c r="N257" s="62" t="n"/>
      <c r="O257" s="62" t="n"/>
      <c r="P257" s="63" t="n"/>
      <c r="Q257" s="63" t="n"/>
      <c r="R257" s="63" t="n"/>
      <c r="S257" s="63" t="n"/>
      <c r="T257" s="63" t="n"/>
      <c r="U257" s="62" t="n"/>
      <c r="V257" s="2" t="n"/>
    </row>
    <row r="258" ht="15.75" customHeight="1" s="125">
      <c r="A258" s="62" t="n"/>
      <c r="B258" s="62" t="n"/>
      <c r="C258" s="62" t="n"/>
      <c r="D258" s="62" t="n"/>
      <c r="E258" s="62" t="n"/>
      <c r="F258" s="62" t="n"/>
      <c r="G258" s="62" t="n"/>
      <c r="H258" s="62" t="n"/>
      <c r="I258" s="62" t="n"/>
      <c r="J258" s="62" t="n"/>
      <c r="K258" s="60" t="n"/>
      <c r="L258" s="62" t="n"/>
      <c r="M258" s="62" t="n"/>
      <c r="N258" s="62" t="n"/>
      <c r="O258" s="62" t="n"/>
      <c r="P258" s="63" t="n"/>
      <c r="Q258" s="63" t="n"/>
      <c r="R258" s="63" t="n"/>
      <c r="S258" s="63" t="n"/>
      <c r="T258" s="63" t="n"/>
      <c r="U258" s="62" t="n"/>
      <c r="V258" s="2" t="n"/>
    </row>
    <row r="259" ht="15.75" customHeight="1" s="125">
      <c r="A259" s="62" t="n"/>
      <c r="B259" s="62" t="n"/>
      <c r="C259" s="62" t="n"/>
      <c r="D259" s="62" t="n"/>
      <c r="E259" s="62" t="n"/>
      <c r="F259" s="62" t="n"/>
      <c r="G259" s="62" t="n"/>
      <c r="H259" s="62" t="n"/>
      <c r="I259" s="62" t="n"/>
      <c r="J259" s="62" t="n"/>
      <c r="K259" s="60" t="n"/>
      <c r="L259" s="62" t="n"/>
      <c r="M259" s="62" t="n"/>
      <c r="N259" s="62" t="n"/>
      <c r="O259" s="62" t="n"/>
      <c r="P259" s="63" t="n"/>
      <c r="Q259" s="63" t="n"/>
      <c r="R259" s="63" t="n"/>
      <c r="S259" s="63" t="n"/>
      <c r="T259" s="63" t="n"/>
      <c r="U259" s="62" t="n"/>
      <c r="V259" s="2" t="n"/>
    </row>
    <row r="260" ht="15.75" customHeight="1" s="125">
      <c r="A260" s="62" t="n"/>
      <c r="B260" s="62" t="n"/>
      <c r="C260" s="62" t="n"/>
      <c r="D260" s="62" t="n"/>
      <c r="E260" s="62" t="n"/>
      <c r="F260" s="62" t="n"/>
      <c r="G260" s="62" t="n"/>
      <c r="H260" s="62" t="n"/>
      <c r="I260" s="62" t="n"/>
      <c r="J260" s="62" t="n"/>
      <c r="K260" s="60" t="n"/>
      <c r="L260" s="62" t="n"/>
      <c r="M260" s="62" t="n"/>
      <c r="N260" s="62" t="n"/>
      <c r="O260" s="62" t="n"/>
      <c r="P260" s="63" t="n"/>
      <c r="Q260" s="63" t="n"/>
      <c r="R260" s="63" t="n"/>
      <c r="S260" s="63" t="n"/>
      <c r="T260" s="63" t="n"/>
      <c r="U260" s="62" t="n"/>
      <c r="V260" s="2" t="n"/>
    </row>
    <row r="261" ht="15.75" customHeight="1" s="125">
      <c r="A261" s="62" t="n"/>
      <c r="B261" s="62" t="n"/>
      <c r="C261" s="62" t="n"/>
      <c r="D261" s="62" t="n"/>
      <c r="E261" s="62" t="n"/>
      <c r="F261" s="62" t="n"/>
      <c r="G261" s="62" t="n"/>
      <c r="H261" s="62" t="n"/>
      <c r="I261" s="62" t="n"/>
      <c r="J261" s="62" t="n"/>
      <c r="K261" s="60" t="n"/>
      <c r="L261" s="62" t="n"/>
      <c r="M261" s="62" t="n"/>
      <c r="N261" s="62" t="n"/>
      <c r="O261" s="62" t="n"/>
      <c r="P261" s="63" t="n"/>
      <c r="Q261" s="63" t="n"/>
      <c r="R261" s="63" t="n"/>
      <c r="S261" s="63" t="n"/>
      <c r="T261" s="63" t="n"/>
      <c r="U261" s="62" t="n"/>
      <c r="V261" s="2" t="n"/>
    </row>
    <row r="262" ht="15.75" customHeight="1" s="125">
      <c r="A262" s="62" t="n"/>
      <c r="B262" s="62" t="n"/>
      <c r="C262" s="62" t="n"/>
      <c r="D262" s="62" t="n"/>
      <c r="E262" s="62" t="n"/>
      <c r="F262" s="62" t="n"/>
      <c r="G262" s="62" t="n"/>
      <c r="H262" s="62" t="n"/>
      <c r="I262" s="62" t="n"/>
      <c r="J262" s="62" t="n"/>
      <c r="K262" s="60" t="n"/>
      <c r="L262" s="62" t="n"/>
      <c r="M262" s="62" t="n"/>
      <c r="N262" s="62" t="n"/>
      <c r="O262" s="62" t="n"/>
      <c r="P262" s="63" t="n"/>
      <c r="Q262" s="63" t="n"/>
      <c r="R262" s="63" t="n"/>
      <c r="S262" s="63" t="n"/>
      <c r="T262" s="63" t="n"/>
      <c r="U262" s="62" t="n"/>
      <c r="V262" s="2" t="n"/>
    </row>
    <row r="263" ht="15.75" customHeight="1" s="125">
      <c r="A263" s="62" t="n"/>
      <c r="B263" s="62" t="n"/>
      <c r="C263" s="62" t="n"/>
      <c r="D263" s="62" t="n"/>
      <c r="E263" s="62" t="n"/>
      <c r="F263" s="62" t="n"/>
      <c r="G263" s="62" t="n"/>
      <c r="H263" s="62" t="n"/>
      <c r="I263" s="62" t="n"/>
      <c r="J263" s="62" t="n"/>
      <c r="K263" s="60" t="n"/>
      <c r="L263" s="62" t="n"/>
      <c r="M263" s="62" t="n"/>
      <c r="N263" s="62" t="n"/>
      <c r="O263" s="62" t="n"/>
      <c r="P263" s="63" t="n"/>
      <c r="Q263" s="63" t="n"/>
      <c r="R263" s="63" t="n"/>
      <c r="S263" s="63" t="n"/>
      <c r="T263" s="63" t="n"/>
      <c r="U263" s="62" t="n"/>
      <c r="V263" s="2" t="n"/>
    </row>
    <row r="264" ht="15.75" customHeight="1" s="125">
      <c r="A264" s="62" t="n"/>
      <c r="B264" s="62" t="n"/>
      <c r="C264" s="62" t="n"/>
      <c r="D264" s="62" t="n"/>
      <c r="E264" s="62" t="n"/>
      <c r="F264" s="62" t="n"/>
      <c r="G264" s="62" t="n"/>
      <c r="H264" s="62" t="n"/>
      <c r="I264" s="62" t="n"/>
      <c r="J264" s="62" t="n"/>
      <c r="K264" s="60" t="n"/>
      <c r="L264" s="62" t="n"/>
      <c r="M264" s="62" t="n"/>
      <c r="N264" s="62" t="n"/>
      <c r="O264" s="62" t="n"/>
      <c r="P264" s="63" t="n"/>
      <c r="Q264" s="63" t="n"/>
      <c r="R264" s="63" t="n"/>
      <c r="S264" s="63" t="n"/>
      <c r="T264" s="63" t="n"/>
      <c r="U264" s="62" t="n"/>
      <c r="V264" s="2" t="n"/>
    </row>
    <row r="265" ht="15.75" customHeight="1" s="125">
      <c r="A265" s="62" t="n"/>
      <c r="B265" s="62" t="n"/>
      <c r="C265" s="62" t="n"/>
      <c r="D265" s="62" t="n"/>
      <c r="E265" s="62" t="n"/>
      <c r="F265" s="62" t="n"/>
      <c r="G265" s="62" t="n"/>
      <c r="H265" s="62" t="n"/>
      <c r="I265" s="62" t="n"/>
      <c r="J265" s="62" t="n"/>
      <c r="K265" s="60" t="n"/>
      <c r="L265" s="62" t="n"/>
      <c r="M265" s="62" t="n"/>
      <c r="N265" s="62" t="n"/>
      <c r="O265" s="62" t="n"/>
      <c r="P265" s="63" t="n"/>
      <c r="Q265" s="63" t="n"/>
      <c r="R265" s="63" t="n"/>
      <c r="S265" s="63" t="n"/>
      <c r="T265" s="63" t="n"/>
      <c r="U265" s="62" t="n"/>
      <c r="V265" s="2" t="n"/>
    </row>
    <row r="266" ht="15.75" customHeight="1" s="125">
      <c r="A266" s="62" t="n"/>
      <c r="B266" s="62" t="n"/>
      <c r="C266" s="62" t="n"/>
      <c r="D266" s="62" t="n"/>
      <c r="E266" s="62" t="n"/>
      <c r="F266" s="62" t="n"/>
      <c r="G266" s="62" t="n"/>
      <c r="H266" s="62" t="n"/>
      <c r="I266" s="62" t="n"/>
      <c r="J266" s="62" t="n"/>
      <c r="K266" s="60" t="n"/>
      <c r="L266" s="62" t="n"/>
      <c r="M266" s="62" t="n"/>
      <c r="N266" s="62" t="n"/>
      <c r="O266" s="62" t="n"/>
      <c r="P266" s="63" t="n"/>
      <c r="Q266" s="63" t="n"/>
      <c r="R266" s="63" t="n"/>
      <c r="S266" s="63" t="n"/>
      <c r="T266" s="63" t="n"/>
      <c r="U266" s="62" t="n"/>
      <c r="V266" s="2" t="n"/>
    </row>
    <row r="267" ht="15.75" customHeight="1" s="125">
      <c r="A267" s="62" t="n"/>
      <c r="B267" s="62" t="n"/>
      <c r="C267" s="62" t="n"/>
      <c r="D267" s="62" t="n"/>
      <c r="E267" s="62" t="n"/>
      <c r="F267" s="62" t="n"/>
      <c r="G267" s="62" t="n"/>
      <c r="H267" s="62" t="n"/>
      <c r="I267" s="62" t="n"/>
      <c r="J267" s="62" t="n"/>
      <c r="K267" s="60" t="n"/>
      <c r="L267" s="62" t="n"/>
      <c r="M267" s="62" t="n"/>
      <c r="N267" s="62" t="n"/>
      <c r="O267" s="62" t="n"/>
      <c r="P267" s="63" t="n"/>
      <c r="Q267" s="63" t="n"/>
      <c r="R267" s="63" t="n"/>
      <c r="S267" s="63" t="n"/>
      <c r="T267" s="63" t="n"/>
      <c r="U267" s="62" t="n"/>
      <c r="V267" s="2" t="n"/>
    </row>
    <row r="268" ht="15.75" customHeight="1" s="125">
      <c r="A268" s="62" t="n"/>
      <c r="B268" s="62" t="n"/>
      <c r="C268" s="62" t="n"/>
      <c r="D268" s="62" t="n"/>
      <c r="E268" s="62" t="n"/>
      <c r="F268" s="62" t="n"/>
      <c r="G268" s="62" t="n"/>
      <c r="H268" s="62" t="n"/>
      <c r="I268" s="62" t="n"/>
      <c r="J268" s="62" t="n"/>
      <c r="K268" s="60" t="n"/>
      <c r="L268" s="62" t="n"/>
      <c r="M268" s="62" t="n"/>
      <c r="N268" s="62" t="n"/>
      <c r="O268" s="62" t="n"/>
      <c r="P268" s="63" t="n"/>
      <c r="Q268" s="63" t="n"/>
      <c r="R268" s="63" t="n"/>
      <c r="S268" s="63" t="n"/>
      <c r="T268" s="63" t="n"/>
      <c r="U268" s="62" t="n"/>
      <c r="V268" s="2" t="n"/>
    </row>
    <row r="269" ht="15.75" customHeight="1" s="125">
      <c r="A269" s="62" t="n"/>
      <c r="B269" s="62" t="n"/>
      <c r="C269" s="62" t="n"/>
      <c r="D269" s="62" t="n"/>
      <c r="E269" s="62" t="n"/>
      <c r="F269" s="62" t="n"/>
      <c r="G269" s="62" t="n"/>
      <c r="H269" s="62" t="n"/>
      <c r="I269" s="62" t="n"/>
      <c r="J269" s="62" t="n"/>
      <c r="K269" s="60" t="n"/>
      <c r="L269" s="62" t="n"/>
      <c r="M269" s="62" t="n"/>
      <c r="N269" s="62" t="n"/>
      <c r="O269" s="62" t="n"/>
      <c r="P269" s="63" t="n"/>
      <c r="Q269" s="63" t="n"/>
      <c r="R269" s="63" t="n"/>
      <c r="S269" s="63" t="n"/>
      <c r="T269" s="63" t="n"/>
      <c r="U269" s="62" t="n"/>
      <c r="V269" s="2" t="n"/>
    </row>
    <row r="270" ht="15.75" customHeight="1" s="125">
      <c r="A270" s="62" t="n"/>
      <c r="B270" s="62" t="n"/>
      <c r="C270" s="62" t="n"/>
      <c r="D270" s="62" t="n"/>
      <c r="E270" s="62" t="n"/>
      <c r="F270" s="62" t="n"/>
      <c r="G270" s="62" t="n"/>
      <c r="H270" s="62" t="n"/>
      <c r="I270" s="62" t="n"/>
      <c r="J270" s="62" t="n"/>
      <c r="K270" s="60" t="n"/>
      <c r="L270" s="62" t="n"/>
      <c r="M270" s="62" t="n"/>
      <c r="N270" s="62" t="n"/>
      <c r="O270" s="62" t="n"/>
      <c r="P270" s="63" t="n"/>
      <c r="Q270" s="63" t="n"/>
      <c r="R270" s="63" t="n"/>
      <c r="S270" s="63" t="n"/>
      <c r="T270" s="63" t="n"/>
      <c r="U270" s="62" t="n"/>
      <c r="V270" s="2" t="n"/>
    </row>
    <row r="271" ht="15.75" customHeight="1" s="125">
      <c r="A271" s="62" t="n"/>
      <c r="B271" s="62" t="n"/>
      <c r="C271" s="62" t="n"/>
      <c r="D271" s="62" t="n"/>
      <c r="E271" s="62" t="n"/>
      <c r="F271" s="62" t="n"/>
      <c r="G271" s="62" t="n"/>
      <c r="H271" s="62" t="n"/>
      <c r="I271" s="62" t="n"/>
      <c r="J271" s="62" t="n"/>
      <c r="K271" s="60" t="n"/>
      <c r="L271" s="62" t="n"/>
      <c r="M271" s="62" t="n"/>
      <c r="N271" s="62" t="n"/>
      <c r="O271" s="62" t="n"/>
      <c r="P271" s="63" t="n"/>
      <c r="Q271" s="63" t="n"/>
      <c r="R271" s="63" t="n"/>
      <c r="S271" s="63" t="n"/>
      <c r="T271" s="63" t="n"/>
      <c r="U271" s="62" t="n"/>
      <c r="V271" s="2" t="n"/>
    </row>
    <row r="272" ht="15.75" customHeight="1" s="125">
      <c r="A272" s="62" t="n"/>
      <c r="B272" s="62" t="n"/>
      <c r="C272" s="62" t="n"/>
      <c r="D272" s="62" t="n"/>
      <c r="E272" s="62" t="n"/>
      <c r="F272" s="62" t="n"/>
      <c r="G272" s="62" t="n"/>
      <c r="H272" s="62" t="n"/>
      <c r="I272" s="62" t="n"/>
      <c r="J272" s="62" t="n"/>
      <c r="K272" s="60" t="n"/>
      <c r="L272" s="62" t="n"/>
      <c r="M272" s="62" t="n"/>
      <c r="N272" s="62" t="n"/>
      <c r="O272" s="62" t="n"/>
      <c r="P272" s="63" t="n"/>
      <c r="Q272" s="63" t="n"/>
      <c r="R272" s="63" t="n"/>
      <c r="S272" s="63" t="n"/>
      <c r="T272" s="63" t="n"/>
      <c r="U272" s="62" t="n"/>
      <c r="V272" s="2" t="n"/>
    </row>
    <row r="273" ht="15.75" customHeight="1" s="125">
      <c r="A273" s="62" t="n"/>
      <c r="B273" s="62" t="n"/>
      <c r="C273" s="62" t="n"/>
      <c r="D273" s="62" t="n"/>
      <c r="E273" s="62" t="n"/>
      <c r="F273" s="62" t="n"/>
      <c r="G273" s="62" t="n"/>
      <c r="H273" s="62" t="n"/>
      <c r="I273" s="62" t="n"/>
      <c r="J273" s="62" t="n"/>
      <c r="K273" s="60" t="n"/>
      <c r="L273" s="62" t="n"/>
      <c r="M273" s="62" t="n"/>
      <c r="N273" s="62" t="n"/>
      <c r="O273" s="62" t="n"/>
      <c r="P273" s="63" t="n"/>
      <c r="Q273" s="63" t="n"/>
      <c r="R273" s="63" t="n"/>
      <c r="S273" s="63" t="n"/>
      <c r="T273" s="63" t="n"/>
      <c r="U273" s="62" t="n"/>
      <c r="V273" s="2" t="n"/>
    </row>
    <row r="274" ht="15.75" customHeight="1" s="125">
      <c r="A274" s="62" t="n"/>
      <c r="B274" s="62" t="n"/>
      <c r="C274" s="62" t="n"/>
      <c r="D274" s="62" t="n"/>
      <c r="E274" s="62" t="n"/>
      <c r="F274" s="62" t="n"/>
      <c r="G274" s="62" t="n"/>
      <c r="H274" s="62" t="n"/>
      <c r="I274" s="62" t="n"/>
      <c r="J274" s="62" t="n"/>
      <c r="K274" s="60" t="n"/>
      <c r="L274" s="62" t="n"/>
      <c r="M274" s="62" t="n"/>
      <c r="N274" s="62" t="n"/>
      <c r="O274" s="62" t="n"/>
      <c r="P274" s="63" t="n"/>
      <c r="Q274" s="63" t="n"/>
      <c r="R274" s="63" t="n"/>
      <c r="S274" s="63" t="n"/>
      <c r="T274" s="63" t="n"/>
      <c r="U274" s="62" t="n"/>
      <c r="V274" s="2" t="n"/>
    </row>
    <row r="275" ht="15.75" customHeight="1" s="125">
      <c r="A275" s="62" t="n"/>
      <c r="B275" s="62" t="n"/>
      <c r="C275" s="62" t="n"/>
      <c r="D275" s="62" t="n"/>
      <c r="E275" s="62" t="n"/>
      <c r="F275" s="62" t="n"/>
      <c r="G275" s="62" t="n"/>
      <c r="H275" s="62" t="n"/>
      <c r="I275" s="62" t="n"/>
      <c r="J275" s="62" t="n"/>
      <c r="K275" s="60" t="n"/>
      <c r="L275" s="62" t="n"/>
      <c r="M275" s="62" t="n"/>
      <c r="N275" s="62" t="n"/>
      <c r="O275" s="62" t="n"/>
      <c r="P275" s="63" t="n"/>
      <c r="Q275" s="63" t="n"/>
      <c r="R275" s="63" t="n"/>
      <c r="S275" s="63" t="n"/>
      <c r="T275" s="63" t="n"/>
      <c r="U275" s="62" t="n"/>
      <c r="V275" s="2" t="n"/>
    </row>
    <row r="276" ht="15.75" customHeight="1" s="125">
      <c r="A276" s="62" t="n"/>
      <c r="B276" s="62" t="n"/>
      <c r="C276" s="62" t="n"/>
      <c r="D276" s="62" t="n"/>
      <c r="E276" s="62" t="n"/>
      <c r="F276" s="62" t="n"/>
      <c r="G276" s="62" t="n"/>
      <c r="H276" s="62" t="n"/>
      <c r="I276" s="62" t="n"/>
      <c r="J276" s="62" t="n"/>
      <c r="K276" s="60" t="n"/>
      <c r="L276" s="62" t="n"/>
      <c r="M276" s="62" t="n"/>
      <c r="N276" s="62" t="n"/>
      <c r="O276" s="62" t="n"/>
      <c r="P276" s="63" t="n"/>
      <c r="Q276" s="63" t="n"/>
      <c r="R276" s="63" t="n"/>
      <c r="S276" s="63" t="n"/>
      <c r="T276" s="63" t="n"/>
      <c r="U276" s="62" t="n"/>
      <c r="V276" s="2" t="n"/>
    </row>
    <row r="277" ht="15.75" customHeight="1" s="125">
      <c r="A277" s="62" t="n"/>
      <c r="B277" s="62" t="n"/>
      <c r="C277" s="62" t="n"/>
      <c r="D277" s="62" t="n"/>
      <c r="E277" s="62" t="n"/>
      <c r="F277" s="62" t="n"/>
      <c r="G277" s="62" t="n"/>
      <c r="H277" s="62" t="n"/>
      <c r="I277" s="62" t="n"/>
      <c r="J277" s="62" t="n"/>
      <c r="K277" s="60" t="n"/>
      <c r="L277" s="62" t="n"/>
      <c r="M277" s="62" t="n"/>
      <c r="N277" s="62" t="n"/>
      <c r="O277" s="62" t="n"/>
      <c r="P277" s="63" t="n"/>
      <c r="Q277" s="63" t="n"/>
      <c r="R277" s="63" t="n"/>
      <c r="S277" s="63" t="n"/>
      <c r="T277" s="63" t="n"/>
      <c r="U277" s="62" t="n"/>
      <c r="V277" s="2" t="n"/>
    </row>
    <row r="278" ht="15.75" customHeight="1" s="125">
      <c r="A278" s="62" t="n"/>
      <c r="B278" s="62" t="n"/>
      <c r="C278" s="62" t="n"/>
      <c r="D278" s="62" t="n"/>
      <c r="E278" s="62" t="n"/>
      <c r="F278" s="62" t="n"/>
      <c r="G278" s="62" t="n"/>
      <c r="H278" s="62" t="n"/>
      <c r="I278" s="62" t="n"/>
      <c r="J278" s="62" t="n"/>
      <c r="K278" s="60" t="n"/>
      <c r="L278" s="62" t="n"/>
      <c r="M278" s="62" t="n"/>
      <c r="N278" s="62" t="n"/>
      <c r="O278" s="62" t="n"/>
      <c r="P278" s="63" t="n"/>
      <c r="Q278" s="63" t="n"/>
      <c r="R278" s="63" t="n"/>
      <c r="S278" s="63" t="n"/>
      <c r="T278" s="63" t="n"/>
      <c r="U278" s="62" t="n"/>
      <c r="V278" s="2" t="n"/>
    </row>
    <row r="279" ht="15.75" customHeight="1" s="125">
      <c r="A279" s="62" t="n"/>
      <c r="B279" s="62" t="n"/>
      <c r="C279" s="62" t="n"/>
      <c r="D279" s="62" t="n"/>
      <c r="E279" s="62" t="n"/>
      <c r="F279" s="62" t="n"/>
      <c r="G279" s="62" t="n"/>
      <c r="H279" s="62" t="n"/>
      <c r="I279" s="62" t="n"/>
      <c r="J279" s="62" t="n"/>
      <c r="K279" s="60" t="n"/>
      <c r="L279" s="62" t="n"/>
      <c r="M279" s="62" t="n"/>
      <c r="N279" s="62" t="n"/>
      <c r="O279" s="62" t="n"/>
      <c r="P279" s="63" t="n"/>
      <c r="Q279" s="63" t="n"/>
      <c r="R279" s="63" t="n"/>
      <c r="S279" s="63" t="n"/>
      <c r="T279" s="63" t="n"/>
      <c r="U279" s="62" t="n"/>
      <c r="V279" s="2" t="n"/>
    </row>
    <row r="280" ht="15.75" customHeight="1" s="125">
      <c r="A280" s="62" t="n"/>
      <c r="B280" s="62" t="n"/>
      <c r="C280" s="62" t="n"/>
      <c r="D280" s="62" t="n"/>
      <c r="E280" s="62" t="n"/>
      <c r="F280" s="62" t="n"/>
      <c r="G280" s="62" t="n"/>
      <c r="H280" s="62" t="n"/>
      <c r="I280" s="62" t="n"/>
      <c r="J280" s="62" t="n"/>
      <c r="K280" s="60" t="n"/>
      <c r="L280" s="62" t="n"/>
      <c r="M280" s="62" t="n"/>
      <c r="N280" s="62" t="n"/>
      <c r="O280" s="62" t="n"/>
      <c r="P280" s="63" t="n"/>
      <c r="Q280" s="63" t="n"/>
      <c r="R280" s="63" t="n"/>
      <c r="S280" s="63" t="n"/>
      <c r="T280" s="63" t="n"/>
      <c r="U280" s="62" t="n"/>
      <c r="V280" s="2" t="n"/>
    </row>
    <row r="281" ht="15.75" customHeight="1" s="125">
      <c r="A281" s="62" t="n"/>
      <c r="B281" s="62" t="n"/>
      <c r="C281" s="62" t="n"/>
      <c r="D281" s="62" t="n"/>
      <c r="E281" s="62" t="n"/>
      <c r="F281" s="62" t="n"/>
      <c r="G281" s="62" t="n"/>
      <c r="H281" s="62" t="n"/>
      <c r="I281" s="62" t="n"/>
      <c r="J281" s="62" t="n"/>
      <c r="K281" s="60" t="n"/>
      <c r="L281" s="62" t="n"/>
      <c r="M281" s="62" t="n"/>
      <c r="N281" s="62" t="n"/>
      <c r="O281" s="62" t="n"/>
      <c r="P281" s="63" t="n"/>
      <c r="Q281" s="63" t="n"/>
      <c r="R281" s="63" t="n"/>
      <c r="S281" s="63" t="n"/>
      <c r="T281" s="63" t="n"/>
      <c r="U281" s="62" t="n"/>
      <c r="V281" s="2" t="n"/>
    </row>
    <row r="282" ht="15.75" customHeight="1" s="125">
      <c r="A282" s="62" t="n"/>
      <c r="B282" s="62" t="n"/>
      <c r="C282" s="62" t="n"/>
      <c r="D282" s="62" t="n"/>
      <c r="E282" s="62" t="n"/>
      <c r="F282" s="62" t="n"/>
      <c r="G282" s="62" t="n"/>
      <c r="H282" s="62" t="n"/>
      <c r="I282" s="62" t="n"/>
      <c r="J282" s="62" t="n"/>
      <c r="K282" s="60" t="n"/>
      <c r="L282" s="62" t="n"/>
      <c r="M282" s="62" t="n"/>
      <c r="N282" s="62" t="n"/>
      <c r="O282" s="62" t="n"/>
      <c r="P282" s="63" t="n"/>
      <c r="Q282" s="63" t="n"/>
      <c r="R282" s="63" t="n"/>
      <c r="S282" s="63" t="n"/>
      <c r="T282" s="63" t="n"/>
      <c r="U282" s="62" t="n"/>
      <c r="V282" s="2" t="n"/>
    </row>
    <row r="283" ht="15.75" customHeight="1" s="125">
      <c r="A283" s="62" t="n"/>
      <c r="B283" s="62" t="n"/>
      <c r="C283" s="62" t="n"/>
      <c r="D283" s="62" t="n"/>
      <c r="E283" s="62" t="n"/>
      <c r="F283" s="62" t="n"/>
      <c r="G283" s="62" t="n"/>
      <c r="H283" s="62" t="n"/>
      <c r="I283" s="62" t="n"/>
      <c r="J283" s="62" t="n"/>
      <c r="K283" s="60" t="n"/>
      <c r="L283" s="62" t="n"/>
      <c r="M283" s="62" t="n"/>
      <c r="N283" s="62" t="n"/>
      <c r="O283" s="62" t="n"/>
      <c r="P283" s="63" t="n"/>
      <c r="Q283" s="63" t="n"/>
      <c r="R283" s="63" t="n"/>
      <c r="S283" s="63" t="n"/>
      <c r="T283" s="63" t="n"/>
      <c r="U283" s="62" t="n"/>
      <c r="V283" s="2" t="n"/>
    </row>
    <row r="284" ht="15.75" customHeight="1" s="125">
      <c r="A284" s="62" t="n"/>
      <c r="B284" s="62" t="n"/>
      <c r="C284" s="62" t="n"/>
      <c r="D284" s="62" t="n"/>
      <c r="E284" s="62" t="n"/>
      <c r="F284" s="62" t="n"/>
      <c r="G284" s="62" t="n"/>
      <c r="H284" s="62" t="n"/>
      <c r="I284" s="62" t="n"/>
      <c r="J284" s="62" t="n"/>
      <c r="K284" s="60" t="n"/>
      <c r="L284" s="62" t="n"/>
      <c r="M284" s="62" t="n"/>
      <c r="N284" s="62" t="n"/>
      <c r="O284" s="62" t="n"/>
      <c r="P284" s="63" t="n"/>
      <c r="Q284" s="63" t="n"/>
      <c r="R284" s="63" t="n"/>
      <c r="S284" s="63" t="n"/>
      <c r="T284" s="63" t="n"/>
      <c r="U284" s="62" t="n"/>
      <c r="V284" s="2" t="n"/>
    </row>
    <row r="285" ht="15.75" customHeight="1" s="125">
      <c r="A285" s="62" t="n"/>
      <c r="B285" s="62" t="n"/>
      <c r="C285" s="62" t="n"/>
      <c r="D285" s="62" t="n"/>
      <c r="E285" s="62" t="n"/>
      <c r="F285" s="62" t="n"/>
      <c r="G285" s="62" t="n"/>
      <c r="H285" s="62" t="n"/>
      <c r="I285" s="62" t="n"/>
      <c r="J285" s="62" t="n"/>
      <c r="K285" s="60" t="n"/>
      <c r="L285" s="62" t="n"/>
      <c r="M285" s="62" t="n"/>
      <c r="N285" s="62" t="n"/>
      <c r="O285" s="62" t="n"/>
      <c r="P285" s="63" t="n"/>
      <c r="Q285" s="63" t="n"/>
      <c r="R285" s="63" t="n"/>
      <c r="S285" s="63" t="n"/>
      <c r="T285" s="63" t="n"/>
      <c r="U285" s="62" t="n"/>
      <c r="V285" s="2" t="n"/>
    </row>
    <row r="286" ht="15.75" customHeight="1" s="125">
      <c r="A286" s="62" t="n"/>
      <c r="B286" s="62" t="n"/>
      <c r="C286" s="62" t="n"/>
      <c r="D286" s="62" t="n"/>
      <c r="E286" s="62" t="n"/>
      <c r="F286" s="62" t="n"/>
      <c r="G286" s="62" t="n"/>
      <c r="H286" s="62" t="n"/>
      <c r="I286" s="62" t="n"/>
      <c r="J286" s="62" t="n"/>
      <c r="K286" s="60" t="n"/>
      <c r="L286" s="62" t="n"/>
      <c r="M286" s="62" t="n"/>
      <c r="N286" s="62" t="n"/>
      <c r="O286" s="62" t="n"/>
      <c r="P286" s="63" t="n"/>
      <c r="Q286" s="63" t="n"/>
      <c r="R286" s="63" t="n"/>
      <c r="S286" s="63" t="n"/>
      <c r="T286" s="63" t="n"/>
      <c r="U286" s="62" t="n"/>
      <c r="V286" s="2" t="n"/>
    </row>
    <row r="287" ht="15.75" customHeight="1" s="125">
      <c r="A287" s="62" t="n"/>
      <c r="B287" s="62" t="n"/>
      <c r="C287" s="62" t="n"/>
      <c r="D287" s="62" t="n"/>
      <c r="E287" s="62" t="n"/>
      <c r="F287" s="62" t="n"/>
      <c r="G287" s="62" t="n"/>
      <c r="H287" s="62" t="n"/>
      <c r="I287" s="62" t="n"/>
      <c r="J287" s="62" t="n"/>
      <c r="K287" s="60" t="n"/>
      <c r="L287" s="62" t="n"/>
      <c r="M287" s="62" t="n"/>
      <c r="N287" s="62" t="n"/>
      <c r="O287" s="62" t="n"/>
      <c r="P287" s="63" t="n"/>
      <c r="Q287" s="63" t="n"/>
      <c r="R287" s="63" t="n"/>
      <c r="S287" s="63" t="n"/>
      <c r="T287" s="63" t="n"/>
      <c r="U287" s="62" t="n"/>
      <c r="V287" s="2" t="n"/>
    </row>
    <row r="288" ht="15.75" customHeight="1" s="125">
      <c r="A288" s="62" t="n"/>
      <c r="B288" s="62" t="n"/>
      <c r="C288" s="62" t="n"/>
      <c r="D288" s="62" t="n"/>
      <c r="E288" s="62" t="n"/>
      <c r="F288" s="62" t="n"/>
      <c r="G288" s="62" t="n"/>
      <c r="H288" s="62" t="n"/>
      <c r="I288" s="62" t="n"/>
      <c r="J288" s="62" t="n"/>
      <c r="K288" s="60" t="n"/>
      <c r="L288" s="62" t="n"/>
      <c r="M288" s="62" t="n"/>
      <c r="N288" s="62" t="n"/>
      <c r="O288" s="62" t="n"/>
      <c r="P288" s="63" t="n"/>
      <c r="Q288" s="63" t="n"/>
      <c r="R288" s="63" t="n"/>
      <c r="S288" s="63" t="n"/>
      <c r="T288" s="63" t="n"/>
      <c r="U288" s="62" t="n"/>
      <c r="V288" s="2" t="n"/>
    </row>
    <row r="289" ht="15.75" customHeight="1" s="125">
      <c r="A289" s="62" t="n"/>
      <c r="B289" s="62" t="n"/>
      <c r="C289" s="62" t="n"/>
      <c r="D289" s="62" t="n"/>
      <c r="E289" s="62" t="n"/>
      <c r="F289" s="62" t="n"/>
      <c r="G289" s="62" t="n"/>
      <c r="H289" s="62" t="n"/>
      <c r="I289" s="62" t="n"/>
      <c r="J289" s="62" t="n"/>
      <c r="K289" s="60" t="n"/>
      <c r="L289" s="62" t="n"/>
      <c r="M289" s="62" t="n"/>
      <c r="N289" s="62" t="n"/>
      <c r="O289" s="62" t="n"/>
      <c r="P289" s="63" t="n"/>
      <c r="Q289" s="63" t="n"/>
      <c r="R289" s="63" t="n"/>
      <c r="S289" s="63" t="n"/>
      <c r="T289" s="63" t="n"/>
      <c r="U289" s="62" t="n"/>
      <c r="V289" s="2" t="n"/>
    </row>
    <row r="290" ht="15.75" customHeight="1" s="125">
      <c r="A290" s="62" t="n"/>
      <c r="B290" s="62" t="n"/>
      <c r="C290" s="62" t="n"/>
      <c r="D290" s="62" t="n"/>
      <c r="E290" s="62" t="n"/>
      <c r="F290" s="62" t="n"/>
      <c r="G290" s="62" t="n"/>
      <c r="H290" s="62" t="n"/>
      <c r="I290" s="62" t="n"/>
      <c r="J290" s="62" t="n"/>
      <c r="K290" s="60" t="n"/>
      <c r="L290" s="62" t="n"/>
      <c r="M290" s="62" t="n"/>
      <c r="N290" s="62" t="n"/>
      <c r="O290" s="62" t="n"/>
      <c r="P290" s="63" t="n"/>
      <c r="Q290" s="63" t="n"/>
      <c r="R290" s="63" t="n"/>
      <c r="S290" s="63" t="n"/>
      <c r="T290" s="63" t="n"/>
      <c r="U290" s="62" t="n"/>
      <c r="V290" s="2" t="n"/>
    </row>
    <row r="291" ht="15.75" customHeight="1" s="125">
      <c r="A291" s="62" t="n"/>
      <c r="B291" s="62" t="n"/>
      <c r="C291" s="62" t="n"/>
      <c r="D291" s="62" t="n"/>
      <c r="E291" s="62" t="n"/>
      <c r="F291" s="62" t="n"/>
      <c r="G291" s="62" t="n"/>
      <c r="H291" s="62" t="n"/>
      <c r="I291" s="62" t="n"/>
      <c r="J291" s="62" t="n"/>
      <c r="K291" s="60" t="n"/>
      <c r="L291" s="62" t="n"/>
      <c r="M291" s="62" t="n"/>
      <c r="N291" s="62" t="n"/>
      <c r="O291" s="62" t="n"/>
      <c r="P291" s="63" t="n"/>
      <c r="Q291" s="63" t="n"/>
      <c r="R291" s="63" t="n"/>
      <c r="S291" s="63" t="n"/>
      <c r="T291" s="63" t="n"/>
      <c r="U291" s="62" t="n"/>
      <c r="V291" s="2" t="n"/>
    </row>
    <row r="292" ht="15.75" customHeight="1" s="125">
      <c r="A292" s="62" t="n"/>
      <c r="B292" s="62" t="n"/>
      <c r="C292" s="62" t="n"/>
      <c r="D292" s="62" t="n"/>
      <c r="E292" s="62" t="n"/>
      <c r="F292" s="62" t="n"/>
      <c r="G292" s="62" t="n"/>
      <c r="H292" s="62" t="n"/>
      <c r="I292" s="62" t="n"/>
      <c r="J292" s="62" t="n"/>
      <c r="K292" s="60" t="n"/>
      <c r="L292" s="62" t="n"/>
      <c r="M292" s="62" t="n"/>
      <c r="N292" s="62" t="n"/>
      <c r="O292" s="62" t="n"/>
      <c r="P292" s="63" t="n"/>
      <c r="Q292" s="63" t="n"/>
      <c r="R292" s="63" t="n"/>
      <c r="S292" s="63" t="n"/>
      <c r="T292" s="63" t="n"/>
      <c r="U292" s="62" t="n"/>
      <c r="V292" s="2" t="n"/>
    </row>
    <row r="293" ht="15.75" customHeight="1" s="125">
      <c r="A293" s="62" t="n"/>
      <c r="B293" s="62" t="n"/>
      <c r="C293" s="62" t="n"/>
      <c r="D293" s="62" t="n"/>
      <c r="E293" s="62" t="n"/>
      <c r="F293" s="62" t="n"/>
      <c r="G293" s="62" t="n"/>
      <c r="H293" s="62" t="n"/>
      <c r="I293" s="62" t="n"/>
      <c r="J293" s="62" t="n"/>
      <c r="K293" s="60" t="n"/>
      <c r="L293" s="62" t="n"/>
      <c r="M293" s="62" t="n"/>
      <c r="N293" s="62" t="n"/>
      <c r="O293" s="62" t="n"/>
      <c r="P293" s="63" t="n"/>
      <c r="Q293" s="63" t="n"/>
      <c r="R293" s="63" t="n"/>
      <c r="S293" s="63" t="n"/>
      <c r="T293" s="63" t="n"/>
      <c r="U293" s="62" t="n"/>
      <c r="V293" s="2" t="n"/>
    </row>
    <row r="294" ht="15.75" customHeight="1" s="125">
      <c r="A294" s="62" t="n"/>
      <c r="B294" s="62" t="n"/>
      <c r="C294" s="62" t="n"/>
      <c r="D294" s="62" t="n"/>
      <c r="E294" s="62" t="n"/>
      <c r="F294" s="62" t="n"/>
      <c r="G294" s="62" t="n"/>
      <c r="H294" s="62" t="n"/>
      <c r="I294" s="62" t="n"/>
      <c r="J294" s="62" t="n"/>
      <c r="K294" s="60" t="n"/>
      <c r="L294" s="62" t="n"/>
      <c r="M294" s="62" t="n"/>
      <c r="N294" s="62" t="n"/>
      <c r="O294" s="62" t="n"/>
      <c r="P294" s="63" t="n"/>
      <c r="Q294" s="63" t="n"/>
      <c r="R294" s="63" t="n"/>
      <c r="S294" s="63" t="n"/>
      <c r="T294" s="63" t="n"/>
      <c r="U294" s="62" t="n"/>
      <c r="V294" s="2" t="n"/>
    </row>
    <row r="295" ht="15.75" customHeight="1" s="125">
      <c r="A295" s="62" t="n"/>
      <c r="B295" s="62" t="n"/>
      <c r="C295" s="62" t="n"/>
      <c r="D295" s="62" t="n"/>
      <c r="E295" s="62" t="n"/>
      <c r="F295" s="62" t="n"/>
      <c r="G295" s="62" t="n"/>
      <c r="H295" s="62" t="n"/>
      <c r="I295" s="62" t="n"/>
      <c r="J295" s="62" t="n"/>
      <c r="K295" s="60" t="n"/>
      <c r="L295" s="62" t="n"/>
      <c r="M295" s="62" t="n"/>
      <c r="N295" s="62" t="n"/>
      <c r="O295" s="62" t="n"/>
      <c r="P295" s="63" t="n"/>
      <c r="Q295" s="63" t="n"/>
      <c r="R295" s="63" t="n"/>
      <c r="S295" s="63" t="n"/>
      <c r="T295" s="63" t="n"/>
      <c r="U295" s="62" t="n"/>
      <c r="V295" s="2" t="n"/>
    </row>
    <row r="296" ht="15.75" customHeight="1" s="125">
      <c r="A296" s="62" t="n"/>
      <c r="B296" s="62" t="n"/>
      <c r="C296" s="62" t="n"/>
      <c r="D296" s="62" t="n"/>
      <c r="E296" s="62" t="n"/>
      <c r="F296" s="62" t="n"/>
      <c r="G296" s="62" t="n"/>
      <c r="H296" s="62" t="n"/>
      <c r="I296" s="62" t="n"/>
      <c r="J296" s="62" t="n"/>
      <c r="K296" s="60" t="n"/>
      <c r="L296" s="62" t="n"/>
      <c r="M296" s="62" t="n"/>
      <c r="N296" s="62" t="n"/>
      <c r="O296" s="62" t="n"/>
      <c r="P296" s="63" t="n"/>
      <c r="Q296" s="63" t="n"/>
      <c r="R296" s="63" t="n"/>
      <c r="S296" s="63" t="n"/>
      <c r="T296" s="63" t="n"/>
      <c r="U296" s="62" t="n"/>
      <c r="V296" s="2" t="n"/>
    </row>
    <row r="297" ht="15.75" customHeight="1" s="125">
      <c r="A297" s="62" t="n"/>
      <c r="B297" s="62" t="n"/>
      <c r="C297" s="62" t="n"/>
      <c r="D297" s="62" t="n"/>
      <c r="E297" s="62" t="n"/>
      <c r="F297" s="62" t="n"/>
      <c r="G297" s="62" t="n"/>
      <c r="H297" s="62" t="n"/>
      <c r="I297" s="62" t="n"/>
      <c r="J297" s="62" t="n"/>
      <c r="K297" s="60" t="n"/>
      <c r="L297" s="62" t="n"/>
      <c r="M297" s="62" t="n"/>
      <c r="N297" s="62" t="n"/>
      <c r="O297" s="62" t="n"/>
      <c r="P297" s="63" t="n"/>
      <c r="Q297" s="63" t="n"/>
      <c r="R297" s="63" t="n"/>
      <c r="S297" s="63" t="n"/>
      <c r="T297" s="63" t="n"/>
      <c r="U297" s="62" t="n"/>
      <c r="V297" s="2" t="n"/>
    </row>
    <row r="298" ht="15.75" customHeight="1" s="125">
      <c r="A298" s="62" t="n"/>
      <c r="B298" s="62" t="n"/>
      <c r="C298" s="62" t="n"/>
      <c r="D298" s="62" t="n"/>
      <c r="E298" s="62" t="n"/>
      <c r="F298" s="62" t="n"/>
      <c r="G298" s="62" t="n"/>
      <c r="H298" s="62" t="n"/>
      <c r="I298" s="62" t="n"/>
      <c r="J298" s="62" t="n"/>
      <c r="K298" s="60" t="n"/>
      <c r="L298" s="62" t="n"/>
      <c r="M298" s="62" t="n"/>
      <c r="N298" s="62" t="n"/>
      <c r="O298" s="62" t="n"/>
      <c r="P298" s="63" t="n"/>
      <c r="Q298" s="63" t="n"/>
      <c r="R298" s="63" t="n"/>
      <c r="S298" s="63" t="n"/>
      <c r="T298" s="63" t="n"/>
      <c r="U298" s="62" t="n"/>
      <c r="V298" s="2" t="n"/>
    </row>
    <row r="299" ht="15.75" customHeight="1" s="125">
      <c r="A299" s="62" t="n"/>
      <c r="B299" s="62" t="n"/>
      <c r="C299" s="62" t="n"/>
      <c r="D299" s="62" t="n"/>
      <c r="E299" s="62" t="n"/>
      <c r="F299" s="62" t="n"/>
      <c r="G299" s="62" t="n"/>
      <c r="H299" s="62" t="n"/>
      <c r="I299" s="62" t="n"/>
      <c r="J299" s="62" t="n"/>
      <c r="K299" s="60" t="n"/>
      <c r="L299" s="62" t="n"/>
      <c r="M299" s="62" t="n"/>
      <c r="N299" s="62" t="n"/>
      <c r="O299" s="62" t="n"/>
      <c r="P299" s="63" t="n"/>
      <c r="Q299" s="63" t="n"/>
      <c r="R299" s="63" t="n"/>
      <c r="S299" s="63" t="n"/>
      <c r="T299" s="63" t="n"/>
      <c r="U299" s="62" t="n"/>
      <c r="V299" s="2" t="n"/>
    </row>
    <row r="300" ht="15.75" customHeight="1" s="125">
      <c r="A300" s="62" t="n"/>
      <c r="B300" s="62" t="n"/>
      <c r="C300" s="62" t="n"/>
      <c r="D300" s="62" t="n"/>
      <c r="E300" s="62" t="n"/>
      <c r="F300" s="62" t="n"/>
      <c r="G300" s="62" t="n"/>
      <c r="H300" s="62" t="n"/>
      <c r="I300" s="62" t="n"/>
      <c r="J300" s="62" t="n"/>
      <c r="K300" s="60" t="n"/>
      <c r="L300" s="62" t="n"/>
      <c r="M300" s="62" t="n"/>
      <c r="N300" s="62" t="n"/>
      <c r="O300" s="62" t="n"/>
      <c r="P300" s="63" t="n"/>
      <c r="Q300" s="63" t="n"/>
      <c r="R300" s="63" t="n"/>
      <c r="S300" s="63" t="n"/>
      <c r="T300" s="63" t="n"/>
      <c r="U300" s="62" t="n"/>
      <c r="V300" s="2" t="n"/>
    </row>
    <row r="301" ht="15.75" customHeight="1" s="125">
      <c r="A301" s="62" t="n"/>
      <c r="B301" s="62" t="n"/>
      <c r="C301" s="62" t="n"/>
      <c r="D301" s="62" t="n"/>
      <c r="E301" s="62" t="n"/>
      <c r="F301" s="62" t="n"/>
      <c r="G301" s="62" t="n"/>
      <c r="H301" s="62" t="n"/>
      <c r="I301" s="62" t="n"/>
      <c r="J301" s="62" t="n"/>
      <c r="K301" s="60" t="n"/>
      <c r="L301" s="62" t="n"/>
      <c r="M301" s="62" t="n"/>
      <c r="N301" s="62" t="n"/>
      <c r="O301" s="62" t="n"/>
      <c r="P301" s="63" t="n"/>
      <c r="Q301" s="63" t="n"/>
      <c r="R301" s="63" t="n"/>
      <c r="S301" s="63" t="n"/>
      <c r="T301" s="63" t="n"/>
      <c r="U301" s="62" t="n"/>
      <c r="V301" s="2" t="n"/>
    </row>
    <row r="302" ht="15.75" customHeight="1" s="125">
      <c r="A302" s="62" t="n"/>
      <c r="B302" s="62" t="n"/>
      <c r="C302" s="62" t="n"/>
      <c r="D302" s="62" t="n"/>
      <c r="E302" s="62" t="n"/>
      <c r="F302" s="62" t="n"/>
      <c r="G302" s="62" t="n"/>
      <c r="H302" s="62" t="n"/>
      <c r="I302" s="62" t="n"/>
      <c r="J302" s="62" t="n"/>
      <c r="K302" s="60" t="n"/>
      <c r="L302" s="62" t="n"/>
      <c r="M302" s="62" t="n"/>
      <c r="N302" s="62" t="n"/>
      <c r="O302" s="62" t="n"/>
      <c r="P302" s="63" t="n"/>
      <c r="Q302" s="63" t="n"/>
      <c r="R302" s="63" t="n"/>
      <c r="S302" s="63" t="n"/>
      <c r="T302" s="63" t="n"/>
      <c r="U302" s="62" t="n"/>
      <c r="V302" s="2" t="n"/>
    </row>
    <row r="303" ht="15.75" customHeight="1" s="125">
      <c r="A303" s="62" t="n"/>
      <c r="B303" s="62" t="n"/>
      <c r="C303" s="62" t="n"/>
      <c r="D303" s="62" t="n"/>
      <c r="E303" s="62" t="n"/>
      <c r="F303" s="62" t="n"/>
      <c r="G303" s="62" t="n"/>
      <c r="H303" s="62" t="n"/>
      <c r="I303" s="62" t="n"/>
      <c r="J303" s="62" t="n"/>
      <c r="K303" s="60" t="n"/>
      <c r="L303" s="62" t="n"/>
      <c r="M303" s="62" t="n"/>
      <c r="N303" s="62" t="n"/>
      <c r="O303" s="62" t="n"/>
      <c r="P303" s="63" t="n"/>
      <c r="Q303" s="63" t="n"/>
      <c r="R303" s="63" t="n"/>
      <c r="S303" s="63" t="n"/>
      <c r="T303" s="63" t="n"/>
      <c r="U303" s="62" t="n"/>
      <c r="V303" s="2" t="n"/>
    </row>
    <row r="304" ht="15.75" customHeight="1" s="125">
      <c r="A304" s="62" t="n"/>
      <c r="B304" s="62" t="n"/>
      <c r="C304" s="62" t="n"/>
      <c r="D304" s="62" t="n"/>
      <c r="E304" s="62" t="n"/>
      <c r="F304" s="62" t="n"/>
      <c r="G304" s="62" t="n"/>
      <c r="H304" s="62" t="n"/>
      <c r="I304" s="62" t="n"/>
      <c r="J304" s="62" t="n"/>
      <c r="K304" s="60" t="n"/>
      <c r="L304" s="62" t="n"/>
      <c r="M304" s="62" t="n"/>
      <c r="N304" s="62" t="n"/>
      <c r="O304" s="62" t="n"/>
      <c r="P304" s="63" t="n"/>
      <c r="Q304" s="63" t="n"/>
      <c r="R304" s="63" t="n"/>
      <c r="S304" s="63" t="n"/>
      <c r="T304" s="63" t="n"/>
      <c r="U304" s="62" t="n"/>
      <c r="V304" s="2" t="n"/>
    </row>
    <row r="305" ht="15.75" customHeight="1" s="125">
      <c r="A305" s="62" t="n"/>
      <c r="B305" s="62" t="n"/>
      <c r="C305" s="62" t="n"/>
      <c r="D305" s="62" t="n"/>
      <c r="E305" s="62" t="n"/>
      <c r="F305" s="62" t="n"/>
      <c r="G305" s="62" t="n"/>
      <c r="H305" s="62" t="n"/>
      <c r="I305" s="62" t="n"/>
      <c r="J305" s="62" t="n"/>
      <c r="K305" s="60" t="n"/>
      <c r="L305" s="62" t="n"/>
      <c r="M305" s="62" t="n"/>
      <c r="N305" s="62" t="n"/>
      <c r="O305" s="62" t="n"/>
      <c r="P305" s="63" t="n"/>
      <c r="Q305" s="63" t="n"/>
      <c r="R305" s="63" t="n"/>
      <c r="S305" s="63" t="n"/>
      <c r="T305" s="63" t="n"/>
      <c r="U305" s="62" t="n"/>
      <c r="V305" s="2" t="n"/>
    </row>
    <row r="306" ht="15.75" customHeight="1" s="125">
      <c r="A306" s="62" t="n"/>
      <c r="B306" s="62" t="n"/>
      <c r="C306" s="62" t="n"/>
      <c r="D306" s="62" t="n"/>
      <c r="E306" s="62" t="n"/>
      <c r="F306" s="62" t="n"/>
      <c r="G306" s="62" t="n"/>
      <c r="H306" s="62" t="n"/>
      <c r="I306" s="62" t="n"/>
      <c r="J306" s="62" t="n"/>
      <c r="K306" s="60" t="n"/>
      <c r="L306" s="62" t="n"/>
      <c r="M306" s="62" t="n"/>
      <c r="N306" s="62" t="n"/>
      <c r="O306" s="62" t="n"/>
      <c r="P306" s="63" t="n"/>
      <c r="Q306" s="63" t="n"/>
      <c r="R306" s="63" t="n"/>
      <c r="S306" s="63" t="n"/>
      <c r="T306" s="63" t="n"/>
      <c r="U306" s="62" t="n"/>
      <c r="V306" s="2" t="n"/>
    </row>
    <row r="307" ht="15.75" customHeight="1" s="125">
      <c r="A307" s="62" t="n"/>
      <c r="B307" s="62" t="n"/>
      <c r="C307" s="62" t="n"/>
      <c r="D307" s="62" t="n"/>
      <c r="E307" s="62" t="n"/>
      <c r="F307" s="62" t="n"/>
      <c r="G307" s="62" t="n"/>
      <c r="H307" s="62" t="n"/>
      <c r="I307" s="62" t="n"/>
      <c r="J307" s="62" t="n"/>
      <c r="K307" s="60" t="n"/>
      <c r="L307" s="62" t="n"/>
      <c r="M307" s="62" t="n"/>
      <c r="N307" s="62" t="n"/>
      <c r="O307" s="62" t="n"/>
      <c r="P307" s="63" t="n"/>
      <c r="Q307" s="63" t="n"/>
      <c r="R307" s="63" t="n"/>
      <c r="S307" s="63" t="n"/>
      <c r="T307" s="63" t="n"/>
      <c r="U307" s="62" t="n"/>
      <c r="V307" s="2" t="n"/>
    </row>
    <row r="308" ht="15.75" customHeight="1" s="125">
      <c r="A308" s="62" t="n"/>
      <c r="B308" s="62" t="n"/>
      <c r="C308" s="62" t="n"/>
      <c r="D308" s="62" t="n"/>
      <c r="E308" s="62" t="n"/>
      <c r="F308" s="62" t="n"/>
      <c r="G308" s="62" t="n"/>
      <c r="H308" s="62" t="n"/>
      <c r="I308" s="62" t="n"/>
      <c r="J308" s="62" t="n"/>
      <c r="K308" s="60" t="n"/>
      <c r="L308" s="62" t="n"/>
      <c r="M308" s="62" t="n"/>
      <c r="N308" s="62" t="n"/>
      <c r="O308" s="62" t="n"/>
      <c r="P308" s="63" t="n"/>
      <c r="Q308" s="63" t="n"/>
      <c r="R308" s="63" t="n"/>
      <c r="S308" s="63" t="n"/>
      <c r="T308" s="63" t="n"/>
      <c r="U308" s="62" t="n"/>
      <c r="V308" s="2" t="n"/>
    </row>
    <row r="309" ht="15.75" customHeight="1" s="125">
      <c r="A309" s="62" t="n"/>
      <c r="B309" s="62" t="n"/>
      <c r="C309" s="62" t="n"/>
      <c r="D309" s="62" t="n"/>
      <c r="E309" s="62" t="n"/>
      <c r="F309" s="62" t="n"/>
      <c r="G309" s="62" t="n"/>
      <c r="H309" s="62" t="n"/>
      <c r="I309" s="62" t="n"/>
      <c r="J309" s="62" t="n"/>
      <c r="K309" s="60" t="n"/>
      <c r="L309" s="62" t="n"/>
      <c r="M309" s="62" t="n"/>
      <c r="N309" s="62" t="n"/>
      <c r="O309" s="62" t="n"/>
      <c r="P309" s="63" t="n"/>
      <c r="Q309" s="63" t="n"/>
      <c r="R309" s="63" t="n"/>
      <c r="S309" s="63" t="n"/>
      <c r="T309" s="63" t="n"/>
      <c r="U309" s="62" t="n"/>
      <c r="V309" s="2" t="n"/>
    </row>
    <row r="310" ht="15.75" customHeight="1" s="125">
      <c r="A310" s="62" t="n"/>
      <c r="B310" s="62" t="n"/>
      <c r="C310" s="62" t="n"/>
      <c r="D310" s="62" t="n"/>
      <c r="E310" s="62" t="n"/>
      <c r="F310" s="62" t="n"/>
      <c r="G310" s="62" t="n"/>
      <c r="H310" s="62" t="n"/>
      <c r="I310" s="62" t="n"/>
      <c r="J310" s="62" t="n"/>
      <c r="K310" s="60" t="n"/>
      <c r="L310" s="62" t="n"/>
      <c r="M310" s="62" t="n"/>
      <c r="N310" s="62" t="n"/>
      <c r="O310" s="62" t="n"/>
      <c r="P310" s="63" t="n"/>
      <c r="Q310" s="63" t="n"/>
      <c r="R310" s="63" t="n"/>
      <c r="S310" s="63" t="n"/>
      <c r="T310" s="63" t="n"/>
      <c r="U310" s="62" t="n"/>
      <c r="V310" s="2" t="n"/>
    </row>
    <row r="311" ht="15.75" customHeight="1" s="125">
      <c r="A311" s="62" t="n"/>
      <c r="B311" s="62" t="n"/>
      <c r="C311" s="62" t="n"/>
      <c r="D311" s="62" t="n"/>
      <c r="E311" s="62" t="n"/>
      <c r="F311" s="62" t="n"/>
      <c r="G311" s="62" t="n"/>
      <c r="H311" s="62" t="n"/>
      <c r="I311" s="62" t="n"/>
      <c r="J311" s="62" t="n"/>
      <c r="K311" s="60" t="n"/>
      <c r="L311" s="62" t="n"/>
      <c r="M311" s="62" t="n"/>
      <c r="N311" s="62" t="n"/>
      <c r="O311" s="62" t="n"/>
      <c r="P311" s="63" t="n"/>
      <c r="Q311" s="63" t="n"/>
      <c r="R311" s="63" t="n"/>
      <c r="S311" s="63" t="n"/>
      <c r="T311" s="63" t="n"/>
      <c r="U311" s="62" t="n"/>
      <c r="V311" s="2" t="n"/>
    </row>
    <row r="312" ht="15.75" customHeight="1" s="125">
      <c r="A312" s="62" t="n"/>
      <c r="B312" s="62" t="n"/>
      <c r="C312" s="62" t="n"/>
      <c r="D312" s="62" t="n"/>
      <c r="E312" s="62" t="n"/>
      <c r="F312" s="62" t="n"/>
      <c r="G312" s="62" t="n"/>
      <c r="H312" s="62" t="n"/>
      <c r="I312" s="62" t="n"/>
      <c r="J312" s="62" t="n"/>
      <c r="K312" s="60" t="n"/>
      <c r="L312" s="62" t="n"/>
      <c r="M312" s="62" t="n"/>
      <c r="N312" s="62" t="n"/>
      <c r="O312" s="62" t="n"/>
      <c r="P312" s="63" t="n"/>
      <c r="Q312" s="63" t="n"/>
      <c r="R312" s="63" t="n"/>
      <c r="S312" s="63" t="n"/>
      <c r="T312" s="63" t="n"/>
      <c r="U312" s="62" t="n"/>
      <c r="V312" s="2" t="n"/>
    </row>
    <row r="313" ht="15.75" customHeight="1" s="125">
      <c r="A313" s="62" t="n"/>
      <c r="B313" s="62" t="n"/>
      <c r="C313" s="62" t="n"/>
      <c r="D313" s="62" t="n"/>
      <c r="E313" s="62" t="n"/>
      <c r="F313" s="62" t="n"/>
      <c r="G313" s="62" t="n"/>
      <c r="H313" s="62" t="n"/>
      <c r="I313" s="62" t="n"/>
      <c r="J313" s="62" t="n"/>
      <c r="K313" s="60" t="n"/>
      <c r="L313" s="62" t="n"/>
      <c r="M313" s="62" t="n"/>
      <c r="N313" s="62" t="n"/>
      <c r="O313" s="62" t="n"/>
      <c r="P313" s="63" t="n"/>
      <c r="Q313" s="63" t="n"/>
      <c r="R313" s="63" t="n"/>
      <c r="S313" s="63" t="n"/>
      <c r="T313" s="63" t="n"/>
      <c r="U313" s="62" t="n"/>
      <c r="V313" s="2" t="n"/>
    </row>
    <row r="314" ht="15.75" customHeight="1" s="125">
      <c r="A314" s="62" t="n"/>
      <c r="B314" s="62" t="n"/>
      <c r="C314" s="62" t="n"/>
      <c r="D314" s="62" t="n"/>
      <c r="E314" s="62" t="n"/>
      <c r="F314" s="62" t="n"/>
      <c r="G314" s="62" t="n"/>
      <c r="H314" s="62" t="n"/>
      <c r="I314" s="62" t="n"/>
      <c r="J314" s="62" t="n"/>
      <c r="K314" s="60" t="n"/>
      <c r="L314" s="62" t="n"/>
      <c r="M314" s="62" t="n"/>
      <c r="N314" s="62" t="n"/>
      <c r="O314" s="62" t="n"/>
      <c r="P314" s="63" t="n"/>
      <c r="Q314" s="63" t="n"/>
      <c r="R314" s="63" t="n"/>
      <c r="S314" s="63" t="n"/>
      <c r="T314" s="63" t="n"/>
      <c r="U314" s="62" t="n"/>
      <c r="V314" s="2" t="n"/>
    </row>
    <row r="315" ht="15.75" customHeight="1" s="125">
      <c r="A315" s="62" t="n"/>
      <c r="B315" s="62" t="n"/>
      <c r="C315" s="62" t="n"/>
      <c r="D315" s="62" t="n"/>
      <c r="E315" s="62" t="n"/>
      <c r="F315" s="62" t="n"/>
      <c r="G315" s="62" t="n"/>
      <c r="H315" s="62" t="n"/>
      <c r="I315" s="62" t="n"/>
      <c r="J315" s="62" t="n"/>
      <c r="K315" s="60" t="n"/>
      <c r="L315" s="62" t="n"/>
      <c r="M315" s="62" t="n"/>
      <c r="N315" s="62" t="n"/>
      <c r="O315" s="62" t="n"/>
      <c r="P315" s="63" t="n"/>
      <c r="Q315" s="63" t="n"/>
      <c r="R315" s="63" t="n"/>
      <c r="S315" s="63" t="n"/>
      <c r="T315" s="63" t="n"/>
      <c r="U315" s="62" t="n"/>
      <c r="V315" s="2" t="n"/>
    </row>
    <row r="316" ht="15.75" customHeight="1" s="125">
      <c r="A316" s="62" t="n"/>
      <c r="B316" s="62" t="n"/>
      <c r="C316" s="62" t="n"/>
      <c r="D316" s="62" t="n"/>
      <c r="E316" s="62" t="n"/>
      <c r="F316" s="62" t="n"/>
      <c r="G316" s="62" t="n"/>
      <c r="H316" s="62" t="n"/>
      <c r="I316" s="62" t="n"/>
      <c r="J316" s="62" t="n"/>
      <c r="K316" s="60" t="n"/>
      <c r="L316" s="62" t="n"/>
      <c r="M316" s="62" t="n"/>
      <c r="N316" s="62" t="n"/>
      <c r="O316" s="62" t="n"/>
      <c r="P316" s="63" t="n"/>
      <c r="Q316" s="63" t="n"/>
      <c r="R316" s="63" t="n"/>
      <c r="S316" s="63" t="n"/>
      <c r="T316" s="63" t="n"/>
      <c r="U316" s="62" t="n"/>
      <c r="V316" s="2" t="n"/>
    </row>
    <row r="317" ht="15.75" customHeight="1" s="125">
      <c r="A317" s="62" t="n"/>
      <c r="B317" s="62" t="n"/>
      <c r="C317" s="62" t="n"/>
      <c r="D317" s="62" t="n"/>
      <c r="E317" s="62" t="n"/>
      <c r="F317" s="62" t="n"/>
      <c r="G317" s="62" t="n"/>
      <c r="H317" s="62" t="n"/>
      <c r="I317" s="62" t="n"/>
      <c r="J317" s="62" t="n"/>
      <c r="K317" s="60" t="n"/>
      <c r="L317" s="62" t="n"/>
      <c r="M317" s="62" t="n"/>
      <c r="N317" s="62" t="n"/>
      <c r="O317" s="62" t="n"/>
      <c r="P317" s="63" t="n"/>
      <c r="Q317" s="63" t="n"/>
      <c r="R317" s="63" t="n"/>
      <c r="S317" s="63" t="n"/>
      <c r="T317" s="63" t="n"/>
      <c r="U317" s="62" t="n"/>
      <c r="V317" s="2" t="n"/>
    </row>
    <row r="318" ht="15.75" customHeight="1" s="125">
      <c r="A318" s="62" t="n"/>
      <c r="B318" s="62" t="n"/>
      <c r="C318" s="62" t="n"/>
      <c r="D318" s="62" t="n"/>
      <c r="E318" s="62" t="n"/>
      <c r="F318" s="62" t="n"/>
      <c r="G318" s="62" t="n"/>
      <c r="H318" s="62" t="n"/>
      <c r="I318" s="62" t="n"/>
      <c r="J318" s="62" t="n"/>
      <c r="K318" s="60" t="n"/>
      <c r="L318" s="62" t="n"/>
      <c r="M318" s="62" t="n"/>
      <c r="N318" s="62" t="n"/>
      <c r="O318" s="62" t="n"/>
      <c r="P318" s="63" t="n"/>
      <c r="Q318" s="63" t="n"/>
      <c r="R318" s="63" t="n"/>
      <c r="S318" s="63" t="n"/>
      <c r="T318" s="63" t="n"/>
      <c r="U318" s="62" t="n"/>
      <c r="V318" s="2" t="n"/>
    </row>
    <row r="319" ht="15.75" customHeight="1" s="125">
      <c r="A319" s="62" t="n"/>
      <c r="B319" s="62" t="n"/>
      <c r="C319" s="62" t="n"/>
      <c r="D319" s="62" t="n"/>
      <c r="E319" s="62" t="n"/>
      <c r="F319" s="62" t="n"/>
      <c r="G319" s="62" t="n"/>
      <c r="H319" s="62" t="n"/>
      <c r="I319" s="62" t="n"/>
      <c r="J319" s="62" t="n"/>
      <c r="K319" s="60" t="n"/>
      <c r="L319" s="62" t="n"/>
      <c r="M319" s="62" t="n"/>
      <c r="N319" s="62" t="n"/>
      <c r="O319" s="62" t="n"/>
      <c r="P319" s="63" t="n"/>
      <c r="Q319" s="63" t="n"/>
      <c r="R319" s="63" t="n"/>
      <c r="S319" s="63" t="n"/>
      <c r="T319" s="63" t="n"/>
      <c r="U319" s="62" t="n"/>
      <c r="V319" s="2" t="n"/>
    </row>
    <row r="320" ht="15.75" customHeight="1" s="125">
      <c r="A320" s="62" t="n"/>
      <c r="B320" s="62" t="n"/>
      <c r="C320" s="62" t="n"/>
      <c r="D320" s="62" t="n"/>
      <c r="E320" s="62" t="n"/>
      <c r="F320" s="62" t="n"/>
      <c r="G320" s="62" t="n"/>
      <c r="H320" s="62" t="n"/>
      <c r="I320" s="62" t="n"/>
      <c r="J320" s="62" t="n"/>
      <c r="K320" s="60" t="n"/>
      <c r="L320" s="62" t="n"/>
      <c r="M320" s="62" t="n"/>
      <c r="N320" s="62" t="n"/>
      <c r="O320" s="62" t="n"/>
      <c r="P320" s="63" t="n"/>
      <c r="Q320" s="63" t="n"/>
      <c r="R320" s="63" t="n"/>
      <c r="S320" s="63" t="n"/>
      <c r="T320" s="63" t="n"/>
      <c r="U320" s="62" t="n"/>
      <c r="V320" s="2" t="n"/>
    </row>
    <row r="321" ht="15.75" customHeight="1" s="125">
      <c r="A321" s="62" t="n"/>
      <c r="B321" s="62" t="n"/>
      <c r="C321" s="62" t="n"/>
      <c r="D321" s="62" t="n"/>
      <c r="E321" s="62" t="n"/>
      <c r="F321" s="62" t="n"/>
      <c r="G321" s="62" t="n"/>
      <c r="H321" s="62" t="n"/>
      <c r="I321" s="62" t="n"/>
      <c r="J321" s="62" t="n"/>
      <c r="K321" s="60" t="n"/>
      <c r="L321" s="62" t="n"/>
      <c r="M321" s="62" t="n"/>
      <c r="N321" s="62" t="n"/>
      <c r="O321" s="62" t="n"/>
      <c r="P321" s="63" t="n"/>
      <c r="Q321" s="63" t="n"/>
      <c r="R321" s="63" t="n"/>
      <c r="S321" s="63" t="n"/>
      <c r="T321" s="63" t="n"/>
      <c r="U321" s="62" t="n"/>
      <c r="V321" s="2" t="n"/>
    </row>
    <row r="322" ht="15.75" customHeight="1" s="125">
      <c r="A322" s="62" t="n"/>
      <c r="B322" s="62" t="n"/>
      <c r="C322" s="62" t="n"/>
      <c r="D322" s="62" t="n"/>
      <c r="E322" s="62" t="n"/>
      <c r="F322" s="62" t="n"/>
      <c r="G322" s="62" t="n"/>
      <c r="H322" s="62" t="n"/>
      <c r="I322" s="62" t="n"/>
      <c r="J322" s="62" t="n"/>
      <c r="K322" s="60" t="n"/>
      <c r="L322" s="62" t="n"/>
      <c r="M322" s="62" t="n"/>
      <c r="N322" s="62" t="n"/>
      <c r="O322" s="62" t="n"/>
      <c r="P322" s="63" t="n"/>
      <c r="Q322" s="63" t="n"/>
      <c r="R322" s="63" t="n"/>
      <c r="S322" s="63" t="n"/>
      <c r="T322" s="63" t="n"/>
      <c r="U322" s="62" t="n"/>
      <c r="V322" s="2" t="n"/>
    </row>
    <row r="323" ht="15.75" customHeight="1" s="125">
      <c r="A323" s="62" t="n"/>
      <c r="B323" s="62" t="n"/>
      <c r="C323" s="62" t="n"/>
      <c r="D323" s="62" t="n"/>
      <c r="E323" s="62" t="n"/>
      <c r="F323" s="62" t="n"/>
      <c r="G323" s="62" t="n"/>
      <c r="H323" s="62" t="n"/>
      <c r="I323" s="62" t="n"/>
      <c r="J323" s="62" t="n"/>
      <c r="K323" s="60" t="n"/>
      <c r="L323" s="62" t="n"/>
      <c r="M323" s="62" t="n"/>
      <c r="N323" s="62" t="n"/>
      <c r="O323" s="62" t="n"/>
      <c r="P323" s="63" t="n"/>
      <c r="Q323" s="63" t="n"/>
      <c r="R323" s="63" t="n"/>
      <c r="S323" s="63" t="n"/>
      <c r="T323" s="63" t="n"/>
      <c r="U323" s="62" t="n"/>
      <c r="V323" s="2" t="n"/>
    </row>
    <row r="324" ht="15.75" customHeight="1" s="125">
      <c r="A324" s="62" t="n"/>
      <c r="B324" s="62" t="n"/>
      <c r="C324" s="62" t="n"/>
      <c r="D324" s="62" t="n"/>
      <c r="E324" s="62" t="n"/>
      <c r="F324" s="62" t="n"/>
      <c r="G324" s="62" t="n"/>
      <c r="H324" s="62" t="n"/>
      <c r="I324" s="62" t="n"/>
      <c r="J324" s="62" t="n"/>
      <c r="K324" s="60" t="n"/>
      <c r="L324" s="62" t="n"/>
      <c r="M324" s="62" t="n"/>
      <c r="N324" s="62" t="n"/>
      <c r="O324" s="62" t="n"/>
      <c r="P324" s="63" t="n"/>
      <c r="Q324" s="63" t="n"/>
      <c r="R324" s="63" t="n"/>
      <c r="S324" s="63" t="n"/>
      <c r="T324" s="63" t="n"/>
      <c r="U324" s="62" t="n"/>
      <c r="V324" s="2" t="n"/>
    </row>
    <row r="325" ht="15.75" customHeight="1" s="125">
      <c r="A325" s="62" t="n"/>
      <c r="B325" s="62" t="n"/>
      <c r="C325" s="62" t="n"/>
      <c r="D325" s="62" t="n"/>
      <c r="E325" s="62" t="n"/>
      <c r="F325" s="62" t="n"/>
      <c r="G325" s="62" t="n"/>
      <c r="H325" s="62" t="n"/>
      <c r="I325" s="62" t="n"/>
      <c r="J325" s="62" t="n"/>
      <c r="K325" s="60" t="n"/>
      <c r="L325" s="62" t="n"/>
      <c r="M325" s="62" t="n"/>
      <c r="N325" s="62" t="n"/>
      <c r="O325" s="62" t="n"/>
      <c r="P325" s="63" t="n"/>
      <c r="Q325" s="63" t="n"/>
      <c r="R325" s="63" t="n"/>
      <c r="S325" s="63" t="n"/>
      <c r="T325" s="63" t="n"/>
      <c r="U325" s="62" t="n"/>
      <c r="V325" s="2" t="n"/>
    </row>
    <row r="326" ht="15.75" customHeight="1" s="125">
      <c r="A326" s="62" t="n"/>
      <c r="B326" s="62" t="n"/>
      <c r="C326" s="62" t="n"/>
      <c r="D326" s="62" t="n"/>
      <c r="E326" s="62" t="n"/>
      <c r="F326" s="62" t="n"/>
      <c r="G326" s="62" t="n"/>
      <c r="H326" s="62" t="n"/>
      <c r="I326" s="62" t="n"/>
      <c r="J326" s="62" t="n"/>
      <c r="K326" s="60" t="n"/>
      <c r="L326" s="62" t="n"/>
      <c r="M326" s="62" t="n"/>
      <c r="N326" s="62" t="n"/>
      <c r="O326" s="62" t="n"/>
      <c r="P326" s="63" t="n"/>
      <c r="Q326" s="63" t="n"/>
      <c r="R326" s="63" t="n"/>
      <c r="S326" s="63" t="n"/>
      <c r="T326" s="63" t="n"/>
      <c r="U326" s="62" t="n"/>
      <c r="V326" s="2" t="n"/>
    </row>
    <row r="327" ht="15.75" customHeight="1" s="125">
      <c r="A327" s="62" t="n"/>
      <c r="B327" s="62" t="n"/>
      <c r="C327" s="62" t="n"/>
      <c r="D327" s="62" t="n"/>
      <c r="E327" s="62" t="n"/>
      <c r="F327" s="62" t="n"/>
      <c r="G327" s="62" t="n"/>
      <c r="H327" s="62" t="n"/>
      <c r="I327" s="62" t="n"/>
      <c r="J327" s="62" t="n"/>
      <c r="K327" s="60" t="n"/>
      <c r="L327" s="62" t="n"/>
      <c r="M327" s="62" t="n"/>
      <c r="N327" s="62" t="n"/>
      <c r="O327" s="62" t="n"/>
      <c r="P327" s="63" t="n"/>
      <c r="Q327" s="63" t="n"/>
      <c r="R327" s="63" t="n"/>
      <c r="S327" s="63" t="n"/>
      <c r="T327" s="63" t="n"/>
      <c r="U327" s="62" t="n"/>
      <c r="V327" s="2" t="n"/>
    </row>
    <row r="328" ht="15.75" customHeight="1" s="125">
      <c r="A328" s="62" t="n"/>
      <c r="B328" s="62" t="n"/>
      <c r="C328" s="62" t="n"/>
      <c r="D328" s="62" t="n"/>
      <c r="E328" s="62" t="n"/>
      <c r="F328" s="62" t="n"/>
      <c r="G328" s="62" t="n"/>
      <c r="H328" s="62" t="n"/>
      <c r="I328" s="62" t="n"/>
      <c r="J328" s="62" t="n"/>
      <c r="K328" s="60" t="n"/>
      <c r="L328" s="62" t="n"/>
      <c r="M328" s="62" t="n"/>
      <c r="N328" s="62" t="n"/>
      <c r="O328" s="62" t="n"/>
      <c r="P328" s="63" t="n"/>
      <c r="Q328" s="63" t="n"/>
      <c r="R328" s="63" t="n"/>
      <c r="S328" s="63" t="n"/>
      <c r="T328" s="63" t="n"/>
      <c r="U328" s="62" t="n"/>
      <c r="V328" s="2" t="n"/>
    </row>
    <row r="329" ht="15.75" customHeight="1" s="125">
      <c r="A329" s="62" t="n"/>
      <c r="B329" s="62" t="n"/>
      <c r="C329" s="62" t="n"/>
      <c r="D329" s="62" t="n"/>
      <c r="E329" s="62" t="n"/>
      <c r="F329" s="62" t="n"/>
      <c r="G329" s="62" t="n"/>
      <c r="H329" s="62" t="n"/>
      <c r="I329" s="62" t="n"/>
      <c r="J329" s="62" t="n"/>
      <c r="K329" s="60" t="n"/>
      <c r="L329" s="62" t="n"/>
      <c r="M329" s="62" t="n"/>
      <c r="N329" s="62" t="n"/>
      <c r="O329" s="62" t="n"/>
      <c r="P329" s="63" t="n"/>
      <c r="Q329" s="63" t="n"/>
      <c r="R329" s="63" t="n"/>
      <c r="S329" s="63" t="n"/>
      <c r="T329" s="63" t="n"/>
      <c r="U329" s="62" t="n"/>
      <c r="V329" s="2" t="n"/>
    </row>
    <row r="330" ht="15.75" customHeight="1" s="125">
      <c r="A330" s="62" t="n"/>
      <c r="B330" s="62" t="n"/>
      <c r="C330" s="62" t="n"/>
      <c r="D330" s="62" t="n"/>
      <c r="E330" s="62" t="n"/>
      <c r="F330" s="62" t="n"/>
      <c r="G330" s="62" t="n"/>
      <c r="H330" s="62" t="n"/>
      <c r="I330" s="62" t="n"/>
      <c r="J330" s="62" t="n"/>
      <c r="K330" s="60" t="n"/>
      <c r="L330" s="62" t="n"/>
      <c r="M330" s="62" t="n"/>
      <c r="N330" s="62" t="n"/>
      <c r="O330" s="62" t="n"/>
      <c r="P330" s="63" t="n"/>
      <c r="Q330" s="63" t="n"/>
      <c r="R330" s="63" t="n"/>
      <c r="S330" s="63" t="n"/>
      <c r="T330" s="63" t="n"/>
      <c r="U330" s="62" t="n"/>
      <c r="V330" s="2" t="n"/>
    </row>
    <row r="331" ht="15.75" customHeight="1" s="125">
      <c r="A331" s="62" t="n"/>
      <c r="B331" s="62" t="n"/>
      <c r="C331" s="62" t="n"/>
      <c r="D331" s="62" t="n"/>
      <c r="E331" s="62" t="n"/>
      <c r="F331" s="62" t="n"/>
      <c r="G331" s="62" t="n"/>
      <c r="H331" s="62" t="n"/>
      <c r="I331" s="62" t="n"/>
      <c r="J331" s="62" t="n"/>
      <c r="K331" s="60" t="n"/>
      <c r="L331" s="62" t="n"/>
      <c r="M331" s="62" t="n"/>
      <c r="N331" s="62" t="n"/>
      <c r="O331" s="62" t="n"/>
      <c r="P331" s="63" t="n"/>
      <c r="Q331" s="63" t="n"/>
      <c r="R331" s="63" t="n"/>
      <c r="S331" s="63" t="n"/>
      <c r="T331" s="63" t="n"/>
      <c r="U331" s="62" t="n"/>
      <c r="V331" s="2" t="n"/>
    </row>
    <row r="332" ht="15.75" customHeight="1" s="125">
      <c r="A332" s="62" t="n"/>
      <c r="B332" s="62" t="n"/>
      <c r="C332" s="62" t="n"/>
      <c r="D332" s="62" t="n"/>
      <c r="E332" s="62" t="n"/>
      <c r="F332" s="62" t="n"/>
      <c r="G332" s="62" t="n"/>
      <c r="H332" s="62" t="n"/>
      <c r="I332" s="62" t="n"/>
      <c r="J332" s="62" t="n"/>
      <c r="K332" s="60" t="n"/>
      <c r="L332" s="62" t="n"/>
      <c r="M332" s="62" t="n"/>
      <c r="N332" s="62" t="n"/>
      <c r="O332" s="62" t="n"/>
      <c r="P332" s="63" t="n"/>
      <c r="Q332" s="63" t="n"/>
      <c r="R332" s="63" t="n"/>
      <c r="S332" s="63" t="n"/>
      <c r="T332" s="63" t="n"/>
      <c r="U332" s="62" t="n"/>
      <c r="V332" s="2" t="n"/>
    </row>
    <row r="333" ht="15.75" customHeight="1" s="125">
      <c r="A333" s="62" t="n"/>
      <c r="B333" s="62" t="n"/>
      <c r="C333" s="62" t="n"/>
      <c r="D333" s="62" t="n"/>
      <c r="E333" s="62" t="n"/>
      <c r="F333" s="62" t="n"/>
      <c r="G333" s="62" t="n"/>
      <c r="H333" s="62" t="n"/>
      <c r="I333" s="62" t="n"/>
      <c r="J333" s="62" t="n"/>
      <c r="K333" s="60" t="n"/>
      <c r="L333" s="62" t="n"/>
      <c r="M333" s="62" t="n"/>
      <c r="N333" s="62" t="n"/>
      <c r="O333" s="62" t="n"/>
      <c r="P333" s="63" t="n"/>
      <c r="Q333" s="63" t="n"/>
      <c r="R333" s="63" t="n"/>
      <c r="S333" s="63" t="n"/>
      <c r="T333" s="63" t="n"/>
      <c r="U333" s="62" t="n"/>
      <c r="V333" s="2" t="n"/>
    </row>
    <row r="334" ht="15.75" customHeight="1" s="125">
      <c r="A334" s="62" t="n"/>
      <c r="B334" s="62" t="n"/>
      <c r="C334" s="62" t="n"/>
      <c r="D334" s="62" t="n"/>
      <c r="E334" s="62" t="n"/>
      <c r="F334" s="62" t="n"/>
      <c r="G334" s="62" t="n"/>
      <c r="H334" s="62" t="n"/>
      <c r="I334" s="62" t="n"/>
      <c r="J334" s="62" t="n"/>
      <c r="K334" s="60" t="n"/>
      <c r="L334" s="62" t="n"/>
      <c r="M334" s="62" t="n"/>
      <c r="N334" s="62" t="n"/>
      <c r="O334" s="62" t="n"/>
      <c r="P334" s="63" t="n"/>
      <c r="Q334" s="63" t="n"/>
      <c r="R334" s="63" t="n"/>
      <c r="S334" s="63" t="n"/>
      <c r="T334" s="63" t="n"/>
      <c r="U334" s="62" t="n"/>
      <c r="V334" s="2" t="n"/>
    </row>
    <row r="335" ht="15.75" customHeight="1" s="125">
      <c r="A335" s="62" t="n"/>
      <c r="B335" s="62" t="n"/>
      <c r="C335" s="62" t="n"/>
      <c r="D335" s="62" t="n"/>
      <c r="E335" s="62" t="n"/>
      <c r="F335" s="62" t="n"/>
      <c r="G335" s="62" t="n"/>
      <c r="H335" s="62" t="n"/>
      <c r="I335" s="62" t="n"/>
      <c r="J335" s="62" t="n"/>
      <c r="K335" s="60" t="n"/>
      <c r="L335" s="62" t="n"/>
      <c r="M335" s="62" t="n"/>
      <c r="N335" s="62" t="n"/>
      <c r="O335" s="62" t="n"/>
      <c r="P335" s="63" t="n"/>
      <c r="Q335" s="63" t="n"/>
      <c r="R335" s="63" t="n"/>
      <c r="S335" s="63" t="n"/>
      <c r="T335" s="63" t="n"/>
      <c r="U335" s="62" t="n"/>
      <c r="V335" s="2" t="n"/>
    </row>
    <row r="336" ht="15.75" customHeight="1" s="125">
      <c r="A336" s="62" t="n"/>
      <c r="B336" s="62" t="n"/>
      <c r="C336" s="62" t="n"/>
      <c r="D336" s="62" t="n"/>
      <c r="E336" s="62" t="n"/>
      <c r="F336" s="62" t="n"/>
      <c r="G336" s="62" t="n"/>
      <c r="H336" s="62" t="n"/>
      <c r="I336" s="62" t="n"/>
      <c r="J336" s="62" t="n"/>
      <c r="K336" s="60" t="n"/>
      <c r="L336" s="62" t="n"/>
      <c r="M336" s="62" t="n"/>
      <c r="N336" s="62" t="n"/>
      <c r="O336" s="62" t="n"/>
      <c r="P336" s="63" t="n"/>
      <c r="Q336" s="63" t="n"/>
      <c r="R336" s="63" t="n"/>
      <c r="S336" s="63" t="n"/>
      <c r="T336" s="63" t="n"/>
      <c r="U336" s="62" t="n"/>
      <c r="V336" s="2" t="n"/>
    </row>
    <row r="337" ht="15.75" customHeight="1" s="125">
      <c r="A337" s="62" t="n"/>
      <c r="B337" s="62" t="n"/>
      <c r="C337" s="62" t="n"/>
      <c r="D337" s="62" t="n"/>
      <c r="E337" s="62" t="n"/>
      <c r="F337" s="62" t="n"/>
      <c r="G337" s="62" t="n"/>
      <c r="H337" s="62" t="n"/>
      <c r="I337" s="62" t="n"/>
      <c r="J337" s="62" t="n"/>
      <c r="K337" s="60" t="n"/>
      <c r="L337" s="62" t="n"/>
      <c r="M337" s="62" t="n"/>
      <c r="N337" s="62" t="n"/>
      <c r="O337" s="62" t="n"/>
      <c r="P337" s="63" t="n"/>
      <c r="Q337" s="63" t="n"/>
      <c r="R337" s="63" t="n"/>
      <c r="S337" s="63" t="n"/>
      <c r="T337" s="63" t="n"/>
      <c r="U337" s="62" t="n"/>
      <c r="V337" s="2" t="n"/>
    </row>
    <row r="338" ht="15.75" customHeight="1" s="125">
      <c r="A338" s="62" t="n"/>
      <c r="B338" s="62" t="n"/>
      <c r="C338" s="62" t="n"/>
      <c r="D338" s="62" t="n"/>
      <c r="E338" s="62" t="n"/>
      <c r="F338" s="62" t="n"/>
      <c r="G338" s="62" t="n"/>
      <c r="H338" s="62" t="n"/>
      <c r="I338" s="62" t="n"/>
      <c r="J338" s="62" t="n"/>
      <c r="K338" s="60" t="n"/>
      <c r="L338" s="62" t="n"/>
      <c r="M338" s="62" t="n"/>
      <c r="N338" s="62" t="n"/>
      <c r="O338" s="62" t="n"/>
      <c r="P338" s="63" t="n"/>
      <c r="Q338" s="63" t="n"/>
      <c r="R338" s="63" t="n"/>
      <c r="S338" s="63" t="n"/>
      <c r="T338" s="63" t="n"/>
      <c r="U338" s="62" t="n"/>
      <c r="V338" s="2" t="n"/>
    </row>
    <row r="339" ht="15.75" customHeight="1" s="125">
      <c r="A339" s="62" t="n"/>
      <c r="B339" s="62" t="n"/>
      <c r="C339" s="62" t="n"/>
      <c r="D339" s="62" t="n"/>
      <c r="E339" s="62" t="n"/>
      <c r="F339" s="62" t="n"/>
      <c r="G339" s="62" t="n"/>
      <c r="H339" s="62" t="n"/>
      <c r="I339" s="62" t="n"/>
      <c r="J339" s="62" t="n"/>
      <c r="K339" s="60" t="n"/>
      <c r="L339" s="62" t="n"/>
      <c r="M339" s="62" t="n"/>
      <c r="N339" s="62" t="n"/>
      <c r="O339" s="62" t="n"/>
      <c r="P339" s="63" t="n"/>
      <c r="Q339" s="63" t="n"/>
      <c r="R339" s="63" t="n"/>
      <c r="S339" s="63" t="n"/>
      <c r="T339" s="63" t="n"/>
      <c r="U339" s="62" t="n"/>
      <c r="V339" s="2" t="n"/>
    </row>
    <row r="340" ht="15.75" customHeight="1" s="125">
      <c r="A340" s="62" t="n"/>
      <c r="B340" s="62" t="n"/>
      <c r="C340" s="62" t="n"/>
      <c r="D340" s="62" t="n"/>
      <c r="E340" s="62" t="n"/>
      <c r="F340" s="62" t="n"/>
      <c r="G340" s="62" t="n"/>
      <c r="H340" s="62" t="n"/>
      <c r="I340" s="62" t="n"/>
      <c r="J340" s="62" t="n"/>
      <c r="K340" s="60" t="n"/>
      <c r="L340" s="62" t="n"/>
      <c r="M340" s="62" t="n"/>
      <c r="N340" s="62" t="n"/>
      <c r="O340" s="62" t="n"/>
      <c r="P340" s="63" t="n"/>
      <c r="Q340" s="63" t="n"/>
      <c r="R340" s="63" t="n"/>
      <c r="S340" s="63" t="n"/>
      <c r="T340" s="63" t="n"/>
      <c r="U340" s="62" t="n"/>
      <c r="V340" s="2" t="n"/>
    </row>
    <row r="341" ht="15.75" customHeight="1" s="125">
      <c r="A341" s="62" t="n"/>
      <c r="B341" s="62" t="n"/>
      <c r="C341" s="62" t="n"/>
      <c r="D341" s="62" t="n"/>
      <c r="E341" s="62" t="n"/>
      <c r="F341" s="62" t="n"/>
      <c r="G341" s="62" t="n"/>
      <c r="H341" s="62" t="n"/>
      <c r="I341" s="62" t="n"/>
      <c r="J341" s="62" t="n"/>
      <c r="K341" s="60" t="n"/>
      <c r="L341" s="62" t="n"/>
      <c r="M341" s="62" t="n"/>
      <c r="N341" s="62" t="n"/>
      <c r="O341" s="62" t="n"/>
      <c r="P341" s="63" t="n"/>
      <c r="Q341" s="63" t="n"/>
      <c r="R341" s="63" t="n"/>
      <c r="S341" s="63" t="n"/>
      <c r="T341" s="63" t="n"/>
      <c r="U341" s="62" t="n"/>
      <c r="V341" s="2" t="n"/>
    </row>
    <row r="342" ht="15.75" customHeight="1" s="125">
      <c r="A342" s="62" t="n"/>
      <c r="B342" s="62" t="n"/>
      <c r="C342" s="62" t="n"/>
      <c r="D342" s="62" t="n"/>
      <c r="E342" s="62" t="n"/>
      <c r="F342" s="62" t="n"/>
      <c r="G342" s="62" t="n"/>
      <c r="H342" s="62" t="n"/>
      <c r="I342" s="62" t="n"/>
      <c r="J342" s="62" t="n"/>
      <c r="K342" s="60" t="n"/>
      <c r="L342" s="62" t="n"/>
      <c r="M342" s="62" t="n"/>
      <c r="N342" s="62" t="n"/>
      <c r="O342" s="62" t="n"/>
      <c r="P342" s="63" t="n"/>
      <c r="Q342" s="63" t="n"/>
      <c r="R342" s="63" t="n"/>
      <c r="S342" s="63" t="n"/>
      <c r="T342" s="63" t="n"/>
      <c r="U342" s="62" t="n"/>
      <c r="V342" s="2" t="n"/>
    </row>
    <row r="343" ht="15.75" customHeight="1" s="125">
      <c r="A343" s="62" t="n"/>
      <c r="B343" s="62" t="n"/>
      <c r="C343" s="62" t="n"/>
      <c r="D343" s="62" t="n"/>
      <c r="E343" s="62" t="n"/>
      <c r="F343" s="62" t="n"/>
      <c r="G343" s="62" t="n"/>
      <c r="H343" s="62" t="n"/>
      <c r="I343" s="62" t="n"/>
      <c r="J343" s="62" t="n"/>
      <c r="K343" s="60" t="n"/>
      <c r="L343" s="62" t="n"/>
      <c r="M343" s="62" t="n"/>
      <c r="N343" s="62" t="n"/>
      <c r="O343" s="62" t="n"/>
      <c r="P343" s="63" t="n"/>
      <c r="Q343" s="63" t="n"/>
      <c r="R343" s="63" t="n"/>
      <c r="S343" s="63" t="n"/>
      <c r="T343" s="63" t="n"/>
      <c r="U343" s="62" t="n"/>
      <c r="V343" s="2" t="n"/>
    </row>
    <row r="344" ht="15.75" customHeight="1" s="125">
      <c r="A344" s="62" t="n"/>
      <c r="B344" s="62" t="n"/>
      <c r="C344" s="62" t="n"/>
      <c r="D344" s="62" t="n"/>
      <c r="E344" s="62" t="n"/>
      <c r="F344" s="62" t="n"/>
      <c r="G344" s="62" t="n"/>
      <c r="H344" s="62" t="n"/>
      <c r="I344" s="62" t="n"/>
      <c r="J344" s="62" t="n"/>
      <c r="K344" s="60" t="n"/>
      <c r="L344" s="62" t="n"/>
      <c r="M344" s="62" t="n"/>
      <c r="N344" s="62" t="n"/>
      <c r="O344" s="62" t="n"/>
      <c r="P344" s="63" t="n"/>
      <c r="Q344" s="63" t="n"/>
      <c r="R344" s="63" t="n"/>
      <c r="S344" s="63" t="n"/>
      <c r="T344" s="63" t="n"/>
      <c r="U344" s="62" t="n"/>
      <c r="V344" s="2" t="n"/>
    </row>
    <row r="345" ht="15.75" customHeight="1" s="125">
      <c r="A345" s="62" t="n"/>
      <c r="B345" s="62" t="n"/>
      <c r="C345" s="62" t="n"/>
      <c r="D345" s="62" t="n"/>
      <c r="E345" s="62" t="n"/>
      <c r="F345" s="62" t="n"/>
      <c r="G345" s="62" t="n"/>
      <c r="H345" s="62" t="n"/>
      <c r="I345" s="62" t="n"/>
      <c r="J345" s="62" t="n"/>
      <c r="K345" s="60" t="n"/>
      <c r="L345" s="62" t="n"/>
      <c r="M345" s="62" t="n"/>
      <c r="N345" s="62" t="n"/>
      <c r="O345" s="62" t="n"/>
      <c r="P345" s="63" t="n"/>
      <c r="Q345" s="63" t="n"/>
      <c r="R345" s="63" t="n"/>
      <c r="S345" s="63" t="n"/>
      <c r="T345" s="63" t="n"/>
      <c r="U345" s="62" t="n"/>
      <c r="V345" s="2" t="n"/>
    </row>
    <row r="346" ht="15.75" customHeight="1" s="125">
      <c r="A346" s="62" t="n"/>
      <c r="B346" s="62" t="n"/>
      <c r="C346" s="62" t="n"/>
      <c r="D346" s="62" t="n"/>
      <c r="E346" s="62" t="n"/>
      <c r="F346" s="62" t="n"/>
      <c r="G346" s="62" t="n"/>
      <c r="H346" s="62" t="n"/>
      <c r="I346" s="62" t="n"/>
      <c r="J346" s="62" t="n"/>
      <c r="K346" s="60" t="n"/>
      <c r="L346" s="62" t="n"/>
      <c r="M346" s="62" t="n"/>
      <c r="N346" s="62" t="n"/>
      <c r="O346" s="62" t="n"/>
      <c r="P346" s="63" t="n"/>
      <c r="Q346" s="63" t="n"/>
      <c r="R346" s="63" t="n"/>
      <c r="S346" s="63" t="n"/>
      <c r="T346" s="63" t="n"/>
      <c r="U346" s="62" t="n"/>
      <c r="V346" s="2" t="n"/>
    </row>
    <row r="347" ht="15.75" customHeight="1" s="125">
      <c r="A347" s="62" t="n"/>
      <c r="B347" s="62" t="n"/>
      <c r="C347" s="62" t="n"/>
      <c r="D347" s="62" t="n"/>
      <c r="E347" s="62" t="n"/>
      <c r="F347" s="62" t="n"/>
      <c r="G347" s="62" t="n"/>
      <c r="H347" s="62" t="n"/>
      <c r="I347" s="62" t="n"/>
      <c r="J347" s="62" t="n"/>
      <c r="K347" s="60" t="n"/>
      <c r="L347" s="62" t="n"/>
      <c r="M347" s="62" t="n"/>
      <c r="N347" s="62" t="n"/>
      <c r="O347" s="62" t="n"/>
      <c r="P347" s="63" t="n"/>
      <c r="Q347" s="63" t="n"/>
      <c r="R347" s="63" t="n"/>
      <c r="S347" s="63" t="n"/>
      <c r="T347" s="63" t="n"/>
      <c r="U347" s="62" t="n"/>
      <c r="V347" s="2" t="n"/>
    </row>
    <row r="348" ht="15.75" customHeight="1" s="125">
      <c r="A348" s="62" t="n"/>
      <c r="B348" s="62" t="n"/>
      <c r="C348" s="62" t="n"/>
      <c r="D348" s="62" t="n"/>
      <c r="E348" s="62" t="n"/>
      <c r="F348" s="62" t="n"/>
      <c r="G348" s="62" t="n"/>
      <c r="H348" s="62" t="n"/>
      <c r="I348" s="62" t="n"/>
      <c r="J348" s="62" t="n"/>
      <c r="K348" s="60" t="n"/>
      <c r="L348" s="62" t="n"/>
      <c r="M348" s="62" t="n"/>
      <c r="N348" s="62" t="n"/>
      <c r="O348" s="62" t="n"/>
      <c r="P348" s="63" t="n"/>
      <c r="Q348" s="63" t="n"/>
      <c r="R348" s="63" t="n"/>
      <c r="S348" s="63" t="n"/>
      <c r="T348" s="63" t="n"/>
      <c r="U348" s="62" t="n"/>
      <c r="V348" s="2" t="n"/>
    </row>
    <row r="349" ht="15.75" customHeight="1" s="125">
      <c r="A349" s="62" t="n"/>
      <c r="B349" s="62" t="n"/>
      <c r="C349" s="62" t="n"/>
      <c r="D349" s="62" t="n"/>
      <c r="E349" s="62" t="n"/>
      <c r="F349" s="62" t="n"/>
      <c r="G349" s="62" t="n"/>
      <c r="H349" s="62" t="n"/>
      <c r="I349" s="62" t="n"/>
      <c r="J349" s="62" t="n"/>
      <c r="K349" s="60" t="n"/>
      <c r="L349" s="62" t="n"/>
      <c r="M349" s="62" t="n"/>
      <c r="N349" s="62" t="n"/>
      <c r="O349" s="62" t="n"/>
      <c r="P349" s="63" t="n"/>
      <c r="Q349" s="63" t="n"/>
      <c r="R349" s="63" t="n"/>
      <c r="S349" s="63" t="n"/>
      <c r="T349" s="63" t="n"/>
      <c r="U349" s="62" t="n"/>
      <c r="V349" s="2" t="n"/>
    </row>
    <row r="350" ht="15.75" customHeight="1" s="125">
      <c r="A350" s="62" t="n"/>
      <c r="B350" s="62" t="n"/>
      <c r="C350" s="62" t="n"/>
      <c r="D350" s="62" t="n"/>
      <c r="E350" s="62" t="n"/>
      <c r="F350" s="62" t="n"/>
      <c r="G350" s="62" t="n"/>
      <c r="H350" s="62" t="n"/>
      <c r="I350" s="62" t="n"/>
      <c r="J350" s="62" t="n"/>
      <c r="K350" s="60" t="n"/>
      <c r="L350" s="62" t="n"/>
      <c r="M350" s="62" t="n"/>
      <c r="N350" s="62" t="n"/>
      <c r="O350" s="62" t="n"/>
      <c r="P350" s="63" t="n"/>
      <c r="Q350" s="63" t="n"/>
      <c r="R350" s="63" t="n"/>
      <c r="S350" s="63" t="n"/>
      <c r="T350" s="63" t="n"/>
      <c r="U350" s="62" t="n"/>
      <c r="V350" s="2" t="n"/>
    </row>
    <row r="351" ht="15.75" customHeight="1" s="125">
      <c r="A351" s="62" t="n"/>
      <c r="B351" s="62" t="n"/>
      <c r="C351" s="62" t="n"/>
      <c r="D351" s="62" t="n"/>
      <c r="E351" s="62" t="n"/>
      <c r="F351" s="62" t="n"/>
      <c r="G351" s="62" t="n"/>
      <c r="H351" s="62" t="n"/>
      <c r="I351" s="62" t="n"/>
      <c r="J351" s="62" t="n"/>
      <c r="K351" s="60" t="n"/>
      <c r="L351" s="62" t="n"/>
      <c r="M351" s="62" t="n"/>
      <c r="N351" s="62" t="n"/>
      <c r="O351" s="62" t="n"/>
      <c r="P351" s="63" t="n"/>
      <c r="Q351" s="63" t="n"/>
      <c r="R351" s="63" t="n"/>
      <c r="S351" s="63" t="n"/>
      <c r="T351" s="63" t="n"/>
      <c r="U351" s="62" t="n"/>
      <c r="V351" s="2" t="n"/>
    </row>
    <row r="352" ht="15.75" customHeight="1" s="125">
      <c r="A352" s="62" t="n"/>
      <c r="B352" s="62" t="n"/>
      <c r="C352" s="62" t="n"/>
      <c r="D352" s="62" t="n"/>
      <c r="E352" s="62" t="n"/>
      <c r="F352" s="62" t="n"/>
      <c r="G352" s="62" t="n"/>
      <c r="H352" s="62" t="n"/>
      <c r="I352" s="62" t="n"/>
      <c r="J352" s="62" t="n"/>
      <c r="K352" s="60" t="n"/>
      <c r="L352" s="62" t="n"/>
      <c r="M352" s="62" t="n"/>
      <c r="N352" s="62" t="n"/>
      <c r="O352" s="62" t="n"/>
      <c r="P352" s="63" t="n"/>
      <c r="Q352" s="63" t="n"/>
      <c r="R352" s="63" t="n"/>
      <c r="S352" s="63" t="n"/>
      <c r="T352" s="63" t="n"/>
      <c r="U352" s="62" t="n"/>
      <c r="V352" s="2" t="n"/>
    </row>
    <row r="353" ht="15.75" customHeight="1" s="125">
      <c r="A353" s="62" t="n"/>
      <c r="B353" s="62" t="n"/>
      <c r="C353" s="62" t="n"/>
      <c r="D353" s="62" t="n"/>
      <c r="E353" s="62" t="n"/>
      <c r="F353" s="62" t="n"/>
      <c r="G353" s="62" t="n"/>
      <c r="H353" s="62" t="n"/>
      <c r="I353" s="62" t="n"/>
      <c r="J353" s="62" t="n"/>
      <c r="K353" s="60" t="n"/>
      <c r="L353" s="62" t="n"/>
      <c r="M353" s="62" t="n"/>
      <c r="N353" s="62" t="n"/>
      <c r="O353" s="62" t="n"/>
      <c r="P353" s="63" t="n"/>
      <c r="Q353" s="63" t="n"/>
      <c r="R353" s="63" t="n"/>
      <c r="S353" s="63" t="n"/>
      <c r="T353" s="63" t="n"/>
      <c r="U353" s="62" t="n"/>
      <c r="V353" s="2" t="n"/>
    </row>
    <row r="354" ht="15.75" customHeight="1" s="125">
      <c r="A354" s="62" t="n"/>
      <c r="B354" s="62" t="n"/>
      <c r="C354" s="62" t="n"/>
      <c r="D354" s="62" t="n"/>
      <c r="E354" s="62" t="n"/>
      <c r="F354" s="62" t="n"/>
      <c r="G354" s="62" t="n"/>
      <c r="H354" s="62" t="n"/>
      <c r="I354" s="62" t="n"/>
      <c r="J354" s="62" t="n"/>
      <c r="K354" s="60" t="n"/>
      <c r="L354" s="62" t="n"/>
      <c r="M354" s="62" t="n"/>
      <c r="N354" s="62" t="n"/>
      <c r="O354" s="62" t="n"/>
      <c r="P354" s="63" t="n"/>
      <c r="Q354" s="63" t="n"/>
      <c r="R354" s="63" t="n"/>
      <c r="S354" s="63" t="n"/>
      <c r="T354" s="63" t="n"/>
      <c r="U354" s="62" t="n"/>
      <c r="V354" s="2" t="n"/>
    </row>
    <row r="355" ht="15.75" customHeight="1" s="125">
      <c r="A355" s="62" t="n"/>
      <c r="B355" s="62" t="n"/>
      <c r="C355" s="62" t="n"/>
      <c r="D355" s="62" t="n"/>
      <c r="E355" s="62" t="n"/>
      <c r="F355" s="62" t="n"/>
      <c r="G355" s="62" t="n"/>
      <c r="H355" s="62" t="n"/>
      <c r="I355" s="62" t="n"/>
      <c r="J355" s="62" t="n"/>
      <c r="K355" s="60" t="n"/>
      <c r="L355" s="62" t="n"/>
      <c r="M355" s="62" t="n"/>
      <c r="N355" s="62" t="n"/>
      <c r="O355" s="62" t="n"/>
      <c r="P355" s="63" t="n"/>
      <c r="Q355" s="63" t="n"/>
      <c r="R355" s="63" t="n"/>
      <c r="S355" s="63" t="n"/>
      <c r="T355" s="63" t="n"/>
      <c r="U355" s="62" t="n"/>
      <c r="V355" s="2" t="n"/>
    </row>
    <row r="356" ht="15.75" customHeight="1" s="125">
      <c r="A356" s="62" t="n"/>
      <c r="B356" s="62" t="n"/>
      <c r="C356" s="62" t="n"/>
      <c r="D356" s="62" t="n"/>
      <c r="E356" s="62" t="n"/>
      <c r="F356" s="62" t="n"/>
      <c r="G356" s="62" t="n"/>
      <c r="H356" s="62" t="n"/>
      <c r="I356" s="62" t="n"/>
      <c r="J356" s="62" t="n"/>
      <c r="K356" s="60" t="n"/>
      <c r="L356" s="62" t="n"/>
      <c r="M356" s="62" t="n"/>
      <c r="N356" s="62" t="n"/>
      <c r="O356" s="62" t="n"/>
      <c r="P356" s="63" t="n"/>
      <c r="Q356" s="63" t="n"/>
      <c r="R356" s="63" t="n"/>
      <c r="S356" s="63" t="n"/>
      <c r="T356" s="63" t="n"/>
      <c r="U356" s="62" t="n"/>
      <c r="V356" s="2" t="n"/>
    </row>
    <row r="357" ht="15.75" customHeight="1" s="125">
      <c r="A357" s="62" t="n"/>
      <c r="B357" s="62" t="n"/>
      <c r="C357" s="62" t="n"/>
      <c r="D357" s="62" t="n"/>
      <c r="E357" s="62" t="n"/>
      <c r="F357" s="62" t="n"/>
      <c r="G357" s="62" t="n"/>
      <c r="H357" s="62" t="n"/>
      <c r="I357" s="62" t="n"/>
      <c r="J357" s="62" t="n"/>
      <c r="K357" s="60" t="n"/>
      <c r="L357" s="62" t="n"/>
      <c r="M357" s="62" t="n"/>
      <c r="N357" s="62" t="n"/>
      <c r="O357" s="62" t="n"/>
      <c r="P357" s="63" t="n"/>
      <c r="Q357" s="63" t="n"/>
      <c r="R357" s="63" t="n"/>
      <c r="S357" s="63" t="n"/>
      <c r="T357" s="63" t="n"/>
      <c r="U357" s="62" t="n"/>
      <c r="V357" s="2" t="n"/>
    </row>
    <row r="358" ht="15.75" customHeight="1" s="125">
      <c r="A358" s="62" t="n"/>
      <c r="B358" s="62" t="n"/>
      <c r="C358" s="62" t="n"/>
      <c r="D358" s="62" t="n"/>
      <c r="E358" s="62" t="n"/>
      <c r="F358" s="62" t="n"/>
      <c r="G358" s="62" t="n"/>
      <c r="H358" s="62" t="n"/>
      <c r="I358" s="62" t="n"/>
      <c r="J358" s="62" t="n"/>
      <c r="K358" s="60" t="n"/>
      <c r="L358" s="62" t="n"/>
      <c r="M358" s="62" t="n"/>
      <c r="N358" s="62" t="n"/>
      <c r="O358" s="62" t="n"/>
      <c r="P358" s="63" t="n"/>
      <c r="Q358" s="63" t="n"/>
      <c r="R358" s="63" t="n"/>
      <c r="S358" s="63" t="n"/>
      <c r="T358" s="63" t="n"/>
      <c r="U358" s="62" t="n"/>
      <c r="V358" s="2" t="n"/>
    </row>
    <row r="359" ht="15.75" customHeight="1" s="125">
      <c r="A359" s="62" t="n"/>
      <c r="B359" s="62" t="n"/>
      <c r="C359" s="62" t="n"/>
      <c r="D359" s="62" t="n"/>
      <c r="E359" s="62" t="n"/>
      <c r="F359" s="62" t="n"/>
      <c r="G359" s="62" t="n"/>
      <c r="H359" s="62" t="n"/>
      <c r="I359" s="62" t="n"/>
      <c r="J359" s="62" t="n"/>
      <c r="K359" s="60" t="n"/>
      <c r="L359" s="62" t="n"/>
      <c r="M359" s="62" t="n"/>
      <c r="N359" s="62" t="n"/>
      <c r="O359" s="62" t="n"/>
      <c r="P359" s="63" t="n"/>
      <c r="Q359" s="63" t="n"/>
      <c r="R359" s="63" t="n"/>
      <c r="S359" s="63" t="n"/>
      <c r="T359" s="63" t="n"/>
      <c r="U359" s="62" t="n"/>
      <c r="V359" s="2" t="n"/>
    </row>
    <row r="360" ht="15.75" customHeight="1" s="125">
      <c r="A360" s="62" t="n"/>
      <c r="B360" s="62" t="n"/>
      <c r="C360" s="62" t="n"/>
      <c r="D360" s="62" t="n"/>
      <c r="E360" s="62" t="n"/>
      <c r="F360" s="62" t="n"/>
      <c r="G360" s="62" t="n"/>
      <c r="H360" s="62" t="n"/>
      <c r="I360" s="62" t="n"/>
      <c r="J360" s="62" t="n"/>
      <c r="K360" s="60" t="n"/>
      <c r="L360" s="62" t="n"/>
      <c r="M360" s="62" t="n"/>
      <c r="N360" s="62" t="n"/>
      <c r="O360" s="62" t="n"/>
      <c r="P360" s="63" t="n"/>
      <c r="Q360" s="63" t="n"/>
      <c r="R360" s="63" t="n"/>
      <c r="S360" s="63" t="n"/>
      <c r="T360" s="63" t="n"/>
      <c r="U360" s="62" t="n"/>
      <c r="V360" s="2" t="n"/>
    </row>
    <row r="361" ht="15.75" customHeight="1" s="125">
      <c r="A361" s="62" t="n"/>
      <c r="B361" s="62" t="n"/>
      <c r="C361" s="62" t="n"/>
      <c r="D361" s="62" t="n"/>
      <c r="E361" s="62" t="n"/>
      <c r="F361" s="62" t="n"/>
      <c r="G361" s="62" t="n"/>
      <c r="H361" s="62" t="n"/>
      <c r="I361" s="62" t="n"/>
      <c r="J361" s="62" t="n"/>
      <c r="K361" s="60" t="n"/>
      <c r="L361" s="62" t="n"/>
      <c r="M361" s="62" t="n"/>
      <c r="N361" s="62" t="n"/>
      <c r="O361" s="62" t="n"/>
      <c r="P361" s="63" t="n"/>
      <c r="Q361" s="63" t="n"/>
      <c r="R361" s="63" t="n"/>
      <c r="S361" s="63" t="n"/>
      <c r="T361" s="63" t="n"/>
      <c r="U361" s="62" t="n"/>
      <c r="V361" s="2" t="n"/>
    </row>
    <row r="362" ht="15.75" customHeight="1" s="125">
      <c r="A362" s="62" t="n"/>
      <c r="B362" s="62" t="n"/>
      <c r="C362" s="62" t="n"/>
      <c r="D362" s="62" t="n"/>
      <c r="E362" s="62" t="n"/>
      <c r="F362" s="62" t="n"/>
      <c r="G362" s="62" t="n"/>
      <c r="H362" s="62" t="n"/>
      <c r="I362" s="62" t="n"/>
      <c r="J362" s="62" t="n"/>
      <c r="K362" s="60" t="n"/>
      <c r="L362" s="62" t="n"/>
      <c r="M362" s="62" t="n"/>
      <c r="N362" s="62" t="n"/>
      <c r="O362" s="62" t="n"/>
      <c r="P362" s="63" t="n"/>
      <c r="Q362" s="63" t="n"/>
      <c r="R362" s="63" t="n"/>
      <c r="S362" s="63" t="n"/>
      <c r="T362" s="63" t="n"/>
      <c r="U362" s="62" t="n"/>
      <c r="V362" s="2" t="n"/>
    </row>
    <row r="363" ht="15.75" customHeight="1" s="125">
      <c r="A363" s="62" t="n"/>
      <c r="B363" s="62" t="n"/>
      <c r="C363" s="62" t="n"/>
      <c r="D363" s="62" t="n"/>
      <c r="E363" s="62" t="n"/>
      <c r="F363" s="62" t="n"/>
      <c r="G363" s="62" t="n"/>
      <c r="H363" s="62" t="n"/>
      <c r="I363" s="62" t="n"/>
      <c r="J363" s="62" t="n"/>
      <c r="K363" s="60" t="n"/>
      <c r="L363" s="62" t="n"/>
      <c r="M363" s="62" t="n"/>
      <c r="N363" s="62" t="n"/>
      <c r="O363" s="62" t="n"/>
      <c r="P363" s="63" t="n"/>
      <c r="Q363" s="63" t="n"/>
      <c r="R363" s="63" t="n"/>
      <c r="S363" s="63" t="n"/>
      <c r="T363" s="63" t="n"/>
      <c r="U363" s="62" t="n"/>
      <c r="V363" s="2" t="n"/>
    </row>
    <row r="364" ht="15.75" customHeight="1" s="125">
      <c r="A364" s="62" t="n"/>
      <c r="B364" s="62" t="n"/>
      <c r="C364" s="62" t="n"/>
      <c r="D364" s="62" t="n"/>
      <c r="E364" s="62" t="n"/>
      <c r="F364" s="62" t="n"/>
      <c r="G364" s="62" t="n"/>
      <c r="H364" s="62" t="n"/>
      <c r="I364" s="62" t="n"/>
      <c r="J364" s="62" t="n"/>
      <c r="K364" s="60" t="n"/>
      <c r="L364" s="62" t="n"/>
      <c r="M364" s="62" t="n"/>
      <c r="N364" s="62" t="n"/>
      <c r="O364" s="62" t="n"/>
      <c r="P364" s="63" t="n"/>
      <c r="Q364" s="63" t="n"/>
      <c r="R364" s="63" t="n"/>
      <c r="S364" s="63" t="n"/>
      <c r="T364" s="63" t="n"/>
      <c r="U364" s="62" t="n"/>
      <c r="V364" s="2" t="n"/>
    </row>
    <row r="365" ht="15.75" customHeight="1" s="125">
      <c r="A365" s="62" t="n"/>
      <c r="B365" s="62" t="n"/>
      <c r="C365" s="62" t="n"/>
      <c r="D365" s="62" t="n"/>
      <c r="E365" s="62" t="n"/>
      <c r="F365" s="62" t="n"/>
      <c r="G365" s="62" t="n"/>
      <c r="H365" s="62" t="n"/>
      <c r="I365" s="62" t="n"/>
      <c r="J365" s="62" t="n"/>
      <c r="K365" s="60" t="n"/>
      <c r="L365" s="62" t="n"/>
      <c r="M365" s="62" t="n"/>
      <c r="N365" s="62" t="n"/>
      <c r="O365" s="62" t="n"/>
      <c r="P365" s="63" t="n"/>
      <c r="Q365" s="63" t="n"/>
      <c r="R365" s="63" t="n"/>
      <c r="S365" s="63" t="n"/>
      <c r="T365" s="63" t="n"/>
      <c r="U365" s="62" t="n"/>
      <c r="V365" s="2" t="n"/>
    </row>
    <row r="366" ht="15.75" customHeight="1" s="125">
      <c r="A366" s="62" t="n"/>
      <c r="B366" s="62" t="n"/>
      <c r="C366" s="62" t="n"/>
      <c r="D366" s="62" t="n"/>
      <c r="E366" s="62" t="n"/>
      <c r="F366" s="62" t="n"/>
      <c r="G366" s="62" t="n"/>
      <c r="H366" s="62" t="n"/>
      <c r="I366" s="62" t="n"/>
      <c r="J366" s="62" t="n"/>
      <c r="K366" s="60" t="n"/>
      <c r="L366" s="62" t="n"/>
      <c r="M366" s="62" t="n"/>
      <c r="N366" s="62" t="n"/>
      <c r="O366" s="62" t="n"/>
      <c r="P366" s="63" t="n"/>
      <c r="Q366" s="63" t="n"/>
      <c r="R366" s="63" t="n"/>
      <c r="S366" s="63" t="n"/>
      <c r="T366" s="63" t="n"/>
      <c r="U366" s="62" t="n"/>
      <c r="V366" s="2" t="n"/>
    </row>
    <row r="367" ht="15.75" customHeight="1" s="125">
      <c r="A367" s="62" t="n"/>
      <c r="B367" s="62" t="n"/>
      <c r="C367" s="62" t="n"/>
      <c r="D367" s="62" t="n"/>
      <c r="E367" s="62" t="n"/>
      <c r="F367" s="62" t="n"/>
      <c r="G367" s="62" t="n"/>
      <c r="H367" s="62" t="n"/>
      <c r="I367" s="62" t="n"/>
      <c r="J367" s="62" t="n"/>
      <c r="K367" s="60" t="n"/>
      <c r="L367" s="62" t="n"/>
      <c r="M367" s="62" t="n"/>
      <c r="N367" s="62" t="n"/>
      <c r="O367" s="62" t="n"/>
      <c r="P367" s="63" t="n"/>
      <c r="Q367" s="63" t="n"/>
      <c r="R367" s="63" t="n"/>
      <c r="S367" s="63" t="n"/>
      <c r="T367" s="63" t="n"/>
      <c r="U367" s="62" t="n"/>
      <c r="V367" s="2" t="n"/>
    </row>
    <row r="368" ht="15.75" customHeight="1" s="125">
      <c r="A368" s="62" t="n"/>
      <c r="B368" s="62" t="n"/>
      <c r="C368" s="62" t="n"/>
      <c r="D368" s="62" t="n"/>
      <c r="E368" s="62" t="n"/>
      <c r="F368" s="62" t="n"/>
      <c r="G368" s="62" t="n"/>
      <c r="H368" s="62" t="n"/>
      <c r="I368" s="62" t="n"/>
      <c r="J368" s="62" t="n"/>
      <c r="K368" s="60" t="n"/>
      <c r="L368" s="62" t="n"/>
      <c r="M368" s="62" t="n"/>
      <c r="N368" s="62" t="n"/>
      <c r="O368" s="62" t="n"/>
      <c r="P368" s="63" t="n"/>
      <c r="Q368" s="63" t="n"/>
      <c r="R368" s="63" t="n"/>
      <c r="S368" s="63" t="n"/>
      <c r="T368" s="63" t="n"/>
      <c r="U368" s="62" t="n"/>
      <c r="V368" s="2" t="n"/>
    </row>
    <row r="369" ht="15.75" customHeight="1" s="125">
      <c r="A369" s="62" t="n"/>
      <c r="B369" s="62" t="n"/>
      <c r="C369" s="62" t="n"/>
      <c r="D369" s="62" t="n"/>
      <c r="E369" s="62" t="n"/>
      <c r="F369" s="62" t="n"/>
      <c r="G369" s="62" t="n"/>
      <c r="H369" s="62" t="n"/>
      <c r="I369" s="62" t="n"/>
      <c r="J369" s="62" t="n"/>
      <c r="K369" s="60" t="n"/>
      <c r="L369" s="62" t="n"/>
      <c r="M369" s="62" t="n"/>
      <c r="N369" s="62" t="n"/>
      <c r="O369" s="62" t="n"/>
      <c r="P369" s="63" t="n"/>
      <c r="Q369" s="63" t="n"/>
      <c r="R369" s="63" t="n"/>
      <c r="S369" s="63" t="n"/>
      <c r="T369" s="63" t="n"/>
      <c r="U369" s="62" t="n"/>
      <c r="V369" s="2" t="n"/>
    </row>
    <row r="370" ht="15.75" customHeight="1" s="125">
      <c r="A370" s="62" t="n"/>
      <c r="B370" s="62" t="n"/>
      <c r="C370" s="62" t="n"/>
      <c r="D370" s="62" t="n"/>
      <c r="E370" s="62" t="n"/>
      <c r="F370" s="62" t="n"/>
      <c r="G370" s="62" t="n"/>
      <c r="H370" s="62" t="n"/>
      <c r="I370" s="62" t="n"/>
      <c r="J370" s="62" t="n"/>
      <c r="K370" s="60" t="n"/>
      <c r="L370" s="62" t="n"/>
      <c r="M370" s="62" t="n"/>
      <c r="N370" s="62" t="n"/>
      <c r="O370" s="62" t="n"/>
      <c r="P370" s="63" t="n"/>
      <c r="Q370" s="63" t="n"/>
      <c r="R370" s="63" t="n"/>
      <c r="S370" s="63" t="n"/>
      <c r="T370" s="63" t="n"/>
      <c r="U370" s="62" t="n"/>
      <c r="V370" s="2" t="n"/>
    </row>
    <row r="371" ht="15.75" customHeight="1" s="125">
      <c r="A371" s="62" t="n"/>
      <c r="B371" s="62" t="n"/>
      <c r="C371" s="62" t="n"/>
      <c r="D371" s="62" t="n"/>
      <c r="E371" s="62" t="n"/>
      <c r="F371" s="62" t="n"/>
      <c r="G371" s="62" t="n"/>
      <c r="H371" s="62" t="n"/>
      <c r="I371" s="62" t="n"/>
      <c r="J371" s="62" t="n"/>
      <c r="K371" s="60" t="n"/>
      <c r="L371" s="62" t="n"/>
      <c r="M371" s="62" t="n"/>
      <c r="N371" s="62" t="n"/>
      <c r="O371" s="62" t="n"/>
      <c r="P371" s="63" t="n"/>
      <c r="Q371" s="63" t="n"/>
      <c r="R371" s="63" t="n"/>
      <c r="S371" s="63" t="n"/>
      <c r="T371" s="63" t="n"/>
      <c r="U371" s="62" t="n"/>
      <c r="V371" s="2" t="n"/>
    </row>
    <row r="372" ht="15.75" customHeight="1" s="125">
      <c r="A372" s="62" t="n"/>
      <c r="B372" s="62" t="n"/>
      <c r="C372" s="62" t="n"/>
      <c r="D372" s="62" t="n"/>
      <c r="E372" s="62" t="n"/>
      <c r="F372" s="62" t="n"/>
      <c r="G372" s="62" t="n"/>
      <c r="H372" s="62" t="n"/>
      <c r="I372" s="62" t="n"/>
      <c r="J372" s="62" t="n"/>
      <c r="K372" s="60" t="n"/>
      <c r="L372" s="62" t="n"/>
      <c r="M372" s="62" t="n"/>
      <c r="N372" s="62" t="n"/>
      <c r="O372" s="62" t="n"/>
      <c r="P372" s="63" t="n"/>
      <c r="Q372" s="63" t="n"/>
      <c r="R372" s="63" t="n"/>
      <c r="S372" s="63" t="n"/>
      <c r="T372" s="63" t="n"/>
      <c r="U372" s="62" t="n"/>
      <c r="V372" s="2" t="n"/>
    </row>
    <row r="373" ht="15.75" customHeight="1" s="125">
      <c r="A373" s="62" t="n"/>
      <c r="B373" s="62" t="n"/>
      <c r="C373" s="62" t="n"/>
      <c r="D373" s="62" t="n"/>
      <c r="E373" s="62" t="n"/>
      <c r="F373" s="62" t="n"/>
      <c r="G373" s="62" t="n"/>
      <c r="H373" s="62" t="n"/>
      <c r="I373" s="62" t="n"/>
      <c r="J373" s="62" t="n"/>
      <c r="K373" s="60" t="n"/>
      <c r="L373" s="62" t="n"/>
      <c r="M373" s="62" t="n"/>
      <c r="N373" s="62" t="n"/>
      <c r="O373" s="62" t="n"/>
      <c r="P373" s="63" t="n"/>
      <c r="Q373" s="63" t="n"/>
      <c r="R373" s="63" t="n"/>
      <c r="S373" s="63" t="n"/>
      <c r="T373" s="63" t="n"/>
      <c r="U373" s="62" t="n"/>
      <c r="V373" s="2" t="n"/>
    </row>
    <row r="374" ht="15.75" customHeight="1" s="125">
      <c r="A374" s="62" t="n"/>
      <c r="B374" s="62" t="n"/>
      <c r="C374" s="62" t="n"/>
      <c r="D374" s="62" t="n"/>
      <c r="E374" s="62" t="n"/>
      <c r="F374" s="62" t="n"/>
      <c r="G374" s="62" t="n"/>
      <c r="H374" s="62" t="n"/>
      <c r="I374" s="62" t="n"/>
      <c r="J374" s="62" t="n"/>
      <c r="K374" s="60" t="n"/>
      <c r="L374" s="62" t="n"/>
      <c r="M374" s="62" t="n"/>
      <c r="N374" s="62" t="n"/>
      <c r="O374" s="62" t="n"/>
      <c r="P374" s="63" t="n"/>
      <c r="Q374" s="63" t="n"/>
      <c r="R374" s="63" t="n"/>
      <c r="S374" s="63" t="n"/>
      <c r="T374" s="63" t="n"/>
      <c r="U374" s="62" t="n"/>
      <c r="V374" s="2" t="n"/>
    </row>
    <row r="375" ht="15.75" customHeight="1" s="125">
      <c r="A375" s="62" t="n"/>
      <c r="B375" s="62" t="n"/>
      <c r="C375" s="62" t="n"/>
      <c r="D375" s="62" t="n"/>
      <c r="E375" s="62" t="n"/>
      <c r="F375" s="62" t="n"/>
      <c r="G375" s="62" t="n"/>
      <c r="H375" s="62" t="n"/>
      <c r="I375" s="62" t="n"/>
      <c r="J375" s="62" t="n"/>
      <c r="K375" s="60" t="n"/>
      <c r="L375" s="62" t="n"/>
      <c r="M375" s="62" t="n"/>
      <c r="N375" s="62" t="n"/>
      <c r="O375" s="62" t="n"/>
      <c r="P375" s="63" t="n"/>
      <c r="Q375" s="63" t="n"/>
      <c r="R375" s="63" t="n"/>
      <c r="S375" s="63" t="n"/>
      <c r="T375" s="63" t="n"/>
      <c r="U375" s="62" t="n"/>
      <c r="V375" s="2" t="n"/>
    </row>
    <row r="376" ht="15.75" customHeight="1" s="125">
      <c r="A376" s="62" t="n"/>
      <c r="B376" s="62" t="n"/>
      <c r="C376" s="62" t="n"/>
      <c r="D376" s="62" t="n"/>
      <c r="E376" s="62" t="n"/>
      <c r="F376" s="62" t="n"/>
      <c r="G376" s="62" t="n"/>
      <c r="H376" s="62" t="n"/>
      <c r="I376" s="62" t="n"/>
      <c r="J376" s="62" t="n"/>
      <c r="K376" s="60" t="n"/>
      <c r="L376" s="62" t="n"/>
      <c r="M376" s="62" t="n"/>
      <c r="N376" s="62" t="n"/>
      <c r="O376" s="62" t="n"/>
      <c r="P376" s="63" t="n"/>
      <c r="Q376" s="63" t="n"/>
      <c r="R376" s="63" t="n"/>
      <c r="S376" s="63" t="n"/>
      <c r="T376" s="63" t="n"/>
      <c r="U376" s="62" t="n"/>
      <c r="V376" s="2" t="n"/>
    </row>
    <row r="377" ht="15.75" customHeight="1" s="125">
      <c r="A377" s="62" t="n"/>
      <c r="B377" s="62" t="n"/>
      <c r="C377" s="62" t="n"/>
      <c r="D377" s="62" t="n"/>
      <c r="E377" s="62" t="n"/>
      <c r="F377" s="62" t="n"/>
      <c r="G377" s="62" t="n"/>
      <c r="H377" s="62" t="n"/>
      <c r="I377" s="62" t="n"/>
      <c r="J377" s="62" t="n"/>
      <c r="K377" s="60" t="n"/>
      <c r="L377" s="62" t="n"/>
      <c r="M377" s="62" t="n"/>
      <c r="N377" s="62" t="n"/>
      <c r="O377" s="62" t="n"/>
      <c r="P377" s="63" t="n"/>
      <c r="Q377" s="63" t="n"/>
      <c r="R377" s="63" t="n"/>
      <c r="S377" s="63" t="n"/>
      <c r="T377" s="63" t="n"/>
      <c r="U377" s="62" t="n"/>
      <c r="V377" s="2" t="n"/>
    </row>
    <row r="378" ht="15.75" customHeight="1" s="125">
      <c r="A378" s="62" t="n"/>
      <c r="B378" s="62" t="n"/>
      <c r="C378" s="62" t="n"/>
      <c r="D378" s="62" t="n"/>
      <c r="E378" s="62" t="n"/>
      <c r="F378" s="62" t="n"/>
      <c r="G378" s="62" t="n"/>
      <c r="H378" s="62" t="n"/>
      <c r="I378" s="62" t="n"/>
      <c r="J378" s="62" t="n"/>
      <c r="K378" s="60" t="n"/>
      <c r="L378" s="62" t="n"/>
      <c r="M378" s="62" t="n"/>
      <c r="N378" s="62" t="n"/>
      <c r="O378" s="62" t="n"/>
      <c r="P378" s="63" t="n"/>
      <c r="Q378" s="63" t="n"/>
      <c r="R378" s="63" t="n"/>
      <c r="S378" s="63" t="n"/>
      <c r="T378" s="63" t="n"/>
      <c r="U378" s="62" t="n"/>
      <c r="V378" s="2" t="n"/>
    </row>
    <row r="379" ht="15.75" customHeight="1" s="125">
      <c r="A379" s="62" t="n"/>
      <c r="B379" s="62" t="n"/>
      <c r="C379" s="62" t="n"/>
      <c r="D379" s="62" t="n"/>
      <c r="E379" s="62" t="n"/>
      <c r="F379" s="62" t="n"/>
      <c r="G379" s="62" t="n"/>
      <c r="H379" s="62" t="n"/>
      <c r="I379" s="62" t="n"/>
      <c r="J379" s="62" t="n"/>
      <c r="K379" s="60" t="n"/>
      <c r="L379" s="62" t="n"/>
      <c r="M379" s="62" t="n"/>
      <c r="N379" s="62" t="n"/>
      <c r="O379" s="62" t="n"/>
      <c r="P379" s="63" t="n"/>
      <c r="Q379" s="63" t="n"/>
      <c r="R379" s="63" t="n"/>
      <c r="S379" s="63" t="n"/>
      <c r="T379" s="63" t="n"/>
      <c r="U379" s="62" t="n"/>
      <c r="V379" s="2" t="n"/>
    </row>
    <row r="380" ht="15.75" customHeight="1" s="125">
      <c r="A380" s="62" t="n"/>
      <c r="B380" s="62" t="n"/>
      <c r="C380" s="62" t="n"/>
      <c r="D380" s="62" t="n"/>
      <c r="E380" s="62" t="n"/>
      <c r="F380" s="62" t="n"/>
      <c r="G380" s="62" t="n"/>
      <c r="H380" s="62" t="n"/>
      <c r="I380" s="62" t="n"/>
      <c r="J380" s="62" t="n"/>
      <c r="K380" s="60" t="n"/>
      <c r="L380" s="62" t="n"/>
      <c r="M380" s="62" t="n"/>
      <c r="N380" s="62" t="n"/>
      <c r="O380" s="62" t="n"/>
      <c r="P380" s="63" t="n"/>
      <c r="Q380" s="63" t="n"/>
      <c r="R380" s="63" t="n"/>
      <c r="S380" s="63" t="n"/>
      <c r="T380" s="63" t="n"/>
      <c r="U380" s="62" t="n"/>
      <c r="V380" s="2" t="n"/>
    </row>
    <row r="381" ht="15.75" customHeight="1" s="125">
      <c r="A381" s="62" t="n"/>
      <c r="B381" s="62" t="n"/>
      <c r="C381" s="62" t="n"/>
      <c r="D381" s="62" t="n"/>
      <c r="E381" s="62" t="n"/>
      <c r="F381" s="62" t="n"/>
      <c r="G381" s="62" t="n"/>
      <c r="H381" s="62" t="n"/>
      <c r="I381" s="62" t="n"/>
      <c r="J381" s="62" t="n"/>
      <c r="K381" s="60" t="n"/>
      <c r="L381" s="62" t="n"/>
      <c r="M381" s="62" t="n"/>
      <c r="N381" s="62" t="n"/>
      <c r="O381" s="62" t="n"/>
      <c r="P381" s="63" t="n"/>
      <c r="Q381" s="63" t="n"/>
      <c r="R381" s="63" t="n"/>
      <c r="S381" s="63" t="n"/>
      <c r="T381" s="63" t="n"/>
      <c r="U381" s="62" t="n"/>
      <c r="V381" s="2" t="n"/>
    </row>
    <row r="382" ht="15.75" customHeight="1" s="125">
      <c r="A382" s="62" t="n"/>
      <c r="B382" s="62" t="n"/>
      <c r="C382" s="62" t="n"/>
      <c r="D382" s="62" t="n"/>
      <c r="E382" s="62" t="n"/>
      <c r="F382" s="62" t="n"/>
      <c r="G382" s="62" t="n"/>
      <c r="H382" s="62" t="n"/>
      <c r="I382" s="62" t="n"/>
      <c r="J382" s="62" t="n"/>
      <c r="K382" s="60" t="n"/>
      <c r="L382" s="62" t="n"/>
      <c r="M382" s="62" t="n"/>
      <c r="N382" s="62" t="n"/>
      <c r="O382" s="62" t="n"/>
      <c r="P382" s="63" t="n"/>
      <c r="Q382" s="63" t="n"/>
      <c r="R382" s="63" t="n"/>
      <c r="S382" s="63" t="n"/>
      <c r="T382" s="63" t="n"/>
      <c r="U382" s="62" t="n"/>
      <c r="V382" s="2" t="n"/>
    </row>
    <row r="383" ht="15.75" customHeight="1" s="125">
      <c r="A383" s="62" t="n"/>
      <c r="B383" s="62" t="n"/>
      <c r="C383" s="62" t="n"/>
      <c r="D383" s="62" t="n"/>
      <c r="E383" s="62" t="n"/>
      <c r="F383" s="62" t="n"/>
      <c r="G383" s="62" t="n"/>
      <c r="H383" s="62" t="n"/>
      <c r="I383" s="62" t="n"/>
      <c r="J383" s="62" t="n"/>
      <c r="K383" s="60" t="n"/>
      <c r="L383" s="62" t="n"/>
      <c r="M383" s="62" t="n"/>
      <c r="N383" s="62" t="n"/>
      <c r="O383" s="62" t="n"/>
      <c r="P383" s="63" t="n"/>
      <c r="Q383" s="63" t="n"/>
      <c r="R383" s="63" t="n"/>
      <c r="S383" s="63" t="n"/>
      <c r="T383" s="63" t="n"/>
      <c r="U383" s="62" t="n"/>
      <c r="V383" s="2" t="n"/>
    </row>
    <row r="384" ht="15.75" customHeight="1" s="125">
      <c r="A384" s="62" t="n"/>
      <c r="B384" s="62" t="n"/>
      <c r="C384" s="62" t="n"/>
      <c r="D384" s="62" t="n"/>
      <c r="E384" s="62" t="n"/>
      <c r="F384" s="62" t="n"/>
      <c r="G384" s="62" t="n"/>
      <c r="H384" s="62" t="n"/>
      <c r="I384" s="62" t="n"/>
      <c r="J384" s="62" t="n"/>
      <c r="K384" s="60" t="n"/>
      <c r="L384" s="62" t="n"/>
      <c r="M384" s="62" t="n"/>
      <c r="N384" s="62" t="n"/>
      <c r="O384" s="62" t="n"/>
      <c r="P384" s="63" t="n"/>
      <c r="Q384" s="63" t="n"/>
      <c r="R384" s="63" t="n"/>
      <c r="S384" s="63" t="n"/>
      <c r="T384" s="63" t="n"/>
      <c r="U384" s="62" t="n"/>
      <c r="V384" s="2" t="n"/>
    </row>
    <row r="385" ht="15.75" customHeight="1" s="125">
      <c r="A385" s="62" t="n"/>
      <c r="B385" s="62" t="n"/>
      <c r="C385" s="62" t="n"/>
      <c r="D385" s="62" t="n"/>
      <c r="E385" s="62" t="n"/>
      <c r="F385" s="62" t="n"/>
      <c r="G385" s="62" t="n"/>
      <c r="H385" s="62" t="n"/>
      <c r="I385" s="62" t="n"/>
      <c r="J385" s="62" t="n"/>
      <c r="K385" s="60" t="n"/>
      <c r="L385" s="62" t="n"/>
      <c r="M385" s="62" t="n"/>
      <c r="N385" s="62" t="n"/>
      <c r="O385" s="62" t="n"/>
      <c r="P385" s="63" t="n"/>
      <c r="Q385" s="63" t="n"/>
      <c r="R385" s="63" t="n"/>
      <c r="S385" s="63" t="n"/>
      <c r="T385" s="63" t="n"/>
      <c r="U385" s="62" t="n"/>
      <c r="V385" s="2" t="n"/>
    </row>
    <row r="386" ht="15.75" customHeight="1" s="125">
      <c r="A386" s="62" t="n"/>
      <c r="B386" s="62" t="n"/>
      <c r="C386" s="62" t="n"/>
      <c r="D386" s="62" t="n"/>
      <c r="E386" s="62" t="n"/>
      <c r="F386" s="62" t="n"/>
      <c r="G386" s="62" t="n"/>
      <c r="H386" s="62" t="n"/>
      <c r="I386" s="62" t="n"/>
      <c r="J386" s="62" t="n"/>
      <c r="K386" s="60" t="n"/>
      <c r="L386" s="62" t="n"/>
      <c r="M386" s="62" t="n"/>
      <c r="N386" s="62" t="n"/>
      <c r="O386" s="62" t="n"/>
      <c r="P386" s="63" t="n"/>
      <c r="Q386" s="63" t="n"/>
      <c r="R386" s="63" t="n"/>
      <c r="S386" s="63" t="n"/>
      <c r="T386" s="63" t="n"/>
      <c r="U386" s="62" t="n"/>
      <c r="V386" s="2" t="n"/>
    </row>
    <row r="387" ht="15.75" customHeight="1" s="125">
      <c r="A387" s="62" t="n"/>
      <c r="B387" s="62" t="n"/>
      <c r="C387" s="62" t="n"/>
      <c r="D387" s="62" t="n"/>
      <c r="E387" s="62" t="n"/>
      <c r="F387" s="62" t="n"/>
      <c r="G387" s="62" t="n"/>
      <c r="H387" s="62" t="n"/>
      <c r="I387" s="62" t="n"/>
      <c r="J387" s="62" t="n"/>
      <c r="K387" s="60" t="n"/>
      <c r="L387" s="62" t="n"/>
      <c r="M387" s="62" t="n"/>
      <c r="N387" s="62" t="n"/>
      <c r="O387" s="62" t="n"/>
      <c r="P387" s="63" t="n"/>
      <c r="Q387" s="63" t="n"/>
      <c r="R387" s="63" t="n"/>
      <c r="S387" s="63" t="n"/>
      <c r="T387" s="63" t="n"/>
      <c r="U387" s="62" t="n"/>
      <c r="V387" s="2" t="n"/>
    </row>
    <row r="388" ht="15.75" customHeight="1" s="125">
      <c r="A388" s="62" t="n"/>
      <c r="B388" s="62" t="n"/>
      <c r="C388" s="62" t="n"/>
      <c r="D388" s="62" t="n"/>
      <c r="E388" s="62" t="n"/>
      <c r="F388" s="62" t="n"/>
      <c r="G388" s="62" t="n"/>
      <c r="H388" s="62" t="n"/>
      <c r="I388" s="62" t="n"/>
      <c r="J388" s="62" t="n"/>
      <c r="K388" s="60" t="n"/>
      <c r="L388" s="62" t="n"/>
      <c r="M388" s="62" t="n"/>
      <c r="N388" s="62" t="n"/>
      <c r="O388" s="62" t="n"/>
      <c r="P388" s="63" t="n"/>
      <c r="Q388" s="63" t="n"/>
      <c r="R388" s="63" t="n"/>
      <c r="S388" s="63" t="n"/>
      <c r="T388" s="63" t="n"/>
      <c r="U388" s="62" t="n"/>
      <c r="V388" s="2" t="n"/>
    </row>
    <row r="389" ht="15.75" customHeight="1" s="125">
      <c r="A389" s="62" t="n"/>
      <c r="B389" s="62" t="n"/>
      <c r="C389" s="62" t="n"/>
      <c r="D389" s="62" t="n"/>
      <c r="E389" s="62" t="n"/>
      <c r="F389" s="62" t="n"/>
      <c r="G389" s="62" t="n"/>
      <c r="H389" s="62" t="n"/>
      <c r="I389" s="62" t="n"/>
      <c r="J389" s="62" t="n"/>
      <c r="K389" s="60" t="n"/>
      <c r="L389" s="62" t="n"/>
      <c r="M389" s="62" t="n"/>
      <c r="N389" s="62" t="n"/>
      <c r="O389" s="62" t="n"/>
      <c r="P389" s="63" t="n"/>
      <c r="Q389" s="63" t="n"/>
      <c r="R389" s="63" t="n"/>
      <c r="S389" s="63" t="n"/>
      <c r="T389" s="63" t="n"/>
      <c r="U389" s="62" t="n"/>
      <c r="V389" s="2" t="n"/>
    </row>
    <row r="390" ht="15.75" customHeight="1" s="125">
      <c r="A390" s="62" t="n"/>
      <c r="B390" s="62" t="n"/>
      <c r="C390" s="62" t="n"/>
      <c r="D390" s="62" t="n"/>
      <c r="E390" s="62" t="n"/>
      <c r="F390" s="62" t="n"/>
      <c r="G390" s="62" t="n"/>
      <c r="H390" s="62" t="n"/>
      <c r="I390" s="62" t="n"/>
      <c r="J390" s="62" t="n"/>
      <c r="K390" s="60" t="n"/>
      <c r="L390" s="62" t="n"/>
      <c r="M390" s="62" t="n"/>
      <c r="N390" s="62" t="n"/>
      <c r="O390" s="62" t="n"/>
      <c r="P390" s="63" t="n"/>
      <c r="Q390" s="63" t="n"/>
      <c r="R390" s="63" t="n"/>
      <c r="S390" s="63" t="n"/>
      <c r="T390" s="63" t="n"/>
      <c r="U390" s="62" t="n"/>
      <c r="V390" s="2" t="n"/>
    </row>
    <row r="391" ht="15.75" customHeight="1" s="125">
      <c r="A391" s="62" t="n"/>
      <c r="B391" s="62" t="n"/>
      <c r="C391" s="62" t="n"/>
      <c r="D391" s="62" t="n"/>
      <c r="E391" s="62" t="n"/>
      <c r="F391" s="62" t="n"/>
      <c r="G391" s="62" t="n"/>
      <c r="H391" s="62" t="n"/>
      <c r="I391" s="62" t="n"/>
      <c r="J391" s="62" t="n"/>
      <c r="K391" s="60" t="n"/>
      <c r="L391" s="62" t="n"/>
      <c r="M391" s="62" t="n"/>
      <c r="N391" s="62" t="n"/>
      <c r="O391" s="62" t="n"/>
      <c r="P391" s="63" t="n"/>
      <c r="Q391" s="63" t="n"/>
      <c r="R391" s="63" t="n"/>
      <c r="S391" s="63" t="n"/>
      <c r="T391" s="63" t="n"/>
      <c r="U391" s="62" t="n"/>
      <c r="V391" s="2" t="n"/>
    </row>
    <row r="392" ht="15.75" customHeight="1" s="125">
      <c r="A392" s="62" t="n"/>
      <c r="B392" s="62" t="n"/>
      <c r="C392" s="62" t="n"/>
      <c r="D392" s="62" t="n"/>
      <c r="E392" s="62" t="n"/>
      <c r="F392" s="62" t="n"/>
      <c r="G392" s="62" t="n"/>
      <c r="H392" s="62" t="n"/>
      <c r="I392" s="62" t="n"/>
      <c r="J392" s="62" t="n"/>
      <c r="K392" s="60" t="n"/>
      <c r="L392" s="62" t="n"/>
      <c r="M392" s="62" t="n"/>
      <c r="N392" s="62" t="n"/>
      <c r="O392" s="62" t="n"/>
      <c r="P392" s="63" t="n"/>
      <c r="Q392" s="63" t="n"/>
      <c r="R392" s="63" t="n"/>
      <c r="S392" s="63" t="n"/>
      <c r="T392" s="63" t="n"/>
      <c r="U392" s="62" t="n"/>
      <c r="V392" s="2" t="n"/>
    </row>
    <row r="393" ht="15.75" customHeight="1" s="125">
      <c r="A393" s="62" t="n"/>
      <c r="B393" s="62" t="n"/>
      <c r="C393" s="62" t="n"/>
      <c r="D393" s="62" t="n"/>
      <c r="E393" s="62" t="n"/>
      <c r="F393" s="62" t="n"/>
      <c r="G393" s="62" t="n"/>
      <c r="H393" s="62" t="n"/>
      <c r="I393" s="62" t="n"/>
      <c r="J393" s="62" t="n"/>
      <c r="K393" s="60" t="n"/>
      <c r="L393" s="62" t="n"/>
      <c r="M393" s="62" t="n"/>
      <c r="N393" s="62" t="n"/>
      <c r="O393" s="62" t="n"/>
      <c r="P393" s="63" t="n"/>
      <c r="Q393" s="63" t="n"/>
      <c r="R393" s="63" t="n"/>
      <c r="S393" s="63" t="n"/>
      <c r="T393" s="63" t="n"/>
      <c r="U393" s="62" t="n"/>
      <c r="V393" s="2" t="n"/>
    </row>
    <row r="394" ht="15.75" customHeight="1" s="125">
      <c r="A394" s="62" t="n"/>
      <c r="B394" s="62" t="n"/>
      <c r="C394" s="62" t="n"/>
      <c r="D394" s="62" t="n"/>
      <c r="E394" s="62" t="n"/>
      <c r="F394" s="62" t="n"/>
      <c r="G394" s="62" t="n"/>
      <c r="H394" s="62" t="n"/>
      <c r="I394" s="62" t="n"/>
      <c r="J394" s="62" t="n"/>
      <c r="K394" s="60" t="n"/>
      <c r="L394" s="62" t="n"/>
      <c r="M394" s="62" t="n"/>
      <c r="N394" s="62" t="n"/>
      <c r="O394" s="62" t="n"/>
      <c r="P394" s="63" t="n"/>
      <c r="Q394" s="63" t="n"/>
      <c r="R394" s="63" t="n"/>
      <c r="S394" s="63" t="n"/>
      <c r="T394" s="63" t="n"/>
      <c r="U394" s="62" t="n"/>
      <c r="V394" s="2" t="n"/>
    </row>
    <row r="395" ht="15.75" customHeight="1" s="125">
      <c r="A395" s="62" t="n"/>
      <c r="B395" s="62" t="n"/>
      <c r="C395" s="62" t="n"/>
      <c r="D395" s="62" t="n"/>
      <c r="E395" s="62" t="n"/>
      <c r="F395" s="62" t="n"/>
      <c r="G395" s="62" t="n"/>
      <c r="H395" s="62" t="n"/>
      <c r="I395" s="62" t="n"/>
      <c r="J395" s="62" t="n"/>
      <c r="K395" s="60" t="n"/>
      <c r="L395" s="62" t="n"/>
      <c r="M395" s="62" t="n"/>
      <c r="N395" s="62" t="n"/>
      <c r="O395" s="62" t="n"/>
      <c r="P395" s="63" t="n"/>
      <c r="Q395" s="63" t="n"/>
      <c r="R395" s="63" t="n"/>
      <c r="S395" s="63" t="n"/>
      <c r="T395" s="63" t="n"/>
      <c r="U395" s="62" t="n"/>
      <c r="V395" s="2" t="n"/>
    </row>
    <row r="396" ht="15.75" customHeight="1" s="125">
      <c r="A396" s="62" t="n"/>
      <c r="B396" s="62" t="n"/>
      <c r="C396" s="62" t="n"/>
      <c r="D396" s="62" t="n"/>
      <c r="E396" s="62" t="n"/>
      <c r="F396" s="62" t="n"/>
      <c r="G396" s="62" t="n"/>
      <c r="H396" s="62" t="n"/>
      <c r="I396" s="62" t="n"/>
      <c r="J396" s="62" t="n"/>
      <c r="K396" s="60" t="n"/>
      <c r="L396" s="62" t="n"/>
      <c r="M396" s="62" t="n"/>
      <c r="N396" s="62" t="n"/>
      <c r="O396" s="62" t="n"/>
      <c r="P396" s="63" t="n"/>
      <c r="Q396" s="63" t="n"/>
      <c r="R396" s="63" t="n"/>
      <c r="S396" s="63" t="n"/>
      <c r="T396" s="63" t="n"/>
      <c r="U396" s="62" t="n"/>
      <c r="V396" s="2" t="n"/>
    </row>
    <row r="397" ht="15.75" customHeight="1" s="125">
      <c r="A397" s="62" t="n"/>
      <c r="B397" s="62" t="n"/>
      <c r="C397" s="62" t="n"/>
      <c r="D397" s="62" t="n"/>
      <c r="E397" s="62" t="n"/>
      <c r="F397" s="62" t="n"/>
      <c r="G397" s="62" t="n"/>
      <c r="H397" s="62" t="n"/>
      <c r="I397" s="62" t="n"/>
      <c r="J397" s="62" t="n"/>
      <c r="K397" s="60" t="n"/>
      <c r="L397" s="62" t="n"/>
      <c r="M397" s="62" t="n"/>
      <c r="N397" s="62" t="n"/>
      <c r="O397" s="62" t="n"/>
      <c r="P397" s="63" t="n"/>
      <c r="Q397" s="63" t="n"/>
      <c r="R397" s="63" t="n"/>
      <c r="S397" s="63" t="n"/>
      <c r="T397" s="63" t="n"/>
      <c r="U397" s="62" t="n"/>
      <c r="V397" s="2" t="n"/>
    </row>
    <row r="398" ht="15.75" customHeight="1" s="125">
      <c r="A398" s="62" t="n"/>
      <c r="B398" s="62" t="n"/>
      <c r="C398" s="62" t="n"/>
      <c r="D398" s="62" t="n"/>
      <c r="E398" s="62" t="n"/>
      <c r="F398" s="62" t="n"/>
      <c r="G398" s="62" t="n"/>
      <c r="H398" s="62" t="n"/>
      <c r="I398" s="62" t="n"/>
      <c r="J398" s="62" t="n"/>
      <c r="K398" s="60" t="n"/>
      <c r="L398" s="62" t="n"/>
      <c r="M398" s="62" t="n"/>
      <c r="N398" s="62" t="n"/>
      <c r="O398" s="62" t="n"/>
      <c r="P398" s="63" t="n"/>
      <c r="Q398" s="63" t="n"/>
      <c r="R398" s="63" t="n"/>
      <c r="S398" s="63" t="n"/>
      <c r="T398" s="63" t="n"/>
      <c r="U398" s="62" t="n"/>
      <c r="V398" s="2" t="n"/>
    </row>
    <row r="399" ht="15.75" customHeight="1" s="125">
      <c r="A399" s="62" t="n"/>
      <c r="B399" s="62" t="n"/>
      <c r="C399" s="62" t="n"/>
      <c r="D399" s="62" t="n"/>
      <c r="E399" s="62" t="n"/>
      <c r="F399" s="62" t="n"/>
      <c r="G399" s="62" t="n"/>
      <c r="H399" s="62" t="n"/>
      <c r="I399" s="62" t="n"/>
      <c r="J399" s="62" t="n"/>
      <c r="K399" s="60" t="n"/>
      <c r="L399" s="62" t="n"/>
      <c r="M399" s="62" t="n"/>
      <c r="N399" s="62" t="n"/>
      <c r="O399" s="62" t="n"/>
      <c r="P399" s="63" t="n"/>
      <c r="Q399" s="63" t="n"/>
      <c r="R399" s="63" t="n"/>
      <c r="S399" s="63" t="n"/>
      <c r="T399" s="63" t="n"/>
      <c r="U399" s="62" t="n"/>
      <c r="V399" s="2" t="n"/>
    </row>
    <row r="400" ht="15.75" customHeight="1" s="125">
      <c r="A400" s="62" t="n"/>
      <c r="B400" s="62" t="n"/>
      <c r="C400" s="62" t="n"/>
      <c r="D400" s="62" t="n"/>
      <c r="E400" s="62" t="n"/>
      <c r="F400" s="62" t="n"/>
      <c r="G400" s="62" t="n"/>
      <c r="H400" s="62" t="n"/>
      <c r="I400" s="62" t="n"/>
      <c r="J400" s="62" t="n"/>
      <c r="K400" s="60" t="n"/>
      <c r="L400" s="62" t="n"/>
      <c r="M400" s="62" t="n"/>
      <c r="N400" s="62" t="n"/>
      <c r="O400" s="62" t="n"/>
      <c r="P400" s="63" t="n"/>
      <c r="Q400" s="63" t="n"/>
      <c r="R400" s="63" t="n"/>
      <c r="S400" s="63" t="n"/>
      <c r="T400" s="63" t="n"/>
      <c r="U400" s="62" t="n"/>
      <c r="V400" s="2" t="n"/>
    </row>
    <row r="401" ht="15.75" customHeight="1" s="125">
      <c r="A401" s="62" t="n"/>
      <c r="B401" s="62" t="n"/>
      <c r="C401" s="62" t="n"/>
      <c r="D401" s="62" t="n"/>
      <c r="E401" s="62" t="n"/>
      <c r="F401" s="62" t="n"/>
      <c r="G401" s="62" t="n"/>
      <c r="H401" s="62" t="n"/>
      <c r="I401" s="62" t="n"/>
      <c r="J401" s="62" t="n"/>
      <c r="K401" s="60" t="n"/>
      <c r="L401" s="62" t="n"/>
      <c r="M401" s="62" t="n"/>
      <c r="N401" s="62" t="n"/>
      <c r="O401" s="62" t="n"/>
      <c r="P401" s="63" t="n"/>
      <c r="Q401" s="63" t="n"/>
      <c r="R401" s="63" t="n"/>
      <c r="S401" s="63" t="n"/>
      <c r="T401" s="63" t="n"/>
      <c r="U401" s="62" t="n"/>
      <c r="V401" s="2" t="n"/>
    </row>
    <row r="402" ht="15.75" customHeight="1" s="125">
      <c r="A402" s="62" t="n"/>
      <c r="B402" s="62" t="n"/>
      <c r="C402" s="62" t="n"/>
      <c r="D402" s="62" t="n"/>
      <c r="E402" s="62" t="n"/>
      <c r="F402" s="62" t="n"/>
      <c r="G402" s="62" t="n"/>
      <c r="H402" s="62" t="n"/>
      <c r="I402" s="62" t="n"/>
      <c r="J402" s="62" t="n"/>
      <c r="K402" s="60" t="n"/>
      <c r="L402" s="62" t="n"/>
      <c r="M402" s="62" t="n"/>
      <c r="N402" s="62" t="n"/>
      <c r="O402" s="62" t="n"/>
      <c r="P402" s="63" t="n"/>
      <c r="Q402" s="63" t="n"/>
      <c r="R402" s="63" t="n"/>
      <c r="S402" s="63" t="n"/>
      <c r="T402" s="63" t="n"/>
      <c r="U402" s="62" t="n"/>
      <c r="V402" s="2" t="n"/>
    </row>
    <row r="403" ht="15.75" customHeight="1" s="125">
      <c r="A403" s="62" t="n"/>
      <c r="B403" s="62" t="n"/>
      <c r="C403" s="62" t="n"/>
      <c r="D403" s="62" t="n"/>
      <c r="E403" s="62" t="n"/>
      <c r="F403" s="62" t="n"/>
      <c r="G403" s="62" t="n"/>
      <c r="H403" s="62" t="n"/>
      <c r="I403" s="62" t="n"/>
      <c r="J403" s="62" t="n"/>
      <c r="K403" s="60" t="n"/>
      <c r="L403" s="62" t="n"/>
      <c r="M403" s="62" t="n"/>
      <c r="N403" s="62" t="n"/>
      <c r="O403" s="62" t="n"/>
      <c r="P403" s="63" t="n"/>
      <c r="Q403" s="63" t="n"/>
      <c r="R403" s="63" t="n"/>
      <c r="S403" s="63" t="n"/>
      <c r="T403" s="63" t="n"/>
      <c r="U403" s="62" t="n"/>
      <c r="V403" s="2" t="n"/>
    </row>
    <row r="404" ht="15.75" customHeight="1" s="125">
      <c r="A404" s="62" t="n"/>
      <c r="B404" s="62" t="n"/>
      <c r="C404" s="62" t="n"/>
      <c r="D404" s="62" t="n"/>
      <c r="E404" s="62" t="n"/>
      <c r="F404" s="62" t="n"/>
      <c r="G404" s="62" t="n"/>
      <c r="H404" s="62" t="n"/>
      <c r="I404" s="62" t="n"/>
      <c r="J404" s="62" t="n"/>
      <c r="K404" s="60" t="n"/>
      <c r="L404" s="62" t="n"/>
      <c r="M404" s="62" t="n"/>
      <c r="N404" s="62" t="n"/>
      <c r="O404" s="62" t="n"/>
      <c r="P404" s="63" t="n"/>
      <c r="Q404" s="63" t="n"/>
      <c r="R404" s="63" t="n"/>
      <c r="S404" s="63" t="n"/>
      <c r="T404" s="63" t="n"/>
      <c r="U404" s="62" t="n"/>
      <c r="V404" s="2" t="n"/>
    </row>
    <row r="405" ht="15.75" customHeight="1" s="125">
      <c r="A405" s="62" t="n"/>
      <c r="B405" s="62" t="n"/>
      <c r="C405" s="62" t="n"/>
      <c r="D405" s="62" t="n"/>
      <c r="E405" s="62" t="n"/>
      <c r="F405" s="62" t="n"/>
      <c r="G405" s="62" t="n"/>
      <c r="H405" s="62" t="n"/>
      <c r="I405" s="62" t="n"/>
      <c r="J405" s="62" t="n"/>
      <c r="K405" s="60" t="n"/>
      <c r="L405" s="62" t="n"/>
      <c r="M405" s="62" t="n"/>
      <c r="N405" s="62" t="n"/>
      <c r="O405" s="62" t="n"/>
      <c r="P405" s="63" t="n"/>
      <c r="Q405" s="63" t="n"/>
      <c r="R405" s="63" t="n"/>
      <c r="S405" s="63" t="n"/>
      <c r="T405" s="63" t="n"/>
      <c r="U405" s="62" t="n"/>
      <c r="V405" s="2" t="n"/>
    </row>
    <row r="406" ht="15.75" customHeight="1" s="125">
      <c r="A406" s="62" t="n"/>
      <c r="B406" s="62" t="n"/>
      <c r="C406" s="62" t="n"/>
      <c r="D406" s="62" t="n"/>
      <c r="E406" s="62" t="n"/>
      <c r="F406" s="62" t="n"/>
      <c r="G406" s="62" t="n"/>
      <c r="H406" s="62" t="n"/>
      <c r="I406" s="62" t="n"/>
      <c r="J406" s="62" t="n"/>
      <c r="K406" s="60" t="n"/>
      <c r="L406" s="62" t="n"/>
      <c r="M406" s="62" t="n"/>
      <c r="N406" s="62" t="n"/>
      <c r="O406" s="62" t="n"/>
      <c r="P406" s="63" t="n"/>
      <c r="Q406" s="63" t="n"/>
      <c r="R406" s="63" t="n"/>
      <c r="S406" s="63" t="n"/>
      <c r="T406" s="63" t="n"/>
      <c r="U406" s="62" t="n"/>
      <c r="V406" s="2" t="n"/>
    </row>
    <row r="407" ht="15.75" customHeight="1" s="125">
      <c r="A407" s="62" t="n"/>
      <c r="B407" s="62" t="n"/>
      <c r="C407" s="62" t="n"/>
      <c r="D407" s="62" t="n"/>
      <c r="E407" s="62" t="n"/>
      <c r="F407" s="62" t="n"/>
      <c r="G407" s="62" t="n"/>
      <c r="H407" s="62" t="n"/>
      <c r="I407" s="62" t="n"/>
      <c r="J407" s="62" t="n"/>
      <c r="K407" s="60" t="n"/>
      <c r="L407" s="62" t="n"/>
      <c r="M407" s="62" t="n"/>
      <c r="N407" s="62" t="n"/>
      <c r="O407" s="62" t="n"/>
      <c r="P407" s="63" t="n"/>
      <c r="Q407" s="63" t="n"/>
      <c r="R407" s="63" t="n"/>
      <c r="S407" s="63" t="n"/>
      <c r="T407" s="63" t="n"/>
      <c r="U407" s="62" t="n"/>
      <c r="V407" s="2" t="n"/>
    </row>
    <row r="408" ht="15.75" customHeight="1" s="125">
      <c r="A408" s="62" t="n"/>
      <c r="B408" s="62" t="n"/>
      <c r="C408" s="62" t="n"/>
      <c r="D408" s="62" t="n"/>
      <c r="E408" s="62" t="n"/>
      <c r="F408" s="62" t="n"/>
      <c r="G408" s="62" t="n"/>
      <c r="H408" s="62" t="n"/>
      <c r="I408" s="62" t="n"/>
      <c r="J408" s="62" t="n"/>
      <c r="K408" s="60" t="n"/>
      <c r="L408" s="62" t="n"/>
      <c r="M408" s="62" t="n"/>
      <c r="N408" s="62" t="n"/>
      <c r="O408" s="62" t="n"/>
      <c r="P408" s="63" t="n"/>
      <c r="Q408" s="63" t="n"/>
      <c r="R408" s="63" t="n"/>
      <c r="S408" s="63" t="n"/>
      <c r="T408" s="63" t="n"/>
      <c r="U408" s="62" t="n"/>
      <c r="V408" s="2" t="n"/>
    </row>
    <row r="409" ht="15.75" customHeight="1" s="125">
      <c r="A409" s="62" t="n"/>
      <c r="B409" s="62" t="n"/>
      <c r="C409" s="62" t="n"/>
      <c r="D409" s="62" t="n"/>
      <c r="E409" s="62" t="n"/>
      <c r="F409" s="62" t="n"/>
      <c r="G409" s="62" t="n"/>
      <c r="H409" s="62" t="n"/>
      <c r="I409" s="62" t="n"/>
      <c r="J409" s="62" t="n"/>
      <c r="K409" s="60" t="n"/>
      <c r="L409" s="62" t="n"/>
      <c r="M409" s="62" t="n"/>
      <c r="N409" s="62" t="n"/>
      <c r="O409" s="62" t="n"/>
      <c r="P409" s="63" t="n"/>
      <c r="Q409" s="63" t="n"/>
      <c r="R409" s="63" t="n"/>
      <c r="S409" s="63" t="n"/>
      <c r="T409" s="63" t="n"/>
      <c r="U409" s="62" t="n"/>
      <c r="V409" s="2" t="n"/>
    </row>
    <row r="410" ht="15.75" customHeight="1" s="125">
      <c r="A410" s="62" t="n"/>
      <c r="B410" s="62" t="n"/>
      <c r="C410" s="62" t="n"/>
      <c r="D410" s="62" t="n"/>
      <c r="E410" s="62" t="n"/>
      <c r="F410" s="62" t="n"/>
      <c r="G410" s="62" t="n"/>
      <c r="H410" s="62" t="n"/>
      <c r="I410" s="62" t="n"/>
      <c r="J410" s="62" t="n"/>
      <c r="K410" s="60" t="n"/>
      <c r="L410" s="62" t="n"/>
      <c r="M410" s="62" t="n"/>
      <c r="N410" s="62" t="n"/>
      <c r="O410" s="62" t="n"/>
      <c r="P410" s="63" t="n"/>
      <c r="Q410" s="63" t="n"/>
      <c r="R410" s="63" t="n"/>
      <c r="S410" s="63" t="n"/>
      <c r="T410" s="63" t="n"/>
      <c r="U410" s="62" t="n"/>
      <c r="V410" s="2" t="n"/>
    </row>
    <row r="411" ht="15.75" customHeight="1" s="125">
      <c r="A411" s="62" t="n"/>
      <c r="B411" s="62" t="n"/>
      <c r="C411" s="62" t="n"/>
      <c r="D411" s="62" t="n"/>
      <c r="E411" s="62" t="n"/>
      <c r="F411" s="62" t="n"/>
      <c r="G411" s="62" t="n"/>
      <c r="H411" s="62" t="n"/>
      <c r="I411" s="62" t="n"/>
      <c r="J411" s="62" t="n"/>
      <c r="K411" s="60" t="n"/>
      <c r="L411" s="62" t="n"/>
      <c r="M411" s="62" t="n"/>
      <c r="N411" s="62" t="n"/>
      <c r="O411" s="62" t="n"/>
      <c r="P411" s="63" t="n"/>
      <c r="Q411" s="63" t="n"/>
      <c r="R411" s="63" t="n"/>
      <c r="S411" s="63" t="n"/>
      <c r="T411" s="63" t="n"/>
      <c r="U411" s="62" t="n"/>
      <c r="V411" s="2" t="n"/>
    </row>
    <row r="412" ht="15.75" customHeight="1" s="125">
      <c r="A412" s="62" t="n"/>
      <c r="B412" s="62" t="n"/>
      <c r="C412" s="62" t="n"/>
      <c r="D412" s="62" t="n"/>
      <c r="E412" s="62" t="n"/>
      <c r="F412" s="62" t="n"/>
      <c r="G412" s="62" t="n"/>
      <c r="H412" s="62" t="n"/>
      <c r="I412" s="62" t="n"/>
      <c r="J412" s="62" t="n"/>
      <c r="K412" s="60" t="n"/>
      <c r="L412" s="62" t="n"/>
      <c r="M412" s="62" t="n"/>
      <c r="N412" s="62" t="n"/>
      <c r="O412" s="62" t="n"/>
      <c r="P412" s="63" t="n"/>
      <c r="Q412" s="63" t="n"/>
      <c r="R412" s="63" t="n"/>
      <c r="S412" s="63" t="n"/>
      <c r="T412" s="63" t="n"/>
      <c r="U412" s="62" t="n"/>
      <c r="V412" s="2" t="n"/>
    </row>
    <row r="413" ht="15.75" customHeight="1" s="125">
      <c r="A413" s="62" t="n"/>
      <c r="B413" s="62" t="n"/>
      <c r="C413" s="62" t="n"/>
      <c r="D413" s="62" t="n"/>
      <c r="E413" s="62" t="n"/>
      <c r="F413" s="62" t="n"/>
      <c r="G413" s="62" t="n"/>
      <c r="H413" s="62" t="n"/>
      <c r="I413" s="62" t="n"/>
      <c r="J413" s="62" t="n"/>
      <c r="K413" s="60" t="n"/>
      <c r="L413" s="62" t="n"/>
      <c r="M413" s="62" t="n"/>
      <c r="N413" s="62" t="n"/>
      <c r="O413" s="62" t="n"/>
      <c r="P413" s="63" t="n"/>
      <c r="Q413" s="63" t="n"/>
      <c r="R413" s="63" t="n"/>
      <c r="S413" s="63" t="n"/>
      <c r="T413" s="63" t="n"/>
      <c r="U413" s="62" t="n"/>
      <c r="V413" s="2" t="n"/>
    </row>
    <row r="414" ht="15.75" customHeight="1" s="125">
      <c r="A414" s="62" t="n"/>
      <c r="B414" s="62" t="n"/>
      <c r="C414" s="62" t="n"/>
      <c r="D414" s="62" t="n"/>
      <c r="E414" s="62" t="n"/>
      <c r="F414" s="62" t="n"/>
      <c r="G414" s="62" t="n"/>
      <c r="H414" s="62" t="n"/>
      <c r="I414" s="62" t="n"/>
      <c r="J414" s="62" t="n"/>
      <c r="K414" s="60" t="n"/>
      <c r="L414" s="62" t="n"/>
      <c r="M414" s="62" t="n"/>
      <c r="N414" s="62" t="n"/>
      <c r="O414" s="62" t="n"/>
      <c r="P414" s="63" t="n"/>
      <c r="Q414" s="63" t="n"/>
      <c r="R414" s="63" t="n"/>
      <c r="S414" s="63" t="n"/>
      <c r="T414" s="63" t="n"/>
      <c r="U414" s="62" t="n"/>
      <c r="V414" s="2" t="n"/>
    </row>
    <row r="415" ht="15.75" customHeight="1" s="125">
      <c r="A415" s="62" t="n"/>
      <c r="B415" s="62" t="n"/>
      <c r="C415" s="62" t="n"/>
      <c r="D415" s="62" t="n"/>
      <c r="E415" s="62" t="n"/>
      <c r="F415" s="62" t="n"/>
      <c r="G415" s="62" t="n"/>
      <c r="H415" s="62" t="n"/>
      <c r="I415" s="62" t="n"/>
      <c r="J415" s="62" t="n"/>
      <c r="K415" s="60" t="n"/>
      <c r="L415" s="62" t="n"/>
      <c r="M415" s="62" t="n"/>
      <c r="N415" s="62" t="n"/>
      <c r="O415" s="62" t="n"/>
      <c r="P415" s="63" t="n"/>
      <c r="Q415" s="63" t="n"/>
      <c r="R415" s="63" t="n"/>
      <c r="S415" s="63" t="n"/>
      <c r="T415" s="63" t="n"/>
      <c r="U415" s="62" t="n"/>
      <c r="V415" s="2" t="n"/>
    </row>
    <row r="416" ht="15.75" customHeight="1" s="125">
      <c r="A416" s="62" t="n"/>
      <c r="B416" s="62" t="n"/>
      <c r="C416" s="62" t="n"/>
      <c r="D416" s="62" t="n"/>
      <c r="E416" s="62" t="n"/>
      <c r="F416" s="62" t="n"/>
      <c r="G416" s="62" t="n"/>
      <c r="H416" s="62" t="n"/>
      <c r="I416" s="62" t="n"/>
      <c r="J416" s="62" t="n"/>
      <c r="K416" s="60" t="n"/>
      <c r="L416" s="62" t="n"/>
      <c r="M416" s="62" t="n"/>
      <c r="N416" s="62" t="n"/>
      <c r="O416" s="62" t="n"/>
      <c r="P416" s="63" t="n"/>
      <c r="Q416" s="63" t="n"/>
      <c r="R416" s="63" t="n"/>
      <c r="S416" s="63" t="n"/>
      <c r="T416" s="63" t="n"/>
      <c r="U416" s="62" t="n"/>
      <c r="V416" s="2" t="n"/>
    </row>
    <row r="417" ht="15.75" customHeight="1" s="125">
      <c r="A417" s="62" t="n"/>
      <c r="B417" s="62" t="n"/>
      <c r="C417" s="62" t="n"/>
      <c r="D417" s="62" t="n"/>
      <c r="E417" s="62" t="n"/>
      <c r="F417" s="62" t="n"/>
      <c r="G417" s="62" t="n"/>
      <c r="H417" s="62" t="n"/>
      <c r="I417" s="62" t="n"/>
      <c r="J417" s="62" t="n"/>
      <c r="K417" s="60" t="n"/>
      <c r="L417" s="62" t="n"/>
      <c r="M417" s="62" t="n"/>
      <c r="N417" s="62" t="n"/>
      <c r="O417" s="62" t="n"/>
      <c r="P417" s="63" t="n"/>
      <c r="Q417" s="63" t="n"/>
      <c r="R417" s="63" t="n"/>
      <c r="S417" s="63" t="n"/>
      <c r="T417" s="63" t="n"/>
      <c r="U417" s="62" t="n"/>
      <c r="V417" s="2" t="n"/>
    </row>
    <row r="418" ht="15.75" customHeight="1" s="125">
      <c r="A418" s="62" t="n"/>
      <c r="B418" s="62" t="n"/>
      <c r="C418" s="62" t="n"/>
      <c r="D418" s="62" t="n"/>
      <c r="E418" s="62" t="n"/>
      <c r="F418" s="62" t="n"/>
      <c r="G418" s="62" t="n"/>
      <c r="H418" s="62" t="n"/>
      <c r="I418" s="62" t="n"/>
      <c r="J418" s="62" t="n"/>
      <c r="K418" s="60" t="n"/>
      <c r="L418" s="62" t="n"/>
      <c r="M418" s="62" t="n"/>
      <c r="N418" s="62" t="n"/>
      <c r="O418" s="62" t="n"/>
      <c r="P418" s="63" t="n"/>
      <c r="Q418" s="63" t="n"/>
      <c r="R418" s="63" t="n"/>
      <c r="S418" s="63" t="n"/>
      <c r="T418" s="63" t="n"/>
      <c r="U418" s="62" t="n"/>
      <c r="V418" s="2" t="n"/>
    </row>
    <row r="419" ht="15.75" customHeight="1" s="125">
      <c r="A419" s="62" t="n"/>
      <c r="B419" s="62" t="n"/>
      <c r="C419" s="62" t="n"/>
      <c r="D419" s="62" t="n"/>
      <c r="E419" s="62" t="n"/>
      <c r="F419" s="62" t="n"/>
      <c r="G419" s="62" t="n"/>
      <c r="H419" s="62" t="n"/>
      <c r="I419" s="62" t="n"/>
      <c r="J419" s="62" t="n"/>
      <c r="K419" s="60" t="n"/>
      <c r="L419" s="62" t="n"/>
      <c r="M419" s="62" t="n"/>
      <c r="N419" s="62" t="n"/>
      <c r="O419" s="62" t="n"/>
      <c r="P419" s="63" t="n"/>
      <c r="Q419" s="63" t="n"/>
      <c r="R419" s="63" t="n"/>
      <c r="S419" s="63" t="n"/>
      <c r="T419" s="63" t="n"/>
      <c r="U419" s="62" t="n"/>
      <c r="V419" s="2" t="n"/>
    </row>
    <row r="420" ht="15.75" customHeight="1" s="125">
      <c r="A420" s="62" t="n"/>
      <c r="B420" s="62" t="n"/>
      <c r="C420" s="62" t="n"/>
      <c r="D420" s="62" t="n"/>
      <c r="E420" s="62" t="n"/>
      <c r="F420" s="62" t="n"/>
      <c r="G420" s="62" t="n"/>
      <c r="H420" s="62" t="n"/>
      <c r="I420" s="62" t="n"/>
      <c r="J420" s="62" t="n"/>
      <c r="K420" s="60" t="n"/>
      <c r="L420" s="62" t="n"/>
      <c r="M420" s="62" t="n"/>
      <c r="N420" s="62" t="n"/>
      <c r="O420" s="62" t="n"/>
      <c r="P420" s="63" t="n"/>
      <c r="Q420" s="63" t="n"/>
      <c r="R420" s="63" t="n"/>
      <c r="S420" s="63" t="n"/>
      <c r="T420" s="63" t="n"/>
      <c r="U420" s="62" t="n"/>
      <c r="V420" s="2" t="n"/>
    </row>
    <row r="421" ht="15.75" customHeight="1" s="125">
      <c r="A421" s="62" t="n"/>
      <c r="B421" s="62" t="n"/>
      <c r="C421" s="62" t="n"/>
      <c r="D421" s="62" t="n"/>
      <c r="E421" s="62" t="n"/>
      <c r="F421" s="62" t="n"/>
      <c r="G421" s="62" t="n"/>
      <c r="H421" s="62" t="n"/>
      <c r="I421" s="62" t="n"/>
      <c r="J421" s="62" t="n"/>
      <c r="K421" s="60" t="n"/>
      <c r="L421" s="62" t="n"/>
      <c r="M421" s="62" t="n"/>
      <c r="N421" s="62" t="n"/>
      <c r="O421" s="62" t="n"/>
      <c r="P421" s="63" t="n"/>
      <c r="Q421" s="63" t="n"/>
      <c r="R421" s="63" t="n"/>
      <c r="S421" s="63" t="n"/>
      <c r="T421" s="63" t="n"/>
      <c r="U421" s="62" t="n"/>
      <c r="V421" s="2" t="n"/>
    </row>
    <row r="422" ht="15.75" customHeight="1" s="125">
      <c r="A422" s="62" t="n"/>
      <c r="B422" s="62" t="n"/>
      <c r="C422" s="62" t="n"/>
      <c r="D422" s="62" t="n"/>
      <c r="E422" s="62" t="n"/>
      <c r="F422" s="62" t="n"/>
      <c r="G422" s="62" t="n"/>
      <c r="H422" s="62" t="n"/>
      <c r="I422" s="62" t="n"/>
      <c r="J422" s="62" t="n"/>
      <c r="K422" s="60" t="n"/>
      <c r="L422" s="62" t="n"/>
      <c r="M422" s="62" t="n"/>
      <c r="N422" s="62" t="n"/>
      <c r="O422" s="62" t="n"/>
      <c r="P422" s="63" t="n"/>
      <c r="Q422" s="63" t="n"/>
      <c r="R422" s="63" t="n"/>
      <c r="S422" s="63" t="n"/>
      <c r="T422" s="63" t="n"/>
      <c r="U422" s="62" t="n"/>
      <c r="V422" s="2" t="n"/>
    </row>
    <row r="423" ht="15.75" customHeight="1" s="125">
      <c r="A423" s="62" t="n"/>
      <c r="B423" s="62" t="n"/>
      <c r="C423" s="62" t="n"/>
      <c r="D423" s="62" t="n"/>
      <c r="E423" s="62" t="n"/>
      <c r="F423" s="62" t="n"/>
      <c r="G423" s="62" t="n"/>
      <c r="H423" s="62" t="n"/>
      <c r="I423" s="62" t="n"/>
      <c r="J423" s="62" t="n"/>
      <c r="K423" s="60" t="n"/>
      <c r="L423" s="62" t="n"/>
      <c r="M423" s="62" t="n"/>
      <c r="N423" s="62" t="n"/>
      <c r="O423" s="62" t="n"/>
      <c r="P423" s="63" t="n"/>
      <c r="Q423" s="63" t="n"/>
      <c r="R423" s="63" t="n"/>
      <c r="S423" s="63" t="n"/>
      <c r="T423" s="63" t="n"/>
      <c r="U423" s="62" t="n"/>
      <c r="V423" s="2" t="n"/>
    </row>
    <row r="424" ht="15.75" customHeight="1" s="125">
      <c r="A424" s="62" t="n"/>
      <c r="B424" s="62" t="n"/>
      <c r="C424" s="62" t="n"/>
      <c r="D424" s="62" t="n"/>
      <c r="E424" s="62" t="n"/>
      <c r="F424" s="62" t="n"/>
      <c r="G424" s="62" t="n"/>
      <c r="H424" s="62" t="n"/>
      <c r="I424" s="62" t="n"/>
      <c r="J424" s="62" t="n"/>
      <c r="K424" s="60" t="n"/>
      <c r="L424" s="62" t="n"/>
      <c r="M424" s="62" t="n"/>
      <c r="N424" s="62" t="n"/>
      <c r="O424" s="62" t="n"/>
      <c r="P424" s="63" t="n"/>
      <c r="Q424" s="63" t="n"/>
      <c r="R424" s="63" t="n"/>
      <c r="S424" s="63" t="n"/>
      <c r="T424" s="63" t="n"/>
      <c r="U424" s="62" t="n"/>
      <c r="V424" s="2" t="n"/>
    </row>
    <row r="425" ht="15.75" customHeight="1" s="125">
      <c r="A425" s="62" t="n"/>
      <c r="B425" s="62" t="n"/>
      <c r="C425" s="62" t="n"/>
      <c r="D425" s="62" t="n"/>
      <c r="E425" s="62" t="n"/>
      <c r="F425" s="62" t="n"/>
      <c r="G425" s="62" t="n"/>
      <c r="H425" s="62" t="n"/>
      <c r="I425" s="62" t="n"/>
      <c r="J425" s="62" t="n"/>
      <c r="K425" s="60" t="n"/>
      <c r="L425" s="62" t="n"/>
      <c r="M425" s="62" t="n"/>
      <c r="N425" s="62" t="n"/>
      <c r="O425" s="62" t="n"/>
      <c r="P425" s="63" t="n"/>
      <c r="Q425" s="63" t="n"/>
      <c r="R425" s="63" t="n"/>
      <c r="S425" s="63" t="n"/>
      <c r="T425" s="63" t="n"/>
      <c r="U425" s="62" t="n"/>
      <c r="V425" s="2" t="n"/>
    </row>
    <row r="426" ht="15.75" customHeight="1" s="125">
      <c r="A426" s="62" t="n"/>
      <c r="B426" s="62" t="n"/>
      <c r="C426" s="62" t="n"/>
      <c r="D426" s="62" t="n"/>
      <c r="E426" s="62" t="n"/>
      <c r="F426" s="62" t="n"/>
      <c r="G426" s="62" t="n"/>
      <c r="H426" s="62" t="n"/>
      <c r="I426" s="62" t="n"/>
      <c r="J426" s="62" t="n"/>
      <c r="K426" s="60" t="n"/>
      <c r="L426" s="62" t="n"/>
      <c r="M426" s="62" t="n"/>
      <c r="N426" s="62" t="n"/>
      <c r="O426" s="62" t="n"/>
      <c r="P426" s="63" t="n"/>
      <c r="Q426" s="63" t="n"/>
      <c r="R426" s="63" t="n"/>
      <c r="S426" s="63" t="n"/>
      <c r="T426" s="63" t="n"/>
      <c r="U426" s="62" t="n"/>
      <c r="V426" s="2" t="n"/>
    </row>
    <row r="427" ht="15.75" customHeight="1" s="125">
      <c r="A427" s="62" t="n"/>
      <c r="B427" s="62" t="n"/>
      <c r="C427" s="62" t="n"/>
      <c r="D427" s="62" t="n"/>
      <c r="E427" s="62" t="n"/>
      <c r="F427" s="62" t="n"/>
      <c r="G427" s="62" t="n"/>
      <c r="H427" s="62" t="n"/>
      <c r="I427" s="62" t="n"/>
      <c r="J427" s="62" t="n"/>
      <c r="K427" s="60" t="n"/>
      <c r="L427" s="62" t="n"/>
      <c r="M427" s="62" t="n"/>
      <c r="N427" s="62" t="n"/>
      <c r="O427" s="62" t="n"/>
      <c r="P427" s="63" t="n"/>
      <c r="Q427" s="63" t="n"/>
      <c r="R427" s="63" t="n"/>
      <c r="S427" s="63" t="n"/>
      <c r="T427" s="63" t="n"/>
      <c r="U427" s="62" t="n"/>
      <c r="V427" s="2" t="n"/>
    </row>
    <row r="428" ht="15.75" customHeight="1" s="125">
      <c r="A428" s="62" t="n"/>
      <c r="B428" s="62" t="n"/>
      <c r="C428" s="62" t="n"/>
      <c r="D428" s="62" t="n"/>
      <c r="E428" s="62" t="n"/>
      <c r="F428" s="62" t="n"/>
      <c r="G428" s="62" t="n"/>
      <c r="H428" s="62" t="n"/>
      <c r="I428" s="62" t="n"/>
      <c r="J428" s="62" t="n"/>
      <c r="K428" s="60" t="n"/>
      <c r="L428" s="62" t="n"/>
      <c r="M428" s="62" t="n"/>
      <c r="N428" s="62" t="n"/>
      <c r="O428" s="62" t="n"/>
      <c r="P428" s="63" t="n"/>
      <c r="Q428" s="63" t="n"/>
      <c r="R428" s="63" t="n"/>
      <c r="S428" s="63" t="n"/>
      <c r="T428" s="63" t="n"/>
      <c r="U428" s="62" t="n"/>
      <c r="V428" s="2" t="n"/>
    </row>
    <row r="429" ht="15.75" customHeight="1" s="125">
      <c r="A429" s="62" t="n"/>
      <c r="B429" s="62" t="n"/>
      <c r="C429" s="62" t="n"/>
      <c r="D429" s="62" t="n"/>
      <c r="E429" s="62" t="n"/>
      <c r="F429" s="62" t="n"/>
      <c r="G429" s="62" t="n"/>
      <c r="H429" s="62" t="n"/>
      <c r="I429" s="62" t="n"/>
      <c r="J429" s="62" t="n"/>
      <c r="K429" s="60" t="n"/>
      <c r="L429" s="62" t="n"/>
      <c r="M429" s="62" t="n"/>
      <c r="N429" s="62" t="n"/>
      <c r="O429" s="62" t="n"/>
      <c r="P429" s="63" t="n"/>
      <c r="Q429" s="63" t="n"/>
      <c r="R429" s="63" t="n"/>
      <c r="S429" s="63" t="n"/>
      <c r="T429" s="63" t="n"/>
      <c r="U429" s="62" t="n"/>
      <c r="V429" s="2" t="n"/>
    </row>
    <row r="430" ht="15.75" customHeight="1" s="125">
      <c r="A430" s="62" t="n"/>
      <c r="B430" s="62" t="n"/>
      <c r="C430" s="62" t="n"/>
      <c r="D430" s="62" t="n"/>
      <c r="E430" s="62" t="n"/>
      <c r="F430" s="62" t="n"/>
      <c r="G430" s="62" t="n"/>
      <c r="H430" s="62" t="n"/>
      <c r="I430" s="62" t="n"/>
      <c r="J430" s="62" t="n"/>
      <c r="K430" s="60" t="n"/>
      <c r="L430" s="62" t="n"/>
      <c r="M430" s="62" t="n"/>
      <c r="N430" s="62" t="n"/>
      <c r="O430" s="62" t="n"/>
      <c r="P430" s="63" t="n"/>
      <c r="Q430" s="63" t="n"/>
      <c r="R430" s="63" t="n"/>
      <c r="S430" s="63" t="n"/>
      <c r="T430" s="63" t="n"/>
      <c r="U430" s="62" t="n"/>
      <c r="V430" s="2" t="n"/>
    </row>
    <row r="431" ht="15.75" customHeight="1" s="125">
      <c r="A431" s="62" t="n"/>
      <c r="B431" s="62" t="n"/>
      <c r="C431" s="62" t="n"/>
      <c r="D431" s="62" t="n"/>
      <c r="E431" s="62" t="n"/>
      <c r="F431" s="62" t="n"/>
      <c r="G431" s="62" t="n"/>
      <c r="H431" s="62" t="n"/>
      <c r="I431" s="62" t="n"/>
      <c r="J431" s="62" t="n"/>
      <c r="K431" s="60" t="n"/>
      <c r="L431" s="62" t="n"/>
      <c r="M431" s="62" t="n"/>
      <c r="N431" s="62" t="n"/>
      <c r="O431" s="62" t="n"/>
      <c r="P431" s="63" t="n"/>
      <c r="Q431" s="63" t="n"/>
      <c r="R431" s="63" t="n"/>
      <c r="S431" s="63" t="n"/>
      <c r="T431" s="63" t="n"/>
      <c r="U431" s="62" t="n"/>
      <c r="V431" s="2" t="n"/>
    </row>
    <row r="432" ht="15.75" customHeight="1" s="125">
      <c r="A432" s="62" t="n"/>
      <c r="B432" s="62" t="n"/>
      <c r="C432" s="62" t="n"/>
      <c r="D432" s="62" t="n"/>
      <c r="E432" s="62" t="n"/>
      <c r="F432" s="62" t="n"/>
      <c r="G432" s="62" t="n"/>
      <c r="H432" s="62" t="n"/>
      <c r="I432" s="62" t="n"/>
      <c r="J432" s="62" t="n"/>
      <c r="K432" s="60" t="n"/>
      <c r="L432" s="62" t="n"/>
      <c r="M432" s="62" t="n"/>
      <c r="N432" s="62" t="n"/>
      <c r="O432" s="62" t="n"/>
      <c r="P432" s="63" t="n"/>
      <c r="Q432" s="63" t="n"/>
      <c r="R432" s="63" t="n"/>
      <c r="S432" s="63" t="n"/>
      <c r="T432" s="63" t="n"/>
      <c r="U432" s="62" t="n"/>
      <c r="V432" s="2" t="n"/>
    </row>
    <row r="433" ht="15.75" customHeight="1" s="125">
      <c r="A433" s="62" t="n"/>
      <c r="B433" s="62" t="n"/>
      <c r="C433" s="62" t="n"/>
      <c r="D433" s="62" t="n"/>
      <c r="E433" s="62" t="n"/>
      <c r="F433" s="62" t="n"/>
      <c r="G433" s="62" t="n"/>
      <c r="H433" s="62" t="n"/>
      <c r="I433" s="62" t="n"/>
      <c r="J433" s="62" t="n"/>
      <c r="K433" s="60" t="n"/>
      <c r="L433" s="62" t="n"/>
      <c r="M433" s="62" t="n"/>
      <c r="N433" s="62" t="n"/>
      <c r="O433" s="62" t="n"/>
      <c r="P433" s="63" t="n"/>
      <c r="Q433" s="63" t="n"/>
      <c r="R433" s="63" t="n"/>
      <c r="S433" s="63" t="n"/>
      <c r="T433" s="63" t="n"/>
      <c r="U433" s="62" t="n"/>
      <c r="V433" s="2" t="n"/>
    </row>
    <row r="434" ht="15.75" customHeight="1" s="125">
      <c r="A434" s="62" t="n"/>
      <c r="B434" s="62" t="n"/>
      <c r="C434" s="62" t="n"/>
      <c r="D434" s="62" t="n"/>
      <c r="E434" s="62" t="n"/>
      <c r="F434" s="62" t="n"/>
      <c r="G434" s="62" t="n"/>
      <c r="H434" s="62" t="n"/>
      <c r="I434" s="62" t="n"/>
      <c r="J434" s="62" t="n"/>
      <c r="K434" s="60" t="n"/>
      <c r="L434" s="62" t="n"/>
      <c r="M434" s="62" t="n"/>
      <c r="N434" s="62" t="n"/>
      <c r="O434" s="62" t="n"/>
      <c r="P434" s="63" t="n"/>
      <c r="Q434" s="63" t="n"/>
      <c r="R434" s="63" t="n"/>
      <c r="S434" s="63" t="n"/>
      <c r="T434" s="63" t="n"/>
      <c r="U434" s="62" t="n"/>
      <c r="V434" s="2" t="n"/>
    </row>
    <row r="435" ht="15.75" customHeight="1" s="125">
      <c r="A435" s="62" t="n"/>
      <c r="B435" s="62" t="n"/>
      <c r="C435" s="62" t="n"/>
      <c r="D435" s="62" t="n"/>
      <c r="E435" s="62" t="n"/>
      <c r="F435" s="62" t="n"/>
      <c r="G435" s="62" t="n"/>
      <c r="H435" s="62" t="n"/>
      <c r="I435" s="62" t="n"/>
      <c r="J435" s="62" t="n"/>
      <c r="K435" s="60" t="n"/>
      <c r="L435" s="62" t="n"/>
      <c r="M435" s="62" t="n"/>
      <c r="N435" s="62" t="n"/>
      <c r="O435" s="62" t="n"/>
      <c r="P435" s="63" t="n"/>
      <c r="Q435" s="63" t="n"/>
      <c r="R435" s="63" t="n"/>
      <c r="S435" s="63" t="n"/>
      <c r="T435" s="63" t="n"/>
      <c r="U435" s="62" t="n"/>
      <c r="V435" s="2" t="n"/>
    </row>
    <row r="436" ht="15.75" customHeight="1" s="125">
      <c r="A436" s="62" t="n"/>
      <c r="B436" s="62" t="n"/>
      <c r="C436" s="62" t="n"/>
      <c r="D436" s="62" t="n"/>
      <c r="E436" s="62" t="n"/>
      <c r="F436" s="62" t="n"/>
      <c r="G436" s="62" t="n"/>
      <c r="H436" s="62" t="n"/>
      <c r="I436" s="62" t="n"/>
      <c r="J436" s="62" t="n"/>
      <c r="K436" s="60" t="n"/>
      <c r="L436" s="62" t="n"/>
      <c r="M436" s="62" t="n"/>
      <c r="N436" s="62" t="n"/>
      <c r="O436" s="62" t="n"/>
      <c r="P436" s="63" t="n"/>
      <c r="Q436" s="63" t="n"/>
      <c r="R436" s="63" t="n"/>
      <c r="S436" s="63" t="n"/>
      <c r="T436" s="63" t="n"/>
      <c r="U436" s="62" t="n"/>
      <c r="V436" s="2" t="n"/>
    </row>
    <row r="437" ht="15.75" customHeight="1" s="125">
      <c r="A437" s="62" t="n"/>
      <c r="B437" s="62" t="n"/>
      <c r="C437" s="62" t="n"/>
      <c r="D437" s="62" t="n"/>
      <c r="E437" s="62" t="n"/>
      <c r="F437" s="62" t="n"/>
      <c r="G437" s="62" t="n"/>
      <c r="H437" s="62" t="n"/>
      <c r="I437" s="62" t="n"/>
      <c r="J437" s="62" t="n"/>
      <c r="K437" s="60" t="n"/>
      <c r="L437" s="62" t="n"/>
      <c r="M437" s="62" t="n"/>
      <c r="N437" s="62" t="n"/>
      <c r="O437" s="62" t="n"/>
      <c r="P437" s="63" t="n"/>
      <c r="Q437" s="63" t="n"/>
      <c r="R437" s="63" t="n"/>
      <c r="S437" s="63" t="n"/>
      <c r="T437" s="63" t="n"/>
      <c r="U437" s="62" t="n"/>
      <c r="V437" s="2" t="n"/>
    </row>
    <row r="438" ht="15.75" customHeight="1" s="125">
      <c r="A438" s="62" t="n"/>
      <c r="B438" s="62" t="n"/>
      <c r="C438" s="62" t="n"/>
      <c r="D438" s="62" t="n"/>
      <c r="E438" s="62" t="n"/>
      <c r="F438" s="62" t="n"/>
      <c r="G438" s="62" t="n"/>
      <c r="H438" s="62" t="n"/>
      <c r="I438" s="62" t="n"/>
      <c r="J438" s="62" t="n"/>
      <c r="K438" s="60" t="n"/>
      <c r="L438" s="62" t="n"/>
      <c r="M438" s="62" t="n"/>
      <c r="N438" s="62" t="n"/>
      <c r="O438" s="62" t="n"/>
      <c r="P438" s="63" t="n"/>
      <c r="Q438" s="63" t="n"/>
      <c r="R438" s="63" t="n"/>
      <c r="S438" s="63" t="n"/>
      <c r="T438" s="63" t="n"/>
      <c r="U438" s="62" t="n"/>
      <c r="V438" s="2" t="n"/>
    </row>
    <row r="439" ht="15.75" customHeight="1" s="125">
      <c r="A439" s="62" t="n"/>
      <c r="B439" s="62" t="n"/>
      <c r="C439" s="62" t="n"/>
      <c r="D439" s="62" t="n"/>
      <c r="E439" s="62" t="n"/>
      <c r="F439" s="62" t="n"/>
      <c r="G439" s="62" t="n"/>
      <c r="H439" s="62" t="n"/>
      <c r="I439" s="62" t="n"/>
      <c r="J439" s="62" t="n"/>
      <c r="K439" s="60" t="n"/>
      <c r="L439" s="62" t="n"/>
      <c r="M439" s="62" t="n"/>
      <c r="N439" s="62" t="n"/>
      <c r="O439" s="62" t="n"/>
      <c r="P439" s="63" t="n"/>
      <c r="Q439" s="63" t="n"/>
      <c r="R439" s="63" t="n"/>
      <c r="S439" s="63" t="n"/>
      <c r="T439" s="63" t="n"/>
      <c r="U439" s="62" t="n"/>
      <c r="V439" s="2" t="n"/>
    </row>
    <row r="440" ht="15.75" customHeight="1" s="125">
      <c r="A440" s="62" t="n"/>
      <c r="B440" s="62" t="n"/>
      <c r="C440" s="62" t="n"/>
      <c r="D440" s="62" t="n"/>
      <c r="E440" s="62" t="n"/>
      <c r="F440" s="62" t="n"/>
      <c r="G440" s="62" t="n"/>
      <c r="H440" s="62" t="n"/>
      <c r="I440" s="62" t="n"/>
      <c r="J440" s="62" t="n"/>
      <c r="K440" s="60" t="n"/>
      <c r="L440" s="62" t="n"/>
      <c r="M440" s="62" t="n"/>
      <c r="N440" s="62" t="n"/>
      <c r="O440" s="62" t="n"/>
      <c r="P440" s="63" t="n"/>
      <c r="Q440" s="63" t="n"/>
      <c r="R440" s="63" t="n"/>
      <c r="S440" s="63" t="n"/>
      <c r="T440" s="63" t="n"/>
      <c r="U440" s="62" t="n"/>
      <c r="V440" s="2" t="n"/>
    </row>
    <row r="441" ht="15.75" customHeight="1" s="125">
      <c r="A441" s="62" t="n"/>
      <c r="B441" s="62" t="n"/>
      <c r="C441" s="62" t="n"/>
      <c r="D441" s="62" t="n"/>
      <c r="E441" s="62" t="n"/>
      <c r="F441" s="62" t="n"/>
      <c r="G441" s="62" t="n"/>
      <c r="H441" s="62" t="n"/>
      <c r="I441" s="62" t="n"/>
      <c r="J441" s="62" t="n"/>
      <c r="K441" s="60" t="n"/>
      <c r="L441" s="62" t="n"/>
      <c r="M441" s="62" t="n"/>
      <c r="N441" s="62" t="n"/>
      <c r="O441" s="62" t="n"/>
      <c r="P441" s="63" t="n"/>
      <c r="Q441" s="63" t="n"/>
      <c r="R441" s="63" t="n"/>
      <c r="S441" s="63" t="n"/>
      <c r="T441" s="63" t="n"/>
      <c r="U441" s="62" t="n"/>
      <c r="V441" s="2" t="n"/>
    </row>
    <row r="442" ht="15.75" customHeight="1" s="125">
      <c r="A442" s="62" t="n"/>
      <c r="B442" s="62" t="n"/>
      <c r="C442" s="62" t="n"/>
      <c r="D442" s="62" t="n"/>
      <c r="E442" s="62" t="n"/>
      <c r="F442" s="62" t="n"/>
      <c r="G442" s="62" t="n"/>
      <c r="H442" s="62" t="n"/>
      <c r="I442" s="62" t="n"/>
      <c r="J442" s="62" t="n"/>
      <c r="K442" s="60" t="n"/>
      <c r="L442" s="62" t="n"/>
      <c r="M442" s="62" t="n"/>
      <c r="N442" s="62" t="n"/>
      <c r="O442" s="62" t="n"/>
      <c r="P442" s="63" t="n"/>
      <c r="Q442" s="63" t="n"/>
      <c r="R442" s="63" t="n"/>
      <c r="S442" s="63" t="n"/>
      <c r="T442" s="63" t="n"/>
      <c r="U442" s="62" t="n"/>
      <c r="V442" s="2" t="n"/>
    </row>
    <row r="443" ht="15.75" customHeight="1" s="125">
      <c r="A443" s="62" t="n"/>
      <c r="B443" s="62" t="n"/>
      <c r="C443" s="62" t="n"/>
      <c r="D443" s="62" t="n"/>
      <c r="E443" s="62" t="n"/>
      <c r="F443" s="62" t="n"/>
      <c r="G443" s="62" t="n"/>
      <c r="H443" s="62" t="n"/>
      <c r="I443" s="62" t="n"/>
      <c r="J443" s="62" t="n"/>
      <c r="K443" s="60" t="n"/>
      <c r="L443" s="62" t="n"/>
      <c r="M443" s="62" t="n"/>
      <c r="N443" s="62" t="n"/>
      <c r="O443" s="62" t="n"/>
      <c r="P443" s="63" t="n"/>
      <c r="Q443" s="63" t="n"/>
      <c r="R443" s="63" t="n"/>
      <c r="S443" s="63" t="n"/>
      <c r="T443" s="63" t="n"/>
      <c r="U443" s="62" t="n"/>
      <c r="V443" s="2" t="n"/>
    </row>
    <row r="444" ht="15.75" customHeight="1" s="125">
      <c r="A444" s="62" t="n"/>
      <c r="B444" s="62" t="n"/>
      <c r="C444" s="62" t="n"/>
      <c r="D444" s="62" t="n"/>
      <c r="E444" s="62" t="n"/>
      <c r="F444" s="62" t="n"/>
      <c r="G444" s="62" t="n"/>
      <c r="H444" s="62" t="n"/>
      <c r="I444" s="62" t="n"/>
      <c r="J444" s="62" t="n"/>
      <c r="K444" s="60" t="n"/>
      <c r="L444" s="62" t="n"/>
      <c r="M444" s="62" t="n"/>
      <c r="N444" s="62" t="n"/>
      <c r="O444" s="62" t="n"/>
      <c r="P444" s="63" t="n"/>
      <c r="Q444" s="63" t="n"/>
      <c r="R444" s="63" t="n"/>
      <c r="S444" s="63" t="n"/>
      <c r="T444" s="63" t="n"/>
      <c r="U444" s="62" t="n"/>
      <c r="V444" s="2" t="n"/>
    </row>
    <row r="445" ht="15.75" customHeight="1" s="125">
      <c r="A445" s="62" t="n"/>
      <c r="B445" s="62" t="n"/>
      <c r="C445" s="62" t="n"/>
      <c r="D445" s="62" t="n"/>
      <c r="E445" s="62" t="n"/>
      <c r="F445" s="62" t="n"/>
      <c r="G445" s="62" t="n"/>
      <c r="H445" s="62" t="n"/>
      <c r="I445" s="62" t="n"/>
      <c r="J445" s="62" t="n"/>
      <c r="K445" s="60" t="n"/>
      <c r="L445" s="62" t="n"/>
      <c r="M445" s="62" t="n"/>
      <c r="N445" s="62" t="n"/>
      <c r="O445" s="62" t="n"/>
      <c r="P445" s="63" t="n"/>
      <c r="Q445" s="63" t="n"/>
      <c r="R445" s="63" t="n"/>
      <c r="S445" s="63" t="n"/>
      <c r="T445" s="63" t="n"/>
      <c r="U445" s="62" t="n"/>
      <c r="V445" s="2" t="n"/>
    </row>
    <row r="446" ht="15.75" customHeight="1" s="125">
      <c r="A446" s="62" t="n"/>
      <c r="B446" s="62" t="n"/>
      <c r="C446" s="62" t="n"/>
      <c r="D446" s="62" t="n"/>
      <c r="E446" s="62" t="n"/>
      <c r="F446" s="62" t="n"/>
      <c r="G446" s="62" t="n"/>
      <c r="H446" s="62" t="n"/>
      <c r="I446" s="62" t="n"/>
      <c r="J446" s="62" t="n"/>
      <c r="K446" s="60" t="n"/>
      <c r="L446" s="62" t="n"/>
      <c r="M446" s="62" t="n"/>
      <c r="N446" s="62" t="n"/>
      <c r="O446" s="62" t="n"/>
      <c r="P446" s="63" t="n"/>
      <c r="Q446" s="63" t="n"/>
      <c r="R446" s="63" t="n"/>
      <c r="S446" s="63" t="n"/>
      <c r="T446" s="63" t="n"/>
      <c r="U446" s="62" t="n"/>
      <c r="V446" s="2" t="n"/>
    </row>
    <row r="447" ht="15.75" customHeight="1" s="125">
      <c r="A447" s="62" t="n"/>
      <c r="B447" s="62" t="n"/>
      <c r="C447" s="62" t="n"/>
      <c r="D447" s="62" t="n"/>
      <c r="E447" s="62" t="n"/>
      <c r="F447" s="62" t="n"/>
      <c r="G447" s="62" t="n"/>
      <c r="H447" s="62" t="n"/>
      <c r="I447" s="62" t="n"/>
      <c r="J447" s="62" t="n"/>
      <c r="K447" s="60" t="n"/>
      <c r="L447" s="62" t="n"/>
      <c r="M447" s="62" t="n"/>
      <c r="N447" s="62" t="n"/>
      <c r="O447" s="62" t="n"/>
      <c r="P447" s="63" t="n"/>
      <c r="Q447" s="63" t="n"/>
      <c r="R447" s="63" t="n"/>
      <c r="S447" s="63" t="n"/>
      <c r="T447" s="63" t="n"/>
      <c r="U447" s="62" t="n"/>
      <c r="V447" s="2" t="n"/>
    </row>
    <row r="448" ht="15.75" customHeight="1" s="125">
      <c r="A448" s="62" t="n"/>
      <c r="B448" s="62" t="n"/>
      <c r="C448" s="62" t="n"/>
      <c r="D448" s="62" t="n"/>
      <c r="E448" s="62" t="n"/>
      <c r="F448" s="62" t="n"/>
      <c r="G448" s="62" t="n"/>
      <c r="H448" s="62" t="n"/>
      <c r="I448" s="62" t="n"/>
      <c r="J448" s="62" t="n"/>
      <c r="K448" s="60" t="n"/>
      <c r="L448" s="62" t="n"/>
      <c r="M448" s="62" t="n"/>
      <c r="N448" s="62" t="n"/>
      <c r="O448" s="62" t="n"/>
      <c r="P448" s="63" t="n"/>
      <c r="Q448" s="63" t="n"/>
      <c r="R448" s="63" t="n"/>
      <c r="S448" s="63" t="n"/>
      <c r="T448" s="63" t="n"/>
      <c r="U448" s="62" t="n"/>
      <c r="V448" s="2" t="n"/>
    </row>
    <row r="449" ht="15.75" customHeight="1" s="125">
      <c r="A449" s="62" t="n"/>
      <c r="B449" s="62" t="n"/>
      <c r="C449" s="62" t="n"/>
      <c r="D449" s="62" t="n"/>
      <c r="E449" s="62" t="n"/>
      <c r="F449" s="62" t="n"/>
      <c r="G449" s="62" t="n"/>
      <c r="H449" s="62" t="n"/>
      <c r="I449" s="62" t="n"/>
      <c r="J449" s="62" t="n"/>
      <c r="K449" s="60" t="n"/>
      <c r="L449" s="62" t="n"/>
      <c r="M449" s="62" t="n"/>
      <c r="N449" s="62" t="n"/>
      <c r="O449" s="62" t="n"/>
      <c r="P449" s="63" t="n"/>
      <c r="Q449" s="63" t="n"/>
      <c r="R449" s="63" t="n"/>
      <c r="S449" s="63" t="n"/>
      <c r="T449" s="63" t="n"/>
      <c r="U449" s="62" t="n"/>
      <c r="V449" s="2" t="n"/>
    </row>
    <row r="450" ht="15.75" customHeight="1" s="125">
      <c r="A450" s="62" t="n"/>
      <c r="B450" s="62" t="n"/>
      <c r="C450" s="62" t="n"/>
      <c r="D450" s="62" t="n"/>
      <c r="E450" s="62" t="n"/>
      <c r="F450" s="62" t="n"/>
      <c r="G450" s="62" t="n"/>
      <c r="H450" s="62" t="n"/>
      <c r="I450" s="62" t="n"/>
      <c r="J450" s="62" t="n"/>
      <c r="K450" s="60" t="n"/>
      <c r="L450" s="62" t="n"/>
      <c r="M450" s="62" t="n"/>
      <c r="N450" s="62" t="n"/>
      <c r="O450" s="62" t="n"/>
      <c r="P450" s="63" t="n"/>
      <c r="Q450" s="63" t="n"/>
      <c r="R450" s="63" t="n"/>
      <c r="S450" s="63" t="n"/>
      <c r="T450" s="63" t="n"/>
      <c r="U450" s="62" t="n"/>
      <c r="V450" s="2" t="n"/>
    </row>
    <row r="451" ht="15.75" customHeight="1" s="125">
      <c r="A451" s="62" t="n"/>
      <c r="B451" s="62" t="n"/>
      <c r="C451" s="62" t="n"/>
      <c r="D451" s="62" t="n"/>
      <c r="E451" s="62" t="n"/>
      <c r="F451" s="62" t="n"/>
      <c r="G451" s="62" t="n"/>
      <c r="H451" s="62" t="n"/>
      <c r="I451" s="62" t="n"/>
      <c r="J451" s="62" t="n"/>
      <c r="K451" s="60" t="n"/>
      <c r="L451" s="62" t="n"/>
      <c r="M451" s="62" t="n"/>
      <c r="N451" s="62" t="n"/>
      <c r="O451" s="62" t="n"/>
      <c r="P451" s="63" t="n"/>
      <c r="Q451" s="63" t="n"/>
      <c r="R451" s="63" t="n"/>
      <c r="S451" s="63" t="n"/>
      <c r="T451" s="63" t="n"/>
      <c r="U451" s="62" t="n"/>
      <c r="V451" s="2" t="n"/>
    </row>
    <row r="452" ht="15.75" customHeight="1" s="125">
      <c r="A452" s="62" t="n"/>
      <c r="B452" s="62" t="n"/>
      <c r="C452" s="62" t="n"/>
      <c r="D452" s="62" t="n"/>
      <c r="E452" s="62" t="n"/>
      <c r="F452" s="62" t="n"/>
      <c r="G452" s="62" t="n"/>
      <c r="H452" s="62" t="n"/>
      <c r="I452" s="62" t="n"/>
      <c r="J452" s="62" t="n"/>
      <c r="K452" s="60" t="n"/>
      <c r="L452" s="62" t="n"/>
      <c r="M452" s="62" t="n"/>
      <c r="N452" s="62" t="n"/>
      <c r="O452" s="62" t="n"/>
      <c r="P452" s="63" t="n"/>
      <c r="Q452" s="63" t="n"/>
      <c r="R452" s="63" t="n"/>
      <c r="S452" s="63" t="n"/>
      <c r="T452" s="63" t="n"/>
      <c r="U452" s="62" t="n"/>
      <c r="V452" s="2" t="n"/>
    </row>
    <row r="453" ht="15.75" customHeight="1" s="125">
      <c r="A453" s="62" t="n"/>
      <c r="B453" s="62" t="n"/>
      <c r="C453" s="62" t="n"/>
      <c r="D453" s="62" t="n"/>
      <c r="E453" s="62" t="n"/>
      <c r="F453" s="62" t="n"/>
      <c r="G453" s="62" t="n"/>
      <c r="H453" s="62" t="n"/>
      <c r="I453" s="62" t="n"/>
      <c r="J453" s="62" t="n"/>
      <c r="K453" s="60" t="n"/>
      <c r="L453" s="62" t="n"/>
      <c r="M453" s="62" t="n"/>
      <c r="N453" s="62" t="n"/>
      <c r="O453" s="62" t="n"/>
      <c r="P453" s="63" t="n"/>
      <c r="Q453" s="63" t="n"/>
      <c r="R453" s="63" t="n"/>
      <c r="S453" s="63" t="n"/>
      <c r="T453" s="63" t="n"/>
      <c r="U453" s="62" t="n"/>
      <c r="V453" s="2" t="n"/>
    </row>
    <row r="454" ht="15.75" customHeight="1" s="125">
      <c r="A454" s="62" t="n"/>
      <c r="B454" s="62" t="n"/>
      <c r="C454" s="62" t="n"/>
      <c r="D454" s="62" t="n"/>
      <c r="E454" s="62" t="n"/>
      <c r="F454" s="62" t="n"/>
      <c r="G454" s="62" t="n"/>
      <c r="H454" s="62" t="n"/>
      <c r="I454" s="62" t="n"/>
      <c r="J454" s="62" t="n"/>
      <c r="K454" s="60" t="n"/>
      <c r="L454" s="62" t="n"/>
      <c r="M454" s="62" t="n"/>
      <c r="N454" s="62" t="n"/>
      <c r="O454" s="62" t="n"/>
      <c r="P454" s="63" t="n"/>
      <c r="Q454" s="63" t="n"/>
      <c r="R454" s="63" t="n"/>
      <c r="S454" s="63" t="n"/>
      <c r="T454" s="63" t="n"/>
      <c r="U454" s="62" t="n"/>
      <c r="V454" s="2" t="n"/>
    </row>
    <row r="455" ht="15.75" customHeight="1" s="125">
      <c r="A455" s="62" t="n"/>
      <c r="B455" s="62" t="n"/>
      <c r="C455" s="62" t="n"/>
      <c r="D455" s="62" t="n"/>
      <c r="E455" s="62" t="n"/>
      <c r="F455" s="62" t="n"/>
      <c r="G455" s="62" t="n"/>
      <c r="H455" s="62" t="n"/>
      <c r="I455" s="62" t="n"/>
      <c r="J455" s="62" t="n"/>
      <c r="K455" s="60" t="n"/>
      <c r="L455" s="62" t="n"/>
      <c r="M455" s="62" t="n"/>
      <c r="N455" s="62" t="n"/>
      <c r="O455" s="62" t="n"/>
      <c r="P455" s="63" t="n"/>
      <c r="Q455" s="63" t="n"/>
      <c r="R455" s="63" t="n"/>
      <c r="S455" s="63" t="n"/>
      <c r="T455" s="63" t="n"/>
      <c r="U455" s="62" t="n"/>
      <c r="V455" s="2" t="n"/>
    </row>
    <row r="456" ht="15.75" customHeight="1" s="125">
      <c r="A456" s="62" t="n"/>
      <c r="B456" s="62" t="n"/>
      <c r="C456" s="62" t="n"/>
      <c r="D456" s="62" t="n"/>
      <c r="E456" s="62" t="n"/>
      <c r="F456" s="62" t="n"/>
      <c r="G456" s="62" t="n"/>
      <c r="H456" s="62" t="n"/>
      <c r="I456" s="62" t="n"/>
      <c r="J456" s="62" t="n"/>
      <c r="K456" s="60" t="n"/>
      <c r="L456" s="62" t="n"/>
      <c r="M456" s="62" t="n"/>
      <c r="N456" s="62" t="n"/>
      <c r="O456" s="62" t="n"/>
      <c r="P456" s="63" t="n"/>
      <c r="Q456" s="63" t="n"/>
      <c r="R456" s="63" t="n"/>
      <c r="S456" s="63" t="n"/>
      <c r="T456" s="63" t="n"/>
      <c r="U456" s="62" t="n"/>
      <c r="V456" s="2" t="n"/>
    </row>
    <row r="457" ht="15.75" customHeight="1" s="125">
      <c r="A457" s="62" t="n"/>
      <c r="B457" s="62" t="n"/>
      <c r="C457" s="62" t="n"/>
      <c r="D457" s="62" t="n"/>
      <c r="E457" s="62" t="n"/>
      <c r="F457" s="62" t="n"/>
      <c r="G457" s="62" t="n"/>
      <c r="H457" s="62" t="n"/>
      <c r="I457" s="62" t="n"/>
      <c r="J457" s="62" t="n"/>
      <c r="K457" s="60" t="n"/>
      <c r="L457" s="62" t="n"/>
      <c r="M457" s="62" t="n"/>
      <c r="N457" s="62" t="n"/>
      <c r="O457" s="62" t="n"/>
      <c r="P457" s="63" t="n"/>
      <c r="Q457" s="63" t="n"/>
      <c r="R457" s="63" t="n"/>
      <c r="S457" s="63" t="n"/>
      <c r="T457" s="63" t="n"/>
      <c r="U457" s="62" t="n"/>
      <c r="V457" s="2" t="n"/>
    </row>
    <row r="458" ht="15.75" customHeight="1" s="125">
      <c r="A458" s="62" t="n"/>
      <c r="B458" s="62" t="n"/>
      <c r="C458" s="62" t="n"/>
      <c r="D458" s="62" t="n"/>
      <c r="E458" s="62" t="n"/>
      <c r="F458" s="62" t="n"/>
      <c r="G458" s="62" t="n"/>
      <c r="H458" s="62" t="n"/>
      <c r="I458" s="62" t="n"/>
      <c r="J458" s="62" t="n"/>
      <c r="K458" s="60" t="n"/>
      <c r="L458" s="62" t="n"/>
      <c r="M458" s="62" t="n"/>
      <c r="N458" s="62" t="n"/>
      <c r="O458" s="62" t="n"/>
      <c r="P458" s="63" t="n"/>
      <c r="Q458" s="63" t="n"/>
      <c r="R458" s="63" t="n"/>
      <c r="S458" s="63" t="n"/>
      <c r="T458" s="63" t="n"/>
      <c r="U458" s="62" t="n"/>
      <c r="V458" s="2" t="n"/>
    </row>
    <row r="459" ht="15.75" customHeight="1" s="125">
      <c r="A459" s="62" t="n"/>
      <c r="B459" s="62" t="n"/>
      <c r="C459" s="62" t="n"/>
      <c r="D459" s="62" t="n"/>
      <c r="E459" s="62" t="n"/>
      <c r="F459" s="62" t="n"/>
      <c r="G459" s="62" t="n"/>
      <c r="H459" s="62" t="n"/>
      <c r="I459" s="62" t="n"/>
      <c r="J459" s="62" t="n"/>
      <c r="K459" s="60" t="n"/>
      <c r="L459" s="62" t="n"/>
      <c r="M459" s="62" t="n"/>
      <c r="N459" s="62" t="n"/>
      <c r="O459" s="62" t="n"/>
      <c r="P459" s="63" t="n"/>
      <c r="Q459" s="63" t="n"/>
      <c r="R459" s="63" t="n"/>
      <c r="S459" s="63" t="n"/>
      <c r="T459" s="63" t="n"/>
      <c r="U459" s="62" t="n"/>
      <c r="V459" s="2" t="n"/>
    </row>
    <row r="460" ht="15.75" customHeight="1" s="125">
      <c r="A460" s="62" t="n"/>
      <c r="B460" s="62" t="n"/>
      <c r="C460" s="62" t="n"/>
      <c r="D460" s="62" t="n"/>
      <c r="E460" s="62" t="n"/>
      <c r="F460" s="62" t="n"/>
      <c r="G460" s="62" t="n"/>
      <c r="H460" s="62" t="n"/>
      <c r="I460" s="62" t="n"/>
      <c r="J460" s="62" t="n"/>
      <c r="K460" s="60" t="n"/>
      <c r="L460" s="62" t="n"/>
      <c r="M460" s="62" t="n"/>
      <c r="N460" s="62" t="n"/>
      <c r="O460" s="62" t="n"/>
      <c r="P460" s="63" t="n"/>
      <c r="Q460" s="63" t="n"/>
      <c r="R460" s="63" t="n"/>
      <c r="S460" s="63" t="n"/>
      <c r="T460" s="63" t="n"/>
      <c r="U460" s="62" t="n"/>
      <c r="V460" s="2" t="n"/>
    </row>
    <row r="461" ht="15.75" customHeight="1" s="125">
      <c r="A461" s="62" t="n"/>
      <c r="B461" s="62" t="n"/>
      <c r="C461" s="62" t="n"/>
      <c r="D461" s="62" t="n"/>
      <c r="E461" s="62" t="n"/>
      <c r="F461" s="62" t="n"/>
      <c r="G461" s="62" t="n"/>
      <c r="H461" s="62" t="n"/>
      <c r="I461" s="62" t="n"/>
      <c r="J461" s="62" t="n"/>
      <c r="K461" s="60" t="n"/>
      <c r="L461" s="62" t="n"/>
      <c r="M461" s="62" t="n"/>
      <c r="N461" s="62" t="n"/>
      <c r="O461" s="62" t="n"/>
      <c r="P461" s="63" t="n"/>
      <c r="Q461" s="63" t="n"/>
      <c r="R461" s="63" t="n"/>
      <c r="S461" s="63" t="n"/>
      <c r="T461" s="63" t="n"/>
      <c r="U461" s="62" t="n"/>
      <c r="V461" s="2" t="n"/>
    </row>
    <row r="462" ht="15.75" customHeight="1" s="125">
      <c r="A462" s="62" t="n"/>
      <c r="B462" s="62" t="n"/>
      <c r="C462" s="62" t="n"/>
      <c r="D462" s="62" t="n"/>
      <c r="E462" s="62" t="n"/>
      <c r="F462" s="62" t="n"/>
      <c r="G462" s="62" t="n"/>
      <c r="H462" s="62" t="n"/>
      <c r="I462" s="62" t="n"/>
      <c r="J462" s="62" t="n"/>
      <c r="K462" s="60" t="n"/>
      <c r="L462" s="62" t="n"/>
      <c r="M462" s="62" t="n"/>
      <c r="N462" s="62" t="n"/>
      <c r="O462" s="62" t="n"/>
      <c r="P462" s="63" t="n"/>
      <c r="Q462" s="63" t="n"/>
      <c r="R462" s="63" t="n"/>
      <c r="S462" s="63" t="n"/>
      <c r="T462" s="63" t="n"/>
      <c r="U462" s="62" t="n"/>
      <c r="V462" s="2" t="n"/>
    </row>
    <row r="463" ht="15.75" customHeight="1" s="125">
      <c r="A463" s="62" t="n"/>
      <c r="B463" s="62" t="n"/>
      <c r="C463" s="62" t="n"/>
      <c r="D463" s="62" t="n"/>
      <c r="E463" s="62" t="n"/>
      <c r="F463" s="62" t="n"/>
      <c r="G463" s="62" t="n"/>
      <c r="H463" s="62" t="n"/>
      <c r="I463" s="62" t="n"/>
      <c r="J463" s="62" t="n"/>
      <c r="K463" s="60" t="n"/>
      <c r="L463" s="62" t="n"/>
      <c r="M463" s="62" t="n"/>
      <c r="N463" s="62" t="n"/>
      <c r="O463" s="62" t="n"/>
      <c r="P463" s="63" t="n"/>
      <c r="Q463" s="63" t="n"/>
      <c r="R463" s="63" t="n"/>
      <c r="S463" s="63" t="n"/>
      <c r="T463" s="63" t="n"/>
      <c r="U463" s="62" t="n"/>
      <c r="V463" s="2" t="n"/>
    </row>
    <row r="464" ht="15.75" customHeight="1" s="125">
      <c r="A464" s="62" t="n"/>
      <c r="B464" s="62" t="n"/>
      <c r="C464" s="62" t="n"/>
      <c r="D464" s="62" t="n"/>
      <c r="E464" s="62" t="n"/>
      <c r="F464" s="62" t="n"/>
      <c r="G464" s="62" t="n"/>
      <c r="H464" s="62" t="n"/>
      <c r="I464" s="62" t="n"/>
      <c r="J464" s="62" t="n"/>
      <c r="K464" s="60" t="n"/>
      <c r="L464" s="62" t="n"/>
      <c r="M464" s="62" t="n"/>
      <c r="N464" s="62" t="n"/>
      <c r="O464" s="62" t="n"/>
      <c r="P464" s="63" t="n"/>
      <c r="Q464" s="63" t="n"/>
      <c r="R464" s="63" t="n"/>
      <c r="S464" s="63" t="n"/>
      <c r="T464" s="63" t="n"/>
      <c r="U464" s="62" t="n"/>
      <c r="V464" s="2" t="n"/>
    </row>
    <row r="465" ht="15.75" customHeight="1" s="125">
      <c r="A465" s="62" t="n"/>
      <c r="B465" s="62" t="n"/>
      <c r="C465" s="62" t="n"/>
      <c r="D465" s="62" t="n"/>
      <c r="E465" s="62" t="n"/>
      <c r="F465" s="62" t="n"/>
      <c r="G465" s="62" t="n"/>
      <c r="H465" s="62" t="n"/>
      <c r="I465" s="62" t="n"/>
      <c r="J465" s="62" t="n"/>
      <c r="K465" s="60" t="n"/>
      <c r="L465" s="62" t="n"/>
      <c r="M465" s="62" t="n"/>
      <c r="N465" s="62" t="n"/>
      <c r="O465" s="62" t="n"/>
      <c r="P465" s="63" t="n"/>
      <c r="Q465" s="63" t="n"/>
      <c r="R465" s="63" t="n"/>
      <c r="S465" s="63" t="n"/>
      <c r="T465" s="63" t="n"/>
      <c r="U465" s="62" t="n"/>
      <c r="V465" s="2" t="n"/>
    </row>
    <row r="466" ht="15.75" customHeight="1" s="125">
      <c r="A466" s="62" t="n"/>
      <c r="B466" s="62" t="n"/>
      <c r="C466" s="62" t="n"/>
      <c r="D466" s="62" t="n"/>
      <c r="E466" s="62" t="n"/>
      <c r="F466" s="62" t="n"/>
      <c r="G466" s="62" t="n"/>
      <c r="H466" s="62" t="n"/>
      <c r="I466" s="62" t="n"/>
      <c r="J466" s="62" t="n"/>
      <c r="K466" s="60" t="n"/>
      <c r="L466" s="62" t="n"/>
      <c r="M466" s="62" t="n"/>
      <c r="N466" s="62" t="n"/>
      <c r="O466" s="62" t="n"/>
      <c r="P466" s="63" t="n"/>
      <c r="Q466" s="63" t="n"/>
      <c r="R466" s="63" t="n"/>
      <c r="S466" s="63" t="n"/>
      <c r="T466" s="63" t="n"/>
      <c r="U466" s="62" t="n"/>
      <c r="V466" s="2" t="n"/>
    </row>
    <row r="467" ht="15.75" customHeight="1" s="125">
      <c r="A467" s="62" t="n"/>
      <c r="B467" s="62" t="n"/>
      <c r="C467" s="62" t="n"/>
      <c r="D467" s="62" t="n"/>
      <c r="E467" s="62" t="n"/>
      <c r="F467" s="62" t="n"/>
      <c r="G467" s="62" t="n"/>
      <c r="H467" s="62" t="n"/>
      <c r="I467" s="62" t="n"/>
      <c r="J467" s="62" t="n"/>
      <c r="K467" s="60" t="n"/>
      <c r="L467" s="62" t="n"/>
      <c r="M467" s="62" t="n"/>
      <c r="N467" s="62" t="n"/>
      <c r="O467" s="62" t="n"/>
      <c r="P467" s="63" t="n"/>
      <c r="Q467" s="63" t="n"/>
      <c r="R467" s="63" t="n"/>
      <c r="S467" s="63" t="n"/>
      <c r="T467" s="63" t="n"/>
      <c r="U467" s="62" t="n"/>
      <c r="V467" s="2" t="n"/>
    </row>
    <row r="468" ht="15.75" customHeight="1" s="125">
      <c r="A468" s="62" t="n"/>
      <c r="B468" s="62" t="n"/>
      <c r="C468" s="62" t="n"/>
      <c r="D468" s="62" t="n"/>
      <c r="E468" s="62" t="n"/>
      <c r="F468" s="62" t="n"/>
      <c r="G468" s="62" t="n"/>
      <c r="H468" s="62" t="n"/>
      <c r="I468" s="62" t="n"/>
      <c r="J468" s="62" t="n"/>
      <c r="K468" s="60" t="n"/>
      <c r="L468" s="62" t="n"/>
      <c r="M468" s="62" t="n"/>
      <c r="N468" s="62" t="n"/>
      <c r="O468" s="62" t="n"/>
      <c r="P468" s="63" t="n"/>
      <c r="Q468" s="63" t="n"/>
      <c r="R468" s="63" t="n"/>
      <c r="S468" s="63" t="n"/>
      <c r="T468" s="63" t="n"/>
      <c r="U468" s="62" t="n"/>
      <c r="V468" s="2" t="n"/>
    </row>
    <row r="469" ht="15.75" customHeight="1" s="125">
      <c r="A469" s="62" t="n"/>
      <c r="B469" s="62" t="n"/>
      <c r="C469" s="62" t="n"/>
      <c r="D469" s="62" t="n"/>
      <c r="E469" s="62" t="n"/>
      <c r="F469" s="62" t="n"/>
      <c r="G469" s="62" t="n"/>
      <c r="H469" s="62" t="n"/>
      <c r="I469" s="62" t="n"/>
      <c r="J469" s="62" t="n"/>
      <c r="K469" s="60" t="n"/>
      <c r="L469" s="62" t="n"/>
      <c r="M469" s="62" t="n"/>
      <c r="N469" s="62" t="n"/>
      <c r="O469" s="62" t="n"/>
      <c r="P469" s="63" t="n"/>
      <c r="Q469" s="63" t="n"/>
      <c r="R469" s="63" t="n"/>
      <c r="S469" s="63" t="n"/>
      <c r="T469" s="63" t="n"/>
      <c r="U469" s="62" t="n"/>
      <c r="V469" s="2" t="n"/>
    </row>
    <row r="470" ht="15.75" customHeight="1" s="125">
      <c r="A470" s="62" t="n"/>
      <c r="B470" s="62" t="n"/>
      <c r="C470" s="62" t="n"/>
      <c r="D470" s="62" t="n"/>
      <c r="E470" s="62" t="n"/>
      <c r="F470" s="62" t="n"/>
      <c r="G470" s="62" t="n"/>
      <c r="H470" s="62" t="n"/>
      <c r="I470" s="62" t="n"/>
      <c r="J470" s="62" t="n"/>
      <c r="K470" s="60" t="n"/>
      <c r="L470" s="62" t="n"/>
      <c r="M470" s="62" t="n"/>
      <c r="N470" s="62" t="n"/>
      <c r="O470" s="62" t="n"/>
      <c r="P470" s="63" t="n"/>
      <c r="Q470" s="63" t="n"/>
      <c r="R470" s="63" t="n"/>
      <c r="S470" s="63" t="n"/>
      <c r="T470" s="63" t="n"/>
      <c r="U470" s="62" t="n"/>
      <c r="V470" s="2" t="n"/>
    </row>
    <row r="471" ht="15.75" customHeight="1" s="125">
      <c r="A471" s="62" t="n"/>
      <c r="B471" s="62" t="n"/>
      <c r="C471" s="62" t="n"/>
      <c r="D471" s="62" t="n"/>
      <c r="E471" s="62" t="n"/>
      <c r="F471" s="62" t="n"/>
      <c r="G471" s="62" t="n"/>
      <c r="H471" s="62" t="n"/>
      <c r="I471" s="62" t="n"/>
      <c r="J471" s="62" t="n"/>
      <c r="K471" s="60" t="n"/>
      <c r="L471" s="62" t="n"/>
      <c r="M471" s="62" t="n"/>
      <c r="N471" s="62" t="n"/>
      <c r="O471" s="62" t="n"/>
      <c r="P471" s="63" t="n"/>
      <c r="Q471" s="63" t="n"/>
      <c r="R471" s="63" t="n"/>
      <c r="S471" s="63" t="n"/>
      <c r="T471" s="63" t="n"/>
      <c r="U471" s="62" t="n"/>
      <c r="V471" s="2" t="n"/>
    </row>
    <row r="472" ht="15.75" customHeight="1" s="125">
      <c r="A472" s="62" t="n"/>
      <c r="B472" s="62" t="n"/>
      <c r="C472" s="62" t="n"/>
      <c r="D472" s="62" t="n"/>
      <c r="E472" s="62" t="n"/>
      <c r="F472" s="62" t="n"/>
      <c r="G472" s="62" t="n"/>
      <c r="H472" s="62" t="n"/>
      <c r="I472" s="62" t="n"/>
      <c r="J472" s="62" t="n"/>
      <c r="K472" s="60" t="n"/>
      <c r="L472" s="62" t="n"/>
      <c r="M472" s="62" t="n"/>
      <c r="N472" s="62" t="n"/>
      <c r="O472" s="62" t="n"/>
      <c r="P472" s="63" t="n"/>
      <c r="Q472" s="63" t="n"/>
      <c r="R472" s="63" t="n"/>
      <c r="S472" s="63" t="n"/>
      <c r="T472" s="63" t="n"/>
      <c r="U472" s="62" t="n"/>
      <c r="V472" s="2" t="n"/>
    </row>
    <row r="473" ht="15.75" customHeight="1" s="125">
      <c r="A473" s="62" t="n"/>
      <c r="B473" s="62" t="n"/>
      <c r="C473" s="62" t="n"/>
      <c r="D473" s="62" t="n"/>
      <c r="E473" s="62" t="n"/>
      <c r="F473" s="62" t="n"/>
      <c r="G473" s="62" t="n"/>
      <c r="H473" s="62" t="n"/>
      <c r="I473" s="62" t="n"/>
      <c r="J473" s="62" t="n"/>
      <c r="K473" s="60" t="n"/>
      <c r="L473" s="62" t="n"/>
      <c r="M473" s="62" t="n"/>
      <c r="N473" s="62" t="n"/>
      <c r="O473" s="62" t="n"/>
      <c r="P473" s="63" t="n"/>
      <c r="Q473" s="63" t="n"/>
      <c r="R473" s="63" t="n"/>
      <c r="S473" s="63" t="n"/>
      <c r="T473" s="63" t="n"/>
      <c r="U473" s="62" t="n"/>
      <c r="V473" s="2" t="n"/>
    </row>
    <row r="474" ht="15.75" customHeight="1" s="125">
      <c r="A474" s="62" t="n"/>
      <c r="B474" s="62" t="n"/>
      <c r="C474" s="62" t="n"/>
      <c r="D474" s="62" t="n"/>
      <c r="E474" s="62" t="n"/>
      <c r="F474" s="62" t="n"/>
      <c r="G474" s="62" t="n"/>
      <c r="H474" s="62" t="n"/>
      <c r="I474" s="62" t="n"/>
      <c r="J474" s="62" t="n"/>
      <c r="K474" s="60" t="n"/>
      <c r="L474" s="62" t="n"/>
      <c r="M474" s="62" t="n"/>
      <c r="N474" s="62" t="n"/>
      <c r="O474" s="62" t="n"/>
      <c r="P474" s="63" t="n"/>
      <c r="Q474" s="63" t="n"/>
      <c r="R474" s="63" t="n"/>
      <c r="S474" s="63" t="n"/>
      <c r="T474" s="63" t="n"/>
      <c r="U474" s="62" t="n"/>
      <c r="V474" s="2" t="n"/>
    </row>
    <row r="475" ht="15.75" customHeight="1" s="125">
      <c r="A475" s="62" t="n"/>
      <c r="B475" s="62" t="n"/>
      <c r="C475" s="62" t="n"/>
      <c r="D475" s="62" t="n"/>
      <c r="E475" s="62" t="n"/>
      <c r="F475" s="62" t="n"/>
      <c r="G475" s="62" t="n"/>
      <c r="H475" s="62" t="n"/>
      <c r="I475" s="62" t="n"/>
      <c r="J475" s="62" t="n"/>
      <c r="K475" s="60" t="n"/>
      <c r="L475" s="62" t="n"/>
      <c r="M475" s="62" t="n"/>
      <c r="N475" s="62" t="n"/>
      <c r="O475" s="62" t="n"/>
      <c r="P475" s="63" t="n"/>
      <c r="Q475" s="63" t="n"/>
      <c r="R475" s="63" t="n"/>
      <c r="S475" s="63" t="n"/>
      <c r="T475" s="63" t="n"/>
      <c r="U475" s="62" t="n"/>
      <c r="V475" s="2" t="n"/>
    </row>
    <row r="476" ht="15.75" customHeight="1" s="125">
      <c r="A476" s="62" t="n"/>
      <c r="B476" s="62" t="n"/>
      <c r="C476" s="62" t="n"/>
      <c r="D476" s="62" t="n"/>
      <c r="E476" s="62" t="n"/>
      <c r="F476" s="62" t="n"/>
      <c r="G476" s="62" t="n"/>
      <c r="H476" s="62" t="n"/>
      <c r="I476" s="62" t="n"/>
      <c r="J476" s="62" t="n"/>
      <c r="K476" s="60" t="n"/>
      <c r="L476" s="62" t="n"/>
      <c r="M476" s="62" t="n"/>
      <c r="N476" s="62" t="n"/>
      <c r="O476" s="62" t="n"/>
      <c r="P476" s="63" t="n"/>
      <c r="Q476" s="63" t="n"/>
      <c r="R476" s="63" t="n"/>
      <c r="S476" s="63" t="n"/>
      <c r="T476" s="63" t="n"/>
      <c r="U476" s="62" t="n"/>
      <c r="V476" s="2" t="n"/>
    </row>
    <row r="477" ht="15.75" customHeight="1" s="125">
      <c r="A477" s="62" t="n"/>
      <c r="B477" s="62" t="n"/>
      <c r="C477" s="62" t="n"/>
      <c r="D477" s="62" t="n"/>
      <c r="E477" s="62" t="n"/>
      <c r="F477" s="62" t="n"/>
      <c r="G477" s="62" t="n"/>
      <c r="H477" s="62" t="n"/>
      <c r="I477" s="62" t="n"/>
      <c r="J477" s="62" t="n"/>
      <c r="K477" s="60" t="n"/>
      <c r="L477" s="62" t="n"/>
      <c r="M477" s="62" t="n"/>
      <c r="N477" s="62" t="n"/>
      <c r="O477" s="62" t="n"/>
      <c r="P477" s="63" t="n"/>
      <c r="Q477" s="63" t="n"/>
      <c r="R477" s="63" t="n"/>
      <c r="S477" s="63" t="n"/>
      <c r="T477" s="63" t="n"/>
      <c r="U477" s="62" t="n"/>
      <c r="V477" s="2" t="n"/>
    </row>
    <row r="478" ht="15.75" customHeight="1" s="125">
      <c r="A478" s="62" t="n"/>
      <c r="B478" s="62" t="n"/>
      <c r="C478" s="62" t="n"/>
      <c r="D478" s="62" t="n"/>
      <c r="E478" s="62" t="n"/>
      <c r="F478" s="62" t="n"/>
      <c r="G478" s="62" t="n"/>
      <c r="H478" s="62" t="n"/>
      <c r="I478" s="62" t="n"/>
      <c r="J478" s="62" t="n"/>
      <c r="K478" s="60" t="n"/>
      <c r="L478" s="62" t="n"/>
      <c r="M478" s="62" t="n"/>
      <c r="N478" s="62" t="n"/>
      <c r="O478" s="62" t="n"/>
      <c r="P478" s="63" t="n"/>
      <c r="Q478" s="63" t="n"/>
      <c r="R478" s="63" t="n"/>
      <c r="S478" s="63" t="n"/>
      <c r="T478" s="63" t="n"/>
      <c r="U478" s="62" t="n"/>
      <c r="V478" s="2" t="n"/>
    </row>
    <row r="479" ht="15.75" customHeight="1" s="125">
      <c r="A479" s="62" t="n"/>
      <c r="B479" s="62" t="n"/>
      <c r="C479" s="62" t="n"/>
      <c r="D479" s="62" t="n"/>
      <c r="E479" s="62" t="n"/>
      <c r="F479" s="62" t="n"/>
      <c r="G479" s="62" t="n"/>
      <c r="H479" s="62" t="n"/>
      <c r="I479" s="62" t="n"/>
      <c r="J479" s="62" t="n"/>
      <c r="K479" s="60" t="n"/>
      <c r="L479" s="62" t="n"/>
      <c r="M479" s="62" t="n"/>
      <c r="N479" s="62" t="n"/>
      <c r="O479" s="62" t="n"/>
      <c r="P479" s="63" t="n"/>
      <c r="Q479" s="63" t="n"/>
      <c r="R479" s="63" t="n"/>
      <c r="S479" s="63" t="n"/>
      <c r="T479" s="63" t="n"/>
      <c r="U479" s="62" t="n"/>
      <c r="V479" s="2" t="n"/>
    </row>
    <row r="480" ht="15.75" customHeight="1" s="125">
      <c r="A480" s="62" t="n"/>
      <c r="B480" s="62" t="n"/>
      <c r="C480" s="62" t="n"/>
      <c r="D480" s="62" t="n"/>
      <c r="E480" s="62" t="n"/>
      <c r="F480" s="62" t="n"/>
      <c r="G480" s="62" t="n"/>
      <c r="H480" s="62" t="n"/>
      <c r="I480" s="62" t="n"/>
      <c r="J480" s="62" t="n"/>
      <c r="K480" s="60" t="n"/>
      <c r="L480" s="62" t="n"/>
      <c r="M480" s="62" t="n"/>
      <c r="N480" s="62" t="n"/>
      <c r="O480" s="62" t="n"/>
      <c r="P480" s="63" t="n"/>
      <c r="Q480" s="63" t="n"/>
      <c r="R480" s="63" t="n"/>
      <c r="S480" s="63" t="n"/>
      <c r="T480" s="63" t="n"/>
      <c r="U480" s="62" t="n"/>
      <c r="V480" s="2" t="n"/>
    </row>
    <row r="481" ht="15.75" customHeight="1" s="125">
      <c r="A481" s="62" t="n"/>
      <c r="B481" s="62" t="n"/>
      <c r="C481" s="62" t="n"/>
      <c r="D481" s="62" t="n"/>
      <c r="E481" s="62" t="n"/>
      <c r="F481" s="62" t="n"/>
      <c r="G481" s="62" t="n"/>
      <c r="H481" s="62" t="n"/>
      <c r="I481" s="62" t="n"/>
      <c r="J481" s="62" t="n"/>
      <c r="K481" s="60" t="n"/>
      <c r="L481" s="62" t="n"/>
      <c r="M481" s="62" t="n"/>
      <c r="N481" s="62" t="n"/>
      <c r="O481" s="62" t="n"/>
      <c r="P481" s="63" t="n"/>
      <c r="Q481" s="63" t="n"/>
      <c r="R481" s="63" t="n"/>
      <c r="S481" s="63" t="n"/>
      <c r="T481" s="63" t="n"/>
      <c r="U481" s="62" t="n"/>
      <c r="V481" s="2" t="n"/>
    </row>
    <row r="482" ht="15.75" customHeight="1" s="125">
      <c r="A482" s="62" t="n"/>
      <c r="B482" s="62" t="n"/>
      <c r="C482" s="62" t="n"/>
      <c r="D482" s="62" t="n"/>
      <c r="E482" s="62" t="n"/>
      <c r="F482" s="62" t="n"/>
      <c r="G482" s="62" t="n"/>
      <c r="H482" s="62" t="n"/>
      <c r="I482" s="62" t="n"/>
      <c r="J482" s="62" t="n"/>
      <c r="K482" s="60" t="n"/>
      <c r="L482" s="62" t="n"/>
      <c r="M482" s="62" t="n"/>
      <c r="N482" s="62" t="n"/>
      <c r="O482" s="62" t="n"/>
      <c r="P482" s="63" t="n"/>
      <c r="Q482" s="63" t="n"/>
      <c r="R482" s="63" t="n"/>
      <c r="S482" s="63" t="n"/>
      <c r="T482" s="63" t="n"/>
      <c r="U482" s="62" t="n"/>
      <c r="V482" s="2" t="n"/>
    </row>
    <row r="483" ht="15.75" customHeight="1" s="125">
      <c r="A483" s="62" t="n"/>
      <c r="B483" s="62" t="n"/>
      <c r="C483" s="62" t="n"/>
      <c r="D483" s="62" t="n"/>
      <c r="E483" s="62" t="n"/>
      <c r="F483" s="62" t="n"/>
      <c r="G483" s="62" t="n"/>
      <c r="H483" s="62" t="n"/>
      <c r="I483" s="62" t="n"/>
      <c r="J483" s="62" t="n"/>
      <c r="K483" s="60" t="n"/>
      <c r="L483" s="62" t="n"/>
      <c r="M483" s="62" t="n"/>
      <c r="N483" s="62" t="n"/>
      <c r="O483" s="62" t="n"/>
      <c r="P483" s="63" t="n"/>
      <c r="Q483" s="63" t="n"/>
      <c r="R483" s="63" t="n"/>
      <c r="S483" s="63" t="n"/>
      <c r="T483" s="63" t="n"/>
      <c r="U483" s="62" t="n"/>
      <c r="V483" s="2" t="n"/>
    </row>
    <row r="484" ht="15.75" customHeight="1" s="125">
      <c r="A484" s="62" t="n"/>
      <c r="B484" s="62" t="n"/>
      <c r="C484" s="62" t="n"/>
      <c r="D484" s="62" t="n"/>
      <c r="E484" s="62" t="n"/>
      <c r="F484" s="62" t="n"/>
      <c r="G484" s="62" t="n"/>
      <c r="H484" s="62" t="n"/>
      <c r="I484" s="62" t="n"/>
      <c r="J484" s="62" t="n"/>
      <c r="K484" s="60" t="n"/>
      <c r="L484" s="62" t="n"/>
      <c r="M484" s="62" t="n"/>
      <c r="N484" s="62" t="n"/>
      <c r="O484" s="62" t="n"/>
      <c r="P484" s="63" t="n"/>
      <c r="Q484" s="63" t="n"/>
      <c r="R484" s="63" t="n"/>
      <c r="S484" s="63" t="n"/>
      <c r="T484" s="63" t="n"/>
      <c r="U484" s="62" t="n"/>
      <c r="V484" s="2" t="n"/>
    </row>
    <row r="485" ht="15.75" customHeight="1" s="125">
      <c r="A485" s="62" t="n"/>
      <c r="B485" s="62" t="n"/>
      <c r="C485" s="62" t="n"/>
      <c r="D485" s="62" t="n"/>
      <c r="E485" s="62" t="n"/>
      <c r="F485" s="62" t="n"/>
      <c r="G485" s="62" t="n"/>
      <c r="H485" s="62" t="n"/>
      <c r="I485" s="62" t="n"/>
      <c r="J485" s="62" t="n"/>
      <c r="K485" s="60" t="n"/>
      <c r="L485" s="62" t="n"/>
      <c r="M485" s="62" t="n"/>
      <c r="N485" s="62" t="n"/>
      <c r="O485" s="62" t="n"/>
      <c r="P485" s="63" t="n"/>
      <c r="Q485" s="63" t="n"/>
      <c r="R485" s="63" t="n"/>
      <c r="S485" s="63" t="n"/>
      <c r="T485" s="63" t="n"/>
      <c r="U485" s="62" t="n"/>
      <c r="V485" s="2" t="n"/>
    </row>
    <row r="486" ht="15.75" customHeight="1" s="125">
      <c r="A486" s="62" t="n"/>
      <c r="B486" s="62" t="n"/>
      <c r="C486" s="62" t="n"/>
      <c r="D486" s="62" t="n"/>
      <c r="E486" s="62" t="n"/>
      <c r="F486" s="62" t="n"/>
      <c r="G486" s="62" t="n"/>
      <c r="H486" s="62" t="n"/>
      <c r="I486" s="62" t="n"/>
      <c r="J486" s="62" t="n"/>
      <c r="K486" s="60" t="n"/>
      <c r="L486" s="62" t="n"/>
      <c r="M486" s="62" t="n"/>
      <c r="N486" s="62" t="n"/>
      <c r="O486" s="62" t="n"/>
      <c r="P486" s="63" t="n"/>
      <c r="Q486" s="63" t="n"/>
      <c r="R486" s="63" t="n"/>
      <c r="S486" s="63" t="n"/>
      <c r="T486" s="63" t="n"/>
      <c r="U486" s="62" t="n"/>
      <c r="V486" s="2" t="n"/>
    </row>
    <row r="487" ht="15.75" customHeight="1" s="125">
      <c r="A487" s="62" t="n"/>
      <c r="B487" s="62" t="n"/>
      <c r="C487" s="62" t="n"/>
      <c r="D487" s="62" t="n"/>
      <c r="E487" s="62" t="n"/>
      <c r="F487" s="62" t="n"/>
      <c r="G487" s="62" t="n"/>
      <c r="H487" s="62" t="n"/>
      <c r="I487" s="62" t="n"/>
      <c r="J487" s="62" t="n"/>
      <c r="K487" s="60" t="n"/>
      <c r="L487" s="62" t="n"/>
      <c r="M487" s="62" t="n"/>
      <c r="N487" s="62" t="n"/>
      <c r="O487" s="62" t="n"/>
      <c r="P487" s="63" t="n"/>
      <c r="Q487" s="63" t="n"/>
      <c r="R487" s="63" t="n"/>
      <c r="S487" s="63" t="n"/>
      <c r="T487" s="63" t="n"/>
      <c r="U487" s="62" t="n"/>
      <c r="V487" s="2" t="n"/>
    </row>
    <row r="488" ht="15.75" customHeight="1" s="125">
      <c r="A488" s="62" t="n"/>
      <c r="B488" s="62" t="n"/>
      <c r="C488" s="62" t="n"/>
      <c r="D488" s="62" t="n"/>
      <c r="E488" s="62" t="n"/>
      <c r="F488" s="62" t="n"/>
      <c r="G488" s="62" t="n"/>
      <c r="H488" s="62" t="n"/>
      <c r="I488" s="62" t="n"/>
      <c r="J488" s="62" t="n"/>
      <c r="K488" s="60" t="n"/>
      <c r="L488" s="62" t="n"/>
      <c r="M488" s="62" t="n"/>
      <c r="N488" s="62" t="n"/>
      <c r="O488" s="62" t="n"/>
      <c r="P488" s="63" t="n"/>
      <c r="Q488" s="63" t="n"/>
      <c r="R488" s="63" t="n"/>
      <c r="S488" s="63" t="n"/>
      <c r="T488" s="63" t="n"/>
      <c r="U488" s="62" t="n"/>
      <c r="V488" s="2" t="n"/>
    </row>
    <row r="489" ht="15.75" customHeight="1" s="125">
      <c r="A489" s="62" t="n"/>
      <c r="B489" s="62" t="n"/>
      <c r="C489" s="62" t="n"/>
      <c r="D489" s="62" t="n"/>
      <c r="E489" s="62" t="n"/>
      <c r="F489" s="62" t="n"/>
      <c r="G489" s="62" t="n"/>
      <c r="H489" s="62" t="n"/>
      <c r="I489" s="62" t="n"/>
      <c r="J489" s="62" t="n"/>
      <c r="K489" s="60" t="n"/>
      <c r="L489" s="62" t="n"/>
      <c r="M489" s="62" t="n"/>
      <c r="N489" s="62" t="n"/>
      <c r="O489" s="62" t="n"/>
      <c r="P489" s="63" t="n"/>
      <c r="Q489" s="63" t="n"/>
      <c r="R489" s="63" t="n"/>
      <c r="S489" s="63" t="n"/>
      <c r="T489" s="63" t="n"/>
      <c r="U489" s="62" t="n"/>
      <c r="V489" s="2" t="n"/>
    </row>
    <row r="490" ht="15.75" customHeight="1" s="125">
      <c r="A490" s="62" t="n"/>
      <c r="B490" s="62" t="n"/>
      <c r="C490" s="62" t="n"/>
      <c r="D490" s="62" t="n"/>
      <c r="E490" s="62" t="n"/>
      <c r="F490" s="62" t="n"/>
      <c r="G490" s="62" t="n"/>
      <c r="H490" s="62" t="n"/>
      <c r="I490" s="62" t="n"/>
      <c r="J490" s="62" t="n"/>
      <c r="K490" s="60" t="n"/>
      <c r="L490" s="62" t="n"/>
      <c r="M490" s="62" t="n"/>
      <c r="N490" s="62" t="n"/>
      <c r="O490" s="62" t="n"/>
      <c r="P490" s="63" t="n"/>
      <c r="Q490" s="63" t="n"/>
      <c r="R490" s="63" t="n"/>
      <c r="S490" s="63" t="n"/>
      <c r="T490" s="63" t="n"/>
      <c r="U490" s="62" t="n"/>
      <c r="V490" s="2" t="n"/>
    </row>
    <row r="491" ht="15.75" customHeight="1" s="125">
      <c r="A491" s="62" t="n"/>
      <c r="B491" s="62" t="n"/>
      <c r="C491" s="62" t="n"/>
      <c r="D491" s="62" t="n"/>
      <c r="E491" s="62" t="n"/>
      <c r="F491" s="62" t="n"/>
      <c r="G491" s="62" t="n"/>
      <c r="H491" s="62" t="n"/>
      <c r="I491" s="62" t="n"/>
      <c r="J491" s="62" t="n"/>
      <c r="K491" s="60" t="n"/>
      <c r="L491" s="62" t="n"/>
      <c r="M491" s="62" t="n"/>
      <c r="N491" s="62" t="n"/>
      <c r="O491" s="62" t="n"/>
      <c r="P491" s="63" t="n"/>
      <c r="Q491" s="63" t="n"/>
      <c r="R491" s="63" t="n"/>
      <c r="S491" s="63" t="n"/>
      <c r="T491" s="63" t="n"/>
      <c r="U491" s="62" t="n"/>
      <c r="V491" s="2" t="n"/>
    </row>
    <row r="492" ht="15.75" customHeight="1" s="125">
      <c r="A492" s="62" t="n"/>
      <c r="B492" s="62" t="n"/>
      <c r="C492" s="62" t="n"/>
      <c r="D492" s="62" t="n"/>
      <c r="E492" s="62" t="n"/>
      <c r="F492" s="62" t="n"/>
      <c r="G492" s="62" t="n"/>
      <c r="H492" s="62" t="n"/>
      <c r="I492" s="62" t="n"/>
      <c r="J492" s="62" t="n"/>
      <c r="K492" s="60" t="n"/>
      <c r="L492" s="62" t="n"/>
      <c r="M492" s="62" t="n"/>
      <c r="N492" s="62" t="n"/>
      <c r="O492" s="62" t="n"/>
      <c r="P492" s="63" t="n"/>
      <c r="Q492" s="63" t="n"/>
      <c r="R492" s="63" t="n"/>
      <c r="S492" s="63" t="n"/>
      <c r="T492" s="63" t="n"/>
      <c r="U492" s="62" t="n"/>
      <c r="V492" s="2" t="n"/>
    </row>
    <row r="493" ht="15.75" customHeight="1" s="125">
      <c r="A493" s="62" t="n"/>
      <c r="B493" s="62" t="n"/>
      <c r="C493" s="62" t="n"/>
      <c r="D493" s="62" t="n"/>
      <c r="E493" s="62" t="n"/>
      <c r="F493" s="62" t="n"/>
      <c r="G493" s="62" t="n"/>
      <c r="H493" s="62" t="n"/>
      <c r="I493" s="62" t="n"/>
      <c r="J493" s="62" t="n"/>
      <c r="K493" s="60" t="n"/>
      <c r="L493" s="62" t="n"/>
      <c r="M493" s="62" t="n"/>
      <c r="N493" s="62" t="n"/>
      <c r="O493" s="62" t="n"/>
      <c r="P493" s="63" t="n"/>
      <c r="Q493" s="63" t="n"/>
      <c r="R493" s="63" t="n"/>
      <c r="S493" s="63" t="n"/>
      <c r="T493" s="63" t="n"/>
      <c r="U493" s="62" t="n"/>
      <c r="V493" s="2" t="n"/>
    </row>
    <row r="494" ht="15.75" customHeight="1" s="125">
      <c r="A494" s="62" t="n"/>
      <c r="B494" s="62" t="n"/>
      <c r="C494" s="62" t="n"/>
      <c r="D494" s="62" t="n"/>
      <c r="E494" s="62" t="n"/>
      <c r="F494" s="62" t="n"/>
      <c r="G494" s="62" t="n"/>
      <c r="H494" s="62" t="n"/>
      <c r="I494" s="62" t="n"/>
      <c r="J494" s="62" t="n"/>
      <c r="K494" s="60" t="n"/>
      <c r="L494" s="62" t="n"/>
      <c r="M494" s="62" t="n"/>
      <c r="N494" s="62" t="n"/>
      <c r="O494" s="62" t="n"/>
      <c r="P494" s="63" t="n"/>
      <c r="Q494" s="63" t="n"/>
      <c r="R494" s="63" t="n"/>
      <c r="S494" s="63" t="n"/>
      <c r="T494" s="63" t="n"/>
      <c r="U494" s="62" t="n"/>
      <c r="V494" s="2" t="n"/>
    </row>
    <row r="495" ht="15.75" customHeight="1" s="125">
      <c r="A495" s="62" t="n"/>
      <c r="B495" s="62" t="n"/>
      <c r="C495" s="62" t="n"/>
      <c r="D495" s="62" t="n"/>
      <c r="E495" s="62" t="n"/>
      <c r="F495" s="62" t="n"/>
      <c r="G495" s="62" t="n"/>
      <c r="H495" s="62" t="n"/>
      <c r="I495" s="62" t="n"/>
      <c r="J495" s="62" t="n"/>
      <c r="K495" s="60" t="n"/>
      <c r="L495" s="62" t="n"/>
      <c r="M495" s="62" t="n"/>
      <c r="N495" s="62" t="n"/>
      <c r="O495" s="62" t="n"/>
      <c r="P495" s="63" t="n"/>
      <c r="Q495" s="63" t="n"/>
      <c r="R495" s="63" t="n"/>
      <c r="S495" s="63" t="n"/>
      <c r="T495" s="63" t="n"/>
      <c r="U495" s="62" t="n"/>
      <c r="V495" s="2" t="n"/>
    </row>
    <row r="496" ht="15.75" customHeight="1" s="125">
      <c r="A496" s="62" t="n"/>
      <c r="B496" s="62" t="n"/>
      <c r="C496" s="62" t="n"/>
      <c r="D496" s="62" t="n"/>
      <c r="E496" s="62" t="n"/>
      <c r="F496" s="62" t="n"/>
      <c r="G496" s="62" t="n"/>
      <c r="H496" s="62" t="n"/>
      <c r="I496" s="62" t="n"/>
      <c r="J496" s="62" t="n"/>
      <c r="K496" s="60" t="n"/>
      <c r="L496" s="62" t="n"/>
      <c r="M496" s="62" t="n"/>
      <c r="N496" s="62" t="n"/>
      <c r="O496" s="62" t="n"/>
      <c r="P496" s="63" t="n"/>
      <c r="Q496" s="63" t="n"/>
      <c r="R496" s="63" t="n"/>
      <c r="S496" s="63" t="n"/>
      <c r="T496" s="63" t="n"/>
      <c r="U496" s="62" t="n"/>
      <c r="V496" s="2" t="n"/>
    </row>
    <row r="497" ht="15.75" customHeight="1" s="125">
      <c r="A497" s="62" t="n"/>
      <c r="B497" s="62" t="n"/>
      <c r="C497" s="62" t="n"/>
      <c r="D497" s="62" t="n"/>
      <c r="E497" s="62" t="n"/>
      <c r="F497" s="62" t="n"/>
      <c r="G497" s="62" t="n"/>
      <c r="H497" s="62" t="n"/>
      <c r="I497" s="62" t="n"/>
      <c r="J497" s="62" t="n"/>
      <c r="K497" s="60" t="n"/>
      <c r="L497" s="62" t="n"/>
      <c r="M497" s="62" t="n"/>
      <c r="N497" s="62" t="n"/>
      <c r="O497" s="62" t="n"/>
      <c r="P497" s="63" t="n"/>
      <c r="Q497" s="63" t="n"/>
      <c r="R497" s="63" t="n"/>
      <c r="S497" s="63" t="n"/>
      <c r="T497" s="63" t="n"/>
      <c r="U497" s="62" t="n"/>
      <c r="V497" s="2" t="n"/>
    </row>
    <row r="498" ht="15.75" customHeight="1" s="125">
      <c r="A498" s="62" t="n"/>
      <c r="B498" s="62" t="n"/>
      <c r="C498" s="62" t="n"/>
      <c r="D498" s="62" t="n"/>
      <c r="E498" s="62" t="n"/>
      <c r="F498" s="62" t="n"/>
      <c r="G498" s="62" t="n"/>
      <c r="H498" s="62" t="n"/>
      <c r="I498" s="62" t="n"/>
      <c r="J498" s="62" t="n"/>
      <c r="K498" s="60" t="n"/>
      <c r="L498" s="62" t="n"/>
      <c r="M498" s="62" t="n"/>
      <c r="N498" s="62" t="n"/>
      <c r="O498" s="62" t="n"/>
      <c r="P498" s="63" t="n"/>
      <c r="Q498" s="63" t="n"/>
      <c r="R498" s="63" t="n"/>
      <c r="S498" s="63" t="n"/>
      <c r="T498" s="63" t="n"/>
      <c r="U498" s="62" t="n"/>
      <c r="V498" s="2" t="n"/>
    </row>
    <row r="499" ht="15.75" customHeight="1" s="125">
      <c r="A499" s="62" t="n"/>
      <c r="B499" s="62" t="n"/>
      <c r="C499" s="62" t="n"/>
      <c r="D499" s="62" t="n"/>
      <c r="E499" s="62" t="n"/>
      <c r="F499" s="62" t="n"/>
      <c r="G499" s="62" t="n"/>
      <c r="H499" s="62" t="n"/>
      <c r="I499" s="62" t="n"/>
      <c r="J499" s="62" t="n"/>
      <c r="K499" s="60" t="n"/>
      <c r="L499" s="62" t="n"/>
      <c r="M499" s="62" t="n"/>
      <c r="N499" s="62" t="n"/>
      <c r="O499" s="62" t="n"/>
      <c r="P499" s="63" t="n"/>
      <c r="Q499" s="63" t="n"/>
      <c r="R499" s="63" t="n"/>
      <c r="S499" s="63" t="n"/>
      <c r="T499" s="63" t="n"/>
      <c r="U499" s="62" t="n"/>
      <c r="V499" s="2" t="n"/>
    </row>
    <row r="500" ht="15.75" customHeight="1" s="125">
      <c r="A500" s="62" t="n"/>
      <c r="B500" s="62" t="n"/>
      <c r="C500" s="62" t="n"/>
      <c r="D500" s="62" t="n"/>
      <c r="E500" s="62" t="n"/>
      <c r="F500" s="62" t="n"/>
      <c r="G500" s="62" t="n"/>
      <c r="H500" s="62" t="n"/>
      <c r="I500" s="62" t="n"/>
      <c r="J500" s="62" t="n"/>
      <c r="K500" s="60" t="n"/>
      <c r="L500" s="62" t="n"/>
      <c r="M500" s="62" t="n"/>
      <c r="N500" s="62" t="n"/>
      <c r="O500" s="62" t="n"/>
      <c r="P500" s="63" t="n"/>
      <c r="Q500" s="63" t="n"/>
      <c r="R500" s="63" t="n"/>
      <c r="S500" s="63" t="n"/>
      <c r="T500" s="63" t="n"/>
      <c r="U500" s="62" t="n"/>
      <c r="V500" s="2" t="n"/>
    </row>
    <row r="501" ht="15.75" customHeight="1" s="125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125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125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125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12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125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125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125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125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125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125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125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125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125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12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125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125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125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125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125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125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125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125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125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1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125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125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125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125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125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125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125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125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125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12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125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125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125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125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125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125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125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125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125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12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125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125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125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125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125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125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125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125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125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12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125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125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125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125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125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125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125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125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125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12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125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125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125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125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125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125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125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125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125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12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125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125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125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125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125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125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125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125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125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12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125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125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125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125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125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125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125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125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125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12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125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125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125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125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125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125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125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125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125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12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125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125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125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125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125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125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125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125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125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12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125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125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125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125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125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125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125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125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125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1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125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125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125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125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125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125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125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125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125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12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125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125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125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125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125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125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125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125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125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12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125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125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125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125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125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125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125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125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125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12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125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125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125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125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125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125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125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125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125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12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125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125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125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125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125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125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125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125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125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12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125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125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125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125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125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125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125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125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125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12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125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125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125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125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125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125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125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125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125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12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125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125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125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125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125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125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125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125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125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12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125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125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125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125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125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125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125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125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125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12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125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125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125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125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125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125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125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125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125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1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125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125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125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125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125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125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125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125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125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12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125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125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125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125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125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125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125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125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125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12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125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125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125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125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125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125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125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125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125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12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125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125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125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125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125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125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125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125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125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12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125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125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125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125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125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125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125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125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125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12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125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125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125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125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125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125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125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125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125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12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125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125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125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125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125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125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125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125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125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12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125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125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125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125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125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125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125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125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125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12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125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125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125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125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125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125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125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125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125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12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125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125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125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125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125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125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125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125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125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1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125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125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125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125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125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125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125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125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125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12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125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125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125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125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125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125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125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125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125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12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125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125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125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125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125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125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125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125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125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12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125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125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125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125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125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125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125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125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125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12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125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125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125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125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125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125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125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125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125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12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125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125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125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125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125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125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125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125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125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12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125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125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125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125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125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125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125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125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125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12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125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125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125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125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125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125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125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125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125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12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125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125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125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125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125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125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125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125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125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12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125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125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125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125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125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125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125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125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125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1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125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125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125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125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125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125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125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125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125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12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125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125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125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125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125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125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125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125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125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12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125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125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125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125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125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125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125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125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125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12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125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125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125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125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125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125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125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125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125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12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125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125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125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125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125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125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125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125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125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12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125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125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125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125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125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125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125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125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125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12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125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125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125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125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125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125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125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125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125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12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125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125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125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  <row r="999" ht="15.75" customHeight="1" s="125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</row>
    <row r="1000" ht="15.75" customHeight="1" s="125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</row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.63" customWidth="1" style="125" min="1" max="1"/>
    <col width="18.38" customWidth="1" style="125" min="2" max="2"/>
    <col width="35.38" customWidth="1" style="125" min="3" max="3"/>
    <col width="11.5" customWidth="1" style="125" min="4" max="4"/>
    <col width="13.25" customWidth="1" style="125" min="5" max="5"/>
    <col width="18.63" customWidth="1" style="125" min="6" max="6"/>
    <col width="18" customWidth="1" style="125" min="7" max="7"/>
    <col width="2.38" customWidth="1" style="125" min="8" max="8"/>
    <col width="21.25" customWidth="1" style="125" min="9" max="9"/>
  </cols>
  <sheetData>
    <row r="1" ht="15.75" customHeight="1" s="125">
      <c r="A1" s="64" t="inlineStr">
        <is>
          <t>CLIENTE</t>
        </is>
      </c>
      <c r="B1" s="64" t="inlineStr">
        <is>
          <t>PROYECTO</t>
        </is>
      </c>
      <c r="C1" s="64" t="inlineStr">
        <is>
          <t>N_COTIZACION</t>
        </is>
      </c>
      <c r="D1" s="64" t="inlineStr">
        <is>
          <t>EXPORTADOR</t>
        </is>
      </c>
      <c r="E1" s="64" t="inlineStr">
        <is>
          <t>IMPORTADOR</t>
        </is>
      </c>
      <c r="F1" s="64" t="inlineStr">
        <is>
          <t>ORIGEN</t>
        </is>
      </c>
      <c r="G1" s="64" t="inlineStr">
        <is>
          <t>INCOTERM</t>
        </is>
      </c>
      <c r="H1" s="64" t="inlineStr">
        <is>
          <t>PUERTO_SALIDA</t>
        </is>
      </c>
      <c r="I1" s="64" t="inlineStr">
        <is>
          <t>PUERTO_DESTINO</t>
        </is>
      </c>
      <c r="J1" s="64" t="inlineStr">
        <is>
          <t>REGIMEN</t>
        </is>
      </c>
      <c r="K1" s="64" t="inlineStr">
        <is>
          <t>SKU_FASSA</t>
        </is>
      </c>
      <c r="L1" s="64" t="inlineStr">
        <is>
          <t>NOMBRE_PRODUCTO</t>
        </is>
      </c>
      <c r="M1" s="64" t="inlineStr">
        <is>
          <t>HS_CODE</t>
        </is>
      </c>
      <c r="N1" s="64" t="inlineStr">
        <is>
          <t>NORMA</t>
        </is>
      </c>
      <c r="O1" s="64" t="inlineStr">
        <is>
          <t>USO</t>
        </is>
      </c>
      <c r="P1" s="64" t="inlineStr">
        <is>
          <t>DIMENSION</t>
        </is>
      </c>
      <c r="Q1" s="64" t="inlineStr">
        <is>
          <t>ESPESOR</t>
        </is>
      </c>
      <c r="R1" s="64" t="inlineStr">
        <is>
          <t>UNIDADES_SUMINISTRO</t>
        </is>
      </c>
      <c r="S1" s="64" t="inlineStr">
        <is>
          <t>UDS_POR_PALET</t>
        </is>
      </c>
      <c r="T1" s="64" t="inlineStr">
        <is>
          <t>M2_UNIDAD</t>
        </is>
      </c>
      <c r="U1" s="64" t="inlineStr">
        <is>
          <t>M2_PALE</t>
        </is>
      </c>
      <c r="V1" s="64" t="inlineStr">
        <is>
          <t>PESO_NETO_UNIDAD</t>
        </is>
      </c>
      <c r="W1" s="64" t="inlineStr">
        <is>
          <t>PESO_NETO_PALET</t>
        </is>
      </c>
      <c r="X1" s="64" t="inlineStr">
        <is>
          <t>TOTAL_PALETS</t>
        </is>
      </c>
      <c r="Y1" s="64" t="inlineStr">
        <is>
          <t>TOTAL_M2</t>
        </is>
      </c>
      <c r="Z1" s="64" t="inlineStr">
        <is>
          <t>TOTAL_PESO_NETO</t>
        </is>
      </c>
      <c r="AA1" s="0" t="inlineStr">
        <is>
          <t>TOTAL_PESO_BRUTO</t>
        </is>
      </c>
      <c r="AB1" s="0" t="inlineStr">
        <is>
          <t>TIPO_CONTENEDOR</t>
        </is>
      </c>
      <c r="AC1" s="0" t="inlineStr">
        <is>
          <t>PALLETS_POR_CONTENEDOR</t>
        </is>
      </c>
      <c r="AD1" s="0" t="inlineStr">
        <is>
          <t>PESO_UTIL_CONTENEDOR</t>
        </is>
      </c>
      <c r="AE1" s="0" t="inlineStr">
        <is>
          <t>N_CONTENEDORES</t>
        </is>
      </c>
      <c r="AF1" s="0" t="inlineStr">
        <is>
          <t>VALOR_MERCANCIA_EUR</t>
        </is>
      </c>
      <c r="AG1" s="0" t="inlineStr">
        <is>
          <t>VALOR_LOGISTICO_EUR</t>
        </is>
      </c>
      <c r="AH1" s="0" t="inlineStr">
        <is>
          <t>VALOR_CIF_EUR</t>
        </is>
      </c>
      <c r="AI1" s="0" t="inlineStr">
        <is>
          <t>OBSERVACIONES_LOGISTICA</t>
        </is>
      </c>
    </row>
    <row r="2" ht="15.75" customHeight="1" s="125">
      <c r="A2" s="131" t="inlineStr">
        <is>
          <t>Cliente</t>
        </is>
      </c>
      <c r="B2" s="0">
        <f>INPUT_PRODUCT!B1</f>
        <v/>
      </c>
      <c r="E2" s="132" t="n"/>
      <c r="I2" s="64" t="n"/>
      <c r="J2" s="64" t="n"/>
      <c r="K2" s="64" t="n"/>
      <c r="L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  <c r="Z2" s="64" t="n"/>
    </row>
    <row r="3" ht="15.75" customHeight="1" s="125">
      <c r="A3" s="0" t="inlineStr">
        <is>
          <t>Proyecto</t>
        </is>
      </c>
      <c r="B3" s="0">
        <f>INPUT_PRODUCT!B2</f>
        <v/>
      </c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</row>
    <row r="4" ht="15.75" customHeight="1" s="125">
      <c r="A4" s="0" t="inlineStr">
        <is>
          <t>N_Cotización</t>
        </is>
      </c>
      <c r="B4" s="0">
        <f>INPUT_PRODUCT!B6</f>
        <v/>
      </c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</row>
    <row r="5" ht="15.75" customHeight="1" s="125">
      <c r="A5" s="0" t="inlineStr">
        <is>
          <t>Incoterm</t>
        </is>
      </c>
      <c r="B5" s="0">
        <f>INPUT_PRODUCT!B7</f>
        <v/>
      </c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</row>
    <row r="6" ht="15.75" customHeight="1" s="125">
      <c r="A6" s="0" t="inlineStr">
        <is>
          <t>Origen</t>
        </is>
      </c>
      <c r="B6" s="0" t="inlineStr">
        <is>
          <t>Tarancón, España</t>
        </is>
      </c>
      <c r="E6" s="133" t="n"/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</row>
    <row r="7" ht="15.75" customHeight="1" s="125"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</row>
    <row r="8" ht="15.75" customHeight="1" s="125">
      <c r="A8" s="0">
        <f>INPUT_PRODUCT!B1</f>
        <v/>
      </c>
      <c r="B8" s="0">
        <f>INPUT_PRODUCT!B2</f>
        <v/>
      </c>
      <c r="C8" s="0">
        <f>INPUT_PRODUCT!B6</f>
        <v/>
      </c>
      <c r="D8" s="0" t="inlineStr">
        <is>
          <t>Arias Group Caribe SRL</t>
        </is>
      </c>
      <c r="F8" s="0" t="inlineStr">
        <is>
          <t>Tarancón, España</t>
        </is>
      </c>
      <c r="G8" s="0">
        <f>INPUT_PRODUCT!B7</f>
        <v/>
      </c>
      <c r="I8" s="64" t="n"/>
      <c r="J8" s="64" t="n"/>
      <c r="K8" s="64">
        <f>IF(PRODUCT_CALCULATION!B2="SI";PRODUCT_CALCULATION!C2;"")</f>
        <v/>
      </c>
      <c r="L8" s="64">
        <f>IF(PRODUCT_CALCULATION!B2="SI";PRODUCT_CALCULATION!E2;"")</f>
        <v/>
      </c>
      <c r="M8" s="64">
        <f>IF(PRODUCT_CALCULATION!C2="";"";VLOOKUP(PRODUCT_CALCULATION!C2;PRODUCT!B:Q;16;FALSE))</f>
        <v/>
      </c>
      <c r="N8" s="64">
        <f>IF(PRODUCT_CALCULATION!C2="";"";VLOOKUP(PRODUCT_CALCULATION!C2;PRODUCT!B:R;17;FALSE))</f>
        <v/>
      </c>
      <c r="O8" s="64">
        <f>IF(PRODUCT_CALCULATION!C2="";"";VLOOKUP(PRODUCT_CALCULATION!C2;PRODUCT!B:S;18;FALSE))</f>
        <v/>
      </c>
      <c r="P8" s="64">
        <f>IF(PRODUCT_CALCULATION!C2="";"";VLOOKUP(PRODUCT_CALCULATION!C2;PRODUCT!B:D;3;FALSE))</f>
        <v/>
      </c>
      <c r="Q8" s="64">
        <f>IF(PRODUCT_CALCULATION!C2="";"";VLOOKUP(PRODUCT_CALCULATION!C2;PRODUCT!B:E;4;FALSE))</f>
        <v/>
      </c>
      <c r="R8" s="64">
        <f>IF(PRODUCT_CALCULATION!B2="SI";PRODUCT_CALCULATION!F2;"")</f>
        <v/>
      </c>
      <c r="S8" s="64">
        <f>IF(PRODUCT_CALCULATION!B2="SI";PRODUCT_CALCULATION!K2;"")</f>
        <v/>
      </c>
      <c r="T8" s="64">
        <f>IF(PRODUCT_CALCULATION!B2="SI";PRODUCT_CALCULATION!J2;"")</f>
        <v/>
      </c>
      <c r="U8" s="64">
        <f>IF(PRODUCT_CALCULATION!B2="SI";PRODUCT_CALCULATION!N2;"")</f>
        <v/>
      </c>
      <c r="V8" s="64">
        <f>IF(PRODUCT_CALCULATION!B2="SI";PRODUCT_CALCULATION!L2;"")</f>
        <v/>
      </c>
      <c r="W8" s="64">
        <f>IF(PRODUCT_CALCULATION!B2="SI";PRODUCT_CALCULATION!M2;"")</f>
        <v/>
      </c>
      <c r="X8" s="64">
        <f>IF(R2="";"";CEILING(R2/S2;1))</f>
        <v/>
      </c>
      <c r="Y8" s="64">
        <f>IF(R2="";"";R2*T2)</f>
        <v/>
      </c>
      <c r="Z8" s="64">
        <f>IF(R2="";"";R2*V2)</f>
        <v/>
      </c>
    </row>
    <row r="9" ht="15.75" customHeight="1" s="125">
      <c r="A9" s="75">
        <f>INPUT_PRODUCT!B1</f>
        <v/>
      </c>
      <c r="B9" s="76">
        <f>INPUT_PRODUCT!B2</f>
        <v/>
      </c>
      <c r="C9" s="75">
        <f>INPUT_PRODUCT!B6</f>
        <v/>
      </c>
      <c r="D9" s="75" t="inlineStr">
        <is>
          <t>Arias Group Caribe SRL</t>
        </is>
      </c>
      <c r="E9" s="75" t="n"/>
      <c r="F9" s="75" t="inlineStr">
        <is>
          <t>Tarancón, España</t>
        </is>
      </c>
      <c r="G9" s="77">
        <f>INPUT_PRODUCT!B7</f>
        <v/>
      </c>
      <c r="H9" s="77" t="n"/>
      <c r="I9" s="64" t="n"/>
      <c r="J9" s="64" t="n"/>
      <c r="K9" s="64">
        <f>IF(PRODUCT_CALCULATION!B3="SI";PRODUCT_CALCULATION!C3;"")</f>
        <v/>
      </c>
      <c r="L9" s="64">
        <f>IF(PRODUCT_CALCULATION!B3="SI";PRODUCT_CALCULATION!E3;"")</f>
        <v/>
      </c>
      <c r="M9" s="64">
        <f>IF(PRODUCT_CALCULATION!C3="";"";VLOOKUP(PRODUCT_CALCULATION!C3;PRODUCT!B:Q;16;FALSE))</f>
        <v/>
      </c>
      <c r="N9" s="64">
        <f>IF(PRODUCT_CALCULATION!C3="";"";VLOOKUP(PRODUCT_CALCULATION!C3;PRODUCT!B:R;17;FALSE))</f>
        <v/>
      </c>
      <c r="O9" s="64">
        <f>IF(PRODUCT_CALCULATION!C3="";"";VLOOKUP(PRODUCT_CALCULATION!C3;PRODUCT!B:S;18;FALSE))</f>
        <v/>
      </c>
      <c r="P9" s="64">
        <f>IF(PRODUCT_CALCULATION!C3="";"";VLOOKUP(PRODUCT_CALCULATION!C3;PRODUCT!B:D;3;FALSE))</f>
        <v/>
      </c>
      <c r="Q9" s="64">
        <f>IF(PRODUCT_CALCULATION!C3="";"";VLOOKUP(PRODUCT_CALCULATION!C3;PRODUCT!B:E;4;FALSE))</f>
        <v/>
      </c>
      <c r="R9" s="64">
        <f>IF(PRODUCT_CALCULATION!B3="SI";PRODUCT_CALCULATION!F3;"")</f>
        <v/>
      </c>
      <c r="S9" s="64">
        <f>IF(PRODUCT_CALCULATION!B3="SI";PRODUCT_CALCULATION!K3;"")</f>
        <v/>
      </c>
      <c r="T9" s="64">
        <f>IF(PRODUCT_CALCULATION!B3="SI";PRODUCT_CALCULATION!J3;"")</f>
        <v/>
      </c>
      <c r="U9" s="64">
        <f>IF(PRODUCT_CALCULATION!B3="SI";PRODUCT_CALCULATION!N3;"")</f>
        <v/>
      </c>
      <c r="V9" s="64">
        <f>IF(PRODUCT_CALCULATION!B3="SI";PRODUCT_CALCULATION!L3;"")</f>
        <v/>
      </c>
      <c r="W9" s="64">
        <f>IF(PRODUCT_CALCULATION!B3="SI";PRODUCT_CALCULATION!M3;"")</f>
        <v/>
      </c>
      <c r="X9" s="64">
        <f>IF(R3="";"";CEILING(R3/S3;1))</f>
        <v/>
      </c>
      <c r="Y9" s="64">
        <f>IF(R3="";"";R3*T3)</f>
        <v/>
      </c>
      <c r="Z9" s="64">
        <f>IF(R3="";"";R3*V3)</f>
        <v/>
      </c>
    </row>
    <row r="10" ht="15.75" customHeight="1" s="125">
      <c r="A10" s="64">
        <f>INPUT_PRODUCT!B1</f>
        <v/>
      </c>
      <c r="B10" s="78">
        <f>INPUT_PRODUCT!B2</f>
        <v/>
      </c>
      <c r="C10" s="64">
        <f>INPUT_PRODUCT!B6</f>
        <v/>
      </c>
      <c r="D10" s="64" t="inlineStr">
        <is>
          <t>Arias Group Caribe SRL</t>
        </is>
      </c>
      <c r="E10" s="64" t="n"/>
      <c r="F10" s="64" t="inlineStr">
        <is>
          <t>Tarancón, España</t>
        </is>
      </c>
      <c r="G10" s="79">
        <f>INPUT_PRODUCT!B7</f>
        <v/>
      </c>
      <c r="H10" s="79" t="n"/>
      <c r="I10" s="64" t="n"/>
      <c r="J10" s="64" t="n"/>
      <c r="K10" s="64">
        <f>IF(PRODUCT_CALCULATION!B4="SI";PRODUCT_CALCULATION!C4;"")</f>
        <v/>
      </c>
      <c r="L10" s="64">
        <f>IF(PRODUCT_CALCULATION!B4="SI";PRODUCT_CALCULATION!E4;"")</f>
        <v/>
      </c>
      <c r="M10" s="64">
        <f>IF(PRODUCT_CALCULATION!C4="";"";VLOOKUP(PRODUCT_CALCULATION!C4;PRODUCT!B:Q;16;FALSE))</f>
        <v/>
      </c>
      <c r="N10" s="64">
        <f>IF(PRODUCT_CALCULATION!C4="";"";VLOOKUP(PRODUCT_CALCULATION!C4;PRODUCT!B:R;17;FALSE))</f>
        <v/>
      </c>
      <c r="O10" s="64">
        <f>IF(PRODUCT_CALCULATION!C4="";"";VLOOKUP(PRODUCT_CALCULATION!C4;PRODUCT!B:S;18;FALSE))</f>
        <v/>
      </c>
      <c r="P10" s="64">
        <f>IF(PRODUCT_CALCULATION!C4="";"";VLOOKUP(PRODUCT_CALCULATION!C4;PRODUCT!B:D;3;FALSE))</f>
        <v/>
      </c>
      <c r="Q10" s="64">
        <f>IF(PRODUCT_CALCULATION!C4="";"";VLOOKUP(PRODUCT_CALCULATION!C4;PRODUCT!B:E;4;FALSE))</f>
        <v/>
      </c>
      <c r="R10" s="64">
        <f>IF(PRODUCT_CALCULATION!B4="SI";PRODUCT_CALCULATION!F4;"")</f>
        <v/>
      </c>
      <c r="S10" s="64">
        <f>IF(PRODUCT_CALCULATION!B4="SI";PRODUCT_CALCULATION!K4;"")</f>
        <v/>
      </c>
      <c r="T10" s="64">
        <f>IF(PRODUCT_CALCULATION!B4="SI";PRODUCT_CALCULATION!J4;"")</f>
        <v/>
      </c>
      <c r="U10" s="64">
        <f>IF(PRODUCT_CALCULATION!B4="SI";PRODUCT_CALCULATION!N4;"")</f>
        <v/>
      </c>
      <c r="V10" s="64">
        <f>IF(PRODUCT_CALCULATION!B4="SI";PRODUCT_CALCULATION!L4;"")</f>
        <v/>
      </c>
      <c r="W10" s="64">
        <f>IF(PRODUCT_CALCULATION!B4="SI";PRODUCT_CALCULATION!M4;"")</f>
        <v/>
      </c>
      <c r="X10" s="64">
        <f>IF(R4="";"";CEILING(R4/S4;1))</f>
        <v/>
      </c>
      <c r="Y10" s="64">
        <f>IF(R4="";"";R4*T4)</f>
        <v/>
      </c>
      <c r="Z10" s="64">
        <f>IF(R4="";"";R4*V4)</f>
        <v/>
      </c>
    </row>
    <row r="11" ht="15.75" customHeight="1" s="125">
      <c r="A11" s="64">
        <f>INPUT_PRODUCT!B1</f>
        <v/>
      </c>
      <c r="B11" s="78">
        <f>INPUT_PRODUCT!B2</f>
        <v/>
      </c>
      <c r="C11" s="64">
        <f>INPUT_PRODUCT!B6</f>
        <v/>
      </c>
      <c r="D11" s="64" t="inlineStr">
        <is>
          <t>Arias Group Caribe SRL</t>
        </is>
      </c>
      <c r="E11" s="64" t="n"/>
      <c r="F11" s="64" t="inlineStr">
        <is>
          <t>Tarancón, España</t>
        </is>
      </c>
      <c r="G11" s="79">
        <f>INPUT_PRODUCT!B7</f>
        <v/>
      </c>
      <c r="H11" s="79" t="n"/>
      <c r="I11" s="64" t="n"/>
      <c r="J11" s="64" t="n"/>
      <c r="K11" s="64">
        <f>IF(PRODUCT_CALCULATION!B5="SI";PRODUCT_CALCULATION!C5;"")</f>
        <v/>
      </c>
      <c r="L11" s="64">
        <f>IF(PRODUCT_CALCULATION!B5="SI";PRODUCT_CALCULATION!E5;"")</f>
        <v/>
      </c>
      <c r="M11" s="64">
        <f>IF(PRODUCT_CALCULATION!C5="";"";VLOOKUP(PRODUCT_CALCULATION!C5;PRODUCT!B:Q;16;FALSE))</f>
        <v/>
      </c>
      <c r="N11" s="64">
        <f>IF(PRODUCT_CALCULATION!C5="";"";VLOOKUP(PRODUCT_CALCULATION!C5;PRODUCT!B:R;17;FALSE))</f>
        <v/>
      </c>
      <c r="O11" s="64">
        <f>IF(PRODUCT_CALCULATION!C5="";"";VLOOKUP(PRODUCT_CALCULATION!C5;PRODUCT!B:S;18;FALSE))</f>
        <v/>
      </c>
      <c r="P11" s="64">
        <f>IF(PRODUCT_CALCULATION!C5="";"";VLOOKUP(PRODUCT_CALCULATION!C5;PRODUCT!B:D;3;FALSE))</f>
        <v/>
      </c>
      <c r="Q11" s="64">
        <f>IF(PRODUCT_CALCULATION!C5="";"";VLOOKUP(PRODUCT_CALCULATION!C5;PRODUCT!B:E;4;FALSE))</f>
        <v/>
      </c>
      <c r="R11" s="64">
        <f>IF(PRODUCT_CALCULATION!B5="SI";PRODUCT_CALCULATION!F5;"")</f>
        <v/>
      </c>
      <c r="S11" s="64">
        <f>IF(PRODUCT_CALCULATION!B5="SI";PRODUCT_CALCULATION!K5;"")</f>
        <v/>
      </c>
      <c r="T11" s="64">
        <f>IF(PRODUCT_CALCULATION!B5="SI";PRODUCT_CALCULATION!J5;"")</f>
        <v/>
      </c>
      <c r="U11" s="64">
        <f>IF(PRODUCT_CALCULATION!B5="SI";PRODUCT_CALCULATION!N5;"")</f>
        <v/>
      </c>
      <c r="V11" s="64">
        <f>IF(PRODUCT_CALCULATION!B5="SI";PRODUCT_CALCULATION!L5;"")</f>
        <v/>
      </c>
      <c r="W11" s="64">
        <f>IF(PRODUCT_CALCULATION!B5="SI";PRODUCT_CALCULATION!M5;"")</f>
        <v/>
      </c>
      <c r="X11" s="64">
        <f>IF(R5="";"";CEILING(R5/S5;1))</f>
        <v/>
      </c>
      <c r="Y11" s="64">
        <f>IF(R5="";"";R5*T5)</f>
        <v/>
      </c>
      <c r="Z11" s="64">
        <f>IF(R5="";"";R5*V5)</f>
        <v/>
      </c>
    </row>
    <row r="12" ht="15.75" customHeight="1" s="125">
      <c r="A12" s="64">
        <f>INPUT_PRODUCT!B1</f>
        <v/>
      </c>
      <c r="B12" s="134">
        <f>INPUT_PRODUCT!B2</f>
        <v/>
      </c>
      <c r="C12" s="0">
        <f>INPUT_PRODUCT!B6</f>
        <v/>
      </c>
      <c r="D12" s="0" t="inlineStr">
        <is>
          <t>Arias Group Caribe SRL</t>
        </is>
      </c>
      <c r="F12" s="0" t="inlineStr">
        <is>
          <t>Tarancón, España</t>
        </is>
      </c>
      <c r="G12" s="0">
        <f>INPUT_PRODUCT!B7</f>
        <v/>
      </c>
      <c r="H12" s="79" t="n"/>
      <c r="I12" s="64" t="n"/>
      <c r="J12" s="64" t="n"/>
      <c r="K12" s="64">
        <f>IF(PRODUCT_CALCULATION!B6="SI";PRODUCT_CALCULATION!C6;"")</f>
        <v/>
      </c>
      <c r="L12" s="64">
        <f>IF(PRODUCT_CALCULATION!B6="SI";PRODUCT_CALCULATION!E6;"")</f>
        <v/>
      </c>
      <c r="M12" s="64">
        <f>IF(PRODUCT_CALCULATION!C6="";"";VLOOKUP(PRODUCT_CALCULATION!C6;PRODUCT!B:Q;16;FALSE))</f>
        <v/>
      </c>
      <c r="N12" s="64">
        <f>IF(PRODUCT_CALCULATION!C6="";"";VLOOKUP(PRODUCT_CALCULATION!C6;PRODUCT!B:R;17;FALSE))</f>
        <v/>
      </c>
      <c r="O12" s="64">
        <f>IF(PRODUCT_CALCULATION!C6="";"";VLOOKUP(PRODUCT_CALCULATION!C6;PRODUCT!B:S;18;FALSE))</f>
        <v/>
      </c>
      <c r="P12" s="64">
        <f>IF(PRODUCT_CALCULATION!C6="";"";VLOOKUP(PRODUCT_CALCULATION!C6;PRODUCT!B:D;3;FALSE))</f>
        <v/>
      </c>
      <c r="Q12" s="64">
        <f>IF(PRODUCT_CALCULATION!C6="";"";VLOOKUP(PRODUCT_CALCULATION!C6;PRODUCT!B:E;4;FALSE))</f>
        <v/>
      </c>
      <c r="R12" s="64">
        <f>IF(PRODUCT_CALCULATION!B6="SI";PRODUCT_CALCULATION!F6;"")</f>
        <v/>
      </c>
      <c r="S12" s="64">
        <f>IF(PRODUCT_CALCULATION!B6="SI";PRODUCT_CALCULATION!K6;"")</f>
        <v/>
      </c>
      <c r="T12" s="64">
        <f>IF(PRODUCT_CALCULATION!B6="SI";PRODUCT_CALCULATION!J6;"")</f>
        <v/>
      </c>
      <c r="U12" s="64">
        <f>IF(PRODUCT_CALCULATION!B6="SI";PRODUCT_CALCULATION!N6;"")</f>
        <v/>
      </c>
      <c r="V12" s="64">
        <f>IF(PRODUCT_CALCULATION!B6="SI";PRODUCT_CALCULATION!L6;"")</f>
        <v/>
      </c>
      <c r="W12" s="64">
        <f>IF(PRODUCT_CALCULATION!B6="SI";PRODUCT_CALCULATION!M6;"")</f>
        <v/>
      </c>
      <c r="X12" s="64">
        <f>IF(R6="";"";CEILING(R6/S6;1))</f>
        <v/>
      </c>
      <c r="Y12" s="64">
        <f>IF(R6="";"";R6*T6)</f>
        <v/>
      </c>
      <c r="Z12" s="64">
        <f>IF(R6="";"";R6*V6)</f>
        <v/>
      </c>
    </row>
    <row r="13" ht="15.75" customHeight="1" s="125">
      <c r="A13" s="64">
        <f>INPUT_PRODUCT!B1</f>
        <v/>
      </c>
      <c r="B13" s="83">
        <f>INPUT_PRODUCT!B2</f>
        <v/>
      </c>
      <c r="C13" s="84">
        <f>INPUT_PRODUCT!B6</f>
        <v/>
      </c>
      <c r="D13" s="85" t="inlineStr">
        <is>
          <t>Arias Group Caribe SRL</t>
        </is>
      </c>
      <c r="E13" s="86" t="n"/>
      <c r="F13" s="84" t="inlineStr">
        <is>
          <t>Tarancón, España</t>
        </is>
      </c>
      <c r="G13" s="0">
        <f>INPUT_PRODUCT!B7</f>
        <v/>
      </c>
      <c r="H13" s="79" t="n"/>
      <c r="I13" s="64" t="n"/>
      <c r="J13" s="64" t="n"/>
      <c r="K13" s="64">
        <f>IF(PRODUCT_CALCULATION!B7="SI";PRODUCT_CALCULATION!C7;"")</f>
        <v/>
      </c>
      <c r="L13" s="64">
        <f>IF(PRODUCT_CALCULATION!B7="SI";PRODUCT_CALCULATION!E7;"")</f>
        <v/>
      </c>
      <c r="M13" s="64">
        <f>IF(PRODUCT_CALCULATION!C7="";"";VLOOKUP(PRODUCT_CALCULATION!C7;PRODUCT!B:Q;16;FALSE))</f>
        <v/>
      </c>
      <c r="N13" s="64">
        <f>IF(PRODUCT_CALCULATION!C7="";"";VLOOKUP(PRODUCT_CALCULATION!C7;PRODUCT!B:R;17;FALSE))</f>
        <v/>
      </c>
      <c r="O13" s="64">
        <f>IF(PRODUCT_CALCULATION!C7="";"";VLOOKUP(PRODUCT_CALCULATION!C7;PRODUCT!B:S;18;FALSE))</f>
        <v/>
      </c>
      <c r="P13" s="64">
        <f>IF(PRODUCT_CALCULATION!C7="";"";VLOOKUP(PRODUCT_CALCULATION!C7;PRODUCT!B:D;3;FALSE))</f>
        <v/>
      </c>
      <c r="Q13" s="64">
        <f>IF(PRODUCT_CALCULATION!C7="";"";VLOOKUP(PRODUCT_CALCULATION!C7;PRODUCT!B:E;4;FALSE))</f>
        <v/>
      </c>
      <c r="R13" s="64">
        <f>IF(PRODUCT_CALCULATION!B7="SI";PRODUCT_CALCULATION!F7;"")</f>
        <v/>
      </c>
      <c r="S13" s="64">
        <f>IF(PRODUCT_CALCULATION!B7="SI";PRODUCT_CALCULATION!K7;"")</f>
        <v/>
      </c>
      <c r="T13" s="64">
        <f>IF(PRODUCT_CALCULATION!B7="SI";PRODUCT_CALCULATION!J7;"")</f>
        <v/>
      </c>
      <c r="U13" s="64">
        <f>IF(PRODUCT_CALCULATION!B7="SI";PRODUCT_CALCULATION!N7;"")</f>
        <v/>
      </c>
      <c r="V13" s="64">
        <f>IF(PRODUCT_CALCULATION!B7="SI";PRODUCT_CALCULATION!L7;"")</f>
        <v/>
      </c>
      <c r="W13" s="64">
        <f>IF(PRODUCT_CALCULATION!B7="SI";PRODUCT_CALCULATION!M7;"")</f>
        <v/>
      </c>
      <c r="X13" s="64">
        <f>IF(R7="";"";CEILING(R7/S7;1))</f>
        <v/>
      </c>
      <c r="Y13" s="64">
        <f>IF(R7="";"";R7*T7)</f>
        <v/>
      </c>
      <c r="Z13" s="64">
        <f>IF(R7="";"";R7*V7)</f>
        <v/>
      </c>
    </row>
    <row r="14" ht="15.75" customHeight="1" s="125">
      <c r="A14" s="64">
        <f>INPUT_PRODUCT!B1</f>
        <v/>
      </c>
      <c r="B14" s="83">
        <f>INPUT_PRODUCT!B2</f>
        <v/>
      </c>
      <c r="C14" s="84">
        <f>INPUT_PRODUCT!B6</f>
        <v/>
      </c>
      <c r="D14" s="85" t="inlineStr">
        <is>
          <t>Arias Group Caribe SRL</t>
        </is>
      </c>
      <c r="E14" s="86" t="n"/>
      <c r="F14" s="84" t="inlineStr">
        <is>
          <t>Tarancón, España</t>
        </is>
      </c>
      <c r="G14" s="0">
        <f>INPUT_PRODUCT!B7</f>
        <v/>
      </c>
      <c r="H14" s="79" t="n"/>
      <c r="I14" s="64" t="n"/>
      <c r="J14" s="64" t="n"/>
      <c r="K14" s="64">
        <f>IF(PRODUCT_CALCULATION!B8="SI";PRODUCT_CALCULATION!C8;"")</f>
        <v/>
      </c>
      <c r="L14" s="64">
        <f>IF(PRODUCT_CALCULATION!B8="SI";PRODUCT_CALCULATION!E8;"")</f>
        <v/>
      </c>
      <c r="M14" s="64">
        <f>IF(PRODUCT_CALCULATION!C8="";"";VLOOKUP(PRODUCT_CALCULATION!C8;PRODUCT!B:Q;16;FALSE))</f>
        <v/>
      </c>
      <c r="N14" s="64">
        <f>IF(PRODUCT_CALCULATION!C8="";"";VLOOKUP(PRODUCT_CALCULATION!C8;PRODUCT!B:R;17;FALSE))</f>
        <v/>
      </c>
      <c r="O14" s="64">
        <f>IF(PRODUCT_CALCULATION!C8="";"";VLOOKUP(PRODUCT_CALCULATION!C8;PRODUCT!B:S;18;FALSE))</f>
        <v/>
      </c>
      <c r="P14" s="64">
        <f>IF(PRODUCT_CALCULATION!C8="";"";VLOOKUP(PRODUCT_CALCULATION!C8;PRODUCT!B:D;3;FALSE))</f>
        <v/>
      </c>
      <c r="Q14" s="64">
        <f>IF(PRODUCT_CALCULATION!C8="";"";VLOOKUP(PRODUCT_CALCULATION!C8;PRODUCT!B:E;4;FALSE))</f>
        <v/>
      </c>
      <c r="R14" s="64">
        <f>IF(PRODUCT_CALCULATION!B8="SI";PRODUCT_CALCULATION!F8;"")</f>
        <v/>
      </c>
      <c r="S14" s="64">
        <f>IF(PRODUCT_CALCULATION!B8="SI";PRODUCT_CALCULATION!K8;"")</f>
        <v/>
      </c>
      <c r="T14" s="64">
        <f>IF(PRODUCT_CALCULATION!B8="SI";PRODUCT_CALCULATION!J8;"")</f>
        <v/>
      </c>
      <c r="U14" s="64">
        <f>IF(PRODUCT_CALCULATION!B8="SI";PRODUCT_CALCULATION!N8;"")</f>
        <v/>
      </c>
      <c r="V14" s="64">
        <f>IF(PRODUCT_CALCULATION!B8="SI";PRODUCT_CALCULATION!L8;"")</f>
        <v/>
      </c>
      <c r="W14" s="64">
        <f>IF(PRODUCT_CALCULATION!B8="SI";PRODUCT_CALCULATION!M8;"")</f>
        <v/>
      </c>
      <c r="X14" s="64">
        <f>IF(R8="";"";CEILING(R8/S8;1))</f>
        <v/>
      </c>
      <c r="Y14" s="64">
        <f>IF(R8="";"";R8*T8)</f>
        <v/>
      </c>
      <c r="Z14" s="64">
        <f>IF(R8="";"";R8*V8)</f>
        <v/>
      </c>
    </row>
    <row r="15" ht="15.75" customHeight="1" s="125">
      <c r="A15" s="64">
        <f>INPUT_PRODUCT!B1</f>
        <v/>
      </c>
      <c r="B15" s="83">
        <f>INPUT_PRODUCT!B2</f>
        <v/>
      </c>
      <c r="C15" s="84">
        <f>INPUT_PRODUCT!B6</f>
        <v/>
      </c>
      <c r="D15" s="85" t="inlineStr">
        <is>
          <t>Arias Group Caribe SRL</t>
        </is>
      </c>
      <c r="E15" s="86" t="n"/>
      <c r="F15" s="84" t="inlineStr">
        <is>
          <t>Tarancón, España</t>
        </is>
      </c>
      <c r="G15" s="0">
        <f>INPUT_PRODUCT!B7</f>
        <v/>
      </c>
      <c r="H15" s="79" t="n"/>
      <c r="I15" s="64" t="n"/>
      <c r="J15" s="64" t="n"/>
      <c r="K15" s="64">
        <f>IF(PRODUCT_CALCULATION!B9="SI";PRODUCT_CALCULATION!C9;"")</f>
        <v/>
      </c>
      <c r="L15" s="64">
        <f>IF(PRODUCT_CALCULATION!B9="SI";PRODUCT_CALCULATION!E9;"")</f>
        <v/>
      </c>
      <c r="M15" s="64">
        <f>IF(PRODUCT_CALCULATION!C9="";"";VLOOKUP(PRODUCT_CALCULATION!C9;PRODUCT!B:Q;16;FALSE))</f>
        <v/>
      </c>
      <c r="N15" s="64">
        <f>IF(PRODUCT_CALCULATION!C9="";"";VLOOKUP(PRODUCT_CALCULATION!C9;PRODUCT!B:R;17;FALSE))</f>
        <v/>
      </c>
      <c r="O15" s="64">
        <f>IF(PRODUCT_CALCULATION!C9="";"";VLOOKUP(PRODUCT_CALCULATION!C9;PRODUCT!B:S;18;FALSE))</f>
        <v/>
      </c>
      <c r="P15" s="64">
        <f>IF(PRODUCT_CALCULATION!C9="";"";VLOOKUP(PRODUCT_CALCULATION!C9;PRODUCT!B:D;3;FALSE))</f>
        <v/>
      </c>
      <c r="Q15" s="64">
        <f>IF(PRODUCT_CALCULATION!C9="";"";VLOOKUP(PRODUCT_CALCULATION!C9;PRODUCT!B:E;4;FALSE))</f>
        <v/>
      </c>
      <c r="R15" s="64">
        <f>IF(PRODUCT_CALCULATION!B9="SI";PRODUCT_CALCULATION!F9;"")</f>
        <v/>
      </c>
      <c r="S15" s="64">
        <f>IF(PRODUCT_CALCULATION!B9="SI";PRODUCT_CALCULATION!K9;"")</f>
        <v/>
      </c>
      <c r="T15" s="64">
        <f>IF(PRODUCT_CALCULATION!B9="SI";PRODUCT_CALCULATION!J9;"")</f>
        <v/>
      </c>
      <c r="U15" s="64">
        <f>IF(PRODUCT_CALCULATION!B9="SI";PRODUCT_CALCULATION!N9;"")</f>
        <v/>
      </c>
      <c r="V15" s="64">
        <f>IF(PRODUCT_CALCULATION!B9="SI";PRODUCT_CALCULATION!L9;"")</f>
        <v/>
      </c>
      <c r="W15" s="64">
        <f>IF(PRODUCT_CALCULATION!B9="SI";PRODUCT_CALCULATION!M9;"")</f>
        <v/>
      </c>
      <c r="X15" s="64">
        <f>IF(R9="";"";CEILING(R9/S9;1))</f>
        <v/>
      </c>
      <c r="Y15" s="64">
        <f>IF(R9="";"";R9*T9)</f>
        <v/>
      </c>
      <c r="Z15" s="64">
        <f>IF(R9="";"";R9*V9)</f>
        <v/>
      </c>
    </row>
    <row r="16" ht="15.75" customHeight="1" s="125">
      <c r="A16" s="64">
        <f>INPUT_PRODUCT!B1</f>
        <v/>
      </c>
      <c r="B16" s="83">
        <f>INPUT_PRODUCT!B2</f>
        <v/>
      </c>
      <c r="C16" s="84">
        <f>INPUT_PRODUCT!B6</f>
        <v/>
      </c>
      <c r="D16" s="85" t="inlineStr">
        <is>
          <t>Arias Group Caribe SRL</t>
        </is>
      </c>
      <c r="E16" s="86" t="n"/>
      <c r="F16" s="84" t="inlineStr">
        <is>
          <t>Tarancón, España</t>
        </is>
      </c>
      <c r="G16" s="0">
        <f>INPUT_PRODUCT!B7</f>
        <v/>
      </c>
      <c r="H16" s="79" t="n"/>
      <c r="I16" s="64" t="n"/>
      <c r="J16" s="64" t="n"/>
      <c r="K16" s="64">
        <f>IF(PRODUCT_CALCULATION!B10="SI";PRODUCT_CALCULATION!C10;"")</f>
        <v/>
      </c>
      <c r="L16" s="64">
        <f>IF(PRODUCT_CALCULATION!B10="SI";PRODUCT_CALCULATION!E10;"")</f>
        <v/>
      </c>
      <c r="M16" s="64">
        <f>IF(PRODUCT_CALCULATION!C10="";"";VLOOKUP(PRODUCT_CALCULATION!C10;PRODUCT!B:Q;16;FALSE))</f>
        <v/>
      </c>
      <c r="N16" s="64">
        <f>IF(PRODUCT_CALCULATION!C10="";"";VLOOKUP(PRODUCT_CALCULATION!C10;PRODUCT!B:R;17;FALSE))</f>
        <v/>
      </c>
      <c r="O16" s="64">
        <f>IF(PRODUCT_CALCULATION!C10="";"";VLOOKUP(PRODUCT_CALCULATION!C10;PRODUCT!B:S;18;FALSE))</f>
        <v/>
      </c>
      <c r="P16" s="64">
        <f>IF(PRODUCT_CALCULATION!C10="";"";VLOOKUP(PRODUCT_CALCULATION!C10;PRODUCT!B:D;3;FALSE))</f>
        <v/>
      </c>
      <c r="Q16" s="64">
        <f>IF(PRODUCT_CALCULATION!C10="";"";VLOOKUP(PRODUCT_CALCULATION!C10;PRODUCT!B:E;4;FALSE))</f>
        <v/>
      </c>
      <c r="R16" s="64">
        <f>IF(PRODUCT_CALCULATION!B10="SI";PRODUCT_CALCULATION!F10;"")</f>
        <v/>
      </c>
      <c r="S16" s="64">
        <f>IF(PRODUCT_CALCULATION!B10="SI";PRODUCT_CALCULATION!K10;"")</f>
        <v/>
      </c>
      <c r="T16" s="64">
        <f>IF(PRODUCT_CALCULATION!B10="SI";PRODUCT_CALCULATION!J10;"")</f>
        <v/>
      </c>
      <c r="U16" s="64">
        <f>IF(PRODUCT_CALCULATION!B10="SI";PRODUCT_CALCULATION!N10;"")</f>
        <v/>
      </c>
      <c r="V16" s="64">
        <f>IF(PRODUCT_CALCULATION!B10="SI";PRODUCT_CALCULATION!L10;"")</f>
        <v/>
      </c>
      <c r="W16" s="64">
        <f>IF(PRODUCT_CALCULATION!B10="SI";PRODUCT_CALCULATION!M10;"")</f>
        <v/>
      </c>
      <c r="X16" s="64">
        <f>IF(R10="";"";CEILING(R10/S10;1))</f>
        <v/>
      </c>
      <c r="Y16" s="64">
        <f>IF(R10="";"";R10*T10)</f>
        <v/>
      </c>
      <c r="Z16" s="64">
        <f>IF(R10="";"";R10*V10)</f>
        <v/>
      </c>
    </row>
    <row r="17" ht="15.75" customHeight="1" s="125">
      <c r="A17" s="64">
        <f>INPUT_PRODUCT!B1</f>
        <v/>
      </c>
      <c r="B17" s="78">
        <f>INPUT_PRODUCT!B2</f>
        <v/>
      </c>
      <c r="C17" s="64">
        <f>INPUT_PRODUCT!B6</f>
        <v/>
      </c>
      <c r="D17" s="64" t="inlineStr">
        <is>
          <t>Arias Group Caribe SRL</t>
        </is>
      </c>
      <c r="E17" s="64" t="n"/>
      <c r="F17" s="64" t="inlineStr">
        <is>
          <t>Tarancón, España</t>
        </is>
      </c>
      <c r="G17" s="79">
        <f>INPUT_PRODUCT!B7</f>
        <v/>
      </c>
      <c r="H17" s="79" t="n"/>
      <c r="I17" s="64" t="n"/>
      <c r="J17" s="64" t="n"/>
      <c r="K17" s="64">
        <f>IF(PRODUCT_CALCULATION!B11="SI";PRODUCT_CALCULATION!C11;"")</f>
        <v/>
      </c>
      <c r="L17" s="64">
        <f>IF(PRODUCT_CALCULATION!B11="SI";PRODUCT_CALCULATION!E11;"")</f>
        <v/>
      </c>
      <c r="M17" s="64">
        <f>IF(PRODUCT_CALCULATION!C11="";"";VLOOKUP(PRODUCT_CALCULATION!C11;PRODUCT!B:Q;16;FALSE))</f>
        <v/>
      </c>
      <c r="N17" s="64">
        <f>IF(PRODUCT_CALCULATION!C11="";"";VLOOKUP(PRODUCT_CALCULATION!C11;PRODUCT!B:R;17;FALSE))</f>
        <v/>
      </c>
      <c r="O17" s="64">
        <f>IF(PRODUCT_CALCULATION!C11="";"";VLOOKUP(PRODUCT_CALCULATION!C11;PRODUCT!B:S;18;FALSE))</f>
        <v/>
      </c>
      <c r="P17" s="64">
        <f>IF(PRODUCT_CALCULATION!C11="";"";VLOOKUP(PRODUCT_CALCULATION!C11;PRODUCT!B:D;3;FALSE))</f>
        <v/>
      </c>
      <c r="Q17" s="64">
        <f>IF(PRODUCT_CALCULATION!C11="";"";VLOOKUP(PRODUCT_CALCULATION!C11;PRODUCT!B:E;4;FALSE))</f>
        <v/>
      </c>
      <c r="R17" s="64">
        <f>IF(PRODUCT_CALCULATION!B11="SI";PRODUCT_CALCULATION!F11;"")</f>
        <v/>
      </c>
      <c r="S17" s="64">
        <f>IF(PRODUCT_CALCULATION!B11="SI";PRODUCT_CALCULATION!K11;"")</f>
        <v/>
      </c>
      <c r="T17" s="64">
        <f>IF(PRODUCT_CALCULATION!B11="SI";PRODUCT_CALCULATION!J11;"")</f>
        <v/>
      </c>
      <c r="U17" s="64">
        <f>IF(PRODUCT_CALCULATION!B11="SI";PRODUCT_CALCULATION!N11;"")</f>
        <v/>
      </c>
      <c r="V17" s="64">
        <f>IF(PRODUCT_CALCULATION!B11="SI";PRODUCT_CALCULATION!L11;"")</f>
        <v/>
      </c>
      <c r="W17" s="64">
        <f>IF(PRODUCT_CALCULATION!B11="SI";PRODUCT_CALCULATION!M11;"")</f>
        <v/>
      </c>
      <c r="X17" s="64">
        <f>IF(R11="";"";CEILING(R11/S11;1))</f>
        <v/>
      </c>
      <c r="Y17" s="64">
        <f>IF(R11="";"";R11*T11)</f>
        <v/>
      </c>
      <c r="Z17" s="64">
        <f>IF(R11="";"";R11*V11)</f>
        <v/>
      </c>
    </row>
    <row r="18" ht="15.75" customHeight="1" s="125">
      <c r="A18" s="64">
        <f>INPUT_PRODUCT!B1</f>
        <v/>
      </c>
      <c r="B18" s="134">
        <f>INPUT_PRODUCT!B2</f>
        <v/>
      </c>
      <c r="C18" s="0">
        <f>INPUT_PRODUCT!B6</f>
        <v/>
      </c>
      <c r="D18" s="0" t="inlineStr">
        <is>
          <t>Arias Group Caribe SRL</t>
        </is>
      </c>
      <c r="F18" s="0" t="inlineStr">
        <is>
          <t>Tarancón, España</t>
        </is>
      </c>
      <c r="G18" s="0">
        <f>INPUT_PRODUCT!B7</f>
        <v/>
      </c>
      <c r="H18" s="79" t="n"/>
      <c r="I18" s="64" t="n"/>
      <c r="J18" s="64" t="n"/>
      <c r="K18" s="64">
        <f>IF(PRODUCT_CALCULATION!B12="SI";PRODUCT_CALCULATION!C12;"")</f>
        <v/>
      </c>
      <c r="L18" s="64">
        <f>IF(PRODUCT_CALCULATION!B12="SI";PRODUCT_CALCULATION!E12;"")</f>
        <v/>
      </c>
      <c r="M18" s="64">
        <f>IF(PRODUCT_CALCULATION!C12="";"";VLOOKUP(PRODUCT_CALCULATION!C12;PRODUCT!B:Q;16;FALSE))</f>
        <v/>
      </c>
      <c r="N18" s="64">
        <f>IF(PRODUCT_CALCULATION!C12="";"";VLOOKUP(PRODUCT_CALCULATION!C12;PRODUCT!B:R;17;FALSE))</f>
        <v/>
      </c>
      <c r="O18" s="64">
        <f>IF(PRODUCT_CALCULATION!C12="";"";VLOOKUP(PRODUCT_CALCULATION!C12;PRODUCT!B:S;18;FALSE))</f>
        <v/>
      </c>
      <c r="P18" s="64">
        <f>IF(PRODUCT_CALCULATION!C12="";"";VLOOKUP(PRODUCT_CALCULATION!C12;PRODUCT!B:D;3;FALSE))</f>
        <v/>
      </c>
      <c r="Q18" s="64">
        <f>IF(PRODUCT_CALCULATION!C12="";"";VLOOKUP(PRODUCT_CALCULATION!C12;PRODUCT!B:E;4;FALSE))</f>
        <v/>
      </c>
      <c r="R18" s="64">
        <f>IF(PRODUCT_CALCULATION!B12="SI";PRODUCT_CALCULATION!F12;"")</f>
        <v/>
      </c>
      <c r="S18" s="64">
        <f>IF(PRODUCT_CALCULATION!B12="SI";PRODUCT_CALCULATION!K12;"")</f>
        <v/>
      </c>
      <c r="T18" s="64">
        <f>IF(PRODUCT_CALCULATION!B12="SI";PRODUCT_CALCULATION!J12;"")</f>
        <v/>
      </c>
      <c r="U18" s="64">
        <f>IF(PRODUCT_CALCULATION!B12="SI";PRODUCT_CALCULATION!N12;"")</f>
        <v/>
      </c>
      <c r="V18" s="64">
        <f>IF(PRODUCT_CALCULATION!B12="SI";PRODUCT_CALCULATION!L12;"")</f>
        <v/>
      </c>
      <c r="W18" s="64">
        <f>IF(PRODUCT_CALCULATION!B12="SI";PRODUCT_CALCULATION!M12;"")</f>
        <v/>
      </c>
      <c r="X18" s="64">
        <f>IF(R12="";"";CEILING(R12/S12;1))</f>
        <v/>
      </c>
      <c r="Y18" s="64">
        <f>IF(R12="";"";R12*T12)</f>
        <v/>
      </c>
      <c r="Z18" s="64">
        <f>IF(R12="";"";R12*V12)</f>
        <v/>
      </c>
    </row>
    <row r="19" ht="15.75" customHeight="1" s="125">
      <c r="A19" s="64">
        <f>INPUT_PRODUCT!B1</f>
        <v/>
      </c>
      <c r="B19" s="89">
        <f>INPUT_PRODUCT!B2</f>
        <v/>
      </c>
      <c r="C19" s="100">
        <f>INPUT_PRODUCT!B6</f>
        <v/>
      </c>
      <c r="D19" s="0" t="inlineStr">
        <is>
          <t>Arias Group Caribe SRL</t>
        </is>
      </c>
      <c r="F19" s="0" t="inlineStr">
        <is>
          <t>Tarancón, España</t>
        </is>
      </c>
      <c r="G19" s="0">
        <f>INPUT_PRODUCT!B7</f>
        <v/>
      </c>
      <c r="H19" s="79" t="n"/>
      <c r="I19" s="64" t="n"/>
      <c r="J19" s="64" t="n"/>
      <c r="K19" s="64">
        <f>IF(PRODUCT_CALCULATION!B13="SI";PRODUCT_CALCULATION!C13;"")</f>
        <v/>
      </c>
      <c r="L19" s="64">
        <f>IF(PRODUCT_CALCULATION!B13="SI";PRODUCT_CALCULATION!E13;"")</f>
        <v/>
      </c>
      <c r="M19" s="64">
        <f>IF(PRODUCT_CALCULATION!C13="";"";VLOOKUP(PRODUCT_CALCULATION!C13;PRODUCT!B:Q;16;FALSE))</f>
        <v/>
      </c>
      <c r="N19" s="64">
        <f>IF(PRODUCT_CALCULATION!C13="";"";VLOOKUP(PRODUCT_CALCULATION!C13;PRODUCT!B:R;17;FALSE))</f>
        <v/>
      </c>
      <c r="O19" s="64">
        <f>IF(PRODUCT_CALCULATION!C13="";"";VLOOKUP(PRODUCT_CALCULATION!C13;PRODUCT!B:S;18;FALSE))</f>
        <v/>
      </c>
      <c r="P19" s="64">
        <f>IF(PRODUCT_CALCULATION!C13="";"";VLOOKUP(PRODUCT_CALCULATION!C13;PRODUCT!B:D;3;FALSE))</f>
        <v/>
      </c>
      <c r="Q19" s="64">
        <f>IF(PRODUCT_CALCULATION!C13="";"";VLOOKUP(PRODUCT_CALCULATION!C13;PRODUCT!B:E;4;FALSE))</f>
        <v/>
      </c>
      <c r="R19" s="64">
        <f>IF(PRODUCT_CALCULATION!B13="SI";PRODUCT_CALCULATION!F13;"")</f>
        <v/>
      </c>
      <c r="S19" s="64">
        <f>IF(PRODUCT_CALCULATION!B13="SI";PRODUCT_CALCULATION!K13;"")</f>
        <v/>
      </c>
      <c r="T19" s="64">
        <f>IF(PRODUCT_CALCULATION!B13="SI";PRODUCT_CALCULATION!J13;"")</f>
        <v/>
      </c>
      <c r="U19" s="64">
        <f>IF(PRODUCT_CALCULATION!B13="SI";PRODUCT_CALCULATION!N13;"")</f>
        <v/>
      </c>
      <c r="V19" s="64">
        <f>IF(PRODUCT_CALCULATION!B13="SI";PRODUCT_CALCULATION!L13;"")</f>
        <v/>
      </c>
      <c r="W19" s="64">
        <f>IF(PRODUCT_CALCULATION!B13="SI";PRODUCT_CALCULATION!M13;"")</f>
        <v/>
      </c>
      <c r="X19" s="64">
        <f>IF(R13="";"";CEILING(R13/S13;1))</f>
        <v/>
      </c>
      <c r="Y19" s="64">
        <f>IF(R13="";"";R13*T13)</f>
        <v/>
      </c>
      <c r="Z19" s="64">
        <f>IF(R13="";"";R13*V13)</f>
        <v/>
      </c>
    </row>
    <row r="20" ht="15.75" customHeight="1" s="125">
      <c r="A20" s="64">
        <f>INPUT_PRODUCT!B1</f>
        <v/>
      </c>
      <c r="B20" s="89">
        <f>INPUT_PRODUCT!B2</f>
        <v/>
      </c>
      <c r="C20" s="100">
        <f>INPUT_PRODUCT!B6</f>
        <v/>
      </c>
      <c r="D20" s="0" t="inlineStr">
        <is>
          <t>Arias Group Caribe SRL</t>
        </is>
      </c>
      <c r="F20" s="0" t="inlineStr">
        <is>
          <t>Tarancón, España</t>
        </is>
      </c>
      <c r="G20" s="0">
        <f>INPUT_PRODUCT!B7</f>
        <v/>
      </c>
      <c r="H20" s="79" t="n"/>
      <c r="I20" s="64" t="n"/>
      <c r="J20" s="64" t="n"/>
      <c r="K20" s="64">
        <f>IF(PRODUCT_CALCULATION!B14="SI";PRODUCT_CALCULATION!C14;"")</f>
        <v/>
      </c>
      <c r="L20" s="64">
        <f>IF(PRODUCT_CALCULATION!B14="SI";PRODUCT_CALCULATION!E14;"")</f>
        <v/>
      </c>
      <c r="M20" s="64">
        <f>IF(PRODUCT_CALCULATION!C14="";"";VLOOKUP(PRODUCT_CALCULATION!C14;PRODUCT!B:Q;16;FALSE))</f>
        <v/>
      </c>
      <c r="N20" s="64">
        <f>IF(PRODUCT_CALCULATION!C14="";"";VLOOKUP(PRODUCT_CALCULATION!C14;PRODUCT!B:R;17;FALSE))</f>
        <v/>
      </c>
      <c r="O20" s="64">
        <f>IF(PRODUCT_CALCULATION!C14="";"";VLOOKUP(PRODUCT_CALCULATION!C14;PRODUCT!B:S;18;FALSE))</f>
        <v/>
      </c>
      <c r="P20" s="64">
        <f>IF(PRODUCT_CALCULATION!C14="";"";VLOOKUP(PRODUCT_CALCULATION!C14;PRODUCT!B:D;3;FALSE))</f>
        <v/>
      </c>
      <c r="Q20" s="64">
        <f>IF(PRODUCT_CALCULATION!C14="";"";VLOOKUP(PRODUCT_CALCULATION!C14;PRODUCT!B:E;4;FALSE))</f>
        <v/>
      </c>
      <c r="R20" s="64">
        <f>IF(PRODUCT_CALCULATION!B14="SI";PRODUCT_CALCULATION!F14;"")</f>
        <v/>
      </c>
      <c r="S20" s="64">
        <f>IF(PRODUCT_CALCULATION!B14="SI";PRODUCT_CALCULATION!K14;"")</f>
        <v/>
      </c>
      <c r="T20" s="64">
        <f>IF(PRODUCT_CALCULATION!B14="SI";PRODUCT_CALCULATION!J14;"")</f>
        <v/>
      </c>
      <c r="U20" s="64">
        <f>IF(PRODUCT_CALCULATION!B14="SI";PRODUCT_CALCULATION!N14;"")</f>
        <v/>
      </c>
      <c r="V20" s="64">
        <f>IF(PRODUCT_CALCULATION!B14="SI";PRODUCT_CALCULATION!L14;"")</f>
        <v/>
      </c>
      <c r="W20" s="64">
        <f>IF(PRODUCT_CALCULATION!B14="SI";PRODUCT_CALCULATION!M14;"")</f>
        <v/>
      </c>
      <c r="X20" s="64">
        <f>IF(R14="";"";CEILING(R14/S14;1))</f>
        <v/>
      </c>
      <c r="Y20" s="64">
        <f>IF(R14="";"";R14*T14)</f>
        <v/>
      </c>
      <c r="Z20" s="64">
        <f>IF(R14="";"";R14*V14)</f>
        <v/>
      </c>
    </row>
    <row r="21" ht="15.75" customHeight="1" s="125">
      <c r="A21" s="64">
        <f>INPUT_PRODUCT!B1</f>
        <v/>
      </c>
      <c r="B21" s="89">
        <f>INPUT_PRODUCT!B2</f>
        <v/>
      </c>
      <c r="C21" s="100">
        <f>INPUT_PRODUCT!B6</f>
        <v/>
      </c>
      <c r="D21" s="0" t="inlineStr">
        <is>
          <t>Arias Group Caribe SRL</t>
        </is>
      </c>
      <c r="F21" s="0" t="inlineStr">
        <is>
          <t>Tarancón, España</t>
        </is>
      </c>
      <c r="G21" s="0">
        <f>INPUT_PRODUCT!B7</f>
        <v/>
      </c>
      <c r="H21" s="79" t="n"/>
      <c r="I21" s="64" t="n"/>
      <c r="J21" s="64" t="n"/>
      <c r="K21" s="64">
        <f>IF(PRODUCT_CALCULATION!B15="SI";PRODUCT_CALCULATION!C15;"")</f>
        <v/>
      </c>
      <c r="L21" s="64">
        <f>IF(PRODUCT_CALCULATION!B15="SI";PRODUCT_CALCULATION!E15;"")</f>
        <v/>
      </c>
      <c r="M21" s="64">
        <f>IF(PRODUCT_CALCULATION!C15="";"";VLOOKUP(PRODUCT_CALCULATION!C15;PRODUCT!B:Q;16;FALSE))</f>
        <v/>
      </c>
      <c r="N21" s="64">
        <f>IF(PRODUCT_CALCULATION!C15="";"";VLOOKUP(PRODUCT_CALCULATION!C15;PRODUCT!B:R;17;FALSE))</f>
        <v/>
      </c>
      <c r="O21" s="64">
        <f>IF(PRODUCT_CALCULATION!C15="";"";VLOOKUP(PRODUCT_CALCULATION!C15;PRODUCT!B:S;18;FALSE))</f>
        <v/>
      </c>
      <c r="P21" s="64">
        <f>IF(PRODUCT_CALCULATION!C15="";"";VLOOKUP(PRODUCT_CALCULATION!C15;PRODUCT!B:D;3;FALSE))</f>
        <v/>
      </c>
      <c r="Q21" s="64">
        <f>IF(PRODUCT_CALCULATION!C15="";"";VLOOKUP(PRODUCT_CALCULATION!C15;PRODUCT!B:E;4;FALSE))</f>
        <v/>
      </c>
      <c r="R21" s="64">
        <f>IF(PRODUCT_CALCULATION!B15="SI";PRODUCT_CALCULATION!F15;"")</f>
        <v/>
      </c>
      <c r="S21" s="64">
        <f>IF(PRODUCT_CALCULATION!B15="SI";PRODUCT_CALCULATION!K15;"")</f>
        <v/>
      </c>
      <c r="T21" s="64">
        <f>IF(PRODUCT_CALCULATION!B15="SI";PRODUCT_CALCULATION!J15;"")</f>
        <v/>
      </c>
      <c r="U21" s="64">
        <f>IF(PRODUCT_CALCULATION!B15="SI";PRODUCT_CALCULATION!N15;"")</f>
        <v/>
      </c>
      <c r="V21" s="64">
        <f>IF(PRODUCT_CALCULATION!B15="SI";PRODUCT_CALCULATION!L15;"")</f>
        <v/>
      </c>
      <c r="W21" s="64">
        <f>IF(PRODUCT_CALCULATION!B15="SI";PRODUCT_CALCULATION!M15;"")</f>
        <v/>
      </c>
      <c r="X21" s="64">
        <f>IF(R15="";"";CEILING(R15/S15;1))</f>
        <v/>
      </c>
      <c r="Y21" s="64">
        <f>IF(R15="";"";R15*T15)</f>
        <v/>
      </c>
      <c r="Z21" s="64">
        <f>IF(R15="";"";R15*V15)</f>
        <v/>
      </c>
    </row>
    <row r="22" ht="15.75" customHeight="1" s="125">
      <c r="A22" s="64">
        <f>INPUT_PRODUCT!B1</f>
        <v/>
      </c>
      <c r="B22" s="89">
        <f>INPUT_PRODUCT!B2</f>
        <v/>
      </c>
      <c r="C22" s="100">
        <f>INPUT_PRODUCT!B6</f>
        <v/>
      </c>
      <c r="D22" s="0" t="inlineStr">
        <is>
          <t>Arias Group Caribe SRL</t>
        </is>
      </c>
      <c r="F22" s="0" t="inlineStr">
        <is>
          <t>Tarancón, España</t>
        </is>
      </c>
      <c r="G22" s="0">
        <f>INPUT_PRODUCT!B7</f>
        <v/>
      </c>
      <c r="H22" s="79" t="n"/>
      <c r="I22" s="64" t="n"/>
      <c r="J22" s="64" t="n"/>
      <c r="K22" s="64">
        <f>IF(PRODUCT_CALCULATION!B16="SI";PRODUCT_CALCULATION!C16;"")</f>
        <v/>
      </c>
      <c r="L22" s="64">
        <f>IF(PRODUCT_CALCULATION!B16="SI";PRODUCT_CALCULATION!E16;"")</f>
        <v/>
      </c>
      <c r="M22" s="64">
        <f>IF(PRODUCT_CALCULATION!C16="";"";VLOOKUP(PRODUCT_CALCULATION!C16;PRODUCT!B:Q;16;FALSE))</f>
        <v/>
      </c>
      <c r="N22" s="64">
        <f>IF(PRODUCT_CALCULATION!C16="";"";VLOOKUP(PRODUCT_CALCULATION!C16;PRODUCT!B:R;17;FALSE))</f>
        <v/>
      </c>
      <c r="O22" s="64">
        <f>IF(PRODUCT_CALCULATION!C16="";"";VLOOKUP(PRODUCT_CALCULATION!C16;PRODUCT!B:S;18;FALSE))</f>
        <v/>
      </c>
      <c r="P22" s="64">
        <f>IF(PRODUCT_CALCULATION!C16="";"";VLOOKUP(PRODUCT_CALCULATION!C16;PRODUCT!B:D;3;FALSE))</f>
        <v/>
      </c>
      <c r="Q22" s="64">
        <f>IF(PRODUCT_CALCULATION!C16="";"";VLOOKUP(PRODUCT_CALCULATION!C16;PRODUCT!B:E;4;FALSE))</f>
        <v/>
      </c>
      <c r="R22" s="64">
        <f>IF(PRODUCT_CALCULATION!B16="SI";PRODUCT_CALCULATION!F16;"")</f>
        <v/>
      </c>
      <c r="S22" s="64">
        <f>IF(PRODUCT_CALCULATION!B16="SI";PRODUCT_CALCULATION!K16;"")</f>
        <v/>
      </c>
      <c r="T22" s="64">
        <f>IF(PRODUCT_CALCULATION!B16="SI";PRODUCT_CALCULATION!J16;"")</f>
        <v/>
      </c>
      <c r="U22" s="64">
        <f>IF(PRODUCT_CALCULATION!B16="SI";PRODUCT_CALCULATION!N16;"")</f>
        <v/>
      </c>
      <c r="V22" s="64">
        <f>IF(PRODUCT_CALCULATION!B16="SI";PRODUCT_CALCULATION!L16;"")</f>
        <v/>
      </c>
      <c r="W22" s="64">
        <f>IF(PRODUCT_CALCULATION!B16="SI";PRODUCT_CALCULATION!M16;"")</f>
        <v/>
      </c>
      <c r="X22" s="64">
        <f>IF(R16="";"";CEILING(R16/S16;1))</f>
        <v/>
      </c>
      <c r="Y22" s="64">
        <f>IF(R16="";"";R16*T16)</f>
        <v/>
      </c>
      <c r="Z22" s="64">
        <f>IF(R16="";"";R16*V16)</f>
        <v/>
      </c>
    </row>
    <row r="23" ht="15.75" customHeight="1" s="125">
      <c r="A23" s="64">
        <f>INPUT_PRODUCT!B1</f>
        <v/>
      </c>
      <c r="B23" s="89">
        <f>INPUT_PRODUCT!B2</f>
        <v/>
      </c>
      <c r="C23" s="100">
        <f>INPUT_PRODUCT!B6</f>
        <v/>
      </c>
      <c r="D23" s="0" t="inlineStr">
        <is>
          <t>Arias Group Caribe SRL</t>
        </is>
      </c>
      <c r="F23" s="0" t="inlineStr">
        <is>
          <t>Tarancón, España</t>
        </is>
      </c>
      <c r="G23" s="0">
        <f>INPUT_PRODUCT!B7</f>
        <v/>
      </c>
      <c r="H23" s="79" t="n"/>
      <c r="I23" s="64" t="n"/>
      <c r="J23" s="64" t="n"/>
      <c r="K23" s="64">
        <f>IF(PRODUCT_CALCULATION!B17="SI";PRODUCT_CALCULATION!C17;"")</f>
        <v/>
      </c>
      <c r="L23" s="64">
        <f>IF(PRODUCT_CALCULATION!B17="SI";PRODUCT_CALCULATION!E17;"")</f>
        <v/>
      </c>
      <c r="M23" s="64">
        <f>IF(PRODUCT_CALCULATION!C17="";"";VLOOKUP(PRODUCT_CALCULATION!C17;PRODUCT!B:Q;16;FALSE))</f>
        <v/>
      </c>
      <c r="N23" s="64">
        <f>IF(PRODUCT_CALCULATION!C17="";"";VLOOKUP(PRODUCT_CALCULATION!C17;PRODUCT!B:R;17;FALSE))</f>
        <v/>
      </c>
      <c r="O23" s="64">
        <f>IF(PRODUCT_CALCULATION!C17="";"";VLOOKUP(PRODUCT_CALCULATION!C17;PRODUCT!B:S;18;FALSE))</f>
        <v/>
      </c>
      <c r="P23" s="64">
        <f>IF(PRODUCT_CALCULATION!C17="";"";VLOOKUP(PRODUCT_CALCULATION!C17;PRODUCT!B:D;3;FALSE))</f>
        <v/>
      </c>
      <c r="Q23" s="64">
        <f>IF(PRODUCT_CALCULATION!C17="";"";VLOOKUP(PRODUCT_CALCULATION!C17;PRODUCT!B:E;4;FALSE))</f>
        <v/>
      </c>
      <c r="R23" s="64">
        <f>IF(PRODUCT_CALCULATION!B17="SI";PRODUCT_CALCULATION!F17;"")</f>
        <v/>
      </c>
      <c r="S23" s="64">
        <f>IF(PRODUCT_CALCULATION!B17="SI";PRODUCT_CALCULATION!K17;"")</f>
        <v/>
      </c>
      <c r="T23" s="64">
        <f>IF(PRODUCT_CALCULATION!B17="SI";PRODUCT_CALCULATION!J17;"")</f>
        <v/>
      </c>
      <c r="U23" s="64">
        <f>IF(PRODUCT_CALCULATION!B17="SI";PRODUCT_CALCULATION!N17;"")</f>
        <v/>
      </c>
      <c r="V23" s="64">
        <f>IF(PRODUCT_CALCULATION!B17="SI";PRODUCT_CALCULATION!L17;"")</f>
        <v/>
      </c>
      <c r="W23" s="64">
        <f>IF(PRODUCT_CALCULATION!B17="SI";PRODUCT_CALCULATION!M17;"")</f>
        <v/>
      </c>
      <c r="X23" s="64">
        <f>IF(R17="";"";CEILING(R17/S17;1))</f>
        <v/>
      </c>
      <c r="Y23" s="64">
        <f>IF(R17="";"";R17*T17)</f>
        <v/>
      </c>
      <c r="Z23" s="64">
        <f>IF(R17="";"";R17*V17)</f>
        <v/>
      </c>
    </row>
    <row r="24" ht="15.75" customHeight="1" s="125">
      <c r="A24" s="64">
        <f>INPUT_PRODUCT!B1</f>
        <v/>
      </c>
      <c r="B24" s="89">
        <f>INPUT_PRODUCT!B2</f>
        <v/>
      </c>
      <c r="C24" s="100">
        <f>INPUT_PRODUCT!B6</f>
        <v/>
      </c>
      <c r="D24" s="0" t="inlineStr">
        <is>
          <t>Arias Group Caribe SRL</t>
        </is>
      </c>
      <c r="F24" s="0" t="inlineStr">
        <is>
          <t>Tarancón, España</t>
        </is>
      </c>
      <c r="G24" s="0">
        <f>INPUT_PRODUCT!B7</f>
        <v/>
      </c>
      <c r="H24" s="79" t="n"/>
      <c r="I24" s="64" t="n"/>
      <c r="J24" s="64" t="n"/>
      <c r="K24" s="64">
        <f>IF(PRODUCT_CALCULATION!B18="SI";PRODUCT_CALCULATION!C18;"")</f>
        <v/>
      </c>
      <c r="L24" s="64">
        <f>IF(PRODUCT_CALCULATION!B18="SI";PRODUCT_CALCULATION!E18;"")</f>
        <v/>
      </c>
      <c r="M24" s="64">
        <f>IF(PRODUCT_CALCULATION!C18="";"";VLOOKUP(PRODUCT_CALCULATION!C18;PRODUCT!B:Q;16;FALSE))</f>
        <v/>
      </c>
      <c r="N24" s="64">
        <f>IF(PRODUCT_CALCULATION!C18="";"";VLOOKUP(PRODUCT_CALCULATION!C18;PRODUCT!B:R;17;FALSE))</f>
        <v/>
      </c>
      <c r="O24" s="64">
        <f>IF(PRODUCT_CALCULATION!C18="";"";VLOOKUP(PRODUCT_CALCULATION!C18;PRODUCT!B:S;18;FALSE))</f>
        <v/>
      </c>
      <c r="P24" s="64">
        <f>IF(PRODUCT_CALCULATION!C18="";"";VLOOKUP(PRODUCT_CALCULATION!C18;PRODUCT!B:D;3;FALSE))</f>
        <v/>
      </c>
      <c r="Q24" s="64">
        <f>IF(PRODUCT_CALCULATION!C18="";"";VLOOKUP(PRODUCT_CALCULATION!C18;PRODUCT!B:E;4;FALSE))</f>
        <v/>
      </c>
      <c r="R24" s="64">
        <f>IF(PRODUCT_CALCULATION!B18="SI";PRODUCT_CALCULATION!F18;"")</f>
        <v/>
      </c>
      <c r="S24" s="64">
        <f>IF(PRODUCT_CALCULATION!B18="SI";PRODUCT_CALCULATION!K18;"")</f>
        <v/>
      </c>
      <c r="T24" s="64">
        <f>IF(PRODUCT_CALCULATION!B18="SI";PRODUCT_CALCULATION!J18;"")</f>
        <v/>
      </c>
      <c r="U24" s="64">
        <f>IF(PRODUCT_CALCULATION!B18="SI";PRODUCT_CALCULATION!N18;"")</f>
        <v/>
      </c>
      <c r="V24" s="64">
        <f>IF(PRODUCT_CALCULATION!B18="SI";PRODUCT_CALCULATION!L18;"")</f>
        <v/>
      </c>
      <c r="W24" s="64">
        <f>IF(PRODUCT_CALCULATION!B18="SI";PRODUCT_CALCULATION!M18;"")</f>
        <v/>
      </c>
      <c r="X24" s="64">
        <f>IF(R18="";"";CEILING(R18/S18;1))</f>
        <v/>
      </c>
      <c r="Y24" s="64">
        <f>IF(R18="";"";R18*T18)</f>
        <v/>
      </c>
      <c r="Z24" s="64">
        <f>IF(R18="";"";R18*V18)</f>
        <v/>
      </c>
    </row>
    <row r="25" ht="15.75" customHeight="1" s="125">
      <c r="A25" s="64">
        <f>INPUT_PRODUCT!B1</f>
        <v/>
      </c>
      <c r="B25" s="78">
        <f>INPUT_PRODUCT!B2</f>
        <v/>
      </c>
      <c r="C25" s="64">
        <f>INPUT_PRODUCT!B6</f>
        <v/>
      </c>
      <c r="D25" s="64" t="inlineStr">
        <is>
          <t>Arias Group Caribe SRL</t>
        </is>
      </c>
      <c r="E25" s="64" t="n"/>
      <c r="F25" s="64" t="inlineStr">
        <is>
          <t>Tarancón, España</t>
        </is>
      </c>
      <c r="G25" s="79">
        <f>INPUT_PRODUCT!B7</f>
        <v/>
      </c>
      <c r="H25" s="79" t="n"/>
      <c r="I25" s="64" t="n"/>
      <c r="J25" s="64" t="n"/>
      <c r="K25" s="64">
        <f>IF(PRODUCT_CALCULATION!B19="SI";PRODUCT_CALCULATION!C19;"")</f>
        <v/>
      </c>
      <c r="L25" s="64">
        <f>IF(PRODUCT_CALCULATION!B19="SI";PRODUCT_CALCULATION!E19;"")</f>
        <v/>
      </c>
      <c r="M25" s="64">
        <f>IF(PRODUCT_CALCULATION!C19="";"";VLOOKUP(PRODUCT_CALCULATION!C19;PRODUCT!B:Q;16;FALSE))</f>
        <v/>
      </c>
      <c r="N25" s="64">
        <f>IF(PRODUCT_CALCULATION!C19="";"";VLOOKUP(PRODUCT_CALCULATION!C19;PRODUCT!B:R;17;FALSE))</f>
        <v/>
      </c>
      <c r="O25" s="64">
        <f>IF(PRODUCT_CALCULATION!C19="";"";VLOOKUP(PRODUCT_CALCULATION!C19;PRODUCT!B:S;18;FALSE))</f>
        <v/>
      </c>
      <c r="P25" s="64">
        <f>IF(PRODUCT_CALCULATION!C19="";"";VLOOKUP(PRODUCT_CALCULATION!C19;PRODUCT!B:D;3;FALSE))</f>
        <v/>
      </c>
      <c r="Q25" s="64">
        <f>IF(PRODUCT_CALCULATION!C19="";"";VLOOKUP(PRODUCT_CALCULATION!C19;PRODUCT!B:E;4;FALSE))</f>
        <v/>
      </c>
      <c r="R25" s="64">
        <f>IF(PRODUCT_CALCULATION!B19="SI";PRODUCT_CALCULATION!F19;"")</f>
        <v/>
      </c>
      <c r="S25" s="64">
        <f>IF(PRODUCT_CALCULATION!B19="SI";PRODUCT_CALCULATION!K19;"")</f>
        <v/>
      </c>
      <c r="T25" s="64">
        <f>IF(PRODUCT_CALCULATION!B19="SI";PRODUCT_CALCULATION!J19;"")</f>
        <v/>
      </c>
      <c r="U25" s="64">
        <f>IF(PRODUCT_CALCULATION!B19="SI";PRODUCT_CALCULATION!N19;"")</f>
        <v/>
      </c>
      <c r="V25" s="64">
        <f>IF(PRODUCT_CALCULATION!B19="SI";PRODUCT_CALCULATION!L19;"")</f>
        <v/>
      </c>
      <c r="W25" s="64">
        <f>IF(PRODUCT_CALCULATION!B19="SI";PRODUCT_CALCULATION!M19;"")</f>
        <v/>
      </c>
      <c r="X25" s="64">
        <f>IF(R19="";"";CEILING(R19/S19;1))</f>
        <v/>
      </c>
      <c r="Y25" s="64">
        <f>IF(R19="";"";R19*T19)</f>
        <v/>
      </c>
      <c r="Z25" s="64">
        <f>IF(R19="";"";R19*V19)</f>
        <v/>
      </c>
    </row>
    <row r="26" ht="15.75" customHeight="1" s="125">
      <c r="A26" s="64">
        <f>INPUT_PRODUCT!B1</f>
        <v/>
      </c>
      <c r="B26" s="134">
        <f>INPUT_PRODUCT!B2</f>
        <v/>
      </c>
      <c r="C26" s="0">
        <f>INPUT_PRODUCT!B6</f>
        <v/>
      </c>
      <c r="D26" s="0" t="inlineStr">
        <is>
          <t>Arias Group Caribe SRL</t>
        </is>
      </c>
      <c r="F26" s="0" t="inlineStr">
        <is>
          <t>Tarancón, España</t>
        </is>
      </c>
      <c r="G26" s="0">
        <f>INPUT_PRODUCT!B7</f>
        <v/>
      </c>
      <c r="H26" s="79" t="n"/>
      <c r="I26" s="79" t="n"/>
      <c r="J26" s="64" t="n"/>
      <c r="K26" s="64">
        <f>IF(PRODUCT_CALCULATION!B20="SI";PRODUCT_CALCULATION!C20;"")</f>
        <v/>
      </c>
      <c r="L26" s="64">
        <f>IF(PRODUCT_CALCULATION!B20="SI";PRODUCT_CALCULATION!E20;"")</f>
        <v/>
      </c>
      <c r="M26" s="64">
        <f>IF(PRODUCT_CALCULATION!C20="";"";VLOOKUP(PRODUCT_CALCULATION!C20;PRODUCT!B:Q;16;FALSE))</f>
        <v/>
      </c>
      <c r="N26" s="64">
        <f>IF(PRODUCT_CALCULATION!C20="";"";VLOOKUP(PRODUCT_CALCULATION!C20;PRODUCT!B:R;17;FALSE))</f>
        <v/>
      </c>
      <c r="O26" s="64">
        <f>IF(PRODUCT_CALCULATION!C20="";"";VLOOKUP(PRODUCT_CALCULATION!C20;PRODUCT!B:S;18;FALSE))</f>
        <v/>
      </c>
      <c r="P26" s="64">
        <f>IF(PRODUCT_CALCULATION!C20="";"";VLOOKUP(PRODUCT_CALCULATION!C20;PRODUCT!B:D;3;FALSE))</f>
        <v/>
      </c>
      <c r="Q26" s="64">
        <f>IF(PRODUCT_CALCULATION!C20="";"";VLOOKUP(PRODUCT_CALCULATION!C20;PRODUCT!B:E;4;FALSE))</f>
        <v/>
      </c>
      <c r="R26" s="64">
        <f>IF(PRODUCT_CALCULATION!B20="SI";PRODUCT_CALCULATION!F20;"")</f>
        <v/>
      </c>
      <c r="S26" s="64">
        <f>IF(PRODUCT_CALCULATION!B20="SI";PRODUCT_CALCULATION!K20;"")</f>
        <v/>
      </c>
      <c r="T26" s="64">
        <f>IF(PRODUCT_CALCULATION!B20="SI";PRODUCT_CALCULATION!J20;"")</f>
        <v/>
      </c>
      <c r="U26" s="64">
        <f>IF(PRODUCT_CALCULATION!B20="SI";PRODUCT_CALCULATION!N20;"")</f>
        <v/>
      </c>
      <c r="V26" s="64">
        <f>IF(PRODUCT_CALCULATION!B20="SI";PRODUCT_CALCULATION!L20;"")</f>
        <v/>
      </c>
      <c r="W26" s="64">
        <f>IF(PRODUCT_CALCULATION!B20="SI";PRODUCT_CALCULATION!M20;"")</f>
        <v/>
      </c>
      <c r="X26" s="64">
        <f>IF(R20="";"";CEILING(R20/S20;1))</f>
        <v/>
      </c>
      <c r="Y26" s="64">
        <f>IF(R20="";"";R20*T20)</f>
        <v/>
      </c>
      <c r="Z26" s="64">
        <f>IF(R20="";"";R20*V20)</f>
        <v/>
      </c>
    </row>
    <row r="27" ht="15.75" customHeight="1" s="125">
      <c r="A27" s="64">
        <f>INPUT_PRODUCT!B1</f>
        <v/>
      </c>
      <c r="B27" s="92">
        <f>INPUT_PRODUCT!B2</f>
        <v/>
      </c>
      <c r="C27" s="137">
        <f>INPUT_PRODUCT!B6</f>
        <v/>
      </c>
      <c r="D27" s="0" t="inlineStr">
        <is>
          <t>Arias Group Caribe SRL</t>
        </is>
      </c>
      <c r="E27" s="137" t="n"/>
      <c r="F27" s="0" t="inlineStr">
        <is>
          <t>Tarancón, España</t>
        </is>
      </c>
      <c r="G27" s="0">
        <f>INPUT_PRODUCT!B7</f>
        <v/>
      </c>
      <c r="H27" s="79" t="n"/>
      <c r="I27" s="64" t="n"/>
      <c r="J27" s="64" t="n"/>
      <c r="K27" s="64">
        <f>IF(PRODUCT_CALCULATION!B21="SI";PRODUCT_CALCULATION!C21;"")</f>
        <v/>
      </c>
      <c r="L27" s="64">
        <f>IF(PRODUCT_CALCULATION!B21="SI";PRODUCT_CALCULATION!E21;"")</f>
        <v/>
      </c>
      <c r="M27" s="64">
        <f>IF(PRODUCT_CALCULATION!C21="";"";VLOOKUP(PRODUCT_CALCULATION!C21;PRODUCT!B:Q;16;FALSE))</f>
        <v/>
      </c>
      <c r="N27" s="64">
        <f>IF(PRODUCT_CALCULATION!C21="";"";VLOOKUP(PRODUCT_CALCULATION!C21;PRODUCT!B:R;17;FALSE))</f>
        <v/>
      </c>
      <c r="O27" s="64">
        <f>IF(PRODUCT_CALCULATION!C21="";"";VLOOKUP(PRODUCT_CALCULATION!C21;PRODUCT!B:S;18;FALSE))</f>
        <v/>
      </c>
      <c r="P27" s="64">
        <f>IF(PRODUCT_CALCULATION!C21="";"";VLOOKUP(PRODUCT_CALCULATION!C21;PRODUCT!B:D;3;FALSE))</f>
        <v/>
      </c>
      <c r="Q27" s="64">
        <f>IF(PRODUCT_CALCULATION!C21="";"";VLOOKUP(PRODUCT_CALCULATION!C21;PRODUCT!B:E;4;FALSE))</f>
        <v/>
      </c>
      <c r="R27" s="64">
        <f>IF(PRODUCT_CALCULATION!B21="SI";PRODUCT_CALCULATION!F21;"")</f>
        <v/>
      </c>
      <c r="S27" s="64">
        <f>IF(PRODUCT_CALCULATION!B21="SI";PRODUCT_CALCULATION!K21;"")</f>
        <v/>
      </c>
      <c r="T27" s="64">
        <f>IF(PRODUCT_CALCULATION!B21="SI";PRODUCT_CALCULATION!J21;"")</f>
        <v/>
      </c>
      <c r="U27" s="64">
        <f>IF(PRODUCT_CALCULATION!B21="SI";PRODUCT_CALCULATION!N21;"")</f>
        <v/>
      </c>
      <c r="V27" s="64">
        <f>IF(PRODUCT_CALCULATION!B21="SI";PRODUCT_CALCULATION!L21;"")</f>
        <v/>
      </c>
      <c r="W27" s="64">
        <f>IF(PRODUCT_CALCULATION!B21="SI";PRODUCT_CALCULATION!M21;"")</f>
        <v/>
      </c>
      <c r="X27" s="64">
        <f>IF(R21="";"";CEILING(R21/S21;1))</f>
        <v/>
      </c>
      <c r="Y27" s="64">
        <f>IF(R21="";"";R21*T21)</f>
        <v/>
      </c>
      <c r="Z27" s="64">
        <f>IF(R21="";"";R21*V21)</f>
        <v/>
      </c>
    </row>
    <row r="28" ht="15.75" customHeight="1" s="125">
      <c r="A28" s="64">
        <f>INPUT_PRODUCT!B1</f>
        <v/>
      </c>
      <c r="B28" s="96">
        <f>INPUT_PRODUCT!B2</f>
        <v/>
      </c>
      <c r="C28" s="138">
        <f>INPUT_PRODUCT!B6</f>
        <v/>
      </c>
      <c r="D28" s="0" t="inlineStr">
        <is>
          <t>Arias Group Caribe SRL</t>
        </is>
      </c>
      <c r="E28" s="138" t="n"/>
      <c r="F28" s="0" t="inlineStr">
        <is>
          <t>Tarancón, España</t>
        </is>
      </c>
      <c r="G28" s="0">
        <f>INPUT_PRODUCT!B7</f>
        <v/>
      </c>
      <c r="H28" s="79" t="n"/>
      <c r="I28" s="64" t="n"/>
      <c r="J28" s="64" t="n"/>
      <c r="K28" s="64">
        <f>IF(PRODUCT_CALCULATION!B22="SI";PRODUCT_CALCULATION!C22;"")</f>
        <v/>
      </c>
      <c r="L28" s="64">
        <f>IF(PRODUCT_CALCULATION!B22="SI";PRODUCT_CALCULATION!E22;"")</f>
        <v/>
      </c>
      <c r="M28" s="64">
        <f>IF(PRODUCT_CALCULATION!C22="";"";VLOOKUP(PRODUCT_CALCULATION!C22;PRODUCT!B:Q;16;FALSE))</f>
        <v/>
      </c>
      <c r="N28" s="64">
        <f>IF(PRODUCT_CALCULATION!C22="";"";VLOOKUP(PRODUCT_CALCULATION!C22;PRODUCT!B:R;17;FALSE))</f>
        <v/>
      </c>
      <c r="O28" s="64">
        <f>IF(PRODUCT_CALCULATION!C22="";"";VLOOKUP(PRODUCT_CALCULATION!C22;PRODUCT!B:S;18;FALSE))</f>
        <v/>
      </c>
      <c r="P28" s="64">
        <f>IF(PRODUCT_CALCULATION!C22="";"";VLOOKUP(PRODUCT_CALCULATION!C22;PRODUCT!B:D;3;FALSE))</f>
        <v/>
      </c>
      <c r="Q28" s="64">
        <f>IF(PRODUCT_CALCULATION!C22="";"";VLOOKUP(PRODUCT_CALCULATION!C22;PRODUCT!B:E;4;FALSE))</f>
        <v/>
      </c>
      <c r="R28" s="64">
        <f>IF(PRODUCT_CALCULATION!B22="SI";PRODUCT_CALCULATION!F22;"")</f>
        <v/>
      </c>
      <c r="S28" s="64">
        <f>IF(PRODUCT_CALCULATION!B22="SI";PRODUCT_CALCULATION!K22;"")</f>
        <v/>
      </c>
      <c r="T28" s="64">
        <f>IF(PRODUCT_CALCULATION!B22="SI";PRODUCT_CALCULATION!J22;"")</f>
        <v/>
      </c>
      <c r="U28" s="64">
        <f>IF(PRODUCT_CALCULATION!B22="SI";PRODUCT_CALCULATION!N22;"")</f>
        <v/>
      </c>
      <c r="V28" s="64">
        <f>IF(PRODUCT_CALCULATION!B22="SI";PRODUCT_CALCULATION!L22;"")</f>
        <v/>
      </c>
      <c r="W28" s="64">
        <f>IF(PRODUCT_CALCULATION!B22="SI";PRODUCT_CALCULATION!M22;"")</f>
        <v/>
      </c>
      <c r="X28" s="64">
        <f>IF(R22="";"";CEILING(R22/S22;1))</f>
        <v/>
      </c>
      <c r="Y28" s="64">
        <f>IF(R22="";"";R22*T22)</f>
        <v/>
      </c>
      <c r="Z28" s="64">
        <f>IF(R22="";"";R22*V22)</f>
        <v/>
      </c>
    </row>
    <row r="29" ht="15.75" customHeight="1" s="125">
      <c r="A29" s="64">
        <f>INPUT_PRODUCT!B1</f>
        <v/>
      </c>
      <c r="B29" s="98">
        <f>INPUT_PRODUCT!B2</f>
        <v/>
      </c>
      <c r="C29" s="139">
        <f>INPUT_PRODUCT!B6</f>
        <v/>
      </c>
      <c r="D29" s="0" t="inlineStr">
        <is>
          <t>Arias Group Caribe SRL</t>
        </is>
      </c>
      <c r="E29" s="139" t="n"/>
      <c r="F29" s="0" t="inlineStr">
        <is>
          <t>Tarancón, España</t>
        </is>
      </c>
      <c r="G29" s="0">
        <f>INPUT_PRODUCT!B7</f>
        <v/>
      </c>
      <c r="H29" s="79" t="n"/>
      <c r="I29" s="64" t="n"/>
      <c r="J29" s="64" t="n"/>
      <c r="K29" s="64">
        <f>IF(PRODUCT_CALCULATION!B23="SI";PRODUCT_CALCULATION!C23;"")</f>
        <v/>
      </c>
      <c r="L29" s="64">
        <f>IF(PRODUCT_CALCULATION!B23="SI";PRODUCT_CALCULATION!E23;"")</f>
        <v/>
      </c>
      <c r="M29" s="64">
        <f>IF(PRODUCT_CALCULATION!C23="";"";VLOOKUP(PRODUCT_CALCULATION!C23;PRODUCT!B:Q;16;FALSE))</f>
        <v/>
      </c>
      <c r="N29" s="64">
        <f>IF(PRODUCT_CALCULATION!C23="";"";VLOOKUP(PRODUCT_CALCULATION!C23;PRODUCT!B:R;17;FALSE))</f>
        <v/>
      </c>
      <c r="O29" s="64">
        <f>IF(PRODUCT_CALCULATION!C23="";"";VLOOKUP(PRODUCT_CALCULATION!C23;PRODUCT!B:S;18;FALSE))</f>
        <v/>
      </c>
      <c r="P29" s="64">
        <f>IF(PRODUCT_CALCULATION!C23="";"";VLOOKUP(PRODUCT_CALCULATION!C23;PRODUCT!B:D;3;FALSE))</f>
        <v/>
      </c>
      <c r="Q29" s="64">
        <f>IF(PRODUCT_CALCULATION!C23="";"";VLOOKUP(PRODUCT_CALCULATION!C23;PRODUCT!B:E;4;FALSE))</f>
        <v/>
      </c>
      <c r="R29" s="64">
        <f>IF(PRODUCT_CALCULATION!B23="SI";PRODUCT_CALCULATION!F23;"")</f>
        <v/>
      </c>
      <c r="S29" s="64">
        <f>IF(PRODUCT_CALCULATION!B23="SI";PRODUCT_CALCULATION!K23;"")</f>
        <v/>
      </c>
      <c r="T29" s="64">
        <f>IF(PRODUCT_CALCULATION!B23="SI";PRODUCT_CALCULATION!J23;"")</f>
        <v/>
      </c>
      <c r="U29" s="64">
        <f>IF(PRODUCT_CALCULATION!B23="SI";PRODUCT_CALCULATION!N23;"")</f>
        <v/>
      </c>
      <c r="V29" s="64">
        <f>IF(PRODUCT_CALCULATION!B23="SI";PRODUCT_CALCULATION!L23;"")</f>
        <v/>
      </c>
      <c r="W29" s="64">
        <f>IF(PRODUCT_CALCULATION!B23="SI";PRODUCT_CALCULATION!M23;"")</f>
        <v/>
      </c>
      <c r="X29" s="64">
        <f>IF(R23="";"";CEILING(R23/S23;1))</f>
        <v/>
      </c>
      <c r="Y29" s="64">
        <f>IF(R23="";"";R23*T23)</f>
        <v/>
      </c>
      <c r="Z29" s="64">
        <f>IF(R23="";"";R23*V23)</f>
        <v/>
      </c>
    </row>
    <row r="30" ht="15.75" customHeight="1" s="125">
      <c r="A30" s="64">
        <f>INPUT_PRODUCT!B1</f>
        <v/>
      </c>
      <c r="B30" s="96">
        <f>INPUT_PRODUCT!B2</f>
        <v/>
      </c>
      <c r="C30" s="138">
        <f>INPUT_PRODUCT!B6</f>
        <v/>
      </c>
      <c r="D30" s="0" t="inlineStr">
        <is>
          <t>Arias Group Caribe SRL</t>
        </is>
      </c>
      <c r="E30" s="138" t="n"/>
      <c r="F30" s="0" t="inlineStr">
        <is>
          <t>Tarancón, España</t>
        </is>
      </c>
      <c r="G30" s="0">
        <f>INPUT_PRODUCT!B7</f>
        <v/>
      </c>
      <c r="H30" s="79" t="n"/>
      <c r="I30" s="64" t="n"/>
      <c r="J30" s="64" t="n"/>
      <c r="K30" s="64">
        <f>IF(PRODUCT_CALCULATION!B24="SI";PRODUCT_CALCULATION!C24;"")</f>
        <v/>
      </c>
      <c r="L30" s="64">
        <f>IF(PRODUCT_CALCULATION!B24="SI";PRODUCT_CALCULATION!E24;"")</f>
        <v/>
      </c>
      <c r="M30" s="64">
        <f>IF(PRODUCT_CALCULATION!C24="";"";VLOOKUP(PRODUCT_CALCULATION!C24;PRODUCT!B:Q;16;FALSE))</f>
        <v/>
      </c>
      <c r="N30" s="64">
        <f>IF(PRODUCT_CALCULATION!C24="";"";VLOOKUP(PRODUCT_CALCULATION!C24;PRODUCT!B:R;17;FALSE))</f>
        <v/>
      </c>
      <c r="O30" s="64">
        <f>IF(PRODUCT_CALCULATION!C24="";"";VLOOKUP(PRODUCT_CALCULATION!C24;PRODUCT!B:S;18;FALSE))</f>
        <v/>
      </c>
      <c r="P30" s="64">
        <f>IF(PRODUCT_CALCULATION!C24="";"";VLOOKUP(PRODUCT_CALCULATION!C24;PRODUCT!B:D;3;FALSE))</f>
        <v/>
      </c>
      <c r="Q30" s="64">
        <f>IF(PRODUCT_CALCULATION!C24="";"";VLOOKUP(PRODUCT_CALCULATION!C24;PRODUCT!B:E;4;FALSE))</f>
        <v/>
      </c>
      <c r="R30" s="64">
        <f>IF(PRODUCT_CALCULATION!B24="SI";PRODUCT_CALCULATION!F24;"")</f>
        <v/>
      </c>
      <c r="S30" s="64">
        <f>IF(PRODUCT_CALCULATION!B24="SI";PRODUCT_CALCULATION!K24;"")</f>
        <v/>
      </c>
      <c r="T30" s="64">
        <f>IF(PRODUCT_CALCULATION!B24="SI";PRODUCT_CALCULATION!J24;"")</f>
        <v/>
      </c>
      <c r="U30" s="64">
        <f>IF(PRODUCT_CALCULATION!B24="SI";PRODUCT_CALCULATION!N24;"")</f>
        <v/>
      </c>
      <c r="V30" s="64">
        <f>IF(PRODUCT_CALCULATION!B24="SI";PRODUCT_CALCULATION!L24;"")</f>
        <v/>
      </c>
      <c r="W30" s="64">
        <f>IF(PRODUCT_CALCULATION!B24="SI";PRODUCT_CALCULATION!M24;"")</f>
        <v/>
      </c>
      <c r="X30" s="64">
        <f>IF(R24="";"";CEILING(R24/S24;1))</f>
        <v/>
      </c>
      <c r="Y30" s="64">
        <f>IF(R24="";"";R24*T24)</f>
        <v/>
      </c>
      <c r="Z30" s="64">
        <f>IF(R24="";"";R24*V24)</f>
        <v/>
      </c>
    </row>
    <row r="31" ht="15.75" customHeight="1" s="125">
      <c r="A31" s="64">
        <f>INPUT_PRODUCT!B1</f>
        <v/>
      </c>
      <c r="B31" s="98">
        <f>INPUT_PRODUCT!B2</f>
        <v/>
      </c>
      <c r="C31" s="139">
        <f>INPUT_PRODUCT!B6</f>
        <v/>
      </c>
      <c r="D31" s="0" t="inlineStr">
        <is>
          <t>Arias Group Caribe SRL</t>
        </is>
      </c>
      <c r="E31" s="139" t="n"/>
      <c r="F31" s="0" t="inlineStr">
        <is>
          <t>Tarancón, España</t>
        </is>
      </c>
      <c r="G31" s="0">
        <f>INPUT_PRODUCT!B7</f>
        <v/>
      </c>
      <c r="H31" s="79" t="n"/>
      <c r="I31" s="64" t="n"/>
      <c r="J31" s="64" t="n"/>
      <c r="K31" s="64">
        <f>IF(PRODUCT_CALCULATION!B25="SI";PRODUCT_CALCULATION!C25;"")</f>
        <v/>
      </c>
      <c r="L31" s="64">
        <f>IF(PRODUCT_CALCULATION!B25="SI";PRODUCT_CALCULATION!E25;"")</f>
        <v/>
      </c>
      <c r="M31" s="64">
        <f>IF(PRODUCT_CALCULATION!C25="";"";VLOOKUP(PRODUCT_CALCULATION!C25;PRODUCT!B:Q;16;FALSE))</f>
        <v/>
      </c>
      <c r="N31" s="64">
        <f>IF(PRODUCT_CALCULATION!C25="";"";VLOOKUP(PRODUCT_CALCULATION!C25;PRODUCT!B:R;17;FALSE))</f>
        <v/>
      </c>
      <c r="O31" s="64">
        <f>IF(PRODUCT_CALCULATION!C25="";"";VLOOKUP(PRODUCT_CALCULATION!C25;PRODUCT!B:S;18;FALSE))</f>
        <v/>
      </c>
      <c r="P31" s="64">
        <f>IF(PRODUCT_CALCULATION!C25="";"";VLOOKUP(PRODUCT_CALCULATION!C25;PRODUCT!B:D;3;FALSE))</f>
        <v/>
      </c>
      <c r="Q31" s="64">
        <f>IF(PRODUCT_CALCULATION!C25="";"";VLOOKUP(PRODUCT_CALCULATION!C25;PRODUCT!B:E;4;FALSE))</f>
        <v/>
      </c>
      <c r="R31" s="64">
        <f>IF(PRODUCT_CALCULATION!B25="SI";PRODUCT_CALCULATION!F25;"")</f>
        <v/>
      </c>
      <c r="S31" s="64">
        <f>IF(PRODUCT_CALCULATION!B25="SI";PRODUCT_CALCULATION!K25;"")</f>
        <v/>
      </c>
      <c r="T31" s="64">
        <f>IF(PRODUCT_CALCULATION!B25="SI";PRODUCT_CALCULATION!J25;"")</f>
        <v/>
      </c>
      <c r="U31" s="64">
        <f>IF(PRODUCT_CALCULATION!B25="SI";PRODUCT_CALCULATION!N25;"")</f>
        <v/>
      </c>
      <c r="V31" s="64">
        <f>IF(PRODUCT_CALCULATION!B25="SI";PRODUCT_CALCULATION!L25;"")</f>
        <v/>
      </c>
      <c r="W31" s="64">
        <f>IF(PRODUCT_CALCULATION!B25="SI";PRODUCT_CALCULATION!M25;"")</f>
        <v/>
      </c>
      <c r="X31" s="64">
        <f>IF(R25="";"";CEILING(R25/S25;1))</f>
        <v/>
      </c>
      <c r="Y31" s="64">
        <f>IF(R25="";"";R25*T25)</f>
        <v/>
      </c>
      <c r="Z31" s="64">
        <f>IF(R25="";"";R25*V25)</f>
        <v/>
      </c>
    </row>
    <row r="32" ht="15.75" customHeight="1" s="125">
      <c r="A32" s="64">
        <f>INPUT_PRODUCT!B1</f>
        <v/>
      </c>
      <c r="B32" s="96">
        <f>INPUT_PRODUCT!B2</f>
        <v/>
      </c>
      <c r="C32" s="138">
        <f>INPUT_PRODUCT!B6</f>
        <v/>
      </c>
      <c r="D32" s="0" t="inlineStr">
        <is>
          <t>Arias Group Caribe SRL</t>
        </is>
      </c>
      <c r="E32" s="138" t="n"/>
      <c r="F32" s="0" t="inlineStr">
        <is>
          <t>Tarancón, España</t>
        </is>
      </c>
      <c r="G32" s="0">
        <f>INPUT_PRODUCT!B7</f>
        <v/>
      </c>
      <c r="H32" s="79" t="n"/>
      <c r="I32" s="64" t="n"/>
      <c r="J32" s="64" t="n"/>
      <c r="K32" s="64">
        <f>IF(PRODUCT_CALCULATION!B26="SI";PRODUCT_CALCULATION!C26;"")</f>
        <v/>
      </c>
      <c r="L32" s="64">
        <f>IF(PRODUCT_CALCULATION!B26="SI";PRODUCT_CALCULATION!E26;"")</f>
        <v/>
      </c>
      <c r="M32" s="64">
        <f>IF(PRODUCT_CALCULATION!C26="";"";VLOOKUP(PRODUCT_CALCULATION!C26;PRODUCT!B:Q;16;FALSE))</f>
        <v/>
      </c>
      <c r="N32" s="64">
        <f>IF(PRODUCT_CALCULATION!C26="";"";VLOOKUP(PRODUCT_CALCULATION!C26;PRODUCT!B:R;17;FALSE))</f>
        <v/>
      </c>
      <c r="O32" s="64">
        <f>IF(PRODUCT_CALCULATION!C26="";"";VLOOKUP(PRODUCT_CALCULATION!C26;PRODUCT!B:S;18;FALSE))</f>
        <v/>
      </c>
      <c r="P32" s="64">
        <f>IF(PRODUCT_CALCULATION!C26="";"";VLOOKUP(PRODUCT_CALCULATION!C26;PRODUCT!B:D;3;FALSE))</f>
        <v/>
      </c>
      <c r="Q32" s="64">
        <f>IF(PRODUCT_CALCULATION!C26="";"";VLOOKUP(PRODUCT_CALCULATION!C26;PRODUCT!B:E;4;FALSE))</f>
        <v/>
      </c>
      <c r="R32" s="64">
        <f>IF(PRODUCT_CALCULATION!B26="SI";PRODUCT_CALCULATION!F26;"")</f>
        <v/>
      </c>
      <c r="S32" s="64">
        <f>IF(PRODUCT_CALCULATION!B26="SI";PRODUCT_CALCULATION!K26;"")</f>
        <v/>
      </c>
      <c r="T32" s="64">
        <f>IF(PRODUCT_CALCULATION!B26="SI";PRODUCT_CALCULATION!J26;"")</f>
        <v/>
      </c>
      <c r="U32" s="64">
        <f>IF(PRODUCT_CALCULATION!B26="SI";PRODUCT_CALCULATION!N26;"")</f>
        <v/>
      </c>
      <c r="V32" s="64">
        <f>IF(PRODUCT_CALCULATION!B26="SI";PRODUCT_CALCULATION!L26;"")</f>
        <v/>
      </c>
      <c r="W32" s="64">
        <f>IF(PRODUCT_CALCULATION!B26="SI";PRODUCT_CALCULATION!M26;"")</f>
        <v/>
      </c>
      <c r="X32" s="64">
        <f>IF(R26="";"";CEILING(R26/S26;1))</f>
        <v/>
      </c>
      <c r="Y32" s="64">
        <f>IF(R26="";"";R26*T26)</f>
        <v/>
      </c>
      <c r="Z32" s="64">
        <f>IF(R26="";"";R26*V26)</f>
        <v/>
      </c>
    </row>
    <row r="33" ht="15.75" customHeight="1" s="125">
      <c r="A33" s="64">
        <f>INPUT_PRODUCT!B1</f>
        <v/>
      </c>
      <c r="B33" s="98">
        <f>INPUT_PRODUCT!B2</f>
        <v/>
      </c>
      <c r="C33" s="139">
        <f>INPUT_PRODUCT!B6</f>
        <v/>
      </c>
      <c r="D33" s="0" t="inlineStr">
        <is>
          <t>Arias Group Caribe SRL</t>
        </is>
      </c>
      <c r="E33" s="139" t="n"/>
      <c r="F33" s="0" t="inlineStr">
        <is>
          <t>Tarancón, España</t>
        </is>
      </c>
      <c r="G33" s="0">
        <f>INPUT_PRODUCT!B7</f>
        <v/>
      </c>
      <c r="H33" s="79" t="n"/>
      <c r="I33" s="64" t="n"/>
      <c r="J33" s="64" t="n"/>
      <c r="K33" s="64">
        <f>IF(PRODUCT_CALCULATION!B27="SI";PRODUCT_CALCULATION!C27;"")</f>
        <v/>
      </c>
      <c r="L33" s="64">
        <f>IF(PRODUCT_CALCULATION!B27="SI";PRODUCT_CALCULATION!E27;"")</f>
        <v/>
      </c>
      <c r="M33" s="64">
        <f>IF(PRODUCT_CALCULATION!C27="";"";VLOOKUP(PRODUCT_CALCULATION!C27;PRODUCT!B:Q;16;FALSE))</f>
        <v/>
      </c>
      <c r="N33" s="64">
        <f>IF(PRODUCT_CALCULATION!C27="";"";VLOOKUP(PRODUCT_CALCULATION!C27;PRODUCT!B:R;17;FALSE))</f>
        <v/>
      </c>
      <c r="O33" s="64">
        <f>IF(PRODUCT_CALCULATION!C27="";"";VLOOKUP(PRODUCT_CALCULATION!C27;PRODUCT!B:S;18;FALSE))</f>
        <v/>
      </c>
      <c r="P33" s="64">
        <f>IF(PRODUCT_CALCULATION!C27="";"";VLOOKUP(PRODUCT_CALCULATION!C27;PRODUCT!B:D;3;FALSE))</f>
        <v/>
      </c>
      <c r="Q33" s="64">
        <f>IF(PRODUCT_CALCULATION!C27="";"";VLOOKUP(PRODUCT_CALCULATION!C27;PRODUCT!B:E;4;FALSE))</f>
        <v/>
      </c>
      <c r="R33" s="64">
        <f>IF(PRODUCT_CALCULATION!B27="SI";PRODUCT_CALCULATION!F27;"")</f>
        <v/>
      </c>
      <c r="S33" s="64">
        <f>IF(PRODUCT_CALCULATION!B27="SI";PRODUCT_CALCULATION!K27;"")</f>
        <v/>
      </c>
      <c r="T33" s="64">
        <f>IF(PRODUCT_CALCULATION!B27="SI";PRODUCT_CALCULATION!J27;"")</f>
        <v/>
      </c>
      <c r="U33" s="64">
        <f>IF(PRODUCT_CALCULATION!B27="SI";PRODUCT_CALCULATION!N27;"")</f>
        <v/>
      </c>
      <c r="V33" s="64">
        <f>IF(PRODUCT_CALCULATION!B27="SI";PRODUCT_CALCULATION!L27;"")</f>
        <v/>
      </c>
      <c r="W33" s="64">
        <f>IF(PRODUCT_CALCULATION!B27="SI";PRODUCT_CALCULATION!M27;"")</f>
        <v/>
      </c>
      <c r="X33" s="64">
        <f>IF(R27="";"";CEILING(R27/S27;1))</f>
        <v/>
      </c>
      <c r="Y33" s="64">
        <f>IF(R27="";"";R27*T27)</f>
        <v/>
      </c>
      <c r="Z33" s="64">
        <f>IF(R27="";"";R27*V27)</f>
        <v/>
      </c>
    </row>
    <row r="34" ht="15.75" customHeight="1" s="125">
      <c r="A34" s="64">
        <f>INPUT_PRODUCT!B1</f>
        <v/>
      </c>
      <c r="B34" s="96">
        <f>INPUT_PRODUCT!B2</f>
        <v/>
      </c>
      <c r="C34" s="138">
        <f>INPUT_PRODUCT!B6</f>
        <v/>
      </c>
      <c r="D34" s="0" t="inlineStr">
        <is>
          <t>Arias Group Caribe SRL</t>
        </is>
      </c>
      <c r="E34" s="138" t="n"/>
      <c r="F34" s="0" t="inlineStr">
        <is>
          <t>Tarancón, España</t>
        </is>
      </c>
      <c r="G34" s="0">
        <f>INPUT_PRODUCT!B7</f>
        <v/>
      </c>
      <c r="H34" s="79" t="n"/>
      <c r="I34" s="64" t="n"/>
      <c r="J34" s="64" t="n"/>
      <c r="K34" s="64">
        <f>IF(PRODUCT_CALCULATION!B28="SI";PRODUCT_CALCULATION!C28;"")</f>
        <v/>
      </c>
      <c r="L34" s="64">
        <f>IF(PRODUCT_CALCULATION!B28="SI";PRODUCT_CALCULATION!E28;"")</f>
        <v/>
      </c>
      <c r="M34" s="64">
        <f>IF(PRODUCT_CALCULATION!C28="";"";VLOOKUP(PRODUCT_CALCULATION!C28;PRODUCT!B:Q;16;FALSE))</f>
        <v/>
      </c>
      <c r="N34" s="64">
        <f>IF(PRODUCT_CALCULATION!C28="";"";VLOOKUP(PRODUCT_CALCULATION!C28;PRODUCT!B:R;17;FALSE))</f>
        <v/>
      </c>
      <c r="O34" s="64">
        <f>IF(PRODUCT_CALCULATION!C28="";"";VLOOKUP(PRODUCT_CALCULATION!C28;PRODUCT!B:S;18;FALSE))</f>
        <v/>
      </c>
      <c r="P34" s="64">
        <f>IF(PRODUCT_CALCULATION!C28="";"";VLOOKUP(PRODUCT_CALCULATION!C28;PRODUCT!B:D;3;FALSE))</f>
        <v/>
      </c>
      <c r="Q34" s="64">
        <f>IF(PRODUCT_CALCULATION!C28="";"";VLOOKUP(PRODUCT_CALCULATION!C28;PRODUCT!B:E;4;FALSE))</f>
        <v/>
      </c>
      <c r="R34" s="64">
        <f>IF(PRODUCT_CALCULATION!B28="SI";PRODUCT_CALCULATION!F28;"")</f>
        <v/>
      </c>
      <c r="S34" s="64">
        <f>IF(PRODUCT_CALCULATION!B28="SI";PRODUCT_CALCULATION!K28;"")</f>
        <v/>
      </c>
      <c r="T34" s="64">
        <f>IF(PRODUCT_CALCULATION!B28="SI";PRODUCT_CALCULATION!J28;"")</f>
        <v/>
      </c>
      <c r="U34" s="64">
        <f>IF(PRODUCT_CALCULATION!B28="SI";PRODUCT_CALCULATION!N28;"")</f>
        <v/>
      </c>
      <c r="V34" s="64">
        <f>IF(PRODUCT_CALCULATION!B28="SI";PRODUCT_CALCULATION!L28;"")</f>
        <v/>
      </c>
      <c r="W34" s="64">
        <f>IF(PRODUCT_CALCULATION!B28="SI";PRODUCT_CALCULATION!M28;"")</f>
        <v/>
      </c>
      <c r="X34" s="64">
        <f>IF(R28="";"";CEILING(R28/S28;1))</f>
        <v/>
      </c>
      <c r="Y34" s="64">
        <f>IF(R28="";"";R28*T28)</f>
        <v/>
      </c>
      <c r="Z34" s="64">
        <f>IF(R28="";"";R28*V28)</f>
        <v/>
      </c>
    </row>
    <row r="35" ht="15.75" customHeight="1" s="125">
      <c r="A35" s="64">
        <f>INPUT_PRODUCT!B1</f>
        <v/>
      </c>
      <c r="B35" s="98">
        <f>INPUT_PRODUCT!B2</f>
        <v/>
      </c>
      <c r="C35" s="139">
        <f>INPUT_PRODUCT!B6</f>
        <v/>
      </c>
      <c r="D35" s="0" t="inlineStr">
        <is>
          <t>Arias Group Caribe SRL</t>
        </is>
      </c>
      <c r="E35" s="139" t="n"/>
      <c r="F35" s="0" t="inlineStr">
        <is>
          <t>Tarancón, España</t>
        </is>
      </c>
      <c r="G35" s="0">
        <f>INPUT_PRODUCT!B7</f>
        <v/>
      </c>
      <c r="H35" s="79" t="n"/>
      <c r="I35" s="64" t="n"/>
      <c r="J35" s="64" t="n"/>
      <c r="K35" s="64">
        <f>IF(PRODUCT_CALCULATION!B29="SI";PRODUCT_CALCULATION!C29;"")</f>
        <v/>
      </c>
      <c r="L35" s="64">
        <f>IF(PRODUCT_CALCULATION!B29="SI";PRODUCT_CALCULATION!E29;"")</f>
        <v/>
      </c>
      <c r="M35" s="64">
        <f>IF(PRODUCT_CALCULATION!C29="";"";VLOOKUP(PRODUCT_CALCULATION!C29;PRODUCT!B:Q;16;FALSE))</f>
        <v/>
      </c>
      <c r="N35" s="64">
        <f>IF(PRODUCT_CALCULATION!C29="";"";VLOOKUP(PRODUCT_CALCULATION!C29;PRODUCT!B:R;17;FALSE))</f>
        <v/>
      </c>
      <c r="O35" s="64">
        <f>IF(PRODUCT_CALCULATION!C29="";"";VLOOKUP(PRODUCT_CALCULATION!C29;PRODUCT!B:S;18;FALSE))</f>
        <v/>
      </c>
      <c r="P35" s="64">
        <f>IF(PRODUCT_CALCULATION!C29="";"";VLOOKUP(PRODUCT_CALCULATION!C29;PRODUCT!B:D;3;FALSE))</f>
        <v/>
      </c>
      <c r="Q35" s="64">
        <f>IF(PRODUCT_CALCULATION!C29="";"";VLOOKUP(PRODUCT_CALCULATION!C29;PRODUCT!B:E;4;FALSE))</f>
        <v/>
      </c>
      <c r="R35" s="64">
        <f>IF(PRODUCT_CALCULATION!B29="SI";PRODUCT_CALCULATION!F29;"")</f>
        <v/>
      </c>
      <c r="S35" s="64">
        <f>IF(PRODUCT_CALCULATION!B29="SI";PRODUCT_CALCULATION!K29;"")</f>
        <v/>
      </c>
      <c r="T35" s="64">
        <f>IF(PRODUCT_CALCULATION!B29="SI";PRODUCT_CALCULATION!J29;"")</f>
        <v/>
      </c>
      <c r="U35" s="64">
        <f>IF(PRODUCT_CALCULATION!B29="SI";PRODUCT_CALCULATION!N29;"")</f>
        <v/>
      </c>
      <c r="V35" s="64">
        <f>IF(PRODUCT_CALCULATION!B29="SI";PRODUCT_CALCULATION!L29;"")</f>
        <v/>
      </c>
      <c r="W35" s="64">
        <f>IF(PRODUCT_CALCULATION!B29="SI";PRODUCT_CALCULATION!M29;"")</f>
        <v/>
      </c>
      <c r="X35" s="64">
        <f>IF(R29="";"";CEILING(R29/S29;1))</f>
        <v/>
      </c>
      <c r="Y35" s="64">
        <f>IF(R29="";"";R29*T29)</f>
        <v/>
      </c>
      <c r="Z35" s="64">
        <f>IF(R29="";"";R29*V29)</f>
        <v/>
      </c>
    </row>
    <row r="36" ht="15.75" customHeight="1" s="125">
      <c r="A36" s="64">
        <f>INPUT_PRODUCT!B1</f>
        <v/>
      </c>
      <c r="B36" s="96">
        <f>INPUT_PRODUCT!B2</f>
        <v/>
      </c>
      <c r="C36" s="138">
        <f>INPUT_PRODUCT!B6</f>
        <v/>
      </c>
      <c r="D36" s="0" t="inlineStr">
        <is>
          <t>Arias Group Caribe SRL</t>
        </is>
      </c>
      <c r="E36" s="138" t="n"/>
      <c r="F36" s="0" t="inlineStr">
        <is>
          <t>Tarancón, España</t>
        </is>
      </c>
      <c r="G36" s="0">
        <f>INPUT_PRODUCT!B7</f>
        <v/>
      </c>
      <c r="H36" s="79" t="n"/>
      <c r="I36" s="64" t="n"/>
      <c r="J36" s="64" t="n"/>
      <c r="K36" s="64">
        <f>IF(PRODUCT_CALCULATION!B30="SI";PRODUCT_CALCULATION!C30;"")</f>
        <v/>
      </c>
      <c r="L36" s="64">
        <f>IF(PRODUCT_CALCULATION!B30="SI";PRODUCT_CALCULATION!E30;"")</f>
        <v/>
      </c>
      <c r="M36" s="64">
        <f>IF(PRODUCT_CALCULATION!C30="";"";VLOOKUP(PRODUCT_CALCULATION!C30;PRODUCT!B:Q;16;FALSE))</f>
        <v/>
      </c>
      <c r="N36" s="64">
        <f>IF(PRODUCT_CALCULATION!C30="";"";VLOOKUP(PRODUCT_CALCULATION!C30;PRODUCT!B:R;17;FALSE))</f>
        <v/>
      </c>
      <c r="O36" s="64">
        <f>IF(PRODUCT_CALCULATION!C30="";"";VLOOKUP(PRODUCT_CALCULATION!C30;PRODUCT!B:S;18;FALSE))</f>
        <v/>
      </c>
      <c r="P36" s="64">
        <f>IF(PRODUCT_CALCULATION!C30="";"";VLOOKUP(PRODUCT_CALCULATION!C30;PRODUCT!B:D;3;FALSE))</f>
        <v/>
      </c>
      <c r="Q36" s="64">
        <f>IF(PRODUCT_CALCULATION!C30="";"";VLOOKUP(PRODUCT_CALCULATION!C30;PRODUCT!B:E;4;FALSE))</f>
        <v/>
      </c>
      <c r="R36" s="64">
        <f>IF(PRODUCT_CALCULATION!B30="SI";PRODUCT_CALCULATION!F30;"")</f>
        <v/>
      </c>
      <c r="S36" s="64">
        <f>IF(PRODUCT_CALCULATION!B30="SI";PRODUCT_CALCULATION!K30;"")</f>
        <v/>
      </c>
      <c r="T36" s="64">
        <f>IF(PRODUCT_CALCULATION!B30="SI";PRODUCT_CALCULATION!J30;"")</f>
        <v/>
      </c>
      <c r="U36" s="64">
        <f>IF(PRODUCT_CALCULATION!B30="SI";PRODUCT_CALCULATION!N30;"")</f>
        <v/>
      </c>
      <c r="V36" s="64">
        <f>IF(PRODUCT_CALCULATION!B30="SI";PRODUCT_CALCULATION!L30;"")</f>
        <v/>
      </c>
      <c r="W36" s="64">
        <f>IF(PRODUCT_CALCULATION!B30="SI";PRODUCT_CALCULATION!M30;"")</f>
        <v/>
      </c>
      <c r="X36" s="64">
        <f>IF(R30="";"";CEILING(R30/S30;1))</f>
        <v/>
      </c>
      <c r="Y36" s="64">
        <f>IF(R30="";"";R30*T30)</f>
        <v/>
      </c>
      <c r="Z36" s="64">
        <f>IF(R30="";"";R30*V30)</f>
        <v/>
      </c>
    </row>
    <row r="37" ht="15.75" customHeight="1" s="125">
      <c r="A37" s="64">
        <f>INPUT_PRODUCT!B1</f>
        <v/>
      </c>
      <c r="B37" s="98">
        <f>INPUT_PRODUCT!B2</f>
        <v/>
      </c>
      <c r="C37" s="139">
        <f>INPUT_PRODUCT!B6</f>
        <v/>
      </c>
      <c r="D37" s="0" t="inlineStr">
        <is>
          <t>Arias Group Caribe SRL</t>
        </is>
      </c>
      <c r="E37" s="139" t="n"/>
      <c r="F37" s="0" t="inlineStr">
        <is>
          <t>Tarancón, España</t>
        </is>
      </c>
      <c r="G37" s="0">
        <f>INPUT_PRODUCT!B7</f>
        <v/>
      </c>
      <c r="H37" s="79" t="n"/>
      <c r="I37" s="64" t="n"/>
      <c r="J37" s="64" t="n"/>
      <c r="K37" s="64">
        <f>IF(PRODUCT_CALCULATION!B31="SI";PRODUCT_CALCULATION!C31;"")</f>
        <v/>
      </c>
      <c r="L37" s="64">
        <f>IF(PRODUCT_CALCULATION!B31="SI";PRODUCT_CALCULATION!E31;"")</f>
        <v/>
      </c>
      <c r="M37" s="64">
        <f>IF(PRODUCT_CALCULATION!C31="";"";VLOOKUP(PRODUCT_CALCULATION!C31;PRODUCT!B:Q;16;FALSE))</f>
        <v/>
      </c>
      <c r="N37" s="64">
        <f>IF(PRODUCT_CALCULATION!C31="";"";VLOOKUP(PRODUCT_CALCULATION!C31;PRODUCT!B:R;17;FALSE))</f>
        <v/>
      </c>
      <c r="O37" s="64">
        <f>IF(PRODUCT_CALCULATION!C31="";"";VLOOKUP(PRODUCT_CALCULATION!C31;PRODUCT!B:S;18;FALSE))</f>
        <v/>
      </c>
      <c r="P37" s="64">
        <f>IF(PRODUCT_CALCULATION!C31="";"";VLOOKUP(PRODUCT_CALCULATION!C31;PRODUCT!B:D;3;FALSE))</f>
        <v/>
      </c>
      <c r="Q37" s="64">
        <f>IF(PRODUCT_CALCULATION!C31="";"";VLOOKUP(PRODUCT_CALCULATION!C31;PRODUCT!B:E;4;FALSE))</f>
        <v/>
      </c>
      <c r="R37" s="64">
        <f>IF(PRODUCT_CALCULATION!B31="SI";PRODUCT_CALCULATION!F31;"")</f>
        <v/>
      </c>
      <c r="S37" s="64">
        <f>IF(PRODUCT_CALCULATION!B31="SI";PRODUCT_CALCULATION!K31;"")</f>
        <v/>
      </c>
      <c r="T37" s="64">
        <f>IF(PRODUCT_CALCULATION!B31="SI";PRODUCT_CALCULATION!J31;"")</f>
        <v/>
      </c>
      <c r="U37" s="64">
        <f>IF(PRODUCT_CALCULATION!B31="SI";PRODUCT_CALCULATION!N31;"")</f>
        <v/>
      </c>
      <c r="V37" s="64">
        <f>IF(PRODUCT_CALCULATION!B31="SI";PRODUCT_CALCULATION!L31;"")</f>
        <v/>
      </c>
      <c r="W37" s="64">
        <f>IF(PRODUCT_CALCULATION!B31="SI";PRODUCT_CALCULATION!M31;"")</f>
        <v/>
      </c>
      <c r="X37" s="64">
        <f>IF(R31="";"";CEILING(R31/S31;1))</f>
        <v/>
      </c>
      <c r="Y37" s="64">
        <f>IF(R31="";"";R31*T31)</f>
        <v/>
      </c>
      <c r="Z37" s="64">
        <f>IF(R31="";"";R31*V31)</f>
        <v/>
      </c>
    </row>
    <row r="38" ht="15.75" customHeight="1" s="125">
      <c r="A38" s="64">
        <f>INPUT_PRODUCT!B1</f>
        <v/>
      </c>
      <c r="B38" s="78">
        <f>INPUT_PRODUCT!B2</f>
        <v/>
      </c>
      <c r="C38" s="64">
        <f>INPUT_PRODUCT!B6</f>
        <v/>
      </c>
      <c r="D38" s="64" t="inlineStr">
        <is>
          <t>Arias Group Caribe SRL</t>
        </is>
      </c>
      <c r="E38" s="64" t="n"/>
      <c r="F38" s="64" t="inlineStr">
        <is>
          <t>Tarancón, España</t>
        </is>
      </c>
      <c r="G38" s="79">
        <f>INPUT_PRODUCT!B7</f>
        <v/>
      </c>
      <c r="H38" s="79" t="n"/>
      <c r="I38" s="64" t="n"/>
      <c r="J38" s="64" t="n"/>
      <c r="K38" s="64">
        <f>IF(PRODUCT_CALCULATION!B32="SI";PRODUCT_CALCULATION!C32;"")</f>
        <v/>
      </c>
      <c r="L38" s="64">
        <f>IF(PRODUCT_CALCULATION!B32="SI";PRODUCT_CALCULATION!E32;"")</f>
        <v/>
      </c>
      <c r="M38" s="64">
        <f>IF(PRODUCT_CALCULATION!C32="";"";VLOOKUP(PRODUCT_CALCULATION!C32;PRODUCT!B:Q;16;FALSE))</f>
        <v/>
      </c>
      <c r="N38" s="64">
        <f>IF(PRODUCT_CALCULATION!C32="";"";VLOOKUP(PRODUCT_CALCULATION!C32;PRODUCT!B:R;17;FALSE))</f>
        <v/>
      </c>
      <c r="O38" s="64">
        <f>IF(PRODUCT_CALCULATION!C32="";"";VLOOKUP(PRODUCT_CALCULATION!C32;PRODUCT!B:S;18;FALSE))</f>
        <v/>
      </c>
      <c r="P38" s="64">
        <f>IF(PRODUCT_CALCULATION!C32="";"";VLOOKUP(PRODUCT_CALCULATION!C32;PRODUCT!B:D;3;FALSE))</f>
        <v/>
      </c>
      <c r="Q38" s="64">
        <f>IF(PRODUCT_CALCULATION!C32="";"";VLOOKUP(PRODUCT_CALCULATION!C32;PRODUCT!B:E;4;FALSE))</f>
        <v/>
      </c>
      <c r="R38" s="64">
        <f>IF(PRODUCT_CALCULATION!B32="SI";PRODUCT_CALCULATION!F32;"")</f>
        <v/>
      </c>
      <c r="S38" s="64">
        <f>IF(PRODUCT_CALCULATION!B32="SI";PRODUCT_CALCULATION!K32;"")</f>
        <v/>
      </c>
      <c r="T38" s="64">
        <f>IF(PRODUCT_CALCULATION!B32="SI";PRODUCT_CALCULATION!J32;"")</f>
        <v/>
      </c>
      <c r="U38" s="64">
        <f>IF(PRODUCT_CALCULATION!B32="SI";PRODUCT_CALCULATION!N32;"")</f>
        <v/>
      </c>
      <c r="V38" s="64">
        <f>IF(PRODUCT_CALCULATION!B32="SI";PRODUCT_CALCULATION!L32;"")</f>
        <v/>
      </c>
      <c r="W38" s="64">
        <f>IF(PRODUCT_CALCULATION!B32="SI";PRODUCT_CALCULATION!M32;"")</f>
        <v/>
      </c>
      <c r="X38" s="64">
        <f>IF(R32="";"";CEILING(R32/S32;1))</f>
        <v/>
      </c>
      <c r="Y38" s="64">
        <f>IF(R32="";"";R32*T32)</f>
        <v/>
      </c>
      <c r="Z38" s="64">
        <f>IF(R32="";"";R32*V32)</f>
        <v/>
      </c>
    </row>
    <row r="39" ht="15.75" customHeight="1" s="125">
      <c r="A39" s="64">
        <f>INPUT_PRODUCT!B1</f>
        <v/>
      </c>
      <c r="B39" s="134">
        <f>INPUT_PRODUCT!B2</f>
        <v/>
      </c>
      <c r="C39" s="0">
        <f>INPUT_PRODUCT!B6</f>
        <v/>
      </c>
      <c r="D39" s="0" t="inlineStr">
        <is>
          <t>Arias Group Caribe SRL</t>
        </is>
      </c>
      <c r="F39" s="0" t="inlineStr">
        <is>
          <t>Tarancón, España</t>
        </is>
      </c>
      <c r="G39" s="0">
        <f>INPUT_PRODUCT!B7</f>
        <v/>
      </c>
      <c r="H39" s="79" t="n"/>
      <c r="I39" s="64" t="n"/>
      <c r="J39" s="64" t="n"/>
      <c r="K39" s="64">
        <f>IF(PRODUCT_CALCULATION!B33="SI";PRODUCT_CALCULATION!C33;"")</f>
        <v/>
      </c>
      <c r="L39" s="64">
        <f>IF(PRODUCT_CALCULATION!B33="SI";PRODUCT_CALCULATION!E33;"")</f>
        <v/>
      </c>
      <c r="M39" s="64">
        <f>IF(PRODUCT_CALCULATION!C33="";"";VLOOKUP(PRODUCT_CALCULATION!C33;PRODUCT!B:Q;16;FALSE))</f>
        <v/>
      </c>
      <c r="N39" s="64">
        <f>IF(PRODUCT_CALCULATION!C33="";"";VLOOKUP(PRODUCT_CALCULATION!C33;PRODUCT!B:R;17;FALSE))</f>
        <v/>
      </c>
      <c r="O39" s="64">
        <f>IF(PRODUCT_CALCULATION!C33="";"";VLOOKUP(PRODUCT_CALCULATION!C33;PRODUCT!B:S;18;FALSE))</f>
        <v/>
      </c>
      <c r="P39" s="64">
        <f>IF(PRODUCT_CALCULATION!C33="";"";VLOOKUP(PRODUCT_CALCULATION!C33;PRODUCT!B:D;3;FALSE))</f>
        <v/>
      </c>
      <c r="Q39" s="64">
        <f>IF(PRODUCT_CALCULATION!C33="";"";VLOOKUP(PRODUCT_CALCULATION!C33;PRODUCT!B:E;4;FALSE))</f>
        <v/>
      </c>
      <c r="R39" s="64">
        <f>IF(PRODUCT_CALCULATION!B33="SI";PRODUCT_CALCULATION!F33;"")</f>
        <v/>
      </c>
      <c r="S39" s="64">
        <f>IF(PRODUCT_CALCULATION!B33="SI";PRODUCT_CALCULATION!K33;"")</f>
        <v/>
      </c>
      <c r="T39" s="64">
        <f>IF(PRODUCT_CALCULATION!B33="SI";PRODUCT_CALCULATION!J33;"")</f>
        <v/>
      </c>
      <c r="U39" s="64">
        <f>IF(PRODUCT_CALCULATION!B33="SI";PRODUCT_CALCULATION!N33;"")</f>
        <v/>
      </c>
      <c r="V39" s="64">
        <f>IF(PRODUCT_CALCULATION!B33="SI";PRODUCT_CALCULATION!L33;"")</f>
        <v/>
      </c>
      <c r="W39" s="64">
        <f>IF(PRODUCT_CALCULATION!B33="SI";PRODUCT_CALCULATION!M33;"")</f>
        <v/>
      </c>
      <c r="X39" s="64">
        <f>IF(R33="";"";CEILING(R33/S33;1))</f>
        <v/>
      </c>
      <c r="Y39" s="64">
        <f>IF(R33="";"";R33*T33)</f>
        <v/>
      </c>
      <c r="Z39" s="64">
        <f>IF(R33="";"";R33*V33)</f>
        <v/>
      </c>
    </row>
    <row r="40" ht="15.75" customHeight="1" s="125">
      <c r="A40" s="64">
        <f>INPUT_PRODUCT!B1</f>
        <v/>
      </c>
      <c r="B40" s="89">
        <f>INPUT_PRODUCT!B2</f>
        <v/>
      </c>
      <c r="C40" s="100">
        <f>INPUT_PRODUCT!B6</f>
        <v/>
      </c>
      <c r="D40" s="101" t="inlineStr">
        <is>
          <t>Arias Group Caribe SRL</t>
        </is>
      </c>
      <c r="E40" s="102" t="n"/>
      <c r="F40" s="101" t="inlineStr">
        <is>
          <t>Tarancón, España</t>
        </is>
      </c>
      <c r="G40" s="0">
        <f>INPUT_PRODUCT!B7</f>
        <v/>
      </c>
      <c r="H40" s="79" t="n"/>
      <c r="I40" s="64" t="n"/>
      <c r="J40" s="64" t="n"/>
      <c r="K40" s="64">
        <f>IF(PRODUCT_CALCULATION!B34="SI";PRODUCT_CALCULATION!C34;"")</f>
        <v/>
      </c>
      <c r="L40" s="64">
        <f>IF(PRODUCT_CALCULATION!B34="SI";PRODUCT_CALCULATION!E34;"")</f>
        <v/>
      </c>
      <c r="M40" s="64">
        <f>IF(PRODUCT_CALCULATION!C34="";"";VLOOKUP(PRODUCT_CALCULATION!C34;PRODUCT!B:Q;16;FALSE))</f>
        <v/>
      </c>
      <c r="N40" s="64">
        <f>IF(PRODUCT_CALCULATION!C34="";"";VLOOKUP(PRODUCT_CALCULATION!C34;PRODUCT!B:R;17;FALSE))</f>
        <v/>
      </c>
      <c r="O40" s="64">
        <f>IF(PRODUCT_CALCULATION!C34="";"";VLOOKUP(PRODUCT_CALCULATION!C34;PRODUCT!B:S;18;FALSE))</f>
        <v/>
      </c>
      <c r="P40" s="64">
        <f>IF(PRODUCT_CALCULATION!C34="";"";VLOOKUP(PRODUCT_CALCULATION!C34;PRODUCT!B:D;3;FALSE))</f>
        <v/>
      </c>
      <c r="Q40" s="64">
        <f>IF(PRODUCT_CALCULATION!C34="";"";VLOOKUP(PRODUCT_CALCULATION!C34;PRODUCT!B:E;4;FALSE))</f>
        <v/>
      </c>
      <c r="R40" s="64">
        <f>IF(PRODUCT_CALCULATION!B34="SI";PRODUCT_CALCULATION!F34;"")</f>
        <v/>
      </c>
      <c r="S40" s="64">
        <f>IF(PRODUCT_CALCULATION!B34="SI";PRODUCT_CALCULATION!K34;"")</f>
        <v/>
      </c>
      <c r="T40" s="64">
        <f>IF(PRODUCT_CALCULATION!B34="SI";PRODUCT_CALCULATION!J34;"")</f>
        <v/>
      </c>
      <c r="U40" s="64">
        <f>IF(PRODUCT_CALCULATION!B34="SI";PRODUCT_CALCULATION!N34;"")</f>
        <v/>
      </c>
      <c r="V40" s="64">
        <f>IF(PRODUCT_CALCULATION!B34="SI";PRODUCT_CALCULATION!L34;"")</f>
        <v/>
      </c>
      <c r="W40" s="64">
        <f>IF(PRODUCT_CALCULATION!B34="SI";PRODUCT_CALCULATION!M34;"")</f>
        <v/>
      </c>
      <c r="X40" s="64">
        <f>IF(R34="";"";CEILING(R34/S34;1))</f>
        <v/>
      </c>
      <c r="Y40" s="64">
        <f>IF(R34="";"";R34*T34)</f>
        <v/>
      </c>
      <c r="Z40" s="64">
        <f>IF(R34="";"";R34*V34)</f>
        <v/>
      </c>
    </row>
    <row r="41" ht="15.75" customHeight="1" s="125">
      <c r="A41" s="64">
        <f>INPUT_PRODUCT!B1</f>
        <v/>
      </c>
      <c r="B41" s="89">
        <f>INPUT_PRODUCT!B2</f>
        <v/>
      </c>
      <c r="C41" s="100">
        <f>INPUT_PRODUCT!B6</f>
        <v/>
      </c>
      <c r="D41" s="101" t="inlineStr">
        <is>
          <t>Arias Group Caribe SRL</t>
        </is>
      </c>
      <c r="E41" s="102" t="n"/>
      <c r="F41" s="101" t="inlineStr">
        <is>
          <t>Tarancón, España</t>
        </is>
      </c>
      <c r="G41" s="0">
        <f>INPUT_PRODUCT!B7</f>
        <v/>
      </c>
      <c r="H41" s="79" t="n"/>
      <c r="I41" s="64" t="n"/>
      <c r="J41" s="64" t="n"/>
      <c r="K41" s="64">
        <f>IF(PRODUCT_CALCULATION!B35="SI";PRODUCT_CALCULATION!C35;"")</f>
        <v/>
      </c>
      <c r="L41" s="64">
        <f>IF(PRODUCT_CALCULATION!B35="SI";PRODUCT_CALCULATION!E35;"")</f>
        <v/>
      </c>
      <c r="M41" s="64">
        <f>IF(PRODUCT_CALCULATION!C35="";"";VLOOKUP(PRODUCT_CALCULATION!C35;PRODUCT!B:Q;16;FALSE))</f>
        <v/>
      </c>
      <c r="N41" s="64">
        <f>IF(PRODUCT_CALCULATION!C35="";"";VLOOKUP(PRODUCT_CALCULATION!C35;PRODUCT!B:R;17;FALSE))</f>
        <v/>
      </c>
      <c r="O41" s="64">
        <f>IF(PRODUCT_CALCULATION!C35="";"";VLOOKUP(PRODUCT_CALCULATION!C35;PRODUCT!B:S;18;FALSE))</f>
        <v/>
      </c>
      <c r="P41" s="64">
        <f>IF(PRODUCT_CALCULATION!C35="";"";VLOOKUP(PRODUCT_CALCULATION!C35;PRODUCT!B:D;3;FALSE))</f>
        <v/>
      </c>
      <c r="Q41" s="64">
        <f>IF(PRODUCT_CALCULATION!C35="";"";VLOOKUP(PRODUCT_CALCULATION!C35;PRODUCT!B:E;4;FALSE))</f>
        <v/>
      </c>
      <c r="R41" s="64">
        <f>IF(PRODUCT_CALCULATION!B35="SI";PRODUCT_CALCULATION!F35;"")</f>
        <v/>
      </c>
      <c r="S41" s="64">
        <f>IF(PRODUCT_CALCULATION!B35="SI";PRODUCT_CALCULATION!K35;"")</f>
        <v/>
      </c>
      <c r="T41" s="64">
        <f>IF(PRODUCT_CALCULATION!B35="SI";PRODUCT_CALCULATION!J35;"")</f>
        <v/>
      </c>
      <c r="U41" s="64">
        <f>IF(PRODUCT_CALCULATION!B35="SI";PRODUCT_CALCULATION!N35;"")</f>
        <v/>
      </c>
      <c r="V41" s="64">
        <f>IF(PRODUCT_CALCULATION!B35="SI";PRODUCT_CALCULATION!L35;"")</f>
        <v/>
      </c>
      <c r="W41" s="64">
        <f>IF(PRODUCT_CALCULATION!B35="SI";PRODUCT_CALCULATION!M35;"")</f>
        <v/>
      </c>
      <c r="X41" s="64">
        <f>IF(R35="";"";CEILING(R35/S35;1))</f>
        <v/>
      </c>
      <c r="Y41" s="64">
        <f>IF(R35="";"";R35*T35)</f>
        <v/>
      </c>
      <c r="Z41" s="64">
        <f>IF(R35="";"";R35*V35)</f>
        <v/>
      </c>
    </row>
    <row r="42" ht="15.75" customHeight="1" s="125">
      <c r="A42" s="64">
        <f>INPUT_PRODUCT!B1</f>
        <v/>
      </c>
      <c r="B42" s="89">
        <f>INPUT_PRODUCT!B2</f>
        <v/>
      </c>
      <c r="C42" s="104">
        <f>INPUT_PRODUCT!B6</f>
        <v/>
      </c>
      <c r="D42" s="101" t="inlineStr">
        <is>
          <t>Arias Group Caribe SRL</t>
        </is>
      </c>
      <c r="E42" s="102" t="n"/>
      <c r="F42" s="101" t="inlineStr">
        <is>
          <t>Tarancón, España</t>
        </is>
      </c>
      <c r="G42" s="0">
        <f>INPUT_PRODUCT!B7</f>
        <v/>
      </c>
      <c r="H42" s="79" t="n"/>
      <c r="I42" s="64" t="n"/>
      <c r="J42" s="64" t="n"/>
      <c r="K42" s="64">
        <f>IF(PRODUCT_CALCULATION!B36="SI";PRODUCT_CALCULATION!C36;"")</f>
        <v/>
      </c>
      <c r="L42" s="64">
        <f>IF(PRODUCT_CALCULATION!B36="SI";PRODUCT_CALCULATION!E36;"")</f>
        <v/>
      </c>
      <c r="M42" s="64">
        <f>IF(PRODUCT_CALCULATION!C36="";"";VLOOKUP(PRODUCT_CALCULATION!C36;PRODUCT!B:Q;16;FALSE))</f>
        <v/>
      </c>
      <c r="N42" s="64">
        <f>IF(PRODUCT_CALCULATION!C36="";"";VLOOKUP(PRODUCT_CALCULATION!C36;PRODUCT!B:R;17;FALSE))</f>
        <v/>
      </c>
      <c r="O42" s="64">
        <f>IF(PRODUCT_CALCULATION!C36="";"";VLOOKUP(PRODUCT_CALCULATION!C36;PRODUCT!B:S;18;FALSE))</f>
        <v/>
      </c>
      <c r="P42" s="64">
        <f>IF(PRODUCT_CALCULATION!C36="";"";VLOOKUP(PRODUCT_CALCULATION!C36;PRODUCT!B:D;3;FALSE))</f>
        <v/>
      </c>
      <c r="Q42" s="64">
        <f>IF(PRODUCT_CALCULATION!C36="";"";VLOOKUP(PRODUCT_CALCULATION!C36;PRODUCT!B:E;4;FALSE))</f>
        <v/>
      </c>
      <c r="R42" s="64">
        <f>IF(PRODUCT_CALCULATION!B36="SI";PRODUCT_CALCULATION!F36;"")</f>
        <v/>
      </c>
      <c r="S42" s="64">
        <f>IF(PRODUCT_CALCULATION!B36="SI";PRODUCT_CALCULATION!K36;"")</f>
        <v/>
      </c>
      <c r="T42" s="64">
        <f>IF(PRODUCT_CALCULATION!B36="SI";PRODUCT_CALCULATION!J36;"")</f>
        <v/>
      </c>
      <c r="U42" s="64">
        <f>IF(PRODUCT_CALCULATION!B36="SI";PRODUCT_CALCULATION!N36;"")</f>
        <v/>
      </c>
      <c r="V42" s="64">
        <f>IF(PRODUCT_CALCULATION!B36="SI";PRODUCT_CALCULATION!L36;"")</f>
        <v/>
      </c>
      <c r="W42" s="64">
        <f>IF(PRODUCT_CALCULATION!B36="SI";PRODUCT_CALCULATION!M36;"")</f>
        <v/>
      </c>
      <c r="X42" s="64">
        <f>IF(R36="";"";CEILING(R36/S36;1))</f>
        <v/>
      </c>
      <c r="Y42" s="64">
        <f>IF(R36="";"";R36*T36)</f>
        <v/>
      </c>
      <c r="Z42" s="64">
        <f>IF(R36="";"";R36*V36)</f>
        <v/>
      </c>
    </row>
    <row r="43" ht="15.75" customHeight="1" s="125">
      <c r="A43" s="64">
        <f>INPUT_PRODUCT!B1</f>
        <v/>
      </c>
      <c r="B43" s="89">
        <f>INPUT_PRODUCT!B2</f>
        <v/>
      </c>
      <c r="C43" s="105">
        <f>INPUT_PRODUCT!B6</f>
        <v/>
      </c>
      <c r="D43" s="101" t="inlineStr">
        <is>
          <t>Arias Group Caribe SRL</t>
        </is>
      </c>
      <c r="E43" s="102" t="n"/>
      <c r="F43" s="101" t="inlineStr">
        <is>
          <t>Tarancón, España</t>
        </is>
      </c>
      <c r="G43" s="0">
        <f>INPUT_PRODUCT!B7</f>
        <v/>
      </c>
      <c r="H43" s="79" t="n"/>
      <c r="I43" s="64" t="n"/>
      <c r="J43" s="64" t="n"/>
      <c r="K43" s="64">
        <f>IF(PRODUCT_CALCULATION!B37="SI";PRODUCT_CALCULATION!C37;"")</f>
        <v/>
      </c>
      <c r="L43" s="64">
        <f>IF(PRODUCT_CALCULATION!B37="SI";PRODUCT_CALCULATION!E37;"")</f>
        <v/>
      </c>
      <c r="M43" s="64">
        <f>IF(PRODUCT_CALCULATION!C37="";"";VLOOKUP(PRODUCT_CALCULATION!C37;PRODUCT!B:Q;16;FALSE))</f>
        <v/>
      </c>
      <c r="N43" s="64">
        <f>IF(PRODUCT_CALCULATION!C37="";"";VLOOKUP(PRODUCT_CALCULATION!C37;PRODUCT!B:R;17;FALSE))</f>
        <v/>
      </c>
      <c r="O43" s="64">
        <f>IF(PRODUCT_CALCULATION!C37="";"";VLOOKUP(PRODUCT_CALCULATION!C37;PRODUCT!B:S;18;FALSE))</f>
        <v/>
      </c>
      <c r="P43" s="64">
        <f>IF(PRODUCT_CALCULATION!C37="";"";VLOOKUP(PRODUCT_CALCULATION!C37;PRODUCT!B:D;3;FALSE))</f>
        <v/>
      </c>
      <c r="Q43" s="64">
        <f>IF(PRODUCT_CALCULATION!C37="";"";VLOOKUP(PRODUCT_CALCULATION!C37;PRODUCT!B:E;4;FALSE))</f>
        <v/>
      </c>
      <c r="R43" s="64">
        <f>IF(PRODUCT_CALCULATION!B37="SI";PRODUCT_CALCULATION!F37;"")</f>
        <v/>
      </c>
      <c r="S43" s="64">
        <f>IF(PRODUCT_CALCULATION!B37="SI";PRODUCT_CALCULATION!K37;"")</f>
        <v/>
      </c>
      <c r="T43" s="64">
        <f>IF(PRODUCT_CALCULATION!B37="SI";PRODUCT_CALCULATION!J37;"")</f>
        <v/>
      </c>
      <c r="U43" s="64">
        <f>IF(PRODUCT_CALCULATION!B37="SI";PRODUCT_CALCULATION!N37;"")</f>
        <v/>
      </c>
      <c r="V43" s="64">
        <f>IF(PRODUCT_CALCULATION!B37="SI";PRODUCT_CALCULATION!L37;"")</f>
        <v/>
      </c>
      <c r="W43" s="64">
        <f>IF(PRODUCT_CALCULATION!B37="SI";PRODUCT_CALCULATION!M37;"")</f>
        <v/>
      </c>
      <c r="X43" s="64">
        <f>IF(R37="";"";CEILING(R37/S37;1))</f>
        <v/>
      </c>
      <c r="Y43" s="64">
        <f>IF(R37="";"";R37*T37)</f>
        <v/>
      </c>
      <c r="Z43" s="64">
        <f>IF(R37="";"";R37*V37)</f>
        <v/>
      </c>
    </row>
    <row r="44" ht="15.75" customHeight="1" s="125">
      <c r="A44" s="64">
        <f>INPUT_PRODUCT!B1</f>
        <v/>
      </c>
      <c r="B44" s="78">
        <f>INPUT_PRODUCT!B2</f>
        <v/>
      </c>
      <c r="C44" s="64">
        <f>INPUT_PRODUCT!B6</f>
        <v/>
      </c>
      <c r="D44" s="64" t="inlineStr">
        <is>
          <t>Arias Group Caribe SRL</t>
        </is>
      </c>
      <c r="E44" s="64" t="n"/>
      <c r="F44" s="64" t="inlineStr">
        <is>
          <t>Tarancón, España</t>
        </is>
      </c>
      <c r="G44" s="79">
        <f>INPUT_PRODUCT!B7</f>
        <v/>
      </c>
      <c r="H44" s="79" t="n"/>
      <c r="I44" s="64" t="n"/>
      <c r="J44" s="64" t="n"/>
      <c r="K44" s="64">
        <f>IF(PRODUCT_CALCULATION!B38="SI";PRODUCT_CALCULATION!C38;"")</f>
        <v/>
      </c>
      <c r="L44" s="64">
        <f>IF(PRODUCT_CALCULATION!B38="SI";PRODUCT_CALCULATION!E38;"")</f>
        <v/>
      </c>
      <c r="M44" s="64">
        <f>IF(PRODUCT_CALCULATION!C38="";"";VLOOKUP(PRODUCT_CALCULATION!C38;PRODUCT!B:Q;16;FALSE))</f>
        <v/>
      </c>
      <c r="N44" s="64">
        <f>IF(PRODUCT_CALCULATION!C38="";"";VLOOKUP(PRODUCT_CALCULATION!C38;PRODUCT!B:R;17;FALSE))</f>
        <v/>
      </c>
      <c r="O44" s="64">
        <f>IF(PRODUCT_CALCULATION!C38="";"";VLOOKUP(PRODUCT_CALCULATION!C38;PRODUCT!B:S;18;FALSE))</f>
        <v/>
      </c>
      <c r="P44" s="64">
        <f>IF(PRODUCT_CALCULATION!C38="";"";VLOOKUP(PRODUCT_CALCULATION!C38;PRODUCT!B:D;3;FALSE))</f>
        <v/>
      </c>
      <c r="Q44" s="64">
        <f>IF(PRODUCT_CALCULATION!C38="";"";VLOOKUP(PRODUCT_CALCULATION!C38;PRODUCT!B:E;4;FALSE))</f>
        <v/>
      </c>
      <c r="R44" s="64">
        <f>IF(PRODUCT_CALCULATION!B38="SI";PRODUCT_CALCULATION!F38;"")</f>
        <v/>
      </c>
      <c r="S44" s="64">
        <f>IF(PRODUCT_CALCULATION!B38="SI";PRODUCT_CALCULATION!K38;"")</f>
        <v/>
      </c>
      <c r="T44" s="64">
        <f>IF(PRODUCT_CALCULATION!B38="SI";PRODUCT_CALCULATION!J38;"")</f>
        <v/>
      </c>
      <c r="U44" s="64">
        <f>IF(PRODUCT_CALCULATION!B38="SI";PRODUCT_CALCULATION!N38;"")</f>
        <v/>
      </c>
      <c r="V44" s="64">
        <f>IF(PRODUCT_CALCULATION!B38="SI";PRODUCT_CALCULATION!L38;"")</f>
        <v/>
      </c>
      <c r="W44" s="64">
        <f>IF(PRODUCT_CALCULATION!B38="SI";PRODUCT_CALCULATION!M38;"")</f>
        <v/>
      </c>
      <c r="X44" s="64">
        <f>IF(R38="";"";CEILING(R38/S38;1))</f>
        <v/>
      </c>
      <c r="Y44" s="64">
        <f>IF(R38="";"";R38*T38)</f>
        <v/>
      </c>
      <c r="Z44" s="64">
        <f>IF(R38="";"";R38*V38)</f>
        <v/>
      </c>
    </row>
    <row r="45" ht="15.75" customHeight="1" s="125">
      <c r="A45" s="64">
        <f>INPUT_PRODUCT!B1</f>
        <v/>
      </c>
      <c r="B45" s="134">
        <f>INPUT_PRODUCT!B2</f>
        <v/>
      </c>
      <c r="C45" s="0">
        <f>INPUT_PRODUCT!B6</f>
        <v/>
      </c>
      <c r="D45" s="0" t="inlineStr">
        <is>
          <t>Arias Group Caribe SRL</t>
        </is>
      </c>
      <c r="F45" s="0" t="inlineStr">
        <is>
          <t>Tarancón, España</t>
        </is>
      </c>
      <c r="G45" s="0">
        <f>INPUT_PRODUCT!B7</f>
        <v/>
      </c>
      <c r="H45" s="79" t="n"/>
      <c r="I45" s="64" t="n"/>
      <c r="J45" s="64" t="n"/>
      <c r="K45" s="64">
        <f>IF(PRODUCT_CALCULATION!B39="SI";PRODUCT_CALCULATION!C39;"")</f>
        <v/>
      </c>
      <c r="L45" s="64">
        <f>IF(PRODUCT_CALCULATION!B39="SI";PRODUCT_CALCULATION!E39;"")</f>
        <v/>
      </c>
      <c r="M45" s="64">
        <f>IF(PRODUCT_CALCULATION!C39="";"";VLOOKUP(PRODUCT_CALCULATION!C39;PRODUCT!B:Q;16;FALSE))</f>
        <v/>
      </c>
      <c r="N45" s="64">
        <f>IF(PRODUCT_CALCULATION!C39="";"";VLOOKUP(PRODUCT_CALCULATION!C39;PRODUCT!B:R;17;FALSE))</f>
        <v/>
      </c>
      <c r="O45" s="64">
        <f>IF(PRODUCT_CALCULATION!C39="";"";VLOOKUP(PRODUCT_CALCULATION!C39;PRODUCT!B:S;18;FALSE))</f>
        <v/>
      </c>
      <c r="P45" s="64">
        <f>IF(PRODUCT_CALCULATION!C39="";"";VLOOKUP(PRODUCT_CALCULATION!C39;PRODUCT!B:D;3;FALSE))</f>
        <v/>
      </c>
      <c r="Q45" s="64">
        <f>IF(PRODUCT_CALCULATION!C39="";"";VLOOKUP(PRODUCT_CALCULATION!C39;PRODUCT!B:E;4;FALSE))</f>
        <v/>
      </c>
      <c r="R45" s="64">
        <f>IF(PRODUCT_CALCULATION!B39="SI";PRODUCT_CALCULATION!F39;"")</f>
        <v/>
      </c>
      <c r="S45" s="64">
        <f>IF(PRODUCT_CALCULATION!B39="SI";PRODUCT_CALCULATION!K39;"")</f>
        <v/>
      </c>
      <c r="T45" s="64">
        <f>IF(PRODUCT_CALCULATION!B39="SI";PRODUCT_CALCULATION!J39;"")</f>
        <v/>
      </c>
      <c r="U45" s="64">
        <f>IF(PRODUCT_CALCULATION!B39="SI";PRODUCT_CALCULATION!N39;"")</f>
        <v/>
      </c>
      <c r="V45" s="64">
        <f>IF(PRODUCT_CALCULATION!B39="SI";PRODUCT_CALCULATION!L39;"")</f>
        <v/>
      </c>
      <c r="W45" s="64">
        <f>IF(PRODUCT_CALCULATION!B39="SI";PRODUCT_CALCULATION!M39;"")</f>
        <v/>
      </c>
      <c r="X45" s="64">
        <f>IF(R39="";"";CEILING(R39/S39;1))</f>
        <v/>
      </c>
      <c r="Y45" s="64">
        <f>IF(R39="";"";R39*T39)</f>
        <v/>
      </c>
      <c r="Z45" s="64">
        <f>IF(R39="";"";R39*V39)</f>
        <v/>
      </c>
    </row>
    <row r="46" ht="15.75" customHeight="1" s="125">
      <c r="A46" s="64">
        <f>INPUT_PRODUCT!B1</f>
        <v/>
      </c>
      <c r="B46" s="106">
        <f>INPUT_PRODUCT!B2</f>
        <v/>
      </c>
      <c r="C46" s="107">
        <f>INPUT_PRODUCT!B6</f>
        <v/>
      </c>
      <c r="D46" s="107" t="inlineStr">
        <is>
          <t>Arias Group Caribe SRL</t>
        </is>
      </c>
      <c r="E46" s="107" t="n"/>
      <c r="F46" s="107" t="inlineStr">
        <is>
          <t>Tarancón, España</t>
        </is>
      </c>
      <c r="G46" s="108">
        <f>INPUT_PRODUCT!B7</f>
        <v/>
      </c>
      <c r="H46" s="79" t="n"/>
      <c r="I46" s="64" t="n"/>
      <c r="J46" s="64" t="n"/>
      <c r="K46" s="64">
        <f>IF(PRODUCT_CALCULATION!B40="SI";PRODUCT_CALCULATION!C40;"")</f>
        <v/>
      </c>
      <c r="L46" s="64">
        <f>IF(PRODUCT_CALCULATION!B40="SI";PRODUCT_CALCULATION!E40;"")</f>
        <v/>
      </c>
      <c r="M46" s="64">
        <f>IF(PRODUCT_CALCULATION!C40="";"";VLOOKUP(PRODUCT_CALCULATION!C40;PRODUCT!B:Q;16;FALSE))</f>
        <v/>
      </c>
      <c r="N46" s="64">
        <f>IF(PRODUCT_CALCULATION!C40="";"";VLOOKUP(PRODUCT_CALCULATION!C40;PRODUCT!B:R;17;FALSE))</f>
        <v/>
      </c>
      <c r="O46" s="64">
        <f>IF(PRODUCT_CALCULATION!C40="";"";VLOOKUP(PRODUCT_CALCULATION!C40;PRODUCT!B:S;18;FALSE))</f>
        <v/>
      </c>
      <c r="P46" s="64">
        <f>IF(PRODUCT_CALCULATION!C40="";"";VLOOKUP(PRODUCT_CALCULATION!C40;PRODUCT!B:D;3;FALSE))</f>
        <v/>
      </c>
      <c r="Q46" s="64">
        <f>IF(PRODUCT_CALCULATION!C40="";"";VLOOKUP(PRODUCT_CALCULATION!C40;PRODUCT!B:E;4;FALSE))</f>
        <v/>
      </c>
      <c r="R46" s="64">
        <f>IF(PRODUCT_CALCULATION!B40="SI";PRODUCT_CALCULATION!F40;"")</f>
        <v/>
      </c>
      <c r="S46" s="64">
        <f>IF(PRODUCT_CALCULATION!B40="SI";PRODUCT_CALCULATION!K40;"")</f>
        <v/>
      </c>
      <c r="T46" s="64">
        <f>IF(PRODUCT_CALCULATION!B40="SI";PRODUCT_CALCULATION!J40;"")</f>
        <v/>
      </c>
      <c r="U46" s="64">
        <f>IF(PRODUCT_CALCULATION!B40="SI";PRODUCT_CALCULATION!N40;"")</f>
        <v/>
      </c>
      <c r="V46" s="64">
        <f>IF(PRODUCT_CALCULATION!B40="SI";PRODUCT_CALCULATION!L40;"")</f>
        <v/>
      </c>
      <c r="W46" s="64">
        <f>IF(PRODUCT_CALCULATION!B40="SI";PRODUCT_CALCULATION!M40;"")</f>
        <v/>
      </c>
      <c r="X46" s="64">
        <f>IF(R40="";"";CEILING(R40/S40;1))</f>
        <v/>
      </c>
      <c r="Y46" s="64">
        <f>IF(R40="";"";R40*T40)</f>
        <v/>
      </c>
      <c r="Z46" s="64">
        <f>IF(R40="";"";R40*V40)</f>
        <v/>
      </c>
    </row>
    <row r="47">
      <c r="A47" s="64">
        <f>INPUT_PRODUCT!B1</f>
        <v/>
      </c>
      <c r="B47" s="109">
        <f>INPUT_PRODUCT!B2</f>
        <v/>
      </c>
      <c r="C47" s="110">
        <f>INPUT_PRODUCT!B6</f>
        <v/>
      </c>
      <c r="D47" s="111" t="inlineStr">
        <is>
          <t>Arias Group Caribe SRL</t>
        </is>
      </c>
      <c r="E47" s="111" t="n"/>
      <c r="F47" s="112" t="inlineStr">
        <is>
          <t>Tarancón, España</t>
        </is>
      </c>
      <c r="G47" s="112">
        <f>INPUT_PRODUCT!B7</f>
        <v/>
      </c>
      <c r="H47" s="79" t="n"/>
      <c r="I47" s="64" t="n"/>
      <c r="J47" s="64" t="n"/>
      <c r="K47" s="64">
        <f>IF(PRODUCT_CALCULATION!B41="SI";PRODUCT_CALCULATION!C41;"")</f>
        <v/>
      </c>
      <c r="L47" s="64">
        <f>IF(PRODUCT_CALCULATION!B41="SI";PRODUCT_CALCULATION!E41;"")</f>
        <v/>
      </c>
      <c r="M47" s="64">
        <f>IF(PRODUCT_CALCULATION!C41="";"";VLOOKUP(PRODUCT_CALCULATION!C41;PRODUCT!B:Q;16;FALSE))</f>
        <v/>
      </c>
      <c r="N47" s="64">
        <f>IF(PRODUCT_CALCULATION!C41="";"";VLOOKUP(PRODUCT_CALCULATION!C41;PRODUCT!B:R;17;FALSE))</f>
        <v/>
      </c>
      <c r="O47" s="64">
        <f>IF(PRODUCT_CALCULATION!C41="";"";VLOOKUP(PRODUCT_CALCULATION!C41;PRODUCT!B:S;18;FALSE))</f>
        <v/>
      </c>
      <c r="P47" s="64">
        <f>IF(PRODUCT_CALCULATION!C41="";"";VLOOKUP(PRODUCT_CALCULATION!C41;PRODUCT!B:D;3;FALSE))</f>
        <v/>
      </c>
      <c r="Q47" s="64">
        <f>IF(PRODUCT_CALCULATION!C41="";"";VLOOKUP(PRODUCT_CALCULATION!C41;PRODUCT!B:E;4;FALSE))</f>
        <v/>
      </c>
      <c r="R47" s="64">
        <f>IF(PRODUCT_CALCULATION!B41="SI";PRODUCT_CALCULATION!F41;"")</f>
        <v/>
      </c>
      <c r="S47" s="64">
        <f>IF(PRODUCT_CALCULATION!B41="SI";PRODUCT_CALCULATION!K41;"")</f>
        <v/>
      </c>
      <c r="T47" s="64">
        <f>IF(PRODUCT_CALCULATION!B41="SI";PRODUCT_CALCULATION!J41;"")</f>
        <v/>
      </c>
      <c r="U47" s="64">
        <f>IF(PRODUCT_CALCULATION!B41="SI";PRODUCT_CALCULATION!N41;"")</f>
        <v/>
      </c>
      <c r="V47" s="64">
        <f>IF(PRODUCT_CALCULATION!B41="SI";PRODUCT_CALCULATION!L41;"")</f>
        <v/>
      </c>
      <c r="W47" s="64">
        <f>IF(PRODUCT_CALCULATION!B41="SI";PRODUCT_CALCULATION!M41;"")</f>
        <v/>
      </c>
      <c r="X47" s="64">
        <f>IF(R41="";"";CEILING(R41/S41;1))</f>
        <v/>
      </c>
      <c r="Y47" s="64">
        <f>IF(R41="";"";R41*T41)</f>
        <v/>
      </c>
      <c r="Z47" s="64">
        <f>IF(R41="";"";R41*V41)</f>
        <v/>
      </c>
    </row>
    <row r="48">
      <c r="A48" s="64">
        <f>INPUT_PRODUCT!B1</f>
        <v/>
      </c>
      <c r="B48" s="113">
        <f>INPUT_PRODUCT!B2</f>
        <v/>
      </c>
      <c r="C48" s="114">
        <f>INPUT_PRODUCT!B6</f>
        <v/>
      </c>
      <c r="D48" s="115" t="inlineStr">
        <is>
          <t>Arias Group Caribe SRL</t>
        </is>
      </c>
      <c r="E48" s="115" t="n"/>
      <c r="F48" s="116" t="inlineStr">
        <is>
          <t>Tarancón, España</t>
        </is>
      </c>
      <c r="G48" s="116">
        <f>INPUT_PRODUCT!B7</f>
        <v/>
      </c>
      <c r="H48" s="79" t="n"/>
      <c r="I48" s="64" t="n"/>
      <c r="J48" s="64" t="n"/>
      <c r="K48" s="64">
        <f>IF(PRODUCT_CALCULATION!B42="SI";PRODUCT_CALCULATION!C42;"")</f>
        <v/>
      </c>
      <c r="L48" s="64">
        <f>IF(PRODUCT_CALCULATION!B42="SI";PRODUCT_CALCULATION!E42;"")</f>
        <v/>
      </c>
      <c r="M48" s="64">
        <f>IF(PRODUCT_CALCULATION!C42="";"";VLOOKUP(PRODUCT_CALCULATION!C42;PRODUCT!B:Q;16;FALSE))</f>
        <v/>
      </c>
      <c r="N48" s="64">
        <f>IF(PRODUCT_CALCULATION!C42="";"";VLOOKUP(PRODUCT_CALCULATION!C42;PRODUCT!B:R;17;FALSE))</f>
        <v/>
      </c>
      <c r="O48" s="64">
        <f>IF(PRODUCT_CALCULATION!C42="";"";VLOOKUP(PRODUCT_CALCULATION!C42;PRODUCT!B:S;18;FALSE))</f>
        <v/>
      </c>
      <c r="P48" s="64">
        <f>IF(PRODUCT_CALCULATION!C42="";"";VLOOKUP(PRODUCT_CALCULATION!C42;PRODUCT!B:D;3;FALSE))</f>
        <v/>
      </c>
      <c r="Q48" s="64">
        <f>IF(PRODUCT_CALCULATION!C42="";"";VLOOKUP(PRODUCT_CALCULATION!C42;PRODUCT!B:E;4;FALSE))</f>
        <v/>
      </c>
      <c r="R48" s="64">
        <f>IF(PRODUCT_CALCULATION!B42="SI";PRODUCT_CALCULATION!F42;"")</f>
        <v/>
      </c>
      <c r="S48" s="64">
        <f>IF(PRODUCT_CALCULATION!B42="SI";PRODUCT_CALCULATION!K42;"")</f>
        <v/>
      </c>
      <c r="T48" s="64">
        <f>IF(PRODUCT_CALCULATION!B42="SI";PRODUCT_CALCULATION!J42;"")</f>
        <v/>
      </c>
      <c r="U48" s="64">
        <f>IF(PRODUCT_CALCULATION!B42="SI";PRODUCT_CALCULATION!N42;"")</f>
        <v/>
      </c>
      <c r="V48" s="64">
        <f>IF(PRODUCT_CALCULATION!B42="SI";PRODUCT_CALCULATION!L42;"")</f>
        <v/>
      </c>
      <c r="W48" s="64">
        <f>IF(PRODUCT_CALCULATION!B42="SI";PRODUCT_CALCULATION!M42;"")</f>
        <v/>
      </c>
      <c r="X48" s="64">
        <f>IF(R42="";"";CEILING(R42/S42;1))</f>
        <v/>
      </c>
      <c r="Y48" s="64">
        <f>IF(R42="";"";R42*T42)</f>
        <v/>
      </c>
      <c r="Z48" s="64">
        <f>IF(R42="";"";R42*V42)</f>
        <v/>
      </c>
    </row>
    <row r="49" ht="15.75" customHeight="1" s="125">
      <c r="A49" s="64">
        <f>INPUT_PRODUCT!B1</f>
        <v/>
      </c>
      <c r="B49" s="140">
        <f>INPUT_PRODUCT!B2</f>
        <v/>
      </c>
      <c r="C49" s="0">
        <f>INPUT_PRODUCT!B6</f>
        <v/>
      </c>
      <c r="D49" s="0" t="inlineStr">
        <is>
          <t>Arias Group Caribe SRL</t>
        </is>
      </c>
      <c r="F49" s="0" t="inlineStr">
        <is>
          <t>Tarancón, España</t>
        </is>
      </c>
      <c r="G49" s="118">
        <f>INPUT_PRODUCT!B7</f>
        <v/>
      </c>
      <c r="H49" s="79" t="n"/>
      <c r="I49" s="64" t="n"/>
      <c r="J49" s="64" t="n"/>
      <c r="K49" s="64">
        <f>IF(PRODUCT_CALCULATION!B43="SI";PRODUCT_CALCULATION!C43;"")</f>
        <v/>
      </c>
      <c r="L49" s="64">
        <f>IF(PRODUCT_CALCULATION!B43="SI";PRODUCT_CALCULATION!E43;"")</f>
        <v/>
      </c>
      <c r="M49" s="64">
        <f>IF(PRODUCT_CALCULATION!C43="";"";VLOOKUP(PRODUCT_CALCULATION!C43;PRODUCT!B:Q;16;FALSE))</f>
        <v/>
      </c>
      <c r="N49" s="64">
        <f>IF(PRODUCT_CALCULATION!C43="";"";VLOOKUP(PRODUCT_CALCULATION!C43;PRODUCT!B:R;17;FALSE))</f>
        <v/>
      </c>
      <c r="O49" s="64">
        <f>IF(PRODUCT_CALCULATION!C43="";"";VLOOKUP(PRODUCT_CALCULATION!C43;PRODUCT!B:S;18;FALSE))</f>
        <v/>
      </c>
      <c r="P49" s="64">
        <f>IF(PRODUCT_CALCULATION!C43="";"";VLOOKUP(PRODUCT_CALCULATION!C43;PRODUCT!B:D;3;FALSE))</f>
        <v/>
      </c>
      <c r="Q49" s="64">
        <f>IF(PRODUCT_CALCULATION!C43="";"";VLOOKUP(PRODUCT_CALCULATION!C43;PRODUCT!B:E;4;FALSE))</f>
        <v/>
      </c>
      <c r="R49" s="64">
        <f>IF(PRODUCT_CALCULATION!B43="SI";PRODUCT_CALCULATION!F43;"")</f>
        <v/>
      </c>
      <c r="S49" s="64">
        <f>IF(PRODUCT_CALCULATION!B43="SI";PRODUCT_CALCULATION!K43;"")</f>
        <v/>
      </c>
      <c r="T49" s="64">
        <f>IF(PRODUCT_CALCULATION!B43="SI";PRODUCT_CALCULATION!J43;"")</f>
        <v/>
      </c>
      <c r="U49" s="64">
        <f>IF(PRODUCT_CALCULATION!B43="SI";PRODUCT_CALCULATION!N43;"")</f>
        <v/>
      </c>
      <c r="V49" s="64">
        <f>IF(PRODUCT_CALCULATION!B43="SI";PRODUCT_CALCULATION!L43;"")</f>
        <v/>
      </c>
      <c r="W49" s="64">
        <f>IF(PRODUCT_CALCULATION!B43="SI";PRODUCT_CALCULATION!M43;"")</f>
        <v/>
      </c>
      <c r="X49" s="64">
        <f>IF(R43="";"";CEILING(R43/S43;1))</f>
        <v/>
      </c>
      <c r="Y49" s="64">
        <f>IF(R43="";"";R43*T43)</f>
        <v/>
      </c>
      <c r="Z49" s="64">
        <f>IF(R43="";"";R43*V43)</f>
        <v/>
      </c>
    </row>
    <row r="50" ht="15.75" customHeight="1" s="125">
      <c r="A50" s="64">
        <f>INPUT_PRODUCT!B1</f>
        <v/>
      </c>
      <c r="B50" s="141">
        <f>INPUT_PRODUCT!B2</f>
        <v/>
      </c>
      <c r="C50" s="0">
        <f>INPUT_PRODUCT!B6</f>
        <v/>
      </c>
      <c r="D50" s="0" t="inlineStr">
        <is>
          <t>Arias Group Caribe SRL</t>
        </is>
      </c>
      <c r="F50" s="0" t="inlineStr">
        <is>
          <t>Tarancón, España</t>
        </is>
      </c>
      <c r="G50" s="0">
        <f>INPUT_PRODUCT!B7</f>
        <v/>
      </c>
      <c r="H50" s="79" t="n"/>
      <c r="I50" s="64" t="n"/>
      <c r="J50" s="64" t="n"/>
      <c r="K50" s="64">
        <f>IF(PRODUCT_CALCULATION!B44="SI";PRODUCT_CALCULATION!C44;"")</f>
        <v/>
      </c>
      <c r="L50" s="64">
        <f>IF(PRODUCT_CALCULATION!B44="SI";PRODUCT_CALCULATION!E44;"")</f>
        <v/>
      </c>
      <c r="M50" s="64">
        <f>IF(PRODUCT_CALCULATION!C44="";"";VLOOKUP(PRODUCT_CALCULATION!C44;PRODUCT!B:Q;16;FALSE))</f>
        <v/>
      </c>
      <c r="N50" s="64">
        <f>IF(PRODUCT_CALCULATION!C44="";"";VLOOKUP(PRODUCT_CALCULATION!C44;PRODUCT!B:R;17;FALSE))</f>
        <v/>
      </c>
      <c r="O50" s="64">
        <f>IF(PRODUCT_CALCULATION!C44="";"";VLOOKUP(PRODUCT_CALCULATION!C44;PRODUCT!B:S;18;FALSE))</f>
        <v/>
      </c>
      <c r="P50" s="64">
        <f>IF(PRODUCT_CALCULATION!C44="";"";VLOOKUP(PRODUCT_CALCULATION!C44;PRODUCT!B:D;3;FALSE))</f>
        <v/>
      </c>
      <c r="Q50" s="64">
        <f>IF(PRODUCT_CALCULATION!C44="";"";VLOOKUP(PRODUCT_CALCULATION!C44;PRODUCT!B:E;4;FALSE))</f>
        <v/>
      </c>
      <c r="R50" s="64">
        <f>IF(PRODUCT_CALCULATION!B44="SI";PRODUCT_CALCULATION!F44;"")</f>
        <v/>
      </c>
      <c r="S50" s="64">
        <f>IF(PRODUCT_CALCULATION!B44="SI";PRODUCT_CALCULATION!K44;"")</f>
        <v/>
      </c>
      <c r="T50" s="64">
        <f>IF(PRODUCT_CALCULATION!B44="SI";PRODUCT_CALCULATION!J44;"")</f>
        <v/>
      </c>
      <c r="U50" s="64">
        <f>IF(PRODUCT_CALCULATION!B44="SI";PRODUCT_CALCULATION!N44;"")</f>
        <v/>
      </c>
      <c r="V50" s="64">
        <f>IF(PRODUCT_CALCULATION!B44="SI";PRODUCT_CALCULATION!L44;"")</f>
        <v/>
      </c>
      <c r="W50" s="64">
        <f>IF(PRODUCT_CALCULATION!B44="SI";PRODUCT_CALCULATION!M44;"")</f>
        <v/>
      </c>
      <c r="X50" s="64">
        <f>IF(R44="";"";CEILING(R44/S44;1))</f>
        <v/>
      </c>
      <c r="Y50" s="64">
        <f>IF(R44="";"";R44*T44)</f>
        <v/>
      </c>
      <c r="Z50" s="64">
        <f>IF(R44="";"";R44*V44)</f>
        <v/>
      </c>
    </row>
    <row r="51" ht="15.75" customHeight="1" s="125">
      <c r="A51" s="64">
        <f>INPUT_PRODUCT!B1</f>
        <v/>
      </c>
      <c r="B51" s="78">
        <f>INPUT_PRODUCT!B2</f>
        <v/>
      </c>
      <c r="C51" s="64">
        <f>INPUT_PRODUCT!B6</f>
        <v/>
      </c>
      <c r="D51" s="64" t="inlineStr">
        <is>
          <t>Arias Group Caribe SRL</t>
        </is>
      </c>
      <c r="E51" s="64" t="n"/>
      <c r="F51" s="64" t="inlineStr">
        <is>
          <t>Tarancón, España</t>
        </is>
      </c>
      <c r="G51" s="79">
        <f>INPUT_PRODUCT!B7</f>
        <v/>
      </c>
      <c r="H51" s="79" t="n"/>
      <c r="I51" s="64" t="n"/>
      <c r="J51" s="64" t="n"/>
      <c r="K51" s="64">
        <f>IF(PRODUCT_CALCULATION!B45="SI";PRODUCT_CALCULATION!C45;"")</f>
        <v/>
      </c>
      <c r="L51" s="64">
        <f>IF(PRODUCT_CALCULATION!B45="SI";PRODUCT_CALCULATION!E45;"")</f>
        <v/>
      </c>
      <c r="M51" s="64">
        <f>IF(PRODUCT_CALCULATION!C45="";"";VLOOKUP(PRODUCT_CALCULATION!C45;PRODUCT!B:Q;16;FALSE))</f>
        <v/>
      </c>
      <c r="N51" s="64">
        <f>IF(PRODUCT_CALCULATION!C45="";"";VLOOKUP(PRODUCT_CALCULATION!C45;PRODUCT!B:R;17;FALSE))</f>
        <v/>
      </c>
      <c r="O51" s="64">
        <f>IF(PRODUCT_CALCULATION!C45="";"";VLOOKUP(PRODUCT_CALCULATION!C45;PRODUCT!B:S;18;FALSE))</f>
        <v/>
      </c>
      <c r="P51" s="64">
        <f>IF(PRODUCT_CALCULATION!C45="";"";VLOOKUP(PRODUCT_CALCULATION!C45;PRODUCT!B:D;3;FALSE))</f>
        <v/>
      </c>
      <c r="Q51" s="64">
        <f>IF(PRODUCT_CALCULATION!C45="";"";VLOOKUP(PRODUCT_CALCULATION!C45;PRODUCT!B:E;4;FALSE))</f>
        <v/>
      </c>
      <c r="R51" s="64">
        <f>IF(PRODUCT_CALCULATION!B45="SI";PRODUCT_CALCULATION!F45;"")</f>
        <v/>
      </c>
      <c r="S51" s="64">
        <f>IF(PRODUCT_CALCULATION!B45="SI";PRODUCT_CALCULATION!K45;"")</f>
        <v/>
      </c>
      <c r="T51" s="64">
        <f>IF(PRODUCT_CALCULATION!B45="SI";PRODUCT_CALCULATION!J45;"")</f>
        <v/>
      </c>
      <c r="U51" s="64">
        <f>IF(PRODUCT_CALCULATION!B45="SI";PRODUCT_CALCULATION!N45;"")</f>
        <v/>
      </c>
      <c r="V51" s="64">
        <f>IF(PRODUCT_CALCULATION!B45="SI";PRODUCT_CALCULATION!L45;"")</f>
        <v/>
      </c>
      <c r="W51" s="64">
        <f>IF(PRODUCT_CALCULATION!B45="SI";PRODUCT_CALCULATION!M45;"")</f>
        <v/>
      </c>
      <c r="X51" s="64">
        <f>IF(R45="";"";CEILING(R45/S45;1))</f>
        <v/>
      </c>
      <c r="Y51" s="64">
        <f>IF(R45="";"";R45*T45)</f>
        <v/>
      </c>
      <c r="Z51" s="64">
        <f>IF(R45="";"";R45*V45)</f>
        <v/>
      </c>
    </row>
    <row r="52" ht="15.75" customHeight="1" s="125">
      <c r="A52" s="75">
        <f>INPUT_PRODUCT!B1</f>
        <v/>
      </c>
      <c r="B52" s="76">
        <f>INPUT_PRODUCT!B2</f>
        <v/>
      </c>
      <c r="C52" s="75">
        <f>INPUT_PRODUCT!B6</f>
        <v/>
      </c>
      <c r="D52" s="75" t="inlineStr">
        <is>
          <t>Arias Group Caribe SRL</t>
        </is>
      </c>
      <c r="E52" s="75" t="n"/>
      <c r="F52" s="75" t="inlineStr">
        <is>
          <t>Tarancón, España</t>
        </is>
      </c>
      <c r="G52" s="77">
        <f>INPUT_PRODUCT!B7</f>
        <v/>
      </c>
      <c r="H52" s="77" t="n"/>
      <c r="I52" s="64" t="n"/>
      <c r="J52" s="64" t="n"/>
      <c r="K52" s="64">
        <f>IF(PRODUCT_CALCULATION!B46="SI";PRODUCT_CALCULATION!C46;"")</f>
        <v/>
      </c>
      <c r="L52" s="64">
        <f>IF(PRODUCT_CALCULATION!B46="SI";PRODUCT_CALCULATION!E46;"")</f>
        <v/>
      </c>
      <c r="M52" s="64">
        <f>IF(PRODUCT_CALCULATION!C46="";"";VLOOKUP(PRODUCT_CALCULATION!C46;PRODUCT!B:Q;16;FALSE))</f>
        <v/>
      </c>
      <c r="N52" s="64">
        <f>IF(PRODUCT_CALCULATION!C46="";"";VLOOKUP(PRODUCT_CALCULATION!C46;PRODUCT!B:R;17;FALSE))</f>
        <v/>
      </c>
      <c r="O52" s="64">
        <f>IF(PRODUCT_CALCULATION!C46="";"";VLOOKUP(PRODUCT_CALCULATION!C46;PRODUCT!B:S;18;FALSE))</f>
        <v/>
      </c>
      <c r="P52" s="64">
        <f>IF(PRODUCT_CALCULATION!C46="";"";VLOOKUP(PRODUCT_CALCULATION!C46;PRODUCT!B:D;3;FALSE))</f>
        <v/>
      </c>
      <c r="Q52" s="64">
        <f>IF(PRODUCT_CALCULATION!C46="";"";VLOOKUP(PRODUCT_CALCULATION!C46;PRODUCT!B:E;4;FALSE))</f>
        <v/>
      </c>
      <c r="R52" s="64">
        <f>IF(PRODUCT_CALCULATION!B46="SI";PRODUCT_CALCULATION!F46;"")</f>
        <v/>
      </c>
      <c r="S52" s="64">
        <f>IF(PRODUCT_CALCULATION!B46="SI";PRODUCT_CALCULATION!K46;"")</f>
        <v/>
      </c>
      <c r="T52" s="64">
        <f>IF(PRODUCT_CALCULATION!B46="SI";PRODUCT_CALCULATION!J46;"")</f>
        <v/>
      </c>
      <c r="U52" s="64">
        <f>IF(PRODUCT_CALCULATION!B46="SI";PRODUCT_CALCULATION!N46;"")</f>
        <v/>
      </c>
      <c r="V52" s="64">
        <f>IF(PRODUCT_CALCULATION!B46="SI";PRODUCT_CALCULATION!L46;"")</f>
        <v/>
      </c>
      <c r="W52" s="64">
        <f>IF(PRODUCT_CALCULATION!B46="SI";PRODUCT_CALCULATION!M46;"")</f>
        <v/>
      </c>
      <c r="X52" s="64">
        <f>IF(R46="";"";CEILING(R46/S46;1))</f>
        <v/>
      </c>
      <c r="Y52" s="64">
        <f>IF(R46="";"";R46*T46)</f>
        <v/>
      </c>
      <c r="Z52" s="64">
        <f>IF(R46="";"";R46*V46)</f>
        <v/>
      </c>
    </row>
    <row r="53" ht="15.75" customHeight="1" s="125">
      <c r="A53" s="64">
        <f>INPUT_PRODUCT!B1</f>
        <v/>
      </c>
      <c r="B53" s="142">
        <f>INPUT_PRODUCT!B2</f>
        <v/>
      </c>
      <c r="C53" s="0">
        <f>INPUT_PRODUCT!B6</f>
        <v/>
      </c>
      <c r="D53" s="0" t="inlineStr">
        <is>
          <t>Arias Group Caribe SRL</t>
        </is>
      </c>
      <c r="F53" s="0" t="inlineStr">
        <is>
          <t>Tarancón, España</t>
        </is>
      </c>
      <c r="G53" s="0">
        <f>INPUT_PRODUCT!B7</f>
        <v/>
      </c>
      <c r="H53" s="79" t="n"/>
      <c r="I53" s="64" t="n"/>
      <c r="J53" s="64" t="n"/>
      <c r="K53" s="64">
        <f>IF(PRODUCT_CALCULATION!B47="SI";PRODUCT_CALCULATION!C47;"")</f>
        <v/>
      </c>
      <c r="L53" s="64">
        <f>IF(PRODUCT_CALCULATION!B47="SI";PRODUCT_CALCULATION!E47;"")</f>
        <v/>
      </c>
      <c r="M53" s="64">
        <f>IF(PRODUCT_CALCULATION!C47="";"";VLOOKUP(PRODUCT_CALCULATION!C47;PRODUCT!B:Q;16;FALSE))</f>
        <v/>
      </c>
      <c r="N53" s="64">
        <f>IF(PRODUCT_CALCULATION!C47="";"";VLOOKUP(PRODUCT_CALCULATION!C47;PRODUCT!B:R;17;FALSE))</f>
        <v/>
      </c>
      <c r="O53" s="64">
        <f>IF(PRODUCT_CALCULATION!C47="";"";VLOOKUP(PRODUCT_CALCULATION!C47;PRODUCT!B:S;18;FALSE))</f>
        <v/>
      </c>
      <c r="P53" s="64">
        <f>IF(PRODUCT_CALCULATION!C47="";"";VLOOKUP(PRODUCT_CALCULATION!C47;PRODUCT!B:D;3;FALSE))</f>
        <v/>
      </c>
      <c r="Q53" s="64">
        <f>IF(PRODUCT_CALCULATION!C47="";"";VLOOKUP(PRODUCT_CALCULATION!C47;PRODUCT!B:E;4;FALSE))</f>
        <v/>
      </c>
      <c r="R53" s="64">
        <f>IF(PRODUCT_CALCULATION!B47="SI";PRODUCT_CALCULATION!F47;"")</f>
        <v/>
      </c>
      <c r="S53" s="64">
        <f>IF(PRODUCT_CALCULATION!B47="SI";PRODUCT_CALCULATION!K47;"")</f>
        <v/>
      </c>
      <c r="T53" s="64">
        <f>IF(PRODUCT_CALCULATION!B47="SI";PRODUCT_CALCULATION!J47;"")</f>
        <v/>
      </c>
      <c r="U53" s="64">
        <f>IF(PRODUCT_CALCULATION!B47="SI";PRODUCT_CALCULATION!N47;"")</f>
        <v/>
      </c>
      <c r="V53" s="64">
        <f>IF(PRODUCT_CALCULATION!B47="SI";PRODUCT_CALCULATION!L47;"")</f>
        <v/>
      </c>
      <c r="W53" s="64">
        <f>IF(PRODUCT_CALCULATION!B47="SI";PRODUCT_CALCULATION!M47;"")</f>
        <v/>
      </c>
      <c r="X53" s="64">
        <f>IF(R47="";"";CEILING(R47/S47;1))</f>
        <v/>
      </c>
      <c r="Y53" s="64">
        <f>IF(R47="";"";R47*T47)</f>
        <v/>
      </c>
      <c r="Z53" s="64">
        <f>IF(R47="";"";R47*V47)</f>
        <v/>
      </c>
    </row>
    <row r="54" ht="15.75" customHeight="1" s="125">
      <c r="A54" s="64">
        <f>INPUT_PRODUCT!B1</f>
        <v/>
      </c>
      <c r="B54" s="78">
        <f>INPUT_PRODUCT!B2</f>
        <v/>
      </c>
      <c r="C54" s="64">
        <f>INPUT_PRODUCT!B6</f>
        <v/>
      </c>
      <c r="D54" s="64" t="inlineStr">
        <is>
          <t>Arias Group Caribe SRL</t>
        </is>
      </c>
      <c r="E54" s="64" t="n"/>
      <c r="F54" s="64" t="inlineStr">
        <is>
          <t>Tarancón, España</t>
        </is>
      </c>
      <c r="G54" s="79">
        <f>INPUT_PRODUCT!B7</f>
        <v/>
      </c>
      <c r="H54" s="79" t="n"/>
      <c r="I54" s="64" t="n"/>
      <c r="J54" s="64" t="n"/>
      <c r="K54" s="64">
        <f>IF(PRODUCT_CALCULATION!B48="SI";PRODUCT_CALCULATION!C48;"")</f>
        <v/>
      </c>
      <c r="L54" s="64">
        <f>IF(PRODUCT_CALCULATION!B48="SI";PRODUCT_CALCULATION!E48;"")</f>
        <v/>
      </c>
      <c r="M54" s="64">
        <f>IF(PRODUCT_CALCULATION!C48="";"";VLOOKUP(PRODUCT_CALCULATION!C48;PRODUCT!B:Q;16;FALSE))</f>
        <v/>
      </c>
      <c r="N54" s="64">
        <f>IF(PRODUCT_CALCULATION!C48="";"";VLOOKUP(PRODUCT_CALCULATION!C48;PRODUCT!B:R;17;FALSE))</f>
        <v/>
      </c>
      <c r="O54" s="64">
        <f>IF(PRODUCT_CALCULATION!C48="";"";VLOOKUP(PRODUCT_CALCULATION!C48;PRODUCT!B:S;18;FALSE))</f>
        <v/>
      </c>
      <c r="P54" s="64">
        <f>IF(PRODUCT_CALCULATION!C48="";"";VLOOKUP(PRODUCT_CALCULATION!C48;PRODUCT!B:D;3;FALSE))</f>
        <v/>
      </c>
      <c r="Q54" s="64">
        <f>IF(PRODUCT_CALCULATION!C48="";"";VLOOKUP(PRODUCT_CALCULATION!C48;PRODUCT!B:E;4;FALSE))</f>
        <v/>
      </c>
      <c r="R54" s="64">
        <f>IF(PRODUCT_CALCULATION!B48="SI";PRODUCT_CALCULATION!F48;"")</f>
        <v/>
      </c>
      <c r="S54" s="64">
        <f>IF(PRODUCT_CALCULATION!B48="SI";PRODUCT_CALCULATION!K48;"")</f>
        <v/>
      </c>
      <c r="T54" s="64">
        <f>IF(PRODUCT_CALCULATION!B48="SI";PRODUCT_CALCULATION!J48;"")</f>
        <v/>
      </c>
      <c r="U54" s="64">
        <f>IF(PRODUCT_CALCULATION!B48="SI";PRODUCT_CALCULATION!N48;"")</f>
        <v/>
      </c>
      <c r="V54" s="64">
        <f>IF(PRODUCT_CALCULATION!B48="SI";PRODUCT_CALCULATION!L48;"")</f>
        <v/>
      </c>
      <c r="W54" s="64">
        <f>IF(PRODUCT_CALCULATION!B48="SI";PRODUCT_CALCULATION!M48;"")</f>
        <v/>
      </c>
      <c r="X54" s="64">
        <f>IF(R48="";"";CEILING(R48/S48;1))</f>
        <v/>
      </c>
      <c r="Y54" s="64">
        <f>IF(R48="";"";R48*T48)</f>
        <v/>
      </c>
      <c r="Z54" s="64">
        <f>IF(R48="";"";R48*V48)</f>
        <v/>
      </c>
    </row>
    <row r="55" ht="15.75" customHeight="1" s="125">
      <c r="A55" s="64">
        <f>INPUT_PRODUCT!B1</f>
        <v/>
      </c>
      <c r="B55" s="78">
        <f>INPUT_PRODUCT!B2</f>
        <v/>
      </c>
      <c r="C55" s="64">
        <f>INPUT_PRODUCT!B6</f>
        <v/>
      </c>
      <c r="D55" s="64" t="inlineStr">
        <is>
          <t>Arias Group Caribe SRL</t>
        </is>
      </c>
      <c r="E55" s="64" t="n"/>
      <c r="F55" s="64" t="inlineStr">
        <is>
          <t>Tarancón, España</t>
        </is>
      </c>
      <c r="G55" s="79">
        <f>INPUT_PRODUCT!B7</f>
        <v/>
      </c>
      <c r="H55" s="79" t="n"/>
      <c r="I55" s="64" t="n"/>
      <c r="J55" s="64" t="n"/>
      <c r="K55" s="64">
        <f>IF(PRODUCT_CALCULATION!B49="SI";PRODUCT_CALCULATION!C49;"")</f>
        <v/>
      </c>
      <c r="L55" s="64">
        <f>IF(PRODUCT_CALCULATION!B49="SI";PRODUCT_CALCULATION!E49;"")</f>
        <v/>
      </c>
      <c r="M55" s="64">
        <f>IF(PRODUCT_CALCULATION!C49="";"";VLOOKUP(PRODUCT_CALCULATION!C49;PRODUCT!B:Q;16;FALSE))</f>
        <v/>
      </c>
      <c r="N55" s="64">
        <f>IF(PRODUCT_CALCULATION!C49="";"";VLOOKUP(PRODUCT_CALCULATION!C49;PRODUCT!B:R;17;FALSE))</f>
        <v/>
      </c>
      <c r="O55" s="64">
        <f>IF(PRODUCT_CALCULATION!C49="";"";VLOOKUP(PRODUCT_CALCULATION!C49;PRODUCT!B:S;18;FALSE))</f>
        <v/>
      </c>
      <c r="P55" s="64">
        <f>IF(PRODUCT_CALCULATION!C49="";"";VLOOKUP(PRODUCT_CALCULATION!C49;PRODUCT!B:D;3;FALSE))</f>
        <v/>
      </c>
      <c r="Q55" s="64">
        <f>IF(PRODUCT_CALCULATION!C49="";"";VLOOKUP(PRODUCT_CALCULATION!C49;PRODUCT!B:E;4;FALSE))</f>
        <v/>
      </c>
      <c r="R55" s="64">
        <f>IF(PRODUCT_CALCULATION!B49="SI";PRODUCT_CALCULATION!F49;"")</f>
        <v/>
      </c>
      <c r="S55" s="64">
        <f>IF(PRODUCT_CALCULATION!B49="SI";PRODUCT_CALCULATION!K49;"")</f>
        <v/>
      </c>
      <c r="T55" s="64">
        <f>IF(PRODUCT_CALCULATION!B49="SI";PRODUCT_CALCULATION!J49;"")</f>
        <v/>
      </c>
      <c r="U55" s="64">
        <f>IF(PRODUCT_CALCULATION!B49="SI";PRODUCT_CALCULATION!N49;"")</f>
        <v/>
      </c>
      <c r="V55" s="64">
        <f>IF(PRODUCT_CALCULATION!B49="SI";PRODUCT_CALCULATION!L49;"")</f>
        <v/>
      </c>
      <c r="W55" s="64">
        <f>IF(PRODUCT_CALCULATION!B49="SI";PRODUCT_CALCULATION!M49;"")</f>
        <v/>
      </c>
      <c r="X55" s="64">
        <f>IF(R49="";"";CEILING(R49/S49;1))</f>
        <v/>
      </c>
      <c r="Y55" s="64">
        <f>IF(R49="";"";R49*T49)</f>
        <v/>
      </c>
      <c r="Z55" s="64">
        <f>IF(R49="";"";R49*V49)</f>
        <v/>
      </c>
    </row>
    <row r="56" ht="15.75" customHeight="1" s="125">
      <c r="A56" s="64">
        <f>INPUT_PRODUCT!B1</f>
        <v/>
      </c>
      <c r="B56" s="78">
        <f>INPUT_PRODUCT!B2</f>
        <v/>
      </c>
      <c r="C56" s="64">
        <f>INPUT_PRODUCT!B6</f>
        <v/>
      </c>
      <c r="D56" s="64" t="inlineStr">
        <is>
          <t>Arias Group Caribe SRL</t>
        </is>
      </c>
      <c r="E56" s="64" t="n"/>
      <c r="F56" s="64" t="inlineStr">
        <is>
          <t>Tarancón, España</t>
        </is>
      </c>
      <c r="G56" s="79">
        <f>INPUT_PRODUCT!B7</f>
        <v/>
      </c>
      <c r="H56" s="79" t="n"/>
      <c r="I56" s="64" t="n"/>
      <c r="J56" s="64" t="n"/>
      <c r="K56" s="64">
        <f>IF(PRODUCT_CALCULATION!B50="SI";PRODUCT_CALCULATION!C50;"")</f>
        <v/>
      </c>
      <c r="L56" s="64">
        <f>IF(PRODUCT_CALCULATION!B50="SI";PRODUCT_CALCULATION!E50;"")</f>
        <v/>
      </c>
      <c r="M56" s="64">
        <f>IF(PRODUCT_CALCULATION!C50="";"";VLOOKUP(PRODUCT_CALCULATION!C50;PRODUCT!B:Q;16;FALSE))</f>
        <v/>
      </c>
      <c r="N56" s="64">
        <f>IF(PRODUCT_CALCULATION!C50="";"";VLOOKUP(PRODUCT_CALCULATION!C50;PRODUCT!B:R;17;FALSE))</f>
        <v/>
      </c>
      <c r="O56" s="64">
        <f>IF(PRODUCT_CALCULATION!C50="";"";VLOOKUP(PRODUCT_CALCULATION!C50;PRODUCT!B:S;18;FALSE))</f>
        <v/>
      </c>
      <c r="P56" s="64">
        <f>IF(PRODUCT_CALCULATION!C50="";"";VLOOKUP(PRODUCT_CALCULATION!C50;PRODUCT!B:D;3;FALSE))</f>
        <v/>
      </c>
      <c r="Q56" s="64">
        <f>IF(PRODUCT_CALCULATION!C50="";"";VLOOKUP(PRODUCT_CALCULATION!C50;PRODUCT!B:E;4;FALSE))</f>
        <v/>
      </c>
      <c r="R56" s="64">
        <f>IF(PRODUCT_CALCULATION!B50="SI";PRODUCT_CALCULATION!F50;"")</f>
        <v/>
      </c>
      <c r="S56" s="64">
        <f>IF(PRODUCT_CALCULATION!B50="SI";PRODUCT_CALCULATION!K50;"")</f>
        <v/>
      </c>
      <c r="T56" s="64">
        <f>IF(PRODUCT_CALCULATION!B50="SI";PRODUCT_CALCULATION!J50;"")</f>
        <v/>
      </c>
      <c r="U56" s="64">
        <f>IF(PRODUCT_CALCULATION!B50="SI";PRODUCT_CALCULATION!N50;"")</f>
        <v/>
      </c>
      <c r="V56" s="64">
        <f>IF(PRODUCT_CALCULATION!B50="SI";PRODUCT_CALCULATION!L50;"")</f>
        <v/>
      </c>
      <c r="W56" s="64">
        <f>IF(PRODUCT_CALCULATION!B50="SI";PRODUCT_CALCULATION!M50;"")</f>
        <v/>
      </c>
      <c r="X56" s="64">
        <f>IF(R50="";"";CEILING(R50/S50;1))</f>
        <v/>
      </c>
      <c r="Y56" s="64">
        <f>IF(R50="";"";R50*T50)</f>
        <v/>
      </c>
      <c r="Z56" s="64">
        <f>IF(R50="";"";R50*V50)</f>
        <v/>
      </c>
    </row>
    <row r="57" ht="15.75" customHeight="1" s="125">
      <c r="A57" s="64">
        <f>INPUT_PRODUCT!B1</f>
        <v/>
      </c>
      <c r="B57" s="78">
        <f>INPUT_PRODUCT!B2</f>
        <v/>
      </c>
      <c r="C57" s="64">
        <f>INPUT_PRODUCT!B6</f>
        <v/>
      </c>
      <c r="D57" s="64" t="inlineStr">
        <is>
          <t>Arias Group Caribe SRL</t>
        </is>
      </c>
      <c r="E57" s="64" t="n"/>
      <c r="F57" s="64" t="inlineStr">
        <is>
          <t>Tarancón, España</t>
        </is>
      </c>
      <c r="G57" s="79">
        <f>INPUT_PRODUCT!B7</f>
        <v/>
      </c>
      <c r="H57" s="79" t="n"/>
      <c r="I57" s="64" t="n"/>
      <c r="J57" s="64" t="n"/>
      <c r="K57" s="64">
        <f>IF(PRODUCT_CALCULATION!B51="SI";PRODUCT_CALCULATION!C51;"")</f>
        <v/>
      </c>
      <c r="L57" s="64">
        <f>IF(PRODUCT_CALCULATION!B51="SI";PRODUCT_CALCULATION!E51;"")</f>
        <v/>
      </c>
      <c r="M57" s="64">
        <f>IF(PRODUCT_CALCULATION!C51="";"";VLOOKUP(PRODUCT_CALCULATION!C51;PRODUCT!B:Q;16;FALSE))</f>
        <v/>
      </c>
      <c r="N57" s="64">
        <f>IF(PRODUCT_CALCULATION!C51="";"";VLOOKUP(PRODUCT_CALCULATION!C51;PRODUCT!B:R;17;FALSE))</f>
        <v/>
      </c>
      <c r="O57" s="64">
        <f>IF(PRODUCT_CALCULATION!C51="";"";VLOOKUP(PRODUCT_CALCULATION!C51;PRODUCT!B:S;18;FALSE))</f>
        <v/>
      </c>
      <c r="P57" s="64">
        <f>IF(PRODUCT_CALCULATION!C51="";"";VLOOKUP(PRODUCT_CALCULATION!C51;PRODUCT!B:D;3;FALSE))</f>
        <v/>
      </c>
      <c r="Q57" s="64">
        <f>IF(PRODUCT_CALCULATION!C51="";"";VLOOKUP(PRODUCT_CALCULATION!C51;PRODUCT!B:E;4;FALSE))</f>
        <v/>
      </c>
      <c r="R57" s="64">
        <f>IF(PRODUCT_CALCULATION!B51="SI";PRODUCT_CALCULATION!F51;"")</f>
        <v/>
      </c>
      <c r="S57" s="64">
        <f>IF(PRODUCT_CALCULATION!B51="SI";PRODUCT_CALCULATION!K51;"")</f>
        <v/>
      </c>
      <c r="T57" s="64">
        <f>IF(PRODUCT_CALCULATION!B51="SI";PRODUCT_CALCULATION!J51;"")</f>
        <v/>
      </c>
      <c r="U57" s="64">
        <f>IF(PRODUCT_CALCULATION!B51="SI";PRODUCT_CALCULATION!N51;"")</f>
        <v/>
      </c>
      <c r="V57" s="64">
        <f>IF(PRODUCT_CALCULATION!B51="SI";PRODUCT_CALCULATION!L51;"")</f>
        <v/>
      </c>
      <c r="W57" s="64">
        <f>IF(PRODUCT_CALCULATION!B51="SI";PRODUCT_CALCULATION!M51;"")</f>
        <v/>
      </c>
      <c r="X57" s="64">
        <f>IF(R51="";"";CEILING(R51/S51;1))</f>
        <v/>
      </c>
      <c r="Y57" s="64">
        <f>IF(R51="";"";R51*T51)</f>
        <v/>
      </c>
      <c r="Z57" s="64">
        <f>IF(R51="";"";R51*V51)</f>
        <v/>
      </c>
    </row>
    <row r="58" ht="15.75" customHeight="1" s="125">
      <c r="A58" s="64">
        <f>INPUT_PRODUCT!B1</f>
        <v/>
      </c>
      <c r="B58" s="78">
        <f>INPUT_PRODUCT!B2</f>
        <v/>
      </c>
      <c r="C58" s="64">
        <f>INPUT_PRODUCT!B6</f>
        <v/>
      </c>
      <c r="D58" s="64" t="inlineStr">
        <is>
          <t>Arias Group Caribe SRL</t>
        </is>
      </c>
      <c r="E58" s="64" t="n"/>
      <c r="F58" s="64" t="inlineStr">
        <is>
          <t>Tarancón, España</t>
        </is>
      </c>
      <c r="G58" s="79">
        <f>INPUT_PRODUCT!B7</f>
        <v/>
      </c>
      <c r="H58" s="79" t="n"/>
      <c r="I58" s="64" t="n"/>
      <c r="J58" s="64" t="n"/>
      <c r="K58" s="64">
        <f>IF(PRODUCT_CALCULATION!B52="SI";PRODUCT_CALCULATION!C52;"")</f>
        <v/>
      </c>
      <c r="L58" s="64">
        <f>IF(PRODUCT_CALCULATION!B52="SI";PRODUCT_CALCULATION!E52;"")</f>
        <v/>
      </c>
      <c r="M58" s="64">
        <f>IF(PRODUCT_CALCULATION!C52="";"";VLOOKUP(PRODUCT_CALCULATION!C52;PRODUCT!B:Q;16;FALSE))</f>
        <v/>
      </c>
      <c r="N58" s="64">
        <f>IF(PRODUCT_CALCULATION!C52="";"";VLOOKUP(PRODUCT_CALCULATION!C52;PRODUCT!B:R;17;FALSE))</f>
        <v/>
      </c>
      <c r="O58" s="64">
        <f>IF(PRODUCT_CALCULATION!C52="";"";VLOOKUP(PRODUCT_CALCULATION!C52;PRODUCT!B:S;18;FALSE))</f>
        <v/>
      </c>
      <c r="P58" s="64">
        <f>IF(PRODUCT_CALCULATION!C52="";"";VLOOKUP(PRODUCT_CALCULATION!C52;PRODUCT!B:D;3;FALSE))</f>
        <v/>
      </c>
      <c r="Q58" s="64">
        <f>IF(PRODUCT_CALCULATION!C52="";"";VLOOKUP(PRODUCT_CALCULATION!C52;PRODUCT!B:E;4;FALSE))</f>
        <v/>
      </c>
      <c r="R58" s="64">
        <f>IF(PRODUCT_CALCULATION!B52="SI";PRODUCT_CALCULATION!F52;"")</f>
        <v/>
      </c>
      <c r="S58" s="64">
        <f>IF(PRODUCT_CALCULATION!B52="SI";PRODUCT_CALCULATION!K52;"")</f>
        <v/>
      </c>
      <c r="T58" s="64">
        <f>IF(PRODUCT_CALCULATION!B52="SI";PRODUCT_CALCULATION!J52;"")</f>
        <v/>
      </c>
      <c r="U58" s="64">
        <f>IF(PRODUCT_CALCULATION!B52="SI";PRODUCT_CALCULATION!N52;"")</f>
        <v/>
      </c>
      <c r="V58" s="64">
        <f>IF(PRODUCT_CALCULATION!B52="SI";PRODUCT_CALCULATION!L52;"")</f>
        <v/>
      </c>
      <c r="W58" s="64">
        <f>IF(PRODUCT_CALCULATION!B52="SI";PRODUCT_CALCULATION!M52;"")</f>
        <v/>
      </c>
      <c r="X58" s="64">
        <f>IF(R52="";"";CEILING(R52/S52;1))</f>
        <v/>
      </c>
      <c r="Y58" s="64">
        <f>IF(R52="";"";R52*T52)</f>
        <v/>
      </c>
      <c r="Z58" s="64">
        <f>IF(R52="";"";R52*V52)</f>
        <v/>
      </c>
    </row>
    <row r="59" ht="15.75" customHeight="1" s="125">
      <c r="A59" s="64">
        <f>INPUT_PRODUCT!B1</f>
        <v/>
      </c>
      <c r="B59" s="78">
        <f>INPUT_PRODUCT!B2</f>
        <v/>
      </c>
      <c r="C59" s="64">
        <f>INPUT_PRODUCT!B6</f>
        <v/>
      </c>
      <c r="D59" s="64" t="inlineStr">
        <is>
          <t>Arias Group Caribe SRL</t>
        </is>
      </c>
      <c r="E59" s="64" t="n"/>
      <c r="F59" s="64" t="inlineStr">
        <is>
          <t>Tarancón, España</t>
        </is>
      </c>
      <c r="G59" s="79">
        <f>INPUT_PRODUCT!B7</f>
        <v/>
      </c>
      <c r="H59" s="79" t="n"/>
      <c r="I59" s="64" t="n"/>
      <c r="J59" s="64" t="n"/>
      <c r="K59" s="64">
        <f>IF(PRODUCT_CALCULATION!B53="SI";PRODUCT_CALCULATION!C53;"")</f>
        <v/>
      </c>
      <c r="L59" s="64">
        <f>IF(PRODUCT_CALCULATION!B53="SI";PRODUCT_CALCULATION!E53;"")</f>
        <v/>
      </c>
      <c r="M59" s="64">
        <f>IF(PRODUCT_CALCULATION!C53="";"";VLOOKUP(PRODUCT_CALCULATION!C53;PRODUCT!B:Q;16;FALSE))</f>
        <v/>
      </c>
      <c r="N59" s="64">
        <f>IF(PRODUCT_CALCULATION!C53="";"";VLOOKUP(PRODUCT_CALCULATION!C53;PRODUCT!B:R;17;FALSE))</f>
        <v/>
      </c>
      <c r="O59" s="64">
        <f>IF(PRODUCT_CALCULATION!C53="";"";VLOOKUP(PRODUCT_CALCULATION!C53;PRODUCT!B:S;18;FALSE))</f>
        <v/>
      </c>
      <c r="P59" s="64">
        <f>IF(PRODUCT_CALCULATION!C53="";"";VLOOKUP(PRODUCT_CALCULATION!C53;PRODUCT!B:D;3;FALSE))</f>
        <v/>
      </c>
      <c r="Q59" s="64">
        <f>IF(PRODUCT_CALCULATION!C53="";"";VLOOKUP(PRODUCT_CALCULATION!C53;PRODUCT!B:E;4;FALSE))</f>
        <v/>
      </c>
      <c r="R59" s="64">
        <f>IF(PRODUCT_CALCULATION!B53="SI";PRODUCT_CALCULATION!F53;"")</f>
        <v/>
      </c>
      <c r="S59" s="64">
        <f>IF(PRODUCT_CALCULATION!B53="SI";PRODUCT_CALCULATION!K53;"")</f>
        <v/>
      </c>
      <c r="T59" s="64">
        <f>IF(PRODUCT_CALCULATION!B53="SI";PRODUCT_CALCULATION!J53;"")</f>
        <v/>
      </c>
      <c r="U59" s="64">
        <f>IF(PRODUCT_CALCULATION!B53="SI";PRODUCT_CALCULATION!N53;"")</f>
        <v/>
      </c>
      <c r="V59" s="64">
        <f>IF(PRODUCT_CALCULATION!B53="SI";PRODUCT_CALCULATION!L53;"")</f>
        <v/>
      </c>
      <c r="W59" s="64">
        <f>IF(PRODUCT_CALCULATION!B53="SI";PRODUCT_CALCULATION!M53;"")</f>
        <v/>
      </c>
      <c r="X59" s="64">
        <f>IF(R53="";"";CEILING(R53/S53;1))</f>
        <v/>
      </c>
      <c r="Y59" s="64">
        <f>IF(R53="";"";R53*T53)</f>
        <v/>
      </c>
      <c r="Z59" s="64">
        <f>IF(R53="";"";R53*V53)</f>
        <v/>
      </c>
    </row>
    <row r="60" ht="15.75" customHeight="1" s="125">
      <c r="A60" s="64">
        <f>INPUT_PRODUCT!B1</f>
        <v/>
      </c>
      <c r="B60" s="78">
        <f>INPUT_PRODUCT!B2</f>
        <v/>
      </c>
      <c r="C60" s="64">
        <f>INPUT_PRODUCT!B6</f>
        <v/>
      </c>
      <c r="D60" s="64" t="inlineStr">
        <is>
          <t>Arias Group Caribe SRL</t>
        </is>
      </c>
      <c r="E60" s="64" t="n"/>
      <c r="F60" s="64" t="inlineStr">
        <is>
          <t>Tarancón, España</t>
        </is>
      </c>
      <c r="G60" s="79">
        <f>INPUT_PRODUCT!B7</f>
        <v/>
      </c>
      <c r="H60" s="79" t="n"/>
      <c r="I60" s="64" t="n"/>
      <c r="J60" s="64" t="n"/>
      <c r="K60" s="64">
        <f>IF(PRODUCT_CALCULATION!B54="SI";PRODUCT_CALCULATION!C54;"")</f>
        <v/>
      </c>
      <c r="L60" s="64">
        <f>IF(PRODUCT_CALCULATION!B54="SI";PRODUCT_CALCULATION!E54;"")</f>
        <v/>
      </c>
      <c r="M60" s="64">
        <f>IF(PRODUCT_CALCULATION!C54="";"";VLOOKUP(PRODUCT_CALCULATION!C54;PRODUCT!B:Q;16;FALSE))</f>
        <v/>
      </c>
      <c r="N60" s="64">
        <f>IF(PRODUCT_CALCULATION!C54="";"";VLOOKUP(PRODUCT_CALCULATION!C54;PRODUCT!B:R;17;FALSE))</f>
        <v/>
      </c>
      <c r="O60" s="64">
        <f>IF(PRODUCT_CALCULATION!C54="";"";VLOOKUP(PRODUCT_CALCULATION!C54;PRODUCT!B:S;18;FALSE))</f>
        <v/>
      </c>
      <c r="P60" s="64">
        <f>IF(PRODUCT_CALCULATION!C54="";"";VLOOKUP(PRODUCT_CALCULATION!C54;PRODUCT!B:D;3;FALSE))</f>
        <v/>
      </c>
      <c r="Q60" s="64">
        <f>IF(PRODUCT_CALCULATION!C54="";"";VLOOKUP(PRODUCT_CALCULATION!C54;PRODUCT!B:E;4;FALSE))</f>
        <v/>
      </c>
      <c r="R60" s="64">
        <f>IF(PRODUCT_CALCULATION!B54="SI";PRODUCT_CALCULATION!F54;"")</f>
        <v/>
      </c>
      <c r="S60" s="64">
        <f>IF(PRODUCT_CALCULATION!B54="SI";PRODUCT_CALCULATION!K54;"")</f>
        <v/>
      </c>
      <c r="T60" s="64">
        <f>IF(PRODUCT_CALCULATION!B54="SI";PRODUCT_CALCULATION!J54;"")</f>
        <v/>
      </c>
      <c r="U60" s="64">
        <f>IF(PRODUCT_CALCULATION!B54="SI";PRODUCT_CALCULATION!N54;"")</f>
        <v/>
      </c>
      <c r="V60" s="64">
        <f>IF(PRODUCT_CALCULATION!B54="SI";PRODUCT_CALCULATION!L54;"")</f>
        <v/>
      </c>
      <c r="W60" s="64">
        <f>IF(PRODUCT_CALCULATION!B54="SI";PRODUCT_CALCULATION!M54;"")</f>
        <v/>
      </c>
      <c r="X60" s="64">
        <f>IF(R54="";"";CEILING(R54/S54;1))</f>
        <v/>
      </c>
      <c r="Y60" s="64">
        <f>IF(R54="";"";R54*T54)</f>
        <v/>
      </c>
      <c r="Z60" s="64">
        <f>IF(R54="";"";R54*V54)</f>
        <v/>
      </c>
    </row>
    <row r="61" ht="15.75" customHeight="1" s="125">
      <c r="A61" s="64">
        <f>INPUT_PRODUCT!B1</f>
        <v/>
      </c>
      <c r="B61" s="78">
        <f>INPUT_PRODUCT!B2</f>
        <v/>
      </c>
      <c r="C61" s="64">
        <f>INPUT_PRODUCT!B6</f>
        <v/>
      </c>
      <c r="D61" s="64" t="inlineStr">
        <is>
          <t>Arias Group Caribe SRL</t>
        </is>
      </c>
      <c r="E61" s="64" t="n"/>
      <c r="F61" s="64" t="inlineStr">
        <is>
          <t>Tarancón, España</t>
        </is>
      </c>
      <c r="G61" s="79">
        <f>INPUT_PRODUCT!B7</f>
        <v/>
      </c>
      <c r="H61" s="79" t="n"/>
      <c r="I61" s="64" t="n"/>
      <c r="J61" s="64" t="n"/>
      <c r="K61" s="64">
        <f>IF(PRODUCT_CALCULATION!B55="SI";PRODUCT_CALCULATION!C55;"")</f>
        <v/>
      </c>
      <c r="L61" s="64">
        <f>IF(PRODUCT_CALCULATION!B55="SI";PRODUCT_CALCULATION!E55;"")</f>
        <v/>
      </c>
      <c r="M61" s="64">
        <f>IF(PRODUCT_CALCULATION!C55="";"";VLOOKUP(PRODUCT_CALCULATION!C55;PRODUCT!B:Q;16;FALSE))</f>
        <v/>
      </c>
      <c r="N61" s="64">
        <f>IF(PRODUCT_CALCULATION!C55="";"";VLOOKUP(PRODUCT_CALCULATION!C55;PRODUCT!B:R;17;FALSE))</f>
        <v/>
      </c>
      <c r="O61" s="64">
        <f>IF(PRODUCT_CALCULATION!C55="";"";VLOOKUP(PRODUCT_CALCULATION!C55;PRODUCT!B:S;18;FALSE))</f>
        <v/>
      </c>
      <c r="P61" s="64">
        <f>IF(PRODUCT_CALCULATION!C55="";"";VLOOKUP(PRODUCT_CALCULATION!C55;PRODUCT!B:D;3;FALSE))</f>
        <v/>
      </c>
      <c r="Q61" s="64">
        <f>IF(PRODUCT_CALCULATION!C55="";"";VLOOKUP(PRODUCT_CALCULATION!C55;PRODUCT!B:E;4;FALSE))</f>
        <v/>
      </c>
      <c r="R61" s="64">
        <f>IF(PRODUCT_CALCULATION!B55="SI";PRODUCT_CALCULATION!F55;"")</f>
        <v/>
      </c>
      <c r="S61" s="64">
        <f>IF(PRODUCT_CALCULATION!B55="SI";PRODUCT_CALCULATION!K55;"")</f>
        <v/>
      </c>
      <c r="T61" s="64">
        <f>IF(PRODUCT_CALCULATION!B55="SI";PRODUCT_CALCULATION!J55;"")</f>
        <v/>
      </c>
      <c r="U61" s="64">
        <f>IF(PRODUCT_CALCULATION!B55="SI";PRODUCT_CALCULATION!N55;"")</f>
        <v/>
      </c>
      <c r="V61" s="64">
        <f>IF(PRODUCT_CALCULATION!B55="SI";PRODUCT_CALCULATION!L55;"")</f>
        <v/>
      </c>
      <c r="W61" s="64">
        <f>IF(PRODUCT_CALCULATION!B55="SI";PRODUCT_CALCULATION!M55;"")</f>
        <v/>
      </c>
      <c r="X61" s="64">
        <f>IF(R55="";"";CEILING(R55/S55;1))</f>
        <v/>
      </c>
      <c r="Y61" s="64">
        <f>IF(R55="";"";R55*T55)</f>
        <v/>
      </c>
      <c r="Z61" s="64">
        <f>IF(R55="";"";R55*V55)</f>
        <v/>
      </c>
    </row>
    <row r="62" ht="15.75" customHeight="1" s="125">
      <c r="A62" s="64">
        <f>INPUT_PRODUCT!B1</f>
        <v/>
      </c>
      <c r="B62" s="78">
        <f>INPUT_PRODUCT!B2</f>
        <v/>
      </c>
      <c r="C62" s="64">
        <f>INPUT_PRODUCT!B6</f>
        <v/>
      </c>
      <c r="D62" s="64" t="inlineStr">
        <is>
          <t>Arias Group Caribe SRL</t>
        </is>
      </c>
      <c r="E62" s="64" t="n"/>
      <c r="F62" s="64" t="inlineStr">
        <is>
          <t>Tarancón, España</t>
        </is>
      </c>
      <c r="G62" s="79">
        <f>INPUT_PRODUCT!B7</f>
        <v/>
      </c>
      <c r="H62" s="79" t="n"/>
      <c r="I62" s="64" t="n"/>
      <c r="J62" s="64" t="n"/>
      <c r="K62" s="64">
        <f>IF(PRODUCT_CALCULATION!B56="SI";PRODUCT_CALCULATION!C56;"")</f>
        <v/>
      </c>
      <c r="L62" s="64">
        <f>IF(PRODUCT_CALCULATION!B56="SI";PRODUCT_CALCULATION!E56;"")</f>
        <v/>
      </c>
      <c r="M62" s="64">
        <f>IF(PRODUCT_CALCULATION!C56="";"";VLOOKUP(PRODUCT_CALCULATION!C56;PRODUCT!B:Q;16;FALSE))</f>
        <v/>
      </c>
      <c r="N62" s="64">
        <f>IF(PRODUCT_CALCULATION!C56="";"";VLOOKUP(PRODUCT_CALCULATION!C56;PRODUCT!B:R;17;FALSE))</f>
        <v/>
      </c>
      <c r="O62" s="64">
        <f>IF(PRODUCT_CALCULATION!C56="";"";VLOOKUP(PRODUCT_CALCULATION!C56;PRODUCT!B:S;18;FALSE))</f>
        <v/>
      </c>
      <c r="P62" s="64">
        <f>IF(PRODUCT_CALCULATION!C56="";"";VLOOKUP(PRODUCT_CALCULATION!C56;PRODUCT!B:D;3;FALSE))</f>
        <v/>
      </c>
      <c r="Q62" s="64">
        <f>IF(PRODUCT_CALCULATION!C56="";"";VLOOKUP(PRODUCT_CALCULATION!C56;PRODUCT!B:E;4;FALSE))</f>
        <v/>
      </c>
      <c r="R62" s="64">
        <f>IF(PRODUCT_CALCULATION!B56="SI";PRODUCT_CALCULATION!F56;"")</f>
        <v/>
      </c>
      <c r="S62" s="64">
        <f>IF(PRODUCT_CALCULATION!B56="SI";PRODUCT_CALCULATION!K56;"")</f>
        <v/>
      </c>
      <c r="T62" s="64">
        <f>IF(PRODUCT_CALCULATION!B56="SI";PRODUCT_CALCULATION!J56;"")</f>
        <v/>
      </c>
      <c r="U62" s="64">
        <f>IF(PRODUCT_CALCULATION!B56="SI";PRODUCT_CALCULATION!N56;"")</f>
        <v/>
      </c>
      <c r="V62" s="64">
        <f>IF(PRODUCT_CALCULATION!B56="SI";PRODUCT_CALCULATION!L56;"")</f>
        <v/>
      </c>
      <c r="W62" s="64">
        <f>IF(PRODUCT_CALCULATION!B56="SI";PRODUCT_CALCULATION!M56;"")</f>
        <v/>
      </c>
      <c r="X62" s="64">
        <f>IF(R56="";"";CEILING(R56/S56;1))</f>
        <v/>
      </c>
      <c r="Y62" s="64">
        <f>IF(R56="";"";R56*T56)</f>
        <v/>
      </c>
      <c r="Z62" s="64">
        <f>IF(R56="";"";R56*V56)</f>
        <v/>
      </c>
    </row>
    <row r="63" ht="15.75" customHeight="1" s="125">
      <c r="A63" s="64">
        <f>INPUT_PRODUCT!B1</f>
        <v/>
      </c>
      <c r="B63" s="78">
        <f>INPUT_PRODUCT!B2</f>
        <v/>
      </c>
      <c r="C63" s="64">
        <f>INPUT_PRODUCT!B6</f>
        <v/>
      </c>
      <c r="D63" s="64" t="inlineStr">
        <is>
          <t>Arias Group Caribe SRL</t>
        </is>
      </c>
      <c r="E63" s="64" t="n"/>
      <c r="F63" s="64" t="inlineStr">
        <is>
          <t>Tarancón, España</t>
        </is>
      </c>
      <c r="G63" s="79">
        <f>INPUT_PRODUCT!B7</f>
        <v/>
      </c>
      <c r="H63" s="79" t="n"/>
      <c r="I63" s="64" t="n"/>
      <c r="J63" s="64" t="n"/>
      <c r="K63" s="64">
        <f>IF(PRODUCT_CALCULATION!B57="SI";PRODUCT_CALCULATION!C57;"")</f>
        <v/>
      </c>
      <c r="L63" s="64">
        <f>IF(PRODUCT_CALCULATION!B57="SI";PRODUCT_CALCULATION!E57;"")</f>
        <v/>
      </c>
      <c r="M63" s="64">
        <f>IF(PRODUCT_CALCULATION!C57="";"";VLOOKUP(PRODUCT_CALCULATION!C57;PRODUCT!B:Q;16;FALSE))</f>
        <v/>
      </c>
      <c r="N63" s="64">
        <f>IF(PRODUCT_CALCULATION!C57="";"";VLOOKUP(PRODUCT_CALCULATION!C57;PRODUCT!B:R;17;FALSE))</f>
        <v/>
      </c>
      <c r="O63" s="64">
        <f>IF(PRODUCT_CALCULATION!C57="";"";VLOOKUP(PRODUCT_CALCULATION!C57;PRODUCT!B:S;18;FALSE))</f>
        <v/>
      </c>
      <c r="P63" s="64">
        <f>IF(PRODUCT_CALCULATION!C57="";"";VLOOKUP(PRODUCT_CALCULATION!C57;PRODUCT!B:D;3;FALSE))</f>
        <v/>
      </c>
      <c r="Q63" s="64">
        <f>IF(PRODUCT_CALCULATION!C57="";"";VLOOKUP(PRODUCT_CALCULATION!C57;PRODUCT!B:E;4;FALSE))</f>
        <v/>
      </c>
      <c r="R63" s="64">
        <f>IF(PRODUCT_CALCULATION!B57="SI";PRODUCT_CALCULATION!F57;"")</f>
        <v/>
      </c>
      <c r="S63" s="64">
        <f>IF(PRODUCT_CALCULATION!B57="SI";PRODUCT_CALCULATION!K57;"")</f>
        <v/>
      </c>
      <c r="T63" s="64">
        <f>IF(PRODUCT_CALCULATION!B57="SI";PRODUCT_CALCULATION!J57;"")</f>
        <v/>
      </c>
      <c r="U63" s="64">
        <f>IF(PRODUCT_CALCULATION!B57="SI";PRODUCT_CALCULATION!N57;"")</f>
        <v/>
      </c>
      <c r="V63" s="64">
        <f>IF(PRODUCT_CALCULATION!B57="SI";PRODUCT_CALCULATION!L57;"")</f>
        <v/>
      </c>
      <c r="W63" s="64">
        <f>IF(PRODUCT_CALCULATION!B57="SI";PRODUCT_CALCULATION!M57;"")</f>
        <v/>
      </c>
      <c r="X63" s="64">
        <f>IF(R57="";"";CEILING(R57/S57;1))</f>
        <v/>
      </c>
      <c r="Y63" s="64">
        <f>IF(R57="";"";R57*T57)</f>
        <v/>
      </c>
      <c r="Z63" s="64">
        <f>IF(R57="";"";R57*V57)</f>
        <v/>
      </c>
    </row>
    <row r="64" ht="15.75" customHeight="1" s="125">
      <c r="A64" s="64">
        <f>INPUT_PRODUCT!B1</f>
        <v/>
      </c>
      <c r="B64" s="78">
        <f>INPUT_PRODUCT!B2</f>
        <v/>
      </c>
      <c r="C64" s="64">
        <f>INPUT_PRODUCT!B6</f>
        <v/>
      </c>
      <c r="D64" s="64" t="inlineStr">
        <is>
          <t>Arias Group Caribe SRL</t>
        </is>
      </c>
      <c r="E64" s="64" t="n"/>
      <c r="F64" s="64" t="inlineStr">
        <is>
          <t>Tarancón, España</t>
        </is>
      </c>
      <c r="G64" s="79">
        <f>INPUT_PRODUCT!B7</f>
        <v/>
      </c>
      <c r="H64" s="79" t="n"/>
      <c r="I64" s="64" t="n"/>
      <c r="J64" s="64" t="n"/>
      <c r="K64" s="64">
        <f>IF(PRODUCT_CALCULATION!B58="SI";PRODUCT_CALCULATION!C58;"")</f>
        <v/>
      </c>
      <c r="L64" s="64">
        <f>IF(PRODUCT_CALCULATION!B58="SI";PRODUCT_CALCULATION!E58;"")</f>
        <v/>
      </c>
      <c r="M64" s="64">
        <f>IF(PRODUCT_CALCULATION!C58="";"";VLOOKUP(PRODUCT_CALCULATION!C58;PRODUCT!B:Q;16;FALSE))</f>
        <v/>
      </c>
      <c r="N64" s="64">
        <f>IF(PRODUCT_CALCULATION!C58="";"";VLOOKUP(PRODUCT_CALCULATION!C58;PRODUCT!B:R;17;FALSE))</f>
        <v/>
      </c>
      <c r="O64" s="64">
        <f>IF(PRODUCT_CALCULATION!C58="";"";VLOOKUP(PRODUCT_CALCULATION!C58;PRODUCT!B:S;18;FALSE))</f>
        <v/>
      </c>
      <c r="P64" s="64">
        <f>IF(PRODUCT_CALCULATION!C58="";"";VLOOKUP(PRODUCT_CALCULATION!C58;PRODUCT!B:D;3;FALSE))</f>
        <v/>
      </c>
      <c r="Q64" s="64">
        <f>IF(PRODUCT_CALCULATION!C58="";"";VLOOKUP(PRODUCT_CALCULATION!C58;PRODUCT!B:E;4;FALSE))</f>
        <v/>
      </c>
      <c r="R64" s="64">
        <f>IF(PRODUCT_CALCULATION!B58="SI";PRODUCT_CALCULATION!F58;"")</f>
        <v/>
      </c>
      <c r="S64" s="64">
        <f>IF(PRODUCT_CALCULATION!B58="SI";PRODUCT_CALCULATION!K58;"")</f>
        <v/>
      </c>
      <c r="T64" s="64">
        <f>IF(PRODUCT_CALCULATION!B58="SI";PRODUCT_CALCULATION!J58;"")</f>
        <v/>
      </c>
      <c r="U64" s="64">
        <f>IF(PRODUCT_CALCULATION!B58="SI";PRODUCT_CALCULATION!N58;"")</f>
        <v/>
      </c>
      <c r="V64" s="64">
        <f>IF(PRODUCT_CALCULATION!B58="SI";PRODUCT_CALCULATION!L58;"")</f>
        <v/>
      </c>
      <c r="W64" s="64">
        <f>IF(PRODUCT_CALCULATION!B58="SI";PRODUCT_CALCULATION!M58;"")</f>
        <v/>
      </c>
      <c r="X64" s="64">
        <f>IF(R58="";"";CEILING(R58/S58;1))</f>
        <v/>
      </c>
      <c r="Y64" s="64">
        <f>IF(R58="";"";R58*T58)</f>
        <v/>
      </c>
      <c r="Z64" s="64">
        <f>IF(R58="";"";R58*V58)</f>
        <v/>
      </c>
    </row>
    <row r="65" ht="15.75" customHeight="1" s="125">
      <c r="A65" s="64">
        <f>INPUT_PRODUCT!B1</f>
        <v/>
      </c>
      <c r="B65" s="78">
        <f>INPUT_PRODUCT!B2</f>
        <v/>
      </c>
      <c r="C65" s="64">
        <f>INPUT_PRODUCT!B6</f>
        <v/>
      </c>
      <c r="D65" s="64" t="inlineStr">
        <is>
          <t>Arias Group Caribe SRL</t>
        </is>
      </c>
      <c r="E65" s="64" t="n"/>
      <c r="F65" s="64" t="inlineStr">
        <is>
          <t>Tarancón, España</t>
        </is>
      </c>
      <c r="G65" s="79">
        <f>INPUT_PRODUCT!B7</f>
        <v/>
      </c>
      <c r="H65" s="79" t="n"/>
      <c r="I65" s="64" t="n"/>
      <c r="J65" s="64" t="n"/>
      <c r="K65" s="64">
        <f>IF(PRODUCT_CALCULATION!B59="SI";PRODUCT_CALCULATION!C59;"")</f>
        <v/>
      </c>
      <c r="L65" s="64">
        <f>IF(PRODUCT_CALCULATION!B59="SI";PRODUCT_CALCULATION!E59;"")</f>
        <v/>
      </c>
      <c r="M65" s="64">
        <f>IF(PRODUCT_CALCULATION!C59="";"";VLOOKUP(PRODUCT_CALCULATION!C59;PRODUCT!B:Q;16;FALSE))</f>
        <v/>
      </c>
      <c r="N65" s="64">
        <f>IF(PRODUCT_CALCULATION!C59="";"";VLOOKUP(PRODUCT_CALCULATION!C59;PRODUCT!B:R;17;FALSE))</f>
        <v/>
      </c>
      <c r="O65" s="64">
        <f>IF(PRODUCT_CALCULATION!C59="";"";VLOOKUP(PRODUCT_CALCULATION!C59;PRODUCT!B:S;18;FALSE))</f>
        <v/>
      </c>
      <c r="P65" s="64">
        <f>IF(PRODUCT_CALCULATION!C59="";"";VLOOKUP(PRODUCT_CALCULATION!C59;PRODUCT!B:D;3;FALSE))</f>
        <v/>
      </c>
      <c r="Q65" s="64">
        <f>IF(PRODUCT_CALCULATION!C59="";"";VLOOKUP(PRODUCT_CALCULATION!C59;PRODUCT!B:E;4;FALSE))</f>
        <v/>
      </c>
      <c r="R65" s="64">
        <f>IF(PRODUCT_CALCULATION!B59="SI";PRODUCT_CALCULATION!F59;"")</f>
        <v/>
      </c>
      <c r="S65" s="64">
        <f>IF(PRODUCT_CALCULATION!B59="SI";PRODUCT_CALCULATION!K59;"")</f>
        <v/>
      </c>
      <c r="T65" s="64">
        <f>IF(PRODUCT_CALCULATION!B59="SI";PRODUCT_CALCULATION!J59;"")</f>
        <v/>
      </c>
      <c r="U65" s="64">
        <f>IF(PRODUCT_CALCULATION!B59="SI";PRODUCT_CALCULATION!N59;"")</f>
        <v/>
      </c>
      <c r="V65" s="64">
        <f>IF(PRODUCT_CALCULATION!B59="SI";PRODUCT_CALCULATION!L59;"")</f>
        <v/>
      </c>
      <c r="W65" s="64">
        <f>IF(PRODUCT_CALCULATION!B59="SI";PRODUCT_CALCULATION!M59;"")</f>
        <v/>
      </c>
      <c r="X65" s="64">
        <f>IF(R59="";"";CEILING(R59/S59;1))</f>
        <v/>
      </c>
      <c r="Y65" s="64">
        <f>IF(R59="";"";R59*T59)</f>
        <v/>
      </c>
      <c r="Z65" s="64">
        <f>IF(R59="";"";R59*V59)</f>
        <v/>
      </c>
    </row>
    <row r="66" ht="15.75" customHeight="1" s="125">
      <c r="A66" s="64">
        <f>INPUT_PRODUCT!B1</f>
        <v/>
      </c>
      <c r="B66" s="78">
        <f>INPUT_PRODUCT!B2</f>
        <v/>
      </c>
      <c r="C66" s="64">
        <f>INPUT_PRODUCT!B6</f>
        <v/>
      </c>
      <c r="D66" s="64" t="inlineStr">
        <is>
          <t>Arias Group Caribe SRL</t>
        </is>
      </c>
      <c r="E66" s="64" t="n"/>
      <c r="F66" s="64" t="inlineStr">
        <is>
          <t>Tarancón, España</t>
        </is>
      </c>
      <c r="G66" s="79">
        <f>INPUT_PRODUCT!B7</f>
        <v/>
      </c>
      <c r="H66" s="79" t="n"/>
      <c r="I66" s="64" t="n"/>
      <c r="J66" s="64" t="n"/>
      <c r="K66" s="64">
        <f>IF(PRODUCT_CALCULATION!B60="SI";PRODUCT_CALCULATION!C60;"")</f>
        <v/>
      </c>
      <c r="L66" s="64">
        <f>IF(PRODUCT_CALCULATION!B60="SI";PRODUCT_CALCULATION!E60;"")</f>
        <v/>
      </c>
      <c r="M66" s="64">
        <f>IF(PRODUCT_CALCULATION!C60="";"";VLOOKUP(PRODUCT_CALCULATION!C60;PRODUCT!B:Q;16;FALSE))</f>
        <v/>
      </c>
      <c r="N66" s="64">
        <f>IF(PRODUCT_CALCULATION!C60="";"";VLOOKUP(PRODUCT_CALCULATION!C60;PRODUCT!B:R;17;FALSE))</f>
        <v/>
      </c>
      <c r="O66" s="64">
        <f>IF(PRODUCT_CALCULATION!C60="";"";VLOOKUP(PRODUCT_CALCULATION!C60;PRODUCT!B:S;18;FALSE))</f>
        <v/>
      </c>
      <c r="P66" s="64">
        <f>IF(PRODUCT_CALCULATION!C60="";"";VLOOKUP(PRODUCT_CALCULATION!C60;PRODUCT!B:D;3;FALSE))</f>
        <v/>
      </c>
      <c r="Q66" s="64">
        <f>IF(PRODUCT_CALCULATION!C60="";"";VLOOKUP(PRODUCT_CALCULATION!C60;PRODUCT!B:E;4;FALSE))</f>
        <v/>
      </c>
      <c r="R66" s="64">
        <f>IF(PRODUCT_CALCULATION!B60="SI";PRODUCT_CALCULATION!F60;"")</f>
        <v/>
      </c>
      <c r="S66" s="64">
        <f>IF(PRODUCT_CALCULATION!B60="SI";PRODUCT_CALCULATION!K60;"")</f>
        <v/>
      </c>
      <c r="T66" s="64">
        <f>IF(PRODUCT_CALCULATION!B60="SI";PRODUCT_CALCULATION!J60;"")</f>
        <v/>
      </c>
      <c r="U66" s="64">
        <f>IF(PRODUCT_CALCULATION!B60="SI";PRODUCT_CALCULATION!N60;"")</f>
        <v/>
      </c>
      <c r="V66" s="64">
        <f>IF(PRODUCT_CALCULATION!B60="SI";PRODUCT_CALCULATION!L60;"")</f>
        <v/>
      </c>
      <c r="W66" s="64">
        <f>IF(PRODUCT_CALCULATION!B60="SI";PRODUCT_CALCULATION!M60;"")</f>
        <v/>
      </c>
      <c r="X66" s="64">
        <f>IF(R60="";"";CEILING(R60/S60;1))</f>
        <v/>
      </c>
      <c r="Y66" s="64">
        <f>IF(R60="";"";R60*T60)</f>
        <v/>
      </c>
      <c r="Z66" s="64">
        <f>IF(R60="";"";R60*V60)</f>
        <v/>
      </c>
    </row>
    <row r="67" ht="15.75" customHeight="1" s="125">
      <c r="A67" s="64">
        <f>INPUT_PRODUCT!B1</f>
        <v/>
      </c>
      <c r="B67" s="78">
        <f>INPUT_PRODUCT!B2</f>
        <v/>
      </c>
      <c r="C67" s="64">
        <f>INPUT_PRODUCT!B6</f>
        <v/>
      </c>
      <c r="D67" s="64" t="inlineStr">
        <is>
          <t>Arias Group Caribe SRL</t>
        </is>
      </c>
      <c r="E67" s="64" t="n"/>
      <c r="F67" s="64" t="inlineStr">
        <is>
          <t>Tarancón, España</t>
        </is>
      </c>
      <c r="G67" s="79">
        <f>INPUT_PRODUCT!B7</f>
        <v/>
      </c>
      <c r="H67" s="79" t="n"/>
      <c r="I67" s="64" t="n"/>
      <c r="J67" s="64" t="n"/>
      <c r="K67" s="64">
        <f>IF(PRODUCT_CALCULATION!B61="SI";PRODUCT_CALCULATION!C61;"")</f>
        <v/>
      </c>
      <c r="L67" s="64">
        <f>IF(PRODUCT_CALCULATION!B61="SI";PRODUCT_CALCULATION!E61;"")</f>
        <v/>
      </c>
      <c r="M67" s="64">
        <f>IF(PRODUCT_CALCULATION!C61="";"";VLOOKUP(PRODUCT_CALCULATION!C61;PRODUCT!B:Q;16;FALSE))</f>
        <v/>
      </c>
      <c r="N67" s="64">
        <f>IF(PRODUCT_CALCULATION!C61="";"";VLOOKUP(PRODUCT_CALCULATION!C61;PRODUCT!B:R;17;FALSE))</f>
        <v/>
      </c>
      <c r="O67" s="64">
        <f>IF(PRODUCT_CALCULATION!C61="";"";VLOOKUP(PRODUCT_CALCULATION!C61;PRODUCT!B:S;18;FALSE))</f>
        <v/>
      </c>
      <c r="P67" s="64">
        <f>IF(PRODUCT_CALCULATION!C61="";"";VLOOKUP(PRODUCT_CALCULATION!C61;PRODUCT!B:D;3;FALSE))</f>
        <v/>
      </c>
      <c r="Q67" s="64">
        <f>IF(PRODUCT_CALCULATION!C61="";"";VLOOKUP(PRODUCT_CALCULATION!C61;PRODUCT!B:E;4;FALSE))</f>
        <v/>
      </c>
      <c r="R67" s="64">
        <f>IF(PRODUCT_CALCULATION!B61="SI";PRODUCT_CALCULATION!F61;"")</f>
        <v/>
      </c>
      <c r="S67" s="64">
        <f>IF(PRODUCT_CALCULATION!B61="SI";PRODUCT_CALCULATION!K61;"")</f>
        <v/>
      </c>
      <c r="T67" s="64">
        <f>IF(PRODUCT_CALCULATION!B61="SI";PRODUCT_CALCULATION!J61;"")</f>
        <v/>
      </c>
      <c r="U67" s="64">
        <f>IF(PRODUCT_CALCULATION!B61="SI";PRODUCT_CALCULATION!N61;"")</f>
        <v/>
      </c>
      <c r="V67" s="64">
        <f>IF(PRODUCT_CALCULATION!B61="SI";PRODUCT_CALCULATION!L61;"")</f>
        <v/>
      </c>
      <c r="W67" s="64">
        <f>IF(PRODUCT_CALCULATION!B61="SI";PRODUCT_CALCULATION!M61;"")</f>
        <v/>
      </c>
      <c r="X67" s="64">
        <f>IF(R61="";"";CEILING(R61/S61;1))</f>
        <v/>
      </c>
      <c r="Y67" s="64">
        <f>IF(R61="";"";R61*T61)</f>
        <v/>
      </c>
      <c r="Z67" s="64">
        <f>IF(R61="";"";R61*V61)</f>
        <v/>
      </c>
    </row>
    <row r="68" ht="15.75" customHeight="1" s="125">
      <c r="A68" s="64">
        <f>INPUT_PRODUCT!B1</f>
        <v/>
      </c>
      <c r="B68" s="78">
        <f>INPUT_PRODUCT!B2</f>
        <v/>
      </c>
      <c r="C68" s="64">
        <f>INPUT_PRODUCT!B6</f>
        <v/>
      </c>
      <c r="D68" s="64" t="inlineStr">
        <is>
          <t>Arias Group Caribe SRL</t>
        </is>
      </c>
      <c r="E68" s="64" t="n"/>
      <c r="F68" s="64" t="inlineStr">
        <is>
          <t>Tarancón, España</t>
        </is>
      </c>
      <c r="G68" s="79">
        <f>INPUT_PRODUCT!B7</f>
        <v/>
      </c>
      <c r="H68" s="79" t="n"/>
      <c r="I68" s="64" t="n"/>
      <c r="J68" s="64" t="n"/>
      <c r="K68" s="64">
        <f>IF(PRODUCT_CALCULATION!B62="SI";PRODUCT_CALCULATION!C62;"")</f>
        <v/>
      </c>
      <c r="L68" s="64">
        <f>IF(PRODUCT_CALCULATION!B62="SI";PRODUCT_CALCULATION!E62;"")</f>
        <v/>
      </c>
      <c r="M68" s="64">
        <f>IF(PRODUCT_CALCULATION!C62="";"";VLOOKUP(PRODUCT_CALCULATION!C62;PRODUCT!B:Q;16;FALSE))</f>
        <v/>
      </c>
      <c r="N68" s="64">
        <f>IF(PRODUCT_CALCULATION!C62="";"";VLOOKUP(PRODUCT_CALCULATION!C62;PRODUCT!B:R;17;FALSE))</f>
        <v/>
      </c>
      <c r="O68" s="64">
        <f>IF(PRODUCT_CALCULATION!C62="";"";VLOOKUP(PRODUCT_CALCULATION!C62;PRODUCT!B:S;18;FALSE))</f>
        <v/>
      </c>
      <c r="P68" s="64">
        <f>IF(PRODUCT_CALCULATION!C62="";"";VLOOKUP(PRODUCT_CALCULATION!C62;PRODUCT!B:D;3;FALSE))</f>
        <v/>
      </c>
      <c r="Q68" s="64">
        <f>IF(PRODUCT_CALCULATION!C62="";"";VLOOKUP(PRODUCT_CALCULATION!C62;PRODUCT!B:E;4;FALSE))</f>
        <v/>
      </c>
      <c r="R68" s="64">
        <f>IF(PRODUCT_CALCULATION!B62="SI";PRODUCT_CALCULATION!F62;"")</f>
        <v/>
      </c>
      <c r="S68" s="64">
        <f>IF(PRODUCT_CALCULATION!B62="SI";PRODUCT_CALCULATION!K62;"")</f>
        <v/>
      </c>
      <c r="T68" s="64">
        <f>IF(PRODUCT_CALCULATION!B62="SI";PRODUCT_CALCULATION!J62;"")</f>
        <v/>
      </c>
      <c r="U68" s="64">
        <f>IF(PRODUCT_CALCULATION!B62="SI";PRODUCT_CALCULATION!N62;"")</f>
        <v/>
      </c>
      <c r="V68" s="64">
        <f>IF(PRODUCT_CALCULATION!B62="SI";PRODUCT_CALCULATION!L62;"")</f>
        <v/>
      </c>
      <c r="W68" s="64">
        <f>IF(PRODUCT_CALCULATION!B62="SI";PRODUCT_CALCULATION!M62;"")</f>
        <v/>
      </c>
      <c r="X68" s="64">
        <f>IF(R62="";"";CEILING(R62/S62;1))</f>
        <v/>
      </c>
      <c r="Y68" s="64">
        <f>IF(R62="";"";R62*T62)</f>
        <v/>
      </c>
      <c r="Z68" s="64">
        <f>IF(R62="";"";R62*V62)</f>
        <v/>
      </c>
    </row>
    <row r="69" ht="15.75" customHeight="1" s="125">
      <c r="A69" s="64">
        <f>INPUT_PRODUCT!B1</f>
        <v/>
      </c>
      <c r="B69" s="78">
        <f>INPUT_PRODUCT!B2</f>
        <v/>
      </c>
      <c r="C69" s="64">
        <f>INPUT_PRODUCT!B6</f>
        <v/>
      </c>
      <c r="D69" s="64" t="inlineStr">
        <is>
          <t>Arias Group Caribe SRL</t>
        </is>
      </c>
      <c r="E69" s="64" t="n"/>
      <c r="F69" s="64" t="inlineStr">
        <is>
          <t>Tarancón, España</t>
        </is>
      </c>
      <c r="G69" s="79">
        <f>INPUT_PRODUCT!B7</f>
        <v/>
      </c>
      <c r="H69" s="79" t="n"/>
      <c r="I69" s="64" t="n"/>
      <c r="J69" s="64" t="n"/>
      <c r="K69" s="64">
        <f>IF(PRODUCT_CALCULATION!B63="SI";PRODUCT_CALCULATION!C63;"")</f>
        <v/>
      </c>
      <c r="L69" s="64">
        <f>IF(PRODUCT_CALCULATION!B63="SI";PRODUCT_CALCULATION!E63;"")</f>
        <v/>
      </c>
      <c r="M69" s="64">
        <f>IF(PRODUCT_CALCULATION!C63="";"";VLOOKUP(PRODUCT_CALCULATION!C63;PRODUCT!B:Q;16;FALSE))</f>
        <v/>
      </c>
      <c r="N69" s="64">
        <f>IF(PRODUCT_CALCULATION!C63="";"";VLOOKUP(PRODUCT_CALCULATION!C63;PRODUCT!B:R;17;FALSE))</f>
        <v/>
      </c>
      <c r="O69" s="64">
        <f>IF(PRODUCT_CALCULATION!C63="";"";VLOOKUP(PRODUCT_CALCULATION!C63;PRODUCT!B:S;18;FALSE))</f>
        <v/>
      </c>
      <c r="P69" s="64">
        <f>IF(PRODUCT_CALCULATION!C63="";"";VLOOKUP(PRODUCT_CALCULATION!C63;PRODUCT!B:D;3;FALSE))</f>
        <v/>
      </c>
      <c r="Q69" s="64">
        <f>IF(PRODUCT_CALCULATION!C63="";"";VLOOKUP(PRODUCT_CALCULATION!C63;PRODUCT!B:E;4;FALSE))</f>
        <v/>
      </c>
      <c r="R69" s="64">
        <f>IF(PRODUCT_CALCULATION!B63="SI";PRODUCT_CALCULATION!F63;"")</f>
        <v/>
      </c>
      <c r="S69" s="64">
        <f>IF(PRODUCT_CALCULATION!B63="SI";PRODUCT_CALCULATION!K63;"")</f>
        <v/>
      </c>
      <c r="T69" s="64">
        <f>IF(PRODUCT_CALCULATION!B63="SI";PRODUCT_CALCULATION!J63;"")</f>
        <v/>
      </c>
      <c r="U69" s="64">
        <f>IF(PRODUCT_CALCULATION!B63="SI";PRODUCT_CALCULATION!N63;"")</f>
        <v/>
      </c>
      <c r="V69" s="64">
        <f>IF(PRODUCT_CALCULATION!B63="SI";PRODUCT_CALCULATION!L63;"")</f>
        <v/>
      </c>
      <c r="W69" s="64">
        <f>IF(PRODUCT_CALCULATION!B63="SI";PRODUCT_CALCULATION!M63;"")</f>
        <v/>
      </c>
      <c r="X69" s="64">
        <f>IF(R63="";"";CEILING(R63/S63;1))</f>
        <v/>
      </c>
      <c r="Y69" s="64">
        <f>IF(R63="";"";R63*T63)</f>
        <v/>
      </c>
      <c r="Z69" s="64">
        <f>IF(R63="";"";R63*V63)</f>
        <v/>
      </c>
    </row>
    <row r="70" ht="15.75" customHeight="1" s="125">
      <c r="A70" s="64">
        <f>INPUT_PRODUCT!B1</f>
        <v/>
      </c>
      <c r="B70" s="78">
        <f>INPUT_PRODUCT!B2</f>
        <v/>
      </c>
      <c r="C70" s="64">
        <f>INPUT_PRODUCT!B6</f>
        <v/>
      </c>
      <c r="D70" s="64" t="inlineStr">
        <is>
          <t>Arias Group Caribe SRL</t>
        </is>
      </c>
      <c r="E70" s="64" t="n"/>
      <c r="F70" s="64" t="inlineStr">
        <is>
          <t>Tarancón, España</t>
        </is>
      </c>
      <c r="G70" s="79">
        <f>INPUT_PRODUCT!B7</f>
        <v/>
      </c>
      <c r="H70" s="79" t="n"/>
      <c r="I70" s="64" t="n"/>
      <c r="J70" s="64" t="n"/>
      <c r="K70" s="64">
        <f>IF(PRODUCT_CALCULATION!B64="SI";PRODUCT_CALCULATION!C64;"")</f>
        <v/>
      </c>
      <c r="L70" s="64">
        <f>IF(PRODUCT_CALCULATION!B64="SI";PRODUCT_CALCULATION!E64;"")</f>
        <v/>
      </c>
      <c r="M70" s="64">
        <f>IF(PRODUCT_CALCULATION!C64="";"";VLOOKUP(PRODUCT_CALCULATION!C64;PRODUCT!B:Q;16;FALSE))</f>
        <v/>
      </c>
      <c r="N70" s="64">
        <f>IF(PRODUCT_CALCULATION!C64="";"";VLOOKUP(PRODUCT_CALCULATION!C64;PRODUCT!B:R;17;FALSE))</f>
        <v/>
      </c>
      <c r="O70" s="64">
        <f>IF(PRODUCT_CALCULATION!C64="";"";VLOOKUP(PRODUCT_CALCULATION!C64;PRODUCT!B:S;18;FALSE))</f>
        <v/>
      </c>
      <c r="P70" s="64">
        <f>IF(PRODUCT_CALCULATION!C64="";"";VLOOKUP(PRODUCT_CALCULATION!C64;PRODUCT!B:D;3;FALSE))</f>
        <v/>
      </c>
      <c r="Q70" s="64">
        <f>IF(PRODUCT_CALCULATION!C64="";"";VLOOKUP(PRODUCT_CALCULATION!C64;PRODUCT!B:E;4;FALSE))</f>
        <v/>
      </c>
      <c r="R70" s="64">
        <f>IF(PRODUCT_CALCULATION!B64="SI";PRODUCT_CALCULATION!F64;"")</f>
        <v/>
      </c>
      <c r="S70" s="64">
        <f>IF(PRODUCT_CALCULATION!B64="SI";PRODUCT_CALCULATION!K64;"")</f>
        <v/>
      </c>
      <c r="T70" s="64">
        <f>IF(PRODUCT_CALCULATION!B64="SI";PRODUCT_CALCULATION!J64;"")</f>
        <v/>
      </c>
      <c r="U70" s="64">
        <f>IF(PRODUCT_CALCULATION!B64="SI";PRODUCT_CALCULATION!N64;"")</f>
        <v/>
      </c>
      <c r="V70" s="64">
        <f>IF(PRODUCT_CALCULATION!B64="SI";PRODUCT_CALCULATION!L64;"")</f>
        <v/>
      </c>
      <c r="W70" s="64">
        <f>IF(PRODUCT_CALCULATION!B64="SI";PRODUCT_CALCULATION!M64;"")</f>
        <v/>
      </c>
      <c r="X70" s="64">
        <f>IF(R64="";"";CEILING(R64/S64;1))</f>
        <v/>
      </c>
      <c r="Y70" s="64">
        <f>IF(R64="";"";R64*T64)</f>
        <v/>
      </c>
      <c r="Z70" s="64">
        <f>IF(R64="";"";R64*V64)</f>
        <v/>
      </c>
    </row>
    <row r="71" ht="15.75" customHeight="1" s="125">
      <c r="A71" s="64">
        <f>INPUT_PRODUCT!B1</f>
        <v/>
      </c>
      <c r="B71" s="78">
        <f>INPUT_PRODUCT!B2</f>
        <v/>
      </c>
      <c r="C71" s="64">
        <f>INPUT_PRODUCT!B6</f>
        <v/>
      </c>
      <c r="D71" s="64" t="inlineStr">
        <is>
          <t>Arias Group Caribe SRL</t>
        </is>
      </c>
      <c r="E71" s="64" t="n"/>
      <c r="F71" s="64" t="inlineStr">
        <is>
          <t>Tarancón, España</t>
        </is>
      </c>
      <c r="G71" s="79">
        <f>INPUT_PRODUCT!B7</f>
        <v/>
      </c>
      <c r="H71" s="79" t="n"/>
      <c r="I71" s="64" t="n"/>
      <c r="J71" s="64" t="n"/>
      <c r="K71" s="64">
        <f>IF(PRODUCT_CALCULATION!B65="SI";PRODUCT_CALCULATION!C65;"")</f>
        <v/>
      </c>
      <c r="L71" s="64">
        <f>IF(PRODUCT_CALCULATION!B65="SI";PRODUCT_CALCULATION!E65;"")</f>
        <v/>
      </c>
      <c r="M71" s="64">
        <f>IF(PRODUCT_CALCULATION!C65="";"";VLOOKUP(PRODUCT_CALCULATION!C65;PRODUCT!B:Q;16;FALSE))</f>
        <v/>
      </c>
      <c r="N71" s="64">
        <f>IF(PRODUCT_CALCULATION!C65="";"";VLOOKUP(PRODUCT_CALCULATION!C65;PRODUCT!B:R;17;FALSE))</f>
        <v/>
      </c>
      <c r="O71" s="64">
        <f>IF(PRODUCT_CALCULATION!C65="";"";VLOOKUP(PRODUCT_CALCULATION!C65;PRODUCT!B:S;18;FALSE))</f>
        <v/>
      </c>
      <c r="P71" s="64">
        <f>IF(PRODUCT_CALCULATION!C65="";"";VLOOKUP(PRODUCT_CALCULATION!C65;PRODUCT!B:D;3;FALSE))</f>
        <v/>
      </c>
      <c r="Q71" s="64">
        <f>IF(PRODUCT_CALCULATION!C65="";"";VLOOKUP(PRODUCT_CALCULATION!C65;PRODUCT!B:E;4;FALSE))</f>
        <v/>
      </c>
      <c r="R71" s="64">
        <f>IF(PRODUCT_CALCULATION!B65="SI";PRODUCT_CALCULATION!F65;"")</f>
        <v/>
      </c>
      <c r="S71" s="64">
        <f>IF(PRODUCT_CALCULATION!B65="SI";PRODUCT_CALCULATION!K65;"")</f>
        <v/>
      </c>
      <c r="T71" s="64">
        <f>IF(PRODUCT_CALCULATION!B65="SI";PRODUCT_CALCULATION!J65;"")</f>
        <v/>
      </c>
      <c r="U71" s="64">
        <f>IF(PRODUCT_CALCULATION!B65="SI";PRODUCT_CALCULATION!N65;"")</f>
        <v/>
      </c>
      <c r="V71" s="64">
        <f>IF(PRODUCT_CALCULATION!B65="SI";PRODUCT_CALCULATION!L65;"")</f>
        <v/>
      </c>
      <c r="W71" s="64">
        <f>IF(PRODUCT_CALCULATION!B65="SI";PRODUCT_CALCULATION!M65;"")</f>
        <v/>
      </c>
      <c r="X71" s="64">
        <f>IF(R65="";"";CEILING(R65/S65;1))</f>
        <v/>
      </c>
      <c r="Y71" s="64">
        <f>IF(R65="";"";R65*T65)</f>
        <v/>
      </c>
      <c r="Z71" s="64">
        <f>IF(R65="";"";R65*V65)</f>
        <v/>
      </c>
    </row>
    <row r="72" ht="15.75" customHeight="1" s="125">
      <c r="A72" s="64">
        <f>INPUT_PRODUCT!B1</f>
        <v/>
      </c>
      <c r="B72" s="78">
        <f>INPUT_PRODUCT!B2</f>
        <v/>
      </c>
      <c r="C72" s="64">
        <f>INPUT_PRODUCT!B6</f>
        <v/>
      </c>
      <c r="D72" s="64" t="inlineStr">
        <is>
          <t>Arias Group Caribe SRL</t>
        </is>
      </c>
      <c r="E72" s="64" t="n"/>
      <c r="F72" s="64" t="inlineStr">
        <is>
          <t>Tarancón, España</t>
        </is>
      </c>
      <c r="G72" s="79">
        <f>INPUT_PRODUCT!B7</f>
        <v/>
      </c>
      <c r="H72" s="79" t="n"/>
      <c r="I72" s="64" t="n"/>
      <c r="J72" s="64" t="n"/>
      <c r="K72" s="64">
        <f>IF(PRODUCT_CALCULATION!B66="SI";PRODUCT_CALCULATION!C66;"")</f>
        <v/>
      </c>
      <c r="L72" s="64">
        <f>IF(PRODUCT_CALCULATION!B66="SI";PRODUCT_CALCULATION!E66;"")</f>
        <v/>
      </c>
      <c r="M72" s="64">
        <f>IF(PRODUCT_CALCULATION!C66="";"";VLOOKUP(PRODUCT_CALCULATION!C66;PRODUCT!B:Q;16;FALSE))</f>
        <v/>
      </c>
      <c r="N72" s="64">
        <f>IF(PRODUCT_CALCULATION!C66="";"";VLOOKUP(PRODUCT_CALCULATION!C66;PRODUCT!B:R;17;FALSE))</f>
        <v/>
      </c>
      <c r="O72" s="64">
        <f>IF(PRODUCT_CALCULATION!C66="";"";VLOOKUP(PRODUCT_CALCULATION!C66;PRODUCT!B:S;18;FALSE))</f>
        <v/>
      </c>
      <c r="P72" s="64">
        <f>IF(PRODUCT_CALCULATION!C66="";"";VLOOKUP(PRODUCT_CALCULATION!C66;PRODUCT!B:D;3;FALSE))</f>
        <v/>
      </c>
      <c r="Q72" s="64">
        <f>IF(PRODUCT_CALCULATION!C66="";"";VLOOKUP(PRODUCT_CALCULATION!C66;PRODUCT!B:E;4;FALSE))</f>
        <v/>
      </c>
      <c r="R72" s="64">
        <f>IF(PRODUCT_CALCULATION!B66="SI";PRODUCT_CALCULATION!F66;"")</f>
        <v/>
      </c>
      <c r="S72" s="64">
        <f>IF(PRODUCT_CALCULATION!B66="SI";PRODUCT_CALCULATION!K66;"")</f>
        <v/>
      </c>
      <c r="T72" s="64">
        <f>IF(PRODUCT_CALCULATION!B66="SI";PRODUCT_CALCULATION!J66;"")</f>
        <v/>
      </c>
      <c r="U72" s="64">
        <f>IF(PRODUCT_CALCULATION!B66="SI";PRODUCT_CALCULATION!N66;"")</f>
        <v/>
      </c>
      <c r="V72" s="64">
        <f>IF(PRODUCT_CALCULATION!B66="SI";PRODUCT_CALCULATION!L66;"")</f>
        <v/>
      </c>
      <c r="W72" s="64">
        <f>IF(PRODUCT_CALCULATION!B66="SI";PRODUCT_CALCULATION!M66;"")</f>
        <v/>
      </c>
      <c r="X72" s="64">
        <f>IF(R66="";"";CEILING(R66/S66;1))</f>
        <v/>
      </c>
      <c r="Y72" s="64">
        <f>IF(R66="";"";R66*T66)</f>
        <v/>
      </c>
      <c r="Z72" s="64">
        <f>IF(R66="";"";R66*V66)</f>
        <v/>
      </c>
    </row>
    <row r="73" ht="15.75" customHeight="1" s="125">
      <c r="A73" s="64">
        <f>INPUT_PRODUCT!B1</f>
        <v/>
      </c>
      <c r="B73" s="78">
        <f>INPUT_PRODUCT!B2</f>
        <v/>
      </c>
      <c r="C73" s="64">
        <f>INPUT_PRODUCT!B6</f>
        <v/>
      </c>
      <c r="D73" s="64" t="inlineStr">
        <is>
          <t>Arias Group Caribe SRL</t>
        </is>
      </c>
      <c r="E73" s="64" t="n"/>
      <c r="F73" s="64" t="inlineStr">
        <is>
          <t>Tarancón, España</t>
        </is>
      </c>
      <c r="G73" s="79">
        <f>INPUT_PRODUCT!B7</f>
        <v/>
      </c>
      <c r="H73" s="79" t="n"/>
      <c r="I73" s="64" t="n"/>
      <c r="J73" s="64" t="n"/>
      <c r="K73" s="64">
        <f>IF(PRODUCT_CALCULATION!B67="SI";PRODUCT_CALCULATION!C67;"")</f>
        <v/>
      </c>
      <c r="L73" s="64">
        <f>IF(PRODUCT_CALCULATION!B67="SI";PRODUCT_CALCULATION!E67;"")</f>
        <v/>
      </c>
      <c r="M73" s="64">
        <f>IF(PRODUCT_CALCULATION!C67="";"";VLOOKUP(PRODUCT_CALCULATION!C67;PRODUCT!B:Q;16;FALSE))</f>
        <v/>
      </c>
      <c r="N73" s="64">
        <f>IF(PRODUCT_CALCULATION!C67="";"";VLOOKUP(PRODUCT_CALCULATION!C67;PRODUCT!B:R;17;FALSE))</f>
        <v/>
      </c>
      <c r="O73" s="64">
        <f>IF(PRODUCT_CALCULATION!C67="";"";VLOOKUP(PRODUCT_CALCULATION!C67;PRODUCT!B:S;18;FALSE))</f>
        <v/>
      </c>
      <c r="P73" s="64">
        <f>IF(PRODUCT_CALCULATION!C67="";"";VLOOKUP(PRODUCT_CALCULATION!C67;PRODUCT!B:D;3;FALSE))</f>
        <v/>
      </c>
      <c r="Q73" s="64">
        <f>IF(PRODUCT_CALCULATION!C67="";"";VLOOKUP(PRODUCT_CALCULATION!C67;PRODUCT!B:E;4;FALSE))</f>
        <v/>
      </c>
      <c r="R73" s="64">
        <f>IF(PRODUCT_CALCULATION!B67="SI";PRODUCT_CALCULATION!F67;"")</f>
        <v/>
      </c>
      <c r="S73" s="64">
        <f>IF(PRODUCT_CALCULATION!B67="SI";PRODUCT_CALCULATION!K67;"")</f>
        <v/>
      </c>
      <c r="T73" s="64">
        <f>IF(PRODUCT_CALCULATION!B67="SI";PRODUCT_CALCULATION!J67;"")</f>
        <v/>
      </c>
      <c r="U73" s="64">
        <f>IF(PRODUCT_CALCULATION!B67="SI";PRODUCT_CALCULATION!N67;"")</f>
        <v/>
      </c>
      <c r="V73" s="64">
        <f>IF(PRODUCT_CALCULATION!B67="SI";PRODUCT_CALCULATION!L67;"")</f>
        <v/>
      </c>
      <c r="W73" s="64">
        <f>IF(PRODUCT_CALCULATION!B67="SI";PRODUCT_CALCULATION!M67;"")</f>
        <v/>
      </c>
      <c r="X73" s="64">
        <f>IF(R67="";"";CEILING(R67/S67;1))</f>
        <v/>
      </c>
      <c r="Y73" s="64">
        <f>IF(R67="";"";R67*T67)</f>
        <v/>
      </c>
      <c r="Z73" s="64">
        <f>IF(R67="";"";R67*V67)</f>
        <v/>
      </c>
    </row>
    <row r="74" ht="15.75" customHeight="1" s="125">
      <c r="A74" s="64">
        <f>INPUT_PRODUCT!B1</f>
        <v/>
      </c>
      <c r="B74" s="78">
        <f>INPUT_PRODUCT!B2</f>
        <v/>
      </c>
      <c r="C74" s="64">
        <f>INPUT_PRODUCT!B6</f>
        <v/>
      </c>
      <c r="D74" s="64" t="inlineStr">
        <is>
          <t>Arias Group Caribe SRL</t>
        </is>
      </c>
      <c r="E74" s="64" t="n"/>
      <c r="F74" s="64" t="inlineStr">
        <is>
          <t>Tarancón, España</t>
        </is>
      </c>
      <c r="G74" s="79">
        <f>INPUT_PRODUCT!B7</f>
        <v/>
      </c>
      <c r="H74" s="79" t="n"/>
      <c r="I74" s="64" t="n"/>
      <c r="J74" s="64" t="n"/>
      <c r="K74" s="64">
        <f>IF(PRODUCT_CALCULATION!B68="SI";PRODUCT_CALCULATION!C68;"")</f>
        <v/>
      </c>
      <c r="L74" s="64">
        <f>IF(PRODUCT_CALCULATION!B68="SI";PRODUCT_CALCULATION!E68;"")</f>
        <v/>
      </c>
      <c r="M74" s="64">
        <f>IF(PRODUCT_CALCULATION!C68="";"";VLOOKUP(PRODUCT_CALCULATION!C68;PRODUCT!B:Q;16;FALSE))</f>
        <v/>
      </c>
      <c r="N74" s="64">
        <f>IF(PRODUCT_CALCULATION!C68="";"";VLOOKUP(PRODUCT_CALCULATION!C68;PRODUCT!B:R;17;FALSE))</f>
        <v/>
      </c>
      <c r="O74" s="64">
        <f>IF(PRODUCT_CALCULATION!C68="";"";VLOOKUP(PRODUCT_CALCULATION!C68;PRODUCT!B:S;18;FALSE))</f>
        <v/>
      </c>
      <c r="P74" s="64">
        <f>IF(PRODUCT_CALCULATION!C68="";"";VLOOKUP(PRODUCT_CALCULATION!C68;PRODUCT!B:D;3;FALSE))</f>
        <v/>
      </c>
      <c r="Q74" s="64">
        <f>IF(PRODUCT_CALCULATION!C68="";"";VLOOKUP(PRODUCT_CALCULATION!C68;PRODUCT!B:E;4;FALSE))</f>
        <v/>
      </c>
      <c r="R74" s="64">
        <f>IF(PRODUCT_CALCULATION!B68="SI";PRODUCT_CALCULATION!F68;"")</f>
        <v/>
      </c>
      <c r="S74" s="64">
        <f>IF(PRODUCT_CALCULATION!B68="SI";PRODUCT_CALCULATION!K68;"")</f>
        <v/>
      </c>
      <c r="T74" s="64">
        <f>IF(PRODUCT_CALCULATION!B68="SI";PRODUCT_CALCULATION!J68;"")</f>
        <v/>
      </c>
      <c r="U74" s="64">
        <f>IF(PRODUCT_CALCULATION!B68="SI";PRODUCT_CALCULATION!N68;"")</f>
        <v/>
      </c>
      <c r="V74" s="64">
        <f>IF(PRODUCT_CALCULATION!B68="SI";PRODUCT_CALCULATION!L68;"")</f>
        <v/>
      </c>
      <c r="W74" s="64">
        <f>IF(PRODUCT_CALCULATION!B68="SI";PRODUCT_CALCULATION!M68;"")</f>
        <v/>
      </c>
      <c r="X74" s="64">
        <f>IF(R68="";"";CEILING(R68/S68;1))</f>
        <v/>
      </c>
      <c r="Y74" s="64">
        <f>IF(R68="";"";R68*T68)</f>
        <v/>
      </c>
      <c r="Z74" s="64">
        <f>IF(R68="";"";R68*V68)</f>
        <v/>
      </c>
    </row>
    <row r="75" ht="15.75" customHeight="1" s="125">
      <c r="A75" s="64">
        <f>INPUT_PRODUCT!B1</f>
        <v/>
      </c>
      <c r="B75" s="78">
        <f>INPUT_PRODUCT!B2</f>
        <v/>
      </c>
      <c r="C75" s="64">
        <f>INPUT_PRODUCT!B6</f>
        <v/>
      </c>
      <c r="D75" s="64" t="inlineStr">
        <is>
          <t>Arias Group Caribe SRL</t>
        </is>
      </c>
      <c r="E75" s="64" t="n"/>
      <c r="F75" s="64" t="inlineStr">
        <is>
          <t>Tarancón, España</t>
        </is>
      </c>
      <c r="G75" s="79">
        <f>INPUT_PRODUCT!B7</f>
        <v/>
      </c>
      <c r="H75" s="79" t="n"/>
      <c r="I75" s="64" t="n"/>
      <c r="J75" s="64" t="n"/>
      <c r="K75" s="64">
        <f>IF(PRODUCT_CALCULATION!B69="SI";PRODUCT_CALCULATION!C69;"")</f>
        <v/>
      </c>
      <c r="L75" s="64">
        <f>IF(PRODUCT_CALCULATION!B69="SI";PRODUCT_CALCULATION!E69;"")</f>
        <v/>
      </c>
      <c r="M75" s="64">
        <f>IF(PRODUCT_CALCULATION!C69="";"";VLOOKUP(PRODUCT_CALCULATION!C69;PRODUCT!B:Q;16;FALSE))</f>
        <v/>
      </c>
      <c r="N75" s="64">
        <f>IF(PRODUCT_CALCULATION!C69="";"";VLOOKUP(PRODUCT_CALCULATION!C69;PRODUCT!B:R;17;FALSE))</f>
        <v/>
      </c>
      <c r="O75" s="64">
        <f>IF(PRODUCT_CALCULATION!C69="";"";VLOOKUP(PRODUCT_CALCULATION!C69;PRODUCT!B:S;18;FALSE))</f>
        <v/>
      </c>
      <c r="P75" s="64">
        <f>IF(PRODUCT_CALCULATION!C69="";"";VLOOKUP(PRODUCT_CALCULATION!C69;PRODUCT!B:D;3;FALSE))</f>
        <v/>
      </c>
      <c r="Q75" s="64">
        <f>IF(PRODUCT_CALCULATION!C69="";"";VLOOKUP(PRODUCT_CALCULATION!C69;PRODUCT!B:E;4;FALSE))</f>
        <v/>
      </c>
      <c r="R75" s="64">
        <f>IF(PRODUCT_CALCULATION!B69="SI";PRODUCT_CALCULATION!F69;"")</f>
        <v/>
      </c>
      <c r="S75" s="64">
        <f>IF(PRODUCT_CALCULATION!B69="SI";PRODUCT_CALCULATION!K69;"")</f>
        <v/>
      </c>
      <c r="T75" s="64">
        <f>IF(PRODUCT_CALCULATION!B69="SI";PRODUCT_CALCULATION!J69;"")</f>
        <v/>
      </c>
      <c r="U75" s="64">
        <f>IF(PRODUCT_CALCULATION!B69="SI";PRODUCT_CALCULATION!N69;"")</f>
        <v/>
      </c>
      <c r="V75" s="64">
        <f>IF(PRODUCT_CALCULATION!B69="SI";PRODUCT_CALCULATION!L69;"")</f>
        <v/>
      </c>
      <c r="W75" s="64">
        <f>IF(PRODUCT_CALCULATION!B69="SI";PRODUCT_CALCULATION!M69;"")</f>
        <v/>
      </c>
      <c r="X75" s="64">
        <f>IF(R69="";"";CEILING(R69/S69;1))</f>
        <v/>
      </c>
      <c r="Y75" s="64">
        <f>IF(R69="";"";R69*T69)</f>
        <v/>
      </c>
      <c r="Z75" s="64">
        <f>IF(R69="";"";R69*V69)</f>
        <v/>
      </c>
    </row>
    <row r="76" ht="15.75" customHeight="1" s="125">
      <c r="A76" s="64">
        <f>INPUT_PRODUCT!B1</f>
        <v/>
      </c>
      <c r="B76" s="78">
        <f>INPUT_PRODUCT!B2</f>
        <v/>
      </c>
      <c r="C76" s="64">
        <f>INPUT_PRODUCT!B6</f>
        <v/>
      </c>
      <c r="D76" s="64" t="inlineStr">
        <is>
          <t>Arias Group Caribe SRL</t>
        </is>
      </c>
      <c r="E76" s="64" t="n"/>
      <c r="F76" s="64" t="inlineStr">
        <is>
          <t>Tarancón, España</t>
        </is>
      </c>
      <c r="G76" s="79">
        <f>INPUT_PRODUCT!B7</f>
        <v/>
      </c>
      <c r="H76" s="79" t="n"/>
      <c r="I76" s="64" t="n"/>
      <c r="J76" s="64" t="n"/>
      <c r="K76" s="64">
        <f>IF(PRODUCT_CALCULATION!B70="SI";PRODUCT_CALCULATION!C70;"")</f>
        <v/>
      </c>
      <c r="L76" s="64">
        <f>IF(PRODUCT_CALCULATION!B70="SI";PRODUCT_CALCULATION!E70;"")</f>
        <v/>
      </c>
      <c r="M76" s="64">
        <f>IF(PRODUCT_CALCULATION!C70="";"";VLOOKUP(PRODUCT_CALCULATION!C70;PRODUCT!B:Q;16;FALSE))</f>
        <v/>
      </c>
      <c r="N76" s="64">
        <f>IF(PRODUCT_CALCULATION!C70="";"";VLOOKUP(PRODUCT_CALCULATION!C70;PRODUCT!B:R;17;FALSE))</f>
        <v/>
      </c>
      <c r="O76" s="64">
        <f>IF(PRODUCT_CALCULATION!C70="";"";VLOOKUP(PRODUCT_CALCULATION!C70;PRODUCT!B:S;18;FALSE))</f>
        <v/>
      </c>
      <c r="P76" s="64">
        <f>IF(PRODUCT_CALCULATION!C70="";"";VLOOKUP(PRODUCT_CALCULATION!C70;PRODUCT!B:D;3;FALSE))</f>
        <v/>
      </c>
      <c r="Q76" s="64">
        <f>IF(PRODUCT_CALCULATION!C70="";"";VLOOKUP(PRODUCT_CALCULATION!C70;PRODUCT!B:E;4;FALSE))</f>
        <v/>
      </c>
      <c r="R76" s="64">
        <f>IF(PRODUCT_CALCULATION!B70="SI";PRODUCT_CALCULATION!F70;"")</f>
        <v/>
      </c>
      <c r="S76" s="64">
        <f>IF(PRODUCT_CALCULATION!B70="SI";PRODUCT_CALCULATION!K70;"")</f>
        <v/>
      </c>
      <c r="T76" s="64">
        <f>IF(PRODUCT_CALCULATION!B70="SI";PRODUCT_CALCULATION!J70;"")</f>
        <v/>
      </c>
      <c r="U76" s="64">
        <f>IF(PRODUCT_CALCULATION!B70="SI";PRODUCT_CALCULATION!N70;"")</f>
        <v/>
      </c>
      <c r="V76" s="64">
        <f>IF(PRODUCT_CALCULATION!B70="SI";PRODUCT_CALCULATION!L70;"")</f>
        <v/>
      </c>
      <c r="W76" s="64">
        <f>IF(PRODUCT_CALCULATION!B70="SI";PRODUCT_CALCULATION!M70;"")</f>
        <v/>
      </c>
      <c r="X76" s="64">
        <f>IF(R70="";"";CEILING(R70/S70;1))</f>
        <v/>
      </c>
      <c r="Y76" s="64">
        <f>IF(R70="";"";R70*T70)</f>
        <v/>
      </c>
      <c r="Z76" s="64">
        <f>IF(R70="";"";R70*V70)</f>
        <v/>
      </c>
    </row>
    <row r="77" ht="15.75" customHeight="1" s="125">
      <c r="A77" s="64">
        <f>INPUT_PRODUCT!B1</f>
        <v/>
      </c>
      <c r="B77" s="78">
        <f>INPUT_PRODUCT!B2</f>
        <v/>
      </c>
      <c r="C77" s="64">
        <f>INPUT_PRODUCT!B6</f>
        <v/>
      </c>
      <c r="D77" s="64" t="inlineStr">
        <is>
          <t>Arias Group Caribe SRL</t>
        </is>
      </c>
      <c r="E77" s="64" t="n"/>
      <c r="F77" s="64" t="inlineStr">
        <is>
          <t>Tarancón, España</t>
        </is>
      </c>
      <c r="G77" s="79">
        <f>INPUT_PRODUCT!B7</f>
        <v/>
      </c>
      <c r="H77" s="79" t="n"/>
      <c r="I77" s="64" t="n"/>
      <c r="J77" s="64" t="n"/>
      <c r="K77" s="64">
        <f>IF(PRODUCT_CALCULATION!B71="SI";PRODUCT_CALCULATION!C71;"")</f>
        <v/>
      </c>
      <c r="L77" s="64">
        <f>IF(PRODUCT_CALCULATION!B71="SI";PRODUCT_CALCULATION!E71;"")</f>
        <v/>
      </c>
      <c r="M77" s="64">
        <f>IF(PRODUCT_CALCULATION!C71="";"";VLOOKUP(PRODUCT_CALCULATION!C71;PRODUCT!B:Q;16;FALSE))</f>
        <v/>
      </c>
      <c r="N77" s="64">
        <f>IF(PRODUCT_CALCULATION!C71="";"";VLOOKUP(PRODUCT_CALCULATION!C71;PRODUCT!B:R;17;FALSE))</f>
        <v/>
      </c>
      <c r="O77" s="64">
        <f>IF(PRODUCT_CALCULATION!C71="";"";VLOOKUP(PRODUCT_CALCULATION!C71;PRODUCT!B:S;18;FALSE))</f>
        <v/>
      </c>
      <c r="P77" s="64">
        <f>IF(PRODUCT_CALCULATION!C71="";"";VLOOKUP(PRODUCT_CALCULATION!C71;PRODUCT!B:D;3;FALSE))</f>
        <v/>
      </c>
      <c r="Q77" s="64">
        <f>IF(PRODUCT_CALCULATION!C71="";"";VLOOKUP(PRODUCT_CALCULATION!C71;PRODUCT!B:E;4;FALSE))</f>
        <v/>
      </c>
      <c r="R77" s="64">
        <f>IF(PRODUCT_CALCULATION!B71="SI";PRODUCT_CALCULATION!F71;"")</f>
        <v/>
      </c>
      <c r="S77" s="64">
        <f>IF(PRODUCT_CALCULATION!B71="SI";PRODUCT_CALCULATION!K71;"")</f>
        <v/>
      </c>
      <c r="T77" s="64">
        <f>IF(PRODUCT_CALCULATION!B71="SI";PRODUCT_CALCULATION!J71;"")</f>
        <v/>
      </c>
      <c r="U77" s="64">
        <f>IF(PRODUCT_CALCULATION!B71="SI";PRODUCT_CALCULATION!N71;"")</f>
        <v/>
      </c>
      <c r="V77" s="64">
        <f>IF(PRODUCT_CALCULATION!B71="SI";PRODUCT_CALCULATION!L71;"")</f>
        <v/>
      </c>
      <c r="W77" s="64">
        <f>IF(PRODUCT_CALCULATION!B71="SI";PRODUCT_CALCULATION!M71;"")</f>
        <v/>
      </c>
      <c r="X77" s="64">
        <f>IF(R71="";"";CEILING(R71/S71;1))</f>
        <v/>
      </c>
      <c r="Y77" s="64">
        <f>IF(R71="";"";R71*T71)</f>
        <v/>
      </c>
      <c r="Z77" s="64">
        <f>IF(R71="";"";R71*V71)</f>
        <v/>
      </c>
    </row>
    <row r="78" ht="15.75" customHeight="1" s="125">
      <c r="A78" s="64">
        <f>INPUT_PRODUCT!B1</f>
        <v/>
      </c>
      <c r="B78" s="78">
        <f>INPUT_PRODUCT!B2</f>
        <v/>
      </c>
      <c r="C78" s="64">
        <f>INPUT_PRODUCT!B6</f>
        <v/>
      </c>
      <c r="D78" s="64" t="inlineStr">
        <is>
          <t>Arias Group Caribe SRL</t>
        </is>
      </c>
      <c r="E78" s="64" t="n"/>
      <c r="F78" s="64" t="inlineStr">
        <is>
          <t>Tarancón, España</t>
        </is>
      </c>
      <c r="G78" s="79">
        <f>INPUT_PRODUCT!B7</f>
        <v/>
      </c>
      <c r="H78" s="79" t="n"/>
      <c r="I78" s="64" t="n"/>
      <c r="J78" s="64" t="n"/>
      <c r="K78" s="64">
        <f>IF(PRODUCT_CALCULATION!B72="SI";PRODUCT_CALCULATION!C72;"")</f>
        <v/>
      </c>
      <c r="L78" s="64">
        <f>IF(PRODUCT_CALCULATION!B72="SI";PRODUCT_CALCULATION!E72;"")</f>
        <v/>
      </c>
      <c r="M78" s="64">
        <f>IF(PRODUCT_CALCULATION!C72="";"";VLOOKUP(PRODUCT_CALCULATION!C72;PRODUCT!B:Q;16;FALSE))</f>
        <v/>
      </c>
      <c r="N78" s="64">
        <f>IF(PRODUCT_CALCULATION!C72="";"";VLOOKUP(PRODUCT_CALCULATION!C72;PRODUCT!B:R;17;FALSE))</f>
        <v/>
      </c>
      <c r="O78" s="64">
        <f>IF(PRODUCT_CALCULATION!C72="";"";VLOOKUP(PRODUCT_CALCULATION!C72;PRODUCT!B:S;18;FALSE))</f>
        <v/>
      </c>
      <c r="P78" s="64">
        <f>IF(PRODUCT_CALCULATION!C72="";"";VLOOKUP(PRODUCT_CALCULATION!C72;PRODUCT!B:D;3;FALSE))</f>
        <v/>
      </c>
      <c r="Q78" s="64">
        <f>IF(PRODUCT_CALCULATION!C72="";"";VLOOKUP(PRODUCT_CALCULATION!C72;PRODUCT!B:E;4;FALSE))</f>
        <v/>
      </c>
      <c r="R78" s="64">
        <f>IF(PRODUCT_CALCULATION!B72="SI";PRODUCT_CALCULATION!F72;"")</f>
        <v/>
      </c>
      <c r="S78" s="64">
        <f>IF(PRODUCT_CALCULATION!B72="SI";PRODUCT_CALCULATION!K72;"")</f>
        <v/>
      </c>
      <c r="T78" s="64">
        <f>IF(PRODUCT_CALCULATION!B72="SI";PRODUCT_CALCULATION!J72;"")</f>
        <v/>
      </c>
      <c r="U78" s="64">
        <f>IF(PRODUCT_CALCULATION!B72="SI";PRODUCT_CALCULATION!N72;"")</f>
        <v/>
      </c>
      <c r="V78" s="64">
        <f>IF(PRODUCT_CALCULATION!B72="SI";PRODUCT_CALCULATION!L72;"")</f>
        <v/>
      </c>
      <c r="W78" s="64">
        <f>IF(PRODUCT_CALCULATION!B72="SI";PRODUCT_CALCULATION!M72;"")</f>
        <v/>
      </c>
      <c r="X78" s="64">
        <f>IF(R72="";"";CEILING(R72/S72;1))</f>
        <v/>
      </c>
      <c r="Y78" s="64">
        <f>IF(R72="";"";R72*T72)</f>
        <v/>
      </c>
      <c r="Z78" s="64">
        <f>IF(R72="";"";R72*V72)</f>
        <v/>
      </c>
    </row>
    <row r="79" ht="15.75" customHeight="1" s="125">
      <c r="A79" s="64">
        <f>INPUT_PRODUCT!B1</f>
        <v/>
      </c>
      <c r="B79" s="78">
        <f>INPUT_PRODUCT!B2</f>
        <v/>
      </c>
      <c r="C79" s="64">
        <f>INPUT_PRODUCT!B6</f>
        <v/>
      </c>
      <c r="D79" s="64" t="inlineStr">
        <is>
          <t>Arias Group Caribe SRL</t>
        </is>
      </c>
      <c r="E79" s="64" t="n"/>
      <c r="F79" s="64" t="inlineStr">
        <is>
          <t>Tarancón, España</t>
        </is>
      </c>
      <c r="G79" s="79">
        <f>INPUT_PRODUCT!B7</f>
        <v/>
      </c>
      <c r="H79" s="79" t="n"/>
      <c r="I79" s="64" t="n"/>
      <c r="J79" s="64" t="n"/>
      <c r="K79" s="64">
        <f>IF(PRODUCT_CALCULATION!B73="SI";PRODUCT_CALCULATION!C73;"")</f>
        <v/>
      </c>
      <c r="L79" s="64">
        <f>IF(PRODUCT_CALCULATION!B73="SI";PRODUCT_CALCULATION!E73;"")</f>
        <v/>
      </c>
      <c r="M79" s="64">
        <f>IF(PRODUCT_CALCULATION!C73="";"";VLOOKUP(PRODUCT_CALCULATION!C73;PRODUCT!B:Q;16;FALSE))</f>
        <v/>
      </c>
      <c r="N79" s="64">
        <f>IF(PRODUCT_CALCULATION!C73="";"";VLOOKUP(PRODUCT_CALCULATION!C73;PRODUCT!B:R;17;FALSE))</f>
        <v/>
      </c>
      <c r="O79" s="64">
        <f>IF(PRODUCT_CALCULATION!C73="";"";VLOOKUP(PRODUCT_CALCULATION!C73;PRODUCT!B:S;18;FALSE))</f>
        <v/>
      </c>
      <c r="P79" s="64">
        <f>IF(PRODUCT_CALCULATION!C73="";"";VLOOKUP(PRODUCT_CALCULATION!C73;PRODUCT!B:D;3;FALSE))</f>
        <v/>
      </c>
      <c r="Q79" s="64">
        <f>IF(PRODUCT_CALCULATION!C73="";"";VLOOKUP(PRODUCT_CALCULATION!C73;PRODUCT!B:E;4;FALSE))</f>
        <v/>
      </c>
      <c r="R79" s="64">
        <f>IF(PRODUCT_CALCULATION!B73="SI";PRODUCT_CALCULATION!F73;"")</f>
        <v/>
      </c>
      <c r="S79" s="64">
        <f>IF(PRODUCT_CALCULATION!B73="SI";PRODUCT_CALCULATION!K73;"")</f>
        <v/>
      </c>
      <c r="T79" s="64">
        <f>IF(PRODUCT_CALCULATION!B73="SI";PRODUCT_CALCULATION!J73;"")</f>
        <v/>
      </c>
      <c r="U79" s="64">
        <f>IF(PRODUCT_CALCULATION!B73="SI";PRODUCT_CALCULATION!N73;"")</f>
        <v/>
      </c>
      <c r="V79" s="64">
        <f>IF(PRODUCT_CALCULATION!B73="SI";PRODUCT_CALCULATION!L73;"")</f>
        <v/>
      </c>
      <c r="W79" s="64">
        <f>IF(PRODUCT_CALCULATION!B73="SI";PRODUCT_CALCULATION!M73;"")</f>
        <v/>
      </c>
      <c r="X79" s="64">
        <f>IF(R73="";"";CEILING(R73/S73;1))</f>
        <v/>
      </c>
      <c r="Y79" s="64">
        <f>IF(R73="";"";R73*T73)</f>
        <v/>
      </c>
      <c r="Z79" s="64">
        <f>IF(R73="";"";R73*V73)</f>
        <v/>
      </c>
    </row>
    <row r="80" ht="15.75" customHeight="1" s="125">
      <c r="A80" s="64">
        <f>INPUT_PRODUCT!B1</f>
        <v/>
      </c>
      <c r="B80" s="78">
        <f>INPUT_PRODUCT!B2</f>
        <v/>
      </c>
      <c r="C80" s="64">
        <f>INPUT_PRODUCT!B6</f>
        <v/>
      </c>
      <c r="D80" s="64" t="inlineStr">
        <is>
          <t>Arias Group Caribe SRL</t>
        </is>
      </c>
      <c r="E80" s="64" t="n"/>
      <c r="F80" s="64" t="inlineStr">
        <is>
          <t>Tarancón, España</t>
        </is>
      </c>
      <c r="G80" s="79">
        <f>INPUT_PRODUCT!B7</f>
        <v/>
      </c>
      <c r="H80" s="79" t="n"/>
      <c r="I80" s="64" t="n"/>
      <c r="J80" s="64" t="n"/>
      <c r="K80" s="64">
        <f>IF(PRODUCT_CALCULATION!B74="SI";PRODUCT_CALCULATION!C74;"")</f>
        <v/>
      </c>
      <c r="L80" s="64">
        <f>IF(PRODUCT_CALCULATION!B74="SI";PRODUCT_CALCULATION!E74;"")</f>
        <v/>
      </c>
      <c r="M80" s="64">
        <f>IF(PRODUCT_CALCULATION!C74="";"";VLOOKUP(PRODUCT_CALCULATION!C74;PRODUCT!B:Q;16;FALSE))</f>
        <v/>
      </c>
      <c r="N80" s="64">
        <f>IF(PRODUCT_CALCULATION!C74="";"";VLOOKUP(PRODUCT_CALCULATION!C74;PRODUCT!B:R;17;FALSE))</f>
        <v/>
      </c>
      <c r="O80" s="64">
        <f>IF(PRODUCT_CALCULATION!C74="";"";VLOOKUP(PRODUCT_CALCULATION!C74;PRODUCT!B:S;18;FALSE))</f>
        <v/>
      </c>
      <c r="P80" s="64">
        <f>IF(PRODUCT_CALCULATION!C74="";"";VLOOKUP(PRODUCT_CALCULATION!C74;PRODUCT!B:D;3;FALSE))</f>
        <v/>
      </c>
      <c r="Q80" s="64">
        <f>IF(PRODUCT_CALCULATION!C74="";"";VLOOKUP(PRODUCT_CALCULATION!C74;PRODUCT!B:E;4;FALSE))</f>
        <v/>
      </c>
      <c r="R80" s="64">
        <f>IF(PRODUCT_CALCULATION!B74="SI";PRODUCT_CALCULATION!F74;"")</f>
        <v/>
      </c>
      <c r="S80" s="64">
        <f>IF(PRODUCT_CALCULATION!B74="SI";PRODUCT_CALCULATION!K74;"")</f>
        <v/>
      </c>
      <c r="T80" s="64">
        <f>IF(PRODUCT_CALCULATION!B74="SI";PRODUCT_CALCULATION!J74;"")</f>
        <v/>
      </c>
      <c r="U80" s="64">
        <f>IF(PRODUCT_CALCULATION!B74="SI";PRODUCT_CALCULATION!N74;"")</f>
        <v/>
      </c>
      <c r="V80" s="64">
        <f>IF(PRODUCT_CALCULATION!B74="SI";PRODUCT_CALCULATION!L74;"")</f>
        <v/>
      </c>
      <c r="W80" s="64">
        <f>IF(PRODUCT_CALCULATION!B74="SI";PRODUCT_CALCULATION!M74;"")</f>
        <v/>
      </c>
      <c r="X80" s="64">
        <f>IF(R74="";"";CEILING(R74/S74;1))</f>
        <v/>
      </c>
      <c r="Y80" s="64">
        <f>IF(R74="";"";R74*T74)</f>
        <v/>
      </c>
      <c r="Z80" s="64">
        <f>IF(R74="";"";R74*V74)</f>
        <v/>
      </c>
    </row>
    <row r="81" ht="15.75" customHeight="1" s="125">
      <c r="A81" s="64">
        <f>INPUT_PRODUCT!B1</f>
        <v/>
      </c>
      <c r="B81" s="78">
        <f>INPUT_PRODUCT!B2</f>
        <v/>
      </c>
      <c r="C81" s="64">
        <f>INPUT_PRODUCT!B6</f>
        <v/>
      </c>
      <c r="D81" s="64" t="inlineStr">
        <is>
          <t>Arias Group Caribe SRL</t>
        </is>
      </c>
      <c r="E81" s="64" t="n"/>
      <c r="F81" s="64" t="inlineStr">
        <is>
          <t>Tarancón, España</t>
        </is>
      </c>
      <c r="G81" s="79">
        <f>INPUT_PRODUCT!B7</f>
        <v/>
      </c>
      <c r="H81" s="79" t="n"/>
      <c r="I81" s="64" t="n"/>
      <c r="J81" s="64" t="n"/>
      <c r="K81" s="64">
        <f>IF(PRODUCT_CALCULATION!B75="SI";PRODUCT_CALCULATION!C75;"")</f>
        <v/>
      </c>
      <c r="L81" s="64">
        <f>IF(PRODUCT_CALCULATION!B75="SI";PRODUCT_CALCULATION!E75;"")</f>
        <v/>
      </c>
      <c r="M81" s="64">
        <f>IF(PRODUCT_CALCULATION!C75="";"";VLOOKUP(PRODUCT_CALCULATION!C75;PRODUCT!B:Q;16;FALSE))</f>
        <v/>
      </c>
      <c r="N81" s="64">
        <f>IF(PRODUCT_CALCULATION!C75="";"";VLOOKUP(PRODUCT_CALCULATION!C75;PRODUCT!B:R;17;FALSE))</f>
        <v/>
      </c>
      <c r="O81" s="64">
        <f>IF(PRODUCT_CALCULATION!C75="";"";VLOOKUP(PRODUCT_CALCULATION!C75;PRODUCT!B:S;18;FALSE))</f>
        <v/>
      </c>
      <c r="P81" s="64">
        <f>IF(PRODUCT_CALCULATION!C75="";"";VLOOKUP(PRODUCT_CALCULATION!C75;PRODUCT!B:D;3;FALSE))</f>
        <v/>
      </c>
      <c r="Q81" s="64">
        <f>IF(PRODUCT_CALCULATION!C75="";"";VLOOKUP(PRODUCT_CALCULATION!C75;PRODUCT!B:E;4;FALSE))</f>
        <v/>
      </c>
      <c r="R81" s="64">
        <f>IF(PRODUCT_CALCULATION!B75="SI";PRODUCT_CALCULATION!F75;"")</f>
        <v/>
      </c>
      <c r="S81" s="64">
        <f>IF(PRODUCT_CALCULATION!B75="SI";PRODUCT_CALCULATION!K75;"")</f>
        <v/>
      </c>
      <c r="T81" s="64">
        <f>IF(PRODUCT_CALCULATION!B75="SI";PRODUCT_CALCULATION!J75;"")</f>
        <v/>
      </c>
      <c r="U81" s="64">
        <f>IF(PRODUCT_CALCULATION!B75="SI";PRODUCT_CALCULATION!N75;"")</f>
        <v/>
      </c>
      <c r="V81" s="64">
        <f>IF(PRODUCT_CALCULATION!B75="SI";PRODUCT_CALCULATION!L75;"")</f>
        <v/>
      </c>
      <c r="W81" s="64">
        <f>IF(PRODUCT_CALCULATION!B75="SI";PRODUCT_CALCULATION!M75;"")</f>
        <v/>
      </c>
      <c r="X81" s="64">
        <f>IF(R75="";"";CEILING(R75/S75;1))</f>
        <v/>
      </c>
      <c r="Y81" s="64">
        <f>IF(R75="";"";R75*T75)</f>
        <v/>
      </c>
      <c r="Z81" s="64">
        <f>IF(R75="";"";R75*V75)</f>
        <v/>
      </c>
    </row>
    <row r="82" ht="15.75" customHeight="1" s="125">
      <c r="A82" s="64">
        <f>INPUT_PRODUCT!B1</f>
        <v/>
      </c>
      <c r="B82" s="78">
        <f>INPUT_PRODUCT!B2</f>
        <v/>
      </c>
      <c r="C82" s="64">
        <f>INPUT_PRODUCT!B6</f>
        <v/>
      </c>
      <c r="D82" s="64" t="inlineStr">
        <is>
          <t>Arias Group Caribe SRL</t>
        </is>
      </c>
      <c r="E82" s="64" t="n"/>
      <c r="F82" s="64" t="inlineStr">
        <is>
          <t>Tarancón, España</t>
        </is>
      </c>
      <c r="G82" s="79">
        <f>INPUT_PRODUCT!B7</f>
        <v/>
      </c>
      <c r="H82" s="79" t="n"/>
      <c r="I82" s="64" t="n"/>
      <c r="J82" s="64" t="n"/>
      <c r="K82" s="64">
        <f>IF(PRODUCT_CALCULATION!B76="SI";PRODUCT_CALCULATION!C76;"")</f>
        <v/>
      </c>
      <c r="L82" s="64">
        <f>IF(PRODUCT_CALCULATION!B76="SI";PRODUCT_CALCULATION!E76;"")</f>
        <v/>
      </c>
      <c r="M82" s="64">
        <f>IF(PRODUCT_CALCULATION!C76="";"";VLOOKUP(PRODUCT_CALCULATION!C76;PRODUCT!B:Q;16;FALSE))</f>
        <v/>
      </c>
      <c r="N82" s="64">
        <f>IF(PRODUCT_CALCULATION!C76="";"";VLOOKUP(PRODUCT_CALCULATION!C76;PRODUCT!B:R;17;FALSE))</f>
        <v/>
      </c>
      <c r="O82" s="64">
        <f>IF(PRODUCT_CALCULATION!C76="";"";VLOOKUP(PRODUCT_CALCULATION!C76;PRODUCT!B:S;18;FALSE))</f>
        <v/>
      </c>
      <c r="P82" s="64">
        <f>IF(PRODUCT_CALCULATION!C76="";"";VLOOKUP(PRODUCT_CALCULATION!C76;PRODUCT!B:D;3;FALSE))</f>
        <v/>
      </c>
      <c r="Q82" s="64">
        <f>IF(PRODUCT_CALCULATION!C76="";"";VLOOKUP(PRODUCT_CALCULATION!C76;PRODUCT!B:E;4;FALSE))</f>
        <v/>
      </c>
      <c r="R82" s="64">
        <f>IF(PRODUCT_CALCULATION!B76="SI";PRODUCT_CALCULATION!F76;"")</f>
        <v/>
      </c>
      <c r="S82" s="64">
        <f>IF(PRODUCT_CALCULATION!B76="SI";PRODUCT_CALCULATION!K76;"")</f>
        <v/>
      </c>
      <c r="T82" s="64">
        <f>IF(PRODUCT_CALCULATION!B76="SI";PRODUCT_CALCULATION!J76;"")</f>
        <v/>
      </c>
      <c r="U82" s="64">
        <f>IF(PRODUCT_CALCULATION!B76="SI";PRODUCT_CALCULATION!N76;"")</f>
        <v/>
      </c>
      <c r="V82" s="64">
        <f>IF(PRODUCT_CALCULATION!B76="SI";PRODUCT_CALCULATION!L76;"")</f>
        <v/>
      </c>
      <c r="W82" s="64">
        <f>IF(PRODUCT_CALCULATION!B76="SI";PRODUCT_CALCULATION!M76;"")</f>
        <v/>
      </c>
      <c r="X82" s="64">
        <f>IF(R76="";"";CEILING(R76/S76;1))</f>
        <v/>
      </c>
      <c r="Y82" s="64">
        <f>IF(R76="";"";R76*T76)</f>
        <v/>
      </c>
      <c r="Z82" s="64">
        <f>IF(R76="";"";R76*V76)</f>
        <v/>
      </c>
    </row>
    <row r="83" ht="15.75" customHeight="1" s="125">
      <c r="A83" s="64">
        <f>INPUT_PRODUCT!B1</f>
        <v/>
      </c>
      <c r="B83" s="78">
        <f>INPUT_PRODUCT!B2</f>
        <v/>
      </c>
      <c r="C83" s="64">
        <f>INPUT_PRODUCT!B6</f>
        <v/>
      </c>
      <c r="D83" s="64" t="inlineStr">
        <is>
          <t>Arias Group Caribe SRL</t>
        </is>
      </c>
      <c r="E83" s="64" t="n"/>
      <c r="F83" s="64" t="inlineStr">
        <is>
          <t>Tarancón, España</t>
        </is>
      </c>
      <c r="G83" s="79">
        <f>INPUT_PRODUCT!B7</f>
        <v/>
      </c>
      <c r="H83" s="79" t="n"/>
      <c r="I83" s="64" t="n"/>
      <c r="J83" s="64" t="n"/>
      <c r="K83" s="64">
        <f>IF(PRODUCT_CALCULATION!B77="SI";PRODUCT_CALCULATION!C77;"")</f>
        <v/>
      </c>
      <c r="L83" s="64">
        <f>IF(PRODUCT_CALCULATION!B77="SI";PRODUCT_CALCULATION!E77;"")</f>
        <v/>
      </c>
      <c r="M83" s="64">
        <f>IF(PRODUCT_CALCULATION!C77="";"";VLOOKUP(PRODUCT_CALCULATION!C77;PRODUCT!B:Q;16;FALSE))</f>
        <v/>
      </c>
      <c r="N83" s="64">
        <f>IF(PRODUCT_CALCULATION!C77="";"";VLOOKUP(PRODUCT_CALCULATION!C77;PRODUCT!B:R;17;FALSE))</f>
        <v/>
      </c>
      <c r="O83" s="64">
        <f>IF(PRODUCT_CALCULATION!C77="";"";VLOOKUP(PRODUCT_CALCULATION!C77;PRODUCT!B:S;18;FALSE))</f>
        <v/>
      </c>
      <c r="P83" s="64">
        <f>IF(PRODUCT_CALCULATION!C77="";"";VLOOKUP(PRODUCT_CALCULATION!C77;PRODUCT!B:D;3;FALSE))</f>
        <v/>
      </c>
      <c r="Q83" s="64">
        <f>IF(PRODUCT_CALCULATION!C77="";"";VLOOKUP(PRODUCT_CALCULATION!C77;PRODUCT!B:E;4;FALSE))</f>
        <v/>
      </c>
      <c r="R83" s="64">
        <f>IF(PRODUCT_CALCULATION!B77="SI";PRODUCT_CALCULATION!F77;"")</f>
        <v/>
      </c>
      <c r="S83" s="64">
        <f>IF(PRODUCT_CALCULATION!B77="SI";PRODUCT_CALCULATION!K77;"")</f>
        <v/>
      </c>
      <c r="T83" s="64">
        <f>IF(PRODUCT_CALCULATION!B77="SI";PRODUCT_CALCULATION!J77;"")</f>
        <v/>
      </c>
      <c r="U83" s="64">
        <f>IF(PRODUCT_CALCULATION!B77="SI";PRODUCT_CALCULATION!N77;"")</f>
        <v/>
      </c>
      <c r="V83" s="64">
        <f>IF(PRODUCT_CALCULATION!B77="SI";PRODUCT_CALCULATION!L77;"")</f>
        <v/>
      </c>
      <c r="W83" s="64">
        <f>IF(PRODUCT_CALCULATION!B77="SI";PRODUCT_CALCULATION!M77;"")</f>
        <v/>
      </c>
      <c r="X83" s="64">
        <f>IF(R77="";"";CEILING(R77/S77;1))</f>
        <v/>
      </c>
      <c r="Y83" s="64">
        <f>IF(R77="";"";R77*T77)</f>
        <v/>
      </c>
      <c r="Z83" s="64">
        <f>IF(R77="";"";R77*V77)</f>
        <v/>
      </c>
    </row>
    <row r="84" ht="15.75" customHeight="1" s="125">
      <c r="A84" s="64">
        <f>INPUT_PRODUCT!B1</f>
        <v/>
      </c>
      <c r="B84" s="78">
        <f>INPUT_PRODUCT!B2</f>
        <v/>
      </c>
      <c r="C84" s="64">
        <f>INPUT_PRODUCT!B6</f>
        <v/>
      </c>
      <c r="D84" s="64" t="inlineStr">
        <is>
          <t>Arias Group Caribe SRL</t>
        </is>
      </c>
      <c r="E84" s="64" t="n"/>
      <c r="F84" s="64" t="inlineStr">
        <is>
          <t>Tarancón, España</t>
        </is>
      </c>
      <c r="G84" s="79">
        <f>INPUT_PRODUCT!B7</f>
        <v/>
      </c>
      <c r="H84" s="79" t="n"/>
      <c r="I84" s="64" t="n"/>
      <c r="J84" s="64" t="n"/>
      <c r="K84" s="64">
        <f>IF(PRODUCT_CALCULATION!B78="SI";PRODUCT_CALCULATION!C78;"")</f>
        <v/>
      </c>
      <c r="L84" s="64">
        <f>IF(PRODUCT_CALCULATION!B78="SI";PRODUCT_CALCULATION!E78;"")</f>
        <v/>
      </c>
      <c r="M84" s="64">
        <f>IF(PRODUCT_CALCULATION!C78="";"";VLOOKUP(PRODUCT_CALCULATION!C78;PRODUCT!B:Q;16;FALSE))</f>
        <v/>
      </c>
      <c r="N84" s="64">
        <f>IF(PRODUCT_CALCULATION!C78="";"";VLOOKUP(PRODUCT_CALCULATION!C78;PRODUCT!B:R;17;FALSE))</f>
        <v/>
      </c>
      <c r="O84" s="64">
        <f>IF(PRODUCT_CALCULATION!C78="";"";VLOOKUP(PRODUCT_CALCULATION!C78;PRODUCT!B:S;18;FALSE))</f>
        <v/>
      </c>
      <c r="P84" s="64">
        <f>IF(PRODUCT_CALCULATION!C78="";"";VLOOKUP(PRODUCT_CALCULATION!C78;PRODUCT!B:D;3;FALSE))</f>
        <v/>
      </c>
      <c r="Q84" s="64">
        <f>IF(PRODUCT_CALCULATION!C78="";"";VLOOKUP(PRODUCT_CALCULATION!C78;PRODUCT!B:E;4;FALSE))</f>
        <v/>
      </c>
      <c r="R84" s="64">
        <f>IF(PRODUCT_CALCULATION!B78="SI";PRODUCT_CALCULATION!F78;"")</f>
        <v/>
      </c>
      <c r="S84" s="64">
        <f>IF(PRODUCT_CALCULATION!B78="SI";PRODUCT_CALCULATION!K78;"")</f>
        <v/>
      </c>
      <c r="T84" s="64">
        <f>IF(PRODUCT_CALCULATION!B78="SI";PRODUCT_CALCULATION!J78;"")</f>
        <v/>
      </c>
      <c r="U84" s="64">
        <f>IF(PRODUCT_CALCULATION!B78="SI";PRODUCT_CALCULATION!N78;"")</f>
        <v/>
      </c>
      <c r="V84" s="64">
        <f>IF(PRODUCT_CALCULATION!B78="SI";PRODUCT_CALCULATION!L78;"")</f>
        <v/>
      </c>
      <c r="W84" s="64">
        <f>IF(PRODUCT_CALCULATION!B78="SI";PRODUCT_CALCULATION!M78;"")</f>
        <v/>
      </c>
      <c r="X84" s="64">
        <f>IF(R78="";"";CEILING(R78/S78;1))</f>
        <v/>
      </c>
      <c r="Y84" s="64">
        <f>IF(R78="";"";R78*T78)</f>
        <v/>
      </c>
      <c r="Z84" s="64">
        <f>IF(R78="";"";R78*V78)</f>
        <v/>
      </c>
    </row>
    <row r="85" ht="15.75" customHeight="1" s="125">
      <c r="A85" s="64">
        <f>INPUT_PRODUCT!B1</f>
        <v/>
      </c>
      <c r="B85" s="78">
        <f>INPUT_PRODUCT!B2</f>
        <v/>
      </c>
      <c r="C85" s="64">
        <f>INPUT_PRODUCT!B6</f>
        <v/>
      </c>
      <c r="D85" s="64" t="inlineStr">
        <is>
          <t>Arias Group Caribe SRL</t>
        </is>
      </c>
      <c r="E85" s="64" t="n"/>
      <c r="F85" s="64" t="inlineStr">
        <is>
          <t>Tarancón, España</t>
        </is>
      </c>
      <c r="G85" s="79">
        <f>INPUT_PRODUCT!B7</f>
        <v/>
      </c>
      <c r="H85" s="79" t="n"/>
      <c r="I85" s="64" t="n"/>
      <c r="J85" s="64" t="n"/>
      <c r="K85" s="64">
        <f>IF(PRODUCT_CALCULATION!B79="SI";PRODUCT_CALCULATION!C79;"")</f>
        <v/>
      </c>
      <c r="L85" s="64">
        <f>IF(PRODUCT_CALCULATION!B79="SI";PRODUCT_CALCULATION!E79;"")</f>
        <v/>
      </c>
      <c r="M85" s="64">
        <f>IF(PRODUCT_CALCULATION!C79="";"";VLOOKUP(PRODUCT_CALCULATION!C79;PRODUCT!B:Q;16;FALSE))</f>
        <v/>
      </c>
      <c r="N85" s="64">
        <f>IF(PRODUCT_CALCULATION!C79="";"";VLOOKUP(PRODUCT_CALCULATION!C79;PRODUCT!B:R;17;FALSE))</f>
        <v/>
      </c>
      <c r="O85" s="64">
        <f>IF(PRODUCT_CALCULATION!C79="";"";VLOOKUP(PRODUCT_CALCULATION!C79;PRODUCT!B:S;18;FALSE))</f>
        <v/>
      </c>
      <c r="P85" s="64">
        <f>IF(PRODUCT_CALCULATION!C79="";"";VLOOKUP(PRODUCT_CALCULATION!C79;PRODUCT!B:D;3;FALSE))</f>
        <v/>
      </c>
      <c r="Q85" s="64">
        <f>IF(PRODUCT_CALCULATION!C79="";"";VLOOKUP(PRODUCT_CALCULATION!C79;PRODUCT!B:E;4;FALSE))</f>
        <v/>
      </c>
      <c r="R85" s="64">
        <f>IF(PRODUCT_CALCULATION!B79="SI";PRODUCT_CALCULATION!F79;"")</f>
        <v/>
      </c>
      <c r="S85" s="64">
        <f>IF(PRODUCT_CALCULATION!B79="SI";PRODUCT_CALCULATION!K79;"")</f>
        <v/>
      </c>
      <c r="T85" s="64">
        <f>IF(PRODUCT_CALCULATION!B79="SI";PRODUCT_CALCULATION!J79;"")</f>
        <v/>
      </c>
      <c r="U85" s="64">
        <f>IF(PRODUCT_CALCULATION!B79="SI";PRODUCT_CALCULATION!N79;"")</f>
        <v/>
      </c>
      <c r="V85" s="64">
        <f>IF(PRODUCT_CALCULATION!B79="SI";PRODUCT_CALCULATION!L79;"")</f>
        <v/>
      </c>
      <c r="W85" s="64">
        <f>IF(PRODUCT_CALCULATION!B79="SI";PRODUCT_CALCULATION!M79;"")</f>
        <v/>
      </c>
      <c r="X85" s="64">
        <f>IF(R79="";"";CEILING(R79/S79;1))</f>
        <v/>
      </c>
      <c r="Y85" s="64">
        <f>IF(R79="";"";R79*T79)</f>
        <v/>
      </c>
      <c r="Z85" s="64">
        <f>IF(R79="";"";R79*V79)</f>
        <v/>
      </c>
    </row>
    <row r="86" ht="15.75" customHeight="1" s="125">
      <c r="A86" s="64">
        <f>INPUT_PRODUCT!B1</f>
        <v/>
      </c>
      <c r="B86" s="78">
        <f>INPUT_PRODUCT!B2</f>
        <v/>
      </c>
      <c r="C86" s="64">
        <f>INPUT_PRODUCT!B6</f>
        <v/>
      </c>
      <c r="D86" s="64" t="inlineStr">
        <is>
          <t>Arias Group Caribe SRL</t>
        </is>
      </c>
      <c r="E86" s="64" t="n"/>
      <c r="F86" s="64" t="inlineStr">
        <is>
          <t>Tarancón, España</t>
        </is>
      </c>
      <c r="G86" s="79">
        <f>INPUT_PRODUCT!B7</f>
        <v/>
      </c>
      <c r="H86" s="79" t="n"/>
      <c r="I86" s="64" t="n"/>
      <c r="J86" s="64" t="n"/>
      <c r="K86" s="64">
        <f>IF(PRODUCT_CALCULATION!B80="SI";PRODUCT_CALCULATION!C80;"")</f>
        <v/>
      </c>
      <c r="L86" s="64">
        <f>IF(PRODUCT_CALCULATION!B80="SI";PRODUCT_CALCULATION!E80;"")</f>
        <v/>
      </c>
      <c r="M86" s="64">
        <f>IF(PRODUCT_CALCULATION!C80="";"";VLOOKUP(PRODUCT_CALCULATION!C80;PRODUCT!B:Q;16;FALSE))</f>
        <v/>
      </c>
      <c r="N86" s="64">
        <f>IF(PRODUCT_CALCULATION!C80="";"";VLOOKUP(PRODUCT_CALCULATION!C80;PRODUCT!B:R;17;FALSE))</f>
        <v/>
      </c>
      <c r="O86" s="64">
        <f>IF(PRODUCT_CALCULATION!C80="";"";VLOOKUP(PRODUCT_CALCULATION!C80;PRODUCT!B:S;18;FALSE))</f>
        <v/>
      </c>
      <c r="P86" s="64">
        <f>IF(PRODUCT_CALCULATION!C80="";"";VLOOKUP(PRODUCT_CALCULATION!C80;PRODUCT!B:D;3;FALSE))</f>
        <v/>
      </c>
      <c r="Q86" s="64">
        <f>IF(PRODUCT_CALCULATION!C80="";"";VLOOKUP(PRODUCT_CALCULATION!C80;PRODUCT!B:E;4;FALSE))</f>
        <v/>
      </c>
      <c r="R86" s="64">
        <f>IF(PRODUCT_CALCULATION!B80="SI";PRODUCT_CALCULATION!F80;"")</f>
        <v/>
      </c>
      <c r="S86" s="64">
        <f>IF(PRODUCT_CALCULATION!B80="SI";PRODUCT_CALCULATION!K80;"")</f>
        <v/>
      </c>
      <c r="T86" s="64">
        <f>IF(PRODUCT_CALCULATION!B80="SI";PRODUCT_CALCULATION!J80;"")</f>
        <v/>
      </c>
      <c r="U86" s="64">
        <f>IF(PRODUCT_CALCULATION!B80="SI";PRODUCT_CALCULATION!N80;"")</f>
        <v/>
      </c>
      <c r="V86" s="64">
        <f>IF(PRODUCT_CALCULATION!B80="SI";PRODUCT_CALCULATION!L80;"")</f>
        <v/>
      </c>
      <c r="W86" s="64">
        <f>IF(PRODUCT_CALCULATION!B80="SI";PRODUCT_CALCULATION!M80;"")</f>
        <v/>
      </c>
      <c r="X86" s="64">
        <f>IF(R80="";"";CEILING(R80/S80;1))</f>
        <v/>
      </c>
      <c r="Y86" s="64">
        <f>IF(R80="";"";R80*T80)</f>
        <v/>
      </c>
      <c r="Z86" s="64">
        <f>IF(R80="";"";R80*V80)</f>
        <v/>
      </c>
    </row>
    <row r="87" ht="15.75" customHeight="1" s="125">
      <c r="A87" s="64">
        <f>INPUT_PRODUCT!B1</f>
        <v/>
      </c>
      <c r="B87" s="78">
        <f>INPUT_PRODUCT!B2</f>
        <v/>
      </c>
      <c r="C87" s="64">
        <f>INPUT_PRODUCT!B6</f>
        <v/>
      </c>
      <c r="D87" s="64" t="inlineStr">
        <is>
          <t>Arias Group Caribe SRL</t>
        </is>
      </c>
      <c r="E87" s="64" t="n"/>
      <c r="F87" s="64" t="inlineStr">
        <is>
          <t>Tarancón, España</t>
        </is>
      </c>
      <c r="G87" s="79">
        <f>INPUT_PRODUCT!B7</f>
        <v/>
      </c>
      <c r="H87" s="79" t="n"/>
      <c r="I87" s="64" t="n"/>
      <c r="J87" s="64" t="n"/>
      <c r="K87" s="64">
        <f>IF(PRODUCT_CALCULATION!B81="SI";PRODUCT_CALCULATION!C81;"")</f>
        <v/>
      </c>
      <c r="L87" s="64">
        <f>IF(PRODUCT_CALCULATION!B81="SI";PRODUCT_CALCULATION!E81;"")</f>
        <v/>
      </c>
      <c r="M87" s="64">
        <f>IF(PRODUCT_CALCULATION!C81="";"";VLOOKUP(PRODUCT_CALCULATION!C81;PRODUCT!B:Q;16;FALSE))</f>
        <v/>
      </c>
      <c r="N87" s="64">
        <f>IF(PRODUCT_CALCULATION!C81="";"";VLOOKUP(PRODUCT_CALCULATION!C81;PRODUCT!B:R;17;FALSE))</f>
        <v/>
      </c>
      <c r="O87" s="64">
        <f>IF(PRODUCT_CALCULATION!C81="";"";VLOOKUP(PRODUCT_CALCULATION!C81;PRODUCT!B:S;18;FALSE))</f>
        <v/>
      </c>
      <c r="P87" s="64">
        <f>IF(PRODUCT_CALCULATION!C81="";"";VLOOKUP(PRODUCT_CALCULATION!C81;PRODUCT!B:D;3;FALSE))</f>
        <v/>
      </c>
      <c r="Q87" s="64">
        <f>IF(PRODUCT_CALCULATION!C81="";"";VLOOKUP(PRODUCT_CALCULATION!C81;PRODUCT!B:E;4;FALSE))</f>
        <v/>
      </c>
      <c r="R87" s="64">
        <f>IF(PRODUCT_CALCULATION!B81="SI";PRODUCT_CALCULATION!F81;"")</f>
        <v/>
      </c>
      <c r="S87" s="64">
        <f>IF(PRODUCT_CALCULATION!B81="SI";PRODUCT_CALCULATION!K81;"")</f>
        <v/>
      </c>
      <c r="T87" s="64">
        <f>IF(PRODUCT_CALCULATION!B81="SI";PRODUCT_CALCULATION!J81;"")</f>
        <v/>
      </c>
      <c r="U87" s="64">
        <f>IF(PRODUCT_CALCULATION!B81="SI";PRODUCT_CALCULATION!N81;"")</f>
        <v/>
      </c>
      <c r="V87" s="64">
        <f>IF(PRODUCT_CALCULATION!B81="SI";PRODUCT_CALCULATION!L81;"")</f>
        <v/>
      </c>
      <c r="W87" s="64">
        <f>IF(PRODUCT_CALCULATION!B81="SI";PRODUCT_CALCULATION!M81;"")</f>
        <v/>
      </c>
      <c r="X87" s="64">
        <f>IF(R81="";"";CEILING(R81/S81;1))</f>
        <v/>
      </c>
      <c r="Y87" s="64">
        <f>IF(R81="";"";R81*T81)</f>
        <v/>
      </c>
      <c r="Z87" s="64">
        <f>IF(R81="";"";R81*V81)</f>
        <v/>
      </c>
    </row>
    <row r="88" ht="15.75" customHeight="1" s="125">
      <c r="A88" s="64">
        <f>INPUT_PRODUCT!B1</f>
        <v/>
      </c>
      <c r="B88" s="78">
        <f>INPUT_PRODUCT!B2</f>
        <v/>
      </c>
      <c r="C88" s="64">
        <f>INPUT_PRODUCT!B6</f>
        <v/>
      </c>
      <c r="D88" s="64" t="inlineStr">
        <is>
          <t>Arias Group Caribe SRL</t>
        </is>
      </c>
      <c r="E88" s="64" t="n"/>
      <c r="F88" s="64" t="inlineStr">
        <is>
          <t>Tarancón, España</t>
        </is>
      </c>
      <c r="G88" s="79">
        <f>INPUT_PRODUCT!B7</f>
        <v/>
      </c>
      <c r="H88" s="79" t="n"/>
      <c r="I88" s="64" t="n"/>
      <c r="J88" s="64" t="n"/>
      <c r="K88" s="64">
        <f>IF(PRODUCT_CALCULATION!B82="SI";PRODUCT_CALCULATION!C82;"")</f>
        <v/>
      </c>
      <c r="L88" s="64">
        <f>IF(PRODUCT_CALCULATION!B82="SI";PRODUCT_CALCULATION!E82;"")</f>
        <v/>
      </c>
      <c r="M88" s="64">
        <f>IF(PRODUCT_CALCULATION!C82="";"";VLOOKUP(PRODUCT_CALCULATION!C82;PRODUCT!B:Q;16;FALSE))</f>
        <v/>
      </c>
      <c r="N88" s="64">
        <f>IF(PRODUCT_CALCULATION!C82="";"";VLOOKUP(PRODUCT_CALCULATION!C82;PRODUCT!B:R;17;FALSE))</f>
        <v/>
      </c>
      <c r="O88" s="64">
        <f>IF(PRODUCT_CALCULATION!C82="";"";VLOOKUP(PRODUCT_CALCULATION!C82;PRODUCT!B:S;18;FALSE))</f>
        <v/>
      </c>
      <c r="P88" s="64">
        <f>IF(PRODUCT_CALCULATION!C82="";"";VLOOKUP(PRODUCT_CALCULATION!C82;PRODUCT!B:D;3;FALSE))</f>
        <v/>
      </c>
      <c r="Q88" s="64">
        <f>IF(PRODUCT_CALCULATION!C82="";"";VLOOKUP(PRODUCT_CALCULATION!C82;PRODUCT!B:E;4;FALSE))</f>
        <v/>
      </c>
      <c r="R88" s="64">
        <f>IF(PRODUCT_CALCULATION!B82="SI";PRODUCT_CALCULATION!F82;"")</f>
        <v/>
      </c>
      <c r="S88" s="64">
        <f>IF(PRODUCT_CALCULATION!B82="SI";PRODUCT_CALCULATION!K82;"")</f>
        <v/>
      </c>
      <c r="T88" s="64">
        <f>IF(PRODUCT_CALCULATION!B82="SI";PRODUCT_CALCULATION!J82;"")</f>
        <v/>
      </c>
      <c r="U88" s="64">
        <f>IF(PRODUCT_CALCULATION!B82="SI";PRODUCT_CALCULATION!N82;"")</f>
        <v/>
      </c>
      <c r="V88" s="64">
        <f>IF(PRODUCT_CALCULATION!B82="SI";PRODUCT_CALCULATION!L82;"")</f>
        <v/>
      </c>
      <c r="W88" s="64">
        <f>IF(PRODUCT_CALCULATION!B82="SI";PRODUCT_CALCULATION!M82;"")</f>
        <v/>
      </c>
      <c r="X88" s="64">
        <f>IF(R82="";"";CEILING(R82/S82;1))</f>
        <v/>
      </c>
      <c r="Y88" s="64">
        <f>IF(R82="";"";R82*T82)</f>
        <v/>
      </c>
      <c r="Z88" s="64">
        <f>IF(R82="";"";R82*V82)</f>
        <v/>
      </c>
    </row>
    <row r="89" ht="15.75" customHeight="1" s="125">
      <c r="A89" s="64">
        <f>INPUT_PRODUCT!B1</f>
        <v/>
      </c>
      <c r="B89" s="78">
        <f>INPUT_PRODUCT!B2</f>
        <v/>
      </c>
      <c r="C89" s="64">
        <f>INPUT_PRODUCT!B6</f>
        <v/>
      </c>
      <c r="D89" s="64" t="inlineStr">
        <is>
          <t>Arias Group Caribe SRL</t>
        </is>
      </c>
      <c r="E89" s="64" t="n"/>
      <c r="F89" s="64" t="inlineStr">
        <is>
          <t>Tarancón, España</t>
        </is>
      </c>
      <c r="G89" s="79">
        <f>INPUT_PRODUCT!B7</f>
        <v/>
      </c>
      <c r="H89" s="79" t="n"/>
      <c r="I89" s="64" t="n"/>
      <c r="J89" s="64" t="n"/>
      <c r="K89" s="64">
        <f>IF(PRODUCT_CALCULATION!B83="SI";PRODUCT_CALCULATION!C83;"")</f>
        <v/>
      </c>
      <c r="L89" s="64">
        <f>IF(PRODUCT_CALCULATION!B83="SI";PRODUCT_CALCULATION!E83;"")</f>
        <v/>
      </c>
      <c r="M89" s="64">
        <f>IF(PRODUCT_CALCULATION!C83="";"";VLOOKUP(PRODUCT_CALCULATION!C83;PRODUCT!B:Q;16;FALSE))</f>
        <v/>
      </c>
      <c r="N89" s="64">
        <f>IF(PRODUCT_CALCULATION!C83="";"";VLOOKUP(PRODUCT_CALCULATION!C83;PRODUCT!B:R;17;FALSE))</f>
        <v/>
      </c>
      <c r="O89" s="64">
        <f>IF(PRODUCT_CALCULATION!C83="";"";VLOOKUP(PRODUCT_CALCULATION!C83;PRODUCT!B:S;18;FALSE))</f>
        <v/>
      </c>
      <c r="P89" s="64">
        <f>IF(PRODUCT_CALCULATION!C83="";"";VLOOKUP(PRODUCT_CALCULATION!C83;PRODUCT!B:D;3;FALSE))</f>
        <v/>
      </c>
      <c r="Q89" s="64">
        <f>IF(PRODUCT_CALCULATION!C83="";"";VLOOKUP(PRODUCT_CALCULATION!C83;PRODUCT!B:E;4;FALSE))</f>
        <v/>
      </c>
      <c r="R89" s="64">
        <f>IF(PRODUCT_CALCULATION!B83="SI";PRODUCT_CALCULATION!F83;"")</f>
        <v/>
      </c>
      <c r="S89" s="64">
        <f>IF(PRODUCT_CALCULATION!B83="SI";PRODUCT_CALCULATION!K83;"")</f>
        <v/>
      </c>
      <c r="T89" s="64">
        <f>IF(PRODUCT_CALCULATION!B83="SI";PRODUCT_CALCULATION!J83;"")</f>
        <v/>
      </c>
      <c r="U89" s="64">
        <f>IF(PRODUCT_CALCULATION!B83="SI";PRODUCT_CALCULATION!N83;"")</f>
        <v/>
      </c>
      <c r="V89" s="64">
        <f>IF(PRODUCT_CALCULATION!B83="SI";PRODUCT_CALCULATION!L83;"")</f>
        <v/>
      </c>
      <c r="W89" s="64">
        <f>IF(PRODUCT_CALCULATION!B83="SI";PRODUCT_CALCULATION!M83;"")</f>
        <v/>
      </c>
      <c r="X89" s="64">
        <f>IF(R83="";"";CEILING(R83/S83;1))</f>
        <v/>
      </c>
      <c r="Y89" s="64">
        <f>IF(R83="";"";R83*T83)</f>
        <v/>
      </c>
      <c r="Z89" s="64">
        <f>IF(R83="";"";R83*V83)</f>
        <v/>
      </c>
    </row>
    <row r="90" ht="15.75" customHeight="1" s="125">
      <c r="A90" s="64">
        <f>INPUT_PRODUCT!B1</f>
        <v/>
      </c>
      <c r="B90" s="78">
        <f>INPUT_PRODUCT!B2</f>
        <v/>
      </c>
      <c r="C90" s="64">
        <f>INPUT_PRODUCT!B6</f>
        <v/>
      </c>
      <c r="D90" s="64" t="inlineStr">
        <is>
          <t>Arias Group Caribe SRL</t>
        </is>
      </c>
      <c r="E90" s="64" t="n"/>
      <c r="F90" s="64" t="inlineStr">
        <is>
          <t>Tarancón, España</t>
        </is>
      </c>
      <c r="G90" s="79">
        <f>INPUT_PRODUCT!B7</f>
        <v/>
      </c>
      <c r="H90" s="79" t="n"/>
      <c r="I90" s="64" t="n"/>
      <c r="J90" s="64" t="n"/>
      <c r="K90" s="64">
        <f>IF(PRODUCT_CALCULATION!B84="SI";PRODUCT_CALCULATION!C84;"")</f>
        <v/>
      </c>
      <c r="L90" s="64">
        <f>IF(PRODUCT_CALCULATION!B84="SI";PRODUCT_CALCULATION!E84;"")</f>
        <v/>
      </c>
      <c r="M90" s="64">
        <f>IF(PRODUCT_CALCULATION!C84="";"";VLOOKUP(PRODUCT_CALCULATION!C84;PRODUCT!B:Q;16;FALSE))</f>
        <v/>
      </c>
      <c r="N90" s="64">
        <f>IF(PRODUCT_CALCULATION!C84="";"";VLOOKUP(PRODUCT_CALCULATION!C84;PRODUCT!B:R;17;FALSE))</f>
        <v/>
      </c>
      <c r="O90" s="64">
        <f>IF(PRODUCT_CALCULATION!C84="";"";VLOOKUP(PRODUCT_CALCULATION!C84;PRODUCT!B:S;18;FALSE))</f>
        <v/>
      </c>
      <c r="P90" s="64">
        <f>IF(PRODUCT_CALCULATION!C84="";"";VLOOKUP(PRODUCT_CALCULATION!C84;PRODUCT!B:D;3;FALSE))</f>
        <v/>
      </c>
      <c r="Q90" s="64">
        <f>IF(PRODUCT_CALCULATION!C84="";"";VLOOKUP(PRODUCT_CALCULATION!C84;PRODUCT!B:E;4;FALSE))</f>
        <v/>
      </c>
      <c r="R90" s="64">
        <f>IF(PRODUCT_CALCULATION!B84="SI";PRODUCT_CALCULATION!F84;"")</f>
        <v/>
      </c>
      <c r="S90" s="64">
        <f>IF(PRODUCT_CALCULATION!B84="SI";PRODUCT_CALCULATION!K84;"")</f>
        <v/>
      </c>
      <c r="T90" s="64">
        <f>IF(PRODUCT_CALCULATION!B84="SI";PRODUCT_CALCULATION!J84;"")</f>
        <v/>
      </c>
      <c r="U90" s="64">
        <f>IF(PRODUCT_CALCULATION!B84="SI";PRODUCT_CALCULATION!N84;"")</f>
        <v/>
      </c>
      <c r="V90" s="64">
        <f>IF(PRODUCT_CALCULATION!B84="SI";PRODUCT_CALCULATION!L84;"")</f>
        <v/>
      </c>
      <c r="W90" s="64">
        <f>IF(PRODUCT_CALCULATION!B84="SI";PRODUCT_CALCULATION!M84;"")</f>
        <v/>
      </c>
      <c r="X90" s="64">
        <f>IF(R84="";"";CEILING(R84/S84;1))</f>
        <v/>
      </c>
      <c r="Y90" s="64">
        <f>IF(R84="";"";R84*T84)</f>
        <v/>
      </c>
      <c r="Z90" s="64">
        <f>IF(R84="";"";R84*V84)</f>
        <v/>
      </c>
    </row>
    <row r="91" ht="15.75" customHeight="1" s="125">
      <c r="A91" s="64">
        <f>INPUT_PRODUCT!B1</f>
        <v/>
      </c>
      <c r="B91" s="78">
        <f>INPUT_PRODUCT!B2</f>
        <v/>
      </c>
      <c r="C91" s="64">
        <f>INPUT_PRODUCT!B6</f>
        <v/>
      </c>
      <c r="D91" s="64" t="inlineStr">
        <is>
          <t>Arias Group Caribe SRL</t>
        </is>
      </c>
      <c r="E91" s="64" t="n"/>
      <c r="F91" s="64" t="inlineStr">
        <is>
          <t>Tarancón, España</t>
        </is>
      </c>
      <c r="G91" s="79">
        <f>INPUT_PRODUCT!B7</f>
        <v/>
      </c>
      <c r="H91" s="79" t="n"/>
      <c r="I91" s="64" t="n"/>
      <c r="J91" s="64" t="n"/>
      <c r="K91" s="64">
        <f>IF(PRODUCT_CALCULATION!B85="SI";PRODUCT_CALCULATION!C85;"")</f>
        <v/>
      </c>
      <c r="L91" s="64">
        <f>IF(PRODUCT_CALCULATION!B85="SI";PRODUCT_CALCULATION!E85;"")</f>
        <v/>
      </c>
      <c r="M91" s="64">
        <f>IF(PRODUCT_CALCULATION!C85="";"";VLOOKUP(PRODUCT_CALCULATION!C85;PRODUCT!B:Q;16;FALSE))</f>
        <v/>
      </c>
      <c r="N91" s="64">
        <f>IF(PRODUCT_CALCULATION!C85="";"";VLOOKUP(PRODUCT_CALCULATION!C85;PRODUCT!B:R;17;FALSE))</f>
        <v/>
      </c>
      <c r="O91" s="64">
        <f>IF(PRODUCT_CALCULATION!C85="";"";VLOOKUP(PRODUCT_CALCULATION!C85;PRODUCT!B:S;18;FALSE))</f>
        <v/>
      </c>
      <c r="P91" s="64">
        <f>IF(PRODUCT_CALCULATION!C85="";"";VLOOKUP(PRODUCT_CALCULATION!C85;PRODUCT!B:D;3;FALSE))</f>
        <v/>
      </c>
      <c r="Q91" s="64">
        <f>IF(PRODUCT_CALCULATION!C85="";"";VLOOKUP(PRODUCT_CALCULATION!C85;PRODUCT!B:E;4;FALSE))</f>
        <v/>
      </c>
      <c r="R91" s="64">
        <f>IF(PRODUCT_CALCULATION!B85="SI";PRODUCT_CALCULATION!F85;"")</f>
        <v/>
      </c>
      <c r="S91" s="64">
        <f>IF(PRODUCT_CALCULATION!B85="SI";PRODUCT_CALCULATION!K85;"")</f>
        <v/>
      </c>
      <c r="T91" s="64">
        <f>IF(PRODUCT_CALCULATION!B85="SI";PRODUCT_CALCULATION!J85;"")</f>
        <v/>
      </c>
      <c r="U91" s="64">
        <f>IF(PRODUCT_CALCULATION!B85="SI";PRODUCT_CALCULATION!N85;"")</f>
        <v/>
      </c>
      <c r="V91" s="64">
        <f>IF(PRODUCT_CALCULATION!B85="SI";PRODUCT_CALCULATION!L85;"")</f>
        <v/>
      </c>
      <c r="W91" s="64">
        <f>IF(PRODUCT_CALCULATION!B85="SI";PRODUCT_CALCULATION!M85;"")</f>
        <v/>
      </c>
      <c r="X91" s="64">
        <f>IF(R85="";"";CEILING(R85/S85;1))</f>
        <v/>
      </c>
      <c r="Y91" s="64">
        <f>IF(R85="";"";R85*T85)</f>
        <v/>
      </c>
      <c r="Z91" s="64">
        <f>IF(R85="";"";R85*V85)</f>
        <v/>
      </c>
    </row>
    <row r="92" ht="15.75" customHeight="1" s="125">
      <c r="A92" s="64">
        <f>INPUT_PRODUCT!B1</f>
        <v/>
      </c>
      <c r="B92" s="78">
        <f>INPUT_PRODUCT!B2</f>
        <v/>
      </c>
      <c r="C92" s="64">
        <f>INPUT_PRODUCT!B6</f>
        <v/>
      </c>
      <c r="D92" s="64" t="inlineStr">
        <is>
          <t>Arias Group Caribe SRL</t>
        </is>
      </c>
      <c r="E92" s="64" t="n"/>
      <c r="F92" s="64" t="inlineStr">
        <is>
          <t>Tarancón, España</t>
        </is>
      </c>
      <c r="G92" s="79">
        <f>INPUT_PRODUCT!B7</f>
        <v/>
      </c>
      <c r="H92" s="79" t="n"/>
      <c r="I92" s="64" t="n"/>
      <c r="J92" s="64" t="n"/>
      <c r="K92" s="64">
        <f>IF(PRODUCT_CALCULATION!B86="SI";PRODUCT_CALCULATION!C86;"")</f>
        <v/>
      </c>
      <c r="L92" s="64">
        <f>IF(PRODUCT_CALCULATION!B86="SI";PRODUCT_CALCULATION!E86;"")</f>
        <v/>
      </c>
      <c r="M92" s="64">
        <f>IF(PRODUCT_CALCULATION!C86="";"";VLOOKUP(PRODUCT_CALCULATION!C86;PRODUCT!B:Q;16;FALSE))</f>
        <v/>
      </c>
      <c r="N92" s="64">
        <f>IF(PRODUCT_CALCULATION!C86="";"";VLOOKUP(PRODUCT_CALCULATION!C86;PRODUCT!B:R;17;FALSE))</f>
        <v/>
      </c>
      <c r="O92" s="64">
        <f>IF(PRODUCT_CALCULATION!C86="";"";VLOOKUP(PRODUCT_CALCULATION!C86;PRODUCT!B:S;18;FALSE))</f>
        <v/>
      </c>
      <c r="P92" s="64">
        <f>IF(PRODUCT_CALCULATION!C86="";"";VLOOKUP(PRODUCT_CALCULATION!C86;PRODUCT!B:D;3;FALSE))</f>
        <v/>
      </c>
      <c r="Q92" s="64">
        <f>IF(PRODUCT_CALCULATION!C86="";"";VLOOKUP(PRODUCT_CALCULATION!C86;PRODUCT!B:E;4;FALSE))</f>
        <v/>
      </c>
      <c r="R92" s="64">
        <f>IF(PRODUCT_CALCULATION!B86="SI";PRODUCT_CALCULATION!F86;"")</f>
        <v/>
      </c>
      <c r="S92" s="64">
        <f>IF(PRODUCT_CALCULATION!B86="SI";PRODUCT_CALCULATION!K86;"")</f>
        <v/>
      </c>
      <c r="T92" s="64">
        <f>IF(PRODUCT_CALCULATION!B86="SI";PRODUCT_CALCULATION!J86;"")</f>
        <v/>
      </c>
      <c r="U92" s="64">
        <f>IF(PRODUCT_CALCULATION!B86="SI";PRODUCT_CALCULATION!N86;"")</f>
        <v/>
      </c>
      <c r="V92" s="64">
        <f>IF(PRODUCT_CALCULATION!B86="SI";PRODUCT_CALCULATION!L86;"")</f>
        <v/>
      </c>
      <c r="W92" s="64">
        <f>IF(PRODUCT_CALCULATION!B86="SI";PRODUCT_CALCULATION!M86;"")</f>
        <v/>
      </c>
      <c r="X92" s="64">
        <f>IF(R86="";"";CEILING(R86/S86;1))</f>
        <v/>
      </c>
      <c r="Y92" s="64">
        <f>IF(R86="";"";R86*T86)</f>
        <v/>
      </c>
      <c r="Z92" s="64">
        <f>IF(R86="";"";R86*V86)</f>
        <v/>
      </c>
    </row>
    <row r="93" ht="15.75" customHeight="1" s="125">
      <c r="A93" s="64">
        <f>INPUT_PRODUCT!B1</f>
        <v/>
      </c>
      <c r="B93" s="78">
        <f>INPUT_PRODUCT!B2</f>
        <v/>
      </c>
      <c r="C93" s="64">
        <f>INPUT_PRODUCT!B6</f>
        <v/>
      </c>
      <c r="D93" s="64" t="inlineStr">
        <is>
          <t>Arias Group Caribe SRL</t>
        </is>
      </c>
      <c r="E93" s="64" t="n"/>
      <c r="F93" s="64" t="inlineStr">
        <is>
          <t>Tarancón, España</t>
        </is>
      </c>
      <c r="G93" s="79">
        <f>INPUT_PRODUCT!B7</f>
        <v/>
      </c>
      <c r="H93" s="79" t="n"/>
      <c r="I93" s="64" t="n"/>
      <c r="J93" s="64" t="n"/>
      <c r="K93" s="64">
        <f>IF(PRODUCT_CALCULATION!B87="SI";PRODUCT_CALCULATION!C87;"")</f>
        <v/>
      </c>
      <c r="L93" s="64">
        <f>IF(PRODUCT_CALCULATION!B87="SI";PRODUCT_CALCULATION!E87;"")</f>
        <v/>
      </c>
      <c r="M93" s="64">
        <f>IF(PRODUCT_CALCULATION!C87="";"";VLOOKUP(PRODUCT_CALCULATION!C87;PRODUCT!B:Q;16;FALSE))</f>
        <v/>
      </c>
      <c r="N93" s="64">
        <f>IF(PRODUCT_CALCULATION!C87="";"";VLOOKUP(PRODUCT_CALCULATION!C87;PRODUCT!B:R;17;FALSE))</f>
        <v/>
      </c>
      <c r="O93" s="64">
        <f>IF(PRODUCT_CALCULATION!C87="";"";VLOOKUP(PRODUCT_CALCULATION!C87;PRODUCT!B:S;18;FALSE))</f>
        <v/>
      </c>
      <c r="P93" s="64">
        <f>IF(PRODUCT_CALCULATION!C87="";"";VLOOKUP(PRODUCT_CALCULATION!C87;PRODUCT!B:D;3;FALSE))</f>
        <v/>
      </c>
      <c r="Q93" s="64">
        <f>IF(PRODUCT_CALCULATION!C87="";"";VLOOKUP(PRODUCT_CALCULATION!C87;PRODUCT!B:E;4;FALSE))</f>
        <v/>
      </c>
      <c r="R93" s="64">
        <f>IF(PRODUCT_CALCULATION!B87="SI";PRODUCT_CALCULATION!F87;"")</f>
        <v/>
      </c>
      <c r="S93" s="64">
        <f>IF(PRODUCT_CALCULATION!B87="SI";PRODUCT_CALCULATION!K87;"")</f>
        <v/>
      </c>
      <c r="T93" s="64">
        <f>IF(PRODUCT_CALCULATION!B87="SI";PRODUCT_CALCULATION!J87;"")</f>
        <v/>
      </c>
      <c r="U93" s="64">
        <f>IF(PRODUCT_CALCULATION!B87="SI";PRODUCT_CALCULATION!N87;"")</f>
        <v/>
      </c>
      <c r="V93" s="64">
        <f>IF(PRODUCT_CALCULATION!B87="SI";PRODUCT_CALCULATION!L87;"")</f>
        <v/>
      </c>
      <c r="W93" s="64">
        <f>IF(PRODUCT_CALCULATION!B87="SI";PRODUCT_CALCULATION!M87;"")</f>
        <v/>
      </c>
      <c r="X93" s="64">
        <f>IF(R87="";"";CEILING(R87/S87;1))</f>
        <v/>
      </c>
      <c r="Y93" s="64">
        <f>IF(R87="";"";R87*T87)</f>
        <v/>
      </c>
      <c r="Z93" s="64">
        <f>IF(R87="";"";R87*V87)</f>
        <v/>
      </c>
    </row>
    <row r="94" ht="15.75" customHeight="1" s="125">
      <c r="A94" s="64">
        <f>INPUT_PRODUCT!B1</f>
        <v/>
      </c>
      <c r="B94" s="78">
        <f>INPUT_PRODUCT!B2</f>
        <v/>
      </c>
      <c r="C94" s="64">
        <f>INPUT_PRODUCT!B6</f>
        <v/>
      </c>
      <c r="D94" s="64" t="inlineStr">
        <is>
          <t>Arias Group Caribe SRL</t>
        </is>
      </c>
      <c r="E94" s="64" t="n"/>
      <c r="F94" s="64" t="inlineStr">
        <is>
          <t>Tarancón, España</t>
        </is>
      </c>
      <c r="G94" s="79">
        <f>INPUT_PRODUCT!B7</f>
        <v/>
      </c>
      <c r="H94" s="79" t="n"/>
      <c r="I94" s="64" t="n"/>
      <c r="J94" s="64" t="n"/>
      <c r="K94" s="64">
        <f>IF(PRODUCT_CALCULATION!B88="SI";PRODUCT_CALCULATION!C88;"")</f>
        <v/>
      </c>
      <c r="L94" s="64">
        <f>IF(PRODUCT_CALCULATION!B88="SI";PRODUCT_CALCULATION!E88;"")</f>
        <v/>
      </c>
      <c r="M94" s="64">
        <f>IF(PRODUCT_CALCULATION!C88="";"";VLOOKUP(PRODUCT_CALCULATION!C88;PRODUCT!B:Q;16;FALSE))</f>
        <v/>
      </c>
      <c r="N94" s="64">
        <f>IF(PRODUCT_CALCULATION!C88="";"";VLOOKUP(PRODUCT_CALCULATION!C88;PRODUCT!B:R;17;FALSE))</f>
        <v/>
      </c>
      <c r="O94" s="64">
        <f>IF(PRODUCT_CALCULATION!C88="";"";VLOOKUP(PRODUCT_CALCULATION!C88;PRODUCT!B:S;18;FALSE))</f>
        <v/>
      </c>
      <c r="P94" s="64">
        <f>IF(PRODUCT_CALCULATION!C88="";"";VLOOKUP(PRODUCT_CALCULATION!C88;PRODUCT!B:D;3;FALSE))</f>
        <v/>
      </c>
      <c r="Q94" s="64">
        <f>IF(PRODUCT_CALCULATION!C88="";"";VLOOKUP(PRODUCT_CALCULATION!C88;PRODUCT!B:E;4;FALSE))</f>
        <v/>
      </c>
      <c r="R94" s="64">
        <f>IF(PRODUCT_CALCULATION!B88="SI";PRODUCT_CALCULATION!F88;"")</f>
        <v/>
      </c>
      <c r="S94" s="64">
        <f>IF(PRODUCT_CALCULATION!B88="SI";PRODUCT_CALCULATION!K88;"")</f>
        <v/>
      </c>
      <c r="T94" s="64">
        <f>IF(PRODUCT_CALCULATION!B88="SI";PRODUCT_CALCULATION!J88;"")</f>
        <v/>
      </c>
      <c r="U94" s="64">
        <f>IF(PRODUCT_CALCULATION!B88="SI";PRODUCT_CALCULATION!N88;"")</f>
        <v/>
      </c>
      <c r="V94" s="64">
        <f>IF(PRODUCT_CALCULATION!B88="SI";PRODUCT_CALCULATION!L88;"")</f>
        <v/>
      </c>
      <c r="W94" s="64">
        <f>IF(PRODUCT_CALCULATION!B88="SI";PRODUCT_CALCULATION!M88;"")</f>
        <v/>
      </c>
      <c r="X94" s="64">
        <f>IF(R88="";"";CEILING(R88/S88;1))</f>
        <v/>
      </c>
      <c r="Y94" s="64">
        <f>IF(R88="";"";R88*T88)</f>
        <v/>
      </c>
      <c r="Z94" s="64">
        <f>IF(R88="";"";R88*V88)</f>
        <v/>
      </c>
    </row>
    <row r="95" ht="15.75" customHeight="1" s="125">
      <c r="A95" s="64">
        <f>INPUT_PRODUCT!B1</f>
        <v/>
      </c>
      <c r="B95" s="78">
        <f>INPUT_PRODUCT!B2</f>
        <v/>
      </c>
      <c r="C95" s="64">
        <f>INPUT_PRODUCT!B6</f>
        <v/>
      </c>
      <c r="D95" s="64" t="inlineStr">
        <is>
          <t>Arias Group Caribe SRL</t>
        </is>
      </c>
      <c r="E95" s="64" t="n"/>
      <c r="F95" s="64" t="inlineStr">
        <is>
          <t>Tarancón, España</t>
        </is>
      </c>
      <c r="G95" s="79">
        <f>INPUT_PRODUCT!B7</f>
        <v/>
      </c>
      <c r="H95" s="79" t="n"/>
      <c r="I95" s="64" t="n"/>
      <c r="J95" s="64" t="n"/>
      <c r="K95" s="64">
        <f>IF(PRODUCT_CALCULATION!B89="SI";PRODUCT_CALCULATION!C89;"")</f>
        <v/>
      </c>
      <c r="L95" s="64">
        <f>IF(PRODUCT_CALCULATION!B89="SI";PRODUCT_CALCULATION!E89;"")</f>
        <v/>
      </c>
      <c r="M95" s="64">
        <f>IF(PRODUCT_CALCULATION!C89="";"";VLOOKUP(PRODUCT_CALCULATION!C89;PRODUCT!B:Q;16;FALSE))</f>
        <v/>
      </c>
      <c r="N95" s="64">
        <f>IF(PRODUCT_CALCULATION!C89="";"";VLOOKUP(PRODUCT_CALCULATION!C89;PRODUCT!B:R;17;FALSE))</f>
        <v/>
      </c>
      <c r="O95" s="64">
        <f>IF(PRODUCT_CALCULATION!C89="";"";VLOOKUP(PRODUCT_CALCULATION!C89;PRODUCT!B:S;18;FALSE))</f>
        <v/>
      </c>
      <c r="P95" s="64">
        <f>IF(PRODUCT_CALCULATION!C89="";"";VLOOKUP(PRODUCT_CALCULATION!C89;PRODUCT!B:D;3;FALSE))</f>
        <v/>
      </c>
      <c r="Q95" s="64">
        <f>IF(PRODUCT_CALCULATION!C89="";"";VLOOKUP(PRODUCT_CALCULATION!C89;PRODUCT!B:E;4;FALSE))</f>
        <v/>
      </c>
      <c r="R95" s="64">
        <f>IF(PRODUCT_CALCULATION!B89="SI";PRODUCT_CALCULATION!F89;"")</f>
        <v/>
      </c>
      <c r="S95" s="64">
        <f>IF(PRODUCT_CALCULATION!B89="SI";PRODUCT_CALCULATION!K89;"")</f>
        <v/>
      </c>
      <c r="T95" s="64">
        <f>IF(PRODUCT_CALCULATION!B89="SI";PRODUCT_CALCULATION!J89;"")</f>
        <v/>
      </c>
      <c r="U95" s="64">
        <f>IF(PRODUCT_CALCULATION!B89="SI";PRODUCT_CALCULATION!N89;"")</f>
        <v/>
      </c>
      <c r="V95" s="64">
        <f>IF(PRODUCT_CALCULATION!B89="SI";PRODUCT_CALCULATION!L89;"")</f>
        <v/>
      </c>
      <c r="W95" s="64">
        <f>IF(PRODUCT_CALCULATION!B89="SI";PRODUCT_CALCULATION!M89;"")</f>
        <v/>
      </c>
      <c r="X95" s="64">
        <f>IF(R89="";"";CEILING(R89/S89;1))</f>
        <v/>
      </c>
      <c r="Y95" s="64">
        <f>IF(R89="";"";R89*T89)</f>
        <v/>
      </c>
      <c r="Z95" s="64">
        <f>IF(R89="";"";R89*V89)</f>
        <v/>
      </c>
    </row>
    <row r="96" ht="15.75" customHeight="1" s="125">
      <c r="A96" s="64">
        <f>INPUT_PRODUCT!B1</f>
        <v/>
      </c>
      <c r="B96" s="78">
        <f>INPUT_PRODUCT!B2</f>
        <v/>
      </c>
      <c r="C96" s="64">
        <f>INPUT_PRODUCT!B6</f>
        <v/>
      </c>
      <c r="D96" s="64" t="inlineStr">
        <is>
          <t>Arias Group Caribe SRL</t>
        </is>
      </c>
      <c r="E96" s="64" t="n"/>
      <c r="F96" s="64" t="inlineStr">
        <is>
          <t>Tarancón, España</t>
        </is>
      </c>
      <c r="G96" s="79">
        <f>INPUT_PRODUCT!B7</f>
        <v/>
      </c>
      <c r="H96" s="79" t="n"/>
      <c r="I96" s="64" t="n"/>
      <c r="J96" s="64" t="n"/>
      <c r="K96" s="64">
        <f>IF(PRODUCT_CALCULATION!B90="SI";PRODUCT_CALCULATION!C90;"")</f>
        <v/>
      </c>
      <c r="L96" s="64">
        <f>IF(PRODUCT_CALCULATION!B90="SI";PRODUCT_CALCULATION!E90;"")</f>
        <v/>
      </c>
      <c r="M96" s="64">
        <f>IF(PRODUCT_CALCULATION!C90="";"";VLOOKUP(PRODUCT_CALCULATION!C90;PRODUCT!B:Q;16;FALSE))</f>
        <v/>
      </c>
      <c r="N96" s="64">
        <f>IF(PRODUCT_CALCULATION!C90="";"";VLOOKUP(PRODUCT_CALCULATION!C90;PRODUCT!B:R;17;FALSE))</f>
        <v/>
      </c>
      <c r="O96" s="64">
        <f>IF(PRODUCT_CALCULATION!C90="";"";VLOOKUP(PRODUCT_CALCULATION!C90;PRODUCT!B:S;18;FALSE))</f>
        <v/>
      </c>
      <c r="P96" s="64">
        <f>IF(PRODUCT_CALCULATION!C90="";"";VLOOKUP(PRODUCT_CALCULATION!C90;PRODUCT!B:D;3;FALSE))</f>
        <v/>
      </c>
      <c r="Q96" s="64">
        <f>IF(PRODUCT_CALCULATION!C90="";"";VLOOKUP(PRODUCT_CALCULATION!C90;PRODUCT!B:E;4;FALSE))</f>
        <v/>
      </c>
      <c r="R96" s="64">
        <f>IF(PRODUCT_CALCULATION!B90="SI";PRODUCT_CALCULATION!F90;"")</f>
        <v/>
      </c>
      <c r="S96" s="64">
        <f>IF(PRODUCT_CALCULATION!B90="SI";PRODUCT_CALCULATION!K90;"")</f>
        <v/>
      </c>
      <c r="T96" s="64">
        <f>IF(PRODUCT_CALCULATION!B90="SI";PRODUCT_CALCULATION!J90;"")</f>
        <v/>
      </c>
      <c r="U96" s="64">
        <f>IF(PRODUCT_CALCULATION!B90="SI";PRODUCT_CALCULATION!N90;"")</f>
        <v/>
      </c>
      <c r="V96" s="64">
        <f>IF(PRODUCT_CALCULATION!B90="SI";PRODUCT_CALCULATION!L90;"")</f>
        <v/>
      </c>
      <c r="W96" s="64">
        <f>IF(PRODUCT_CALCULATION!B90="SI";PRODUCT_CALCULATION!M90;"")</f>
        <v/>
      </c>
      <c r="X96" s="64">
        <f>IF(R90="";"";CEILING(R90/S90;1))</f>
        <v/>
      </c>
      <c r="Y96" s="64">
        <f>IF(R90="";"";R90*T90)</f>
        <v/>
      </c>
      <c r="Z96" s="64">
        <f>IF(R90="";"";R90*V90)</f>
        <v/>
      </c>
    </row>
    <row r="97" ht="15.75" customHeight="1" s="125">
      <c r="A97" s="64">
        <f>INPUT_PRODUCT!B1</f>
        <v/>
      </c>
      <c r="B97" s="78">
        <f>INPUT_PRODUCT!B2</f>
        <v/>
      </c>
      <c r="C97" s="64">
        <f>INPUT_PRODUCT!B6</f>
        <v/>
      </c>
      <c r="D97" s="64" t="inlineStr">
        <is>
          <t>Arias Group Caribe SRL</t>
        </is>
      </c>
      <c r="E97" s="64" t="n"/>
      <c r="F97" s="64" t="inlineStr">
        <is>
          <t>Tarancón, España</t>
        </is>
      </c>
      <c r="G97" s="79">
        <f>INPUT_PRODUCT!B7</f>
        <v/>
      </c>
      <c r="H97" s="79" t="n"/>
      <c r="I97" s="64" t="n"/>
      <c r="J97" s="64" t="n"/>
      <c r="K97" s="64">
        <f>IF(PRODUCT_CALCULATION!B91="SI";PRODUCT_CALCULATION!C91;"")</f>
        <v/>
      </c>
      <c r="L97" s="64">
        <f>IF(PRODUCT_CALCULATION!B91="SI";PRODUCT_CALCULATION!E91;"")</f>
        <v/>
      </c>
      <c r="M97" s="64">
        <f>IF(PRODUCT_CALCULATION!C91="";"";VLOOKUP(PRODUCT_CALCULATION!C91;PRODUCT!B:Q;16;FALSE))</f>
        <v/>
      </c>
      <c r="N97" s="64">
        <f>IF(PRODUCT_CALCULATION!C91="";"";VLOOKUP(PRODUCT_CALCULATION!C91;PRODUCT!B:R;17;FALSE))</f>
        <v/>
      </c>
      <c r="O97" s="64">
        <f>IF(PRODUCT_CALCULATION!C91="";"";VLOOKUP(PRODUCT_CALCULATION!C91;PRODUCT!B:S;18;FALSE))</f>
        <v/>
      </c>
      <c r="P97" s="64">
        <f>IF(PRODUCT_CALCULATION!C91="";"";VLOOKUP(PRODUCT_CALCULATION!C91;PRODUCT!B:D;3;FALSE))</f>
        <v/>
      </c>
      <c r="Q97" s="64">
        <f>IF(PRODUCT_CALCULATION!C91="";"";VLOOKUP(PRODUCT_CALCULATION!C91;PRODUCT!B:E;4;FALSE))</f>
        <v/>
      </c>
      <c r="R97" s="64">
        <f>IF(PRODUCT_CALCULATION!B91="SI";PRODUCT_CALCULATION!F91;"")</f>
        <v/>
      </c>
      <c r="S97" s="64">
        <f>IF(PRODUCT_CALCULATION!B91="SI";PRODUCT_CALCULATION!K91;"")</f>
        <v/>
      </c>
      <c r="T97" s="64">
        <f>IF(PRODUCT_CALCULATION!B91="SI";PRODUCT_CALCULATION!J91;"")</f>
        <v/>
      </c>
      <c r="U97" s="64">
        <f>IF(PRODUCT_CALCULATION!B91="SI";PRODUCT_CALCULATION!N91;"")</f>
        <v/>
      </c>
      <c r="V97" s="64">
        <f>IF(PRODUCT_CALCULATION!B91="SI";PRODUCT_CALCULATION!L91;"")</f>
        <v/>
      </c>
      <c r="W97" s="64">
        <f>IF(PRODUCT_CALCULATION!B91="SI";PRODUCT_CALCULATION!M91;"")</f>
        <v/>
      </c>
      <c r="X97" s="64">
        <f>IF(R91="";"";CEILING(R91/S91;1))</f>
        <v/>
      </c>
      <c r="Y97" s="64">
        <f>IF(R91="";"";R91*T91)</f>
        <v/>
      </c>
      <c r="Z97" s="64">
        <f>IF(R91="";"";R91*V91)</f>
        <v/>
      </c>
    </row>
    <row r="98" ht="15.75" customHeight="1" s="125">
      <c r="A98" s="64">
        <f>INPUT_PRODUCT!B1</f>
        <v/>
      </c>
      <c r="B98" s="78">
        <f>INPUT_PRODUCT!B2</f>
        <v/>
      </c>
      <c r="C98" s="64">
        <f>INPUT_PRODUCT!B6</f>
        <v/>
      </c>
      <c r="D98" s="64" t="inlineStr">
        <is>
          <t>Arias Group Caribe SRL</t>
        </is>
      </c>
      <c r="E98" s="64" t="n"/>
      <c r="F98" s="64" t="inlineStr">
        <is>
          <t>Tarancón, España</t>
        </is>
      </c>
      <c r="G98" s="79">
        <f>INPUT_PRODUCT!B7</f>
        <v/>
      </c>
      <c r="H98" s="79" t="n"/>
      <c r="I98" s="64" t="n"/>
      <c r="J98" s="64" t="n"/>
      <c r="K98" s="64">
        <f>IF(PRODUCT_CALCULATION!B92="SI";PRODUCT_CALCULATION!C92;"")</f>
        <v/>
      </c>
      <c r="L98" s="64">
        <f>IF(PRODUCT_CALCULATION!B92="SI";PRODUCT_CALCULATION!E92;"")</f>
        <v/>
      </c>
      <c r="M98" s="64">
        <f>IF(PRODUCT_CALCULATION!C92="";"";VLOOKUP(PRODUCT_CALCULATION!C92;PRODUCT!B:Q;16;FALSE))</f>
        <v/>
      </c>
      <c r="N98" s="64">
        <f>IF(PRODUCT_CALCULATION!C92="";"";VLOOKUP(PRODUCT_CALCULATION!C92;PRODUCT!B:R;17;FALSE))</f>
        <v/>
      </c>
      <c r="O98" s="64">
        <f>IF(PRODUCT_CALCULATION!C92="";"";VLOOKUP(PRODUCT_CALCULATION!C92;PRODUCT!B:S;18;FALSE))</f>
        <v/>
      </c>
      <c r="P98" s="64">
        <f>IF(PRODUCT_CALCULATION!C92="";"";VLOOKUP(PRODUCT_CALCULATION!C92;PRODUCT!B:D;3;FALSE))</f>
        <v/>
      </c>
      <c r="Q98" s="64">
        <f>IF(PRODUCT_CALCULATION!C92="";"";VLOOKUP(PRODUCT_CALCULATION!C92;PRODUCT!B:E;4;FALSE))</f>
        <v/>
      </c>
      <c r="R98" s="64">
        <f>IF(PRODUCT_CALCULATION!B92="SI";PRODUCT_CALCULATION!F92;"")</f>
        <v/>
      </c>
      <c r="S98" s="64">
        <f>IF(PRODUCT_CALCULATION!B92="SI";PRODUCT_CALCULATION!K92;"")</f>
        <v/>
      </c>
      <c r="T98" s="64">
        <f>IF(PRODUCT_CALCULATION!B92="SI";PRODUCT_CALCULATION!J92;"")</f>
        <v/>
      </c>
      <c r="U98" s="64">
        <f>IF(PRODUCT_CALCULATION!B92="SI";PRODUCT_CALCULATION!N92;"")</f>
        <v/>
      </c>
      <c r="V98" s="64">
        <f>IF(PRODUCT_CALCULATION!B92="SI";PRODUCT_CALCULATION!L92;"")</f>
        <v/>
      </c>
      <c r="W98" s="64">
        <f>IF(PRODUCT_CALCULATION!B92="SI";PRODUCT_CALCULATION!M92;"")</f>
        <v/>
      </c>
      <c r="X98" s="64">
        <f>IF(R92="";"";CEILING(R92/S92;1))</f>
        <v/>
      </c>
      <c r="Y98" s="64">
        <f>IF(R92="";"";R92*T92)</f>
        <v/>
      </c>
      <c r="Z98" s="64">
        <f>IF(R92="";"";R92*V92)</f>
        <v/>
      </c>
    </row>
    <row r="99" ht="15.75" customHeight="1" s="125">
      <c r="A99" s="64">
        <f>INPUT_PRODUCT!B1</f>
        <v/>
      </c>
      <c r="B99" s="78">
        <f>INPUT_PRODUCT!B2</f>
        <v/>
      </c>
      <c r="C99" s="64">
        <f>INPUT_PRODUCT!B6</f>
        <v/>
      </c>
      <c r="D99" s="64" t="inlineStr">
        <is>
          <t>Arias Group Caribe SRL</t>
        </is>
      </c>
      <c r="E99" s="64" t="n"/>
      <c r="F99" s="64" t="inlineStr">
        <is>
          <t>Tarancón, España</t>
        </is>
      </c>
      <c r="G99" s="79">
        <f>INPUT_PRODUCT!B7</f>
        <v/>
      </c>
      <c r="H99" s="79" t="n"/>
      <c r="I99" s="64" t="n"/>
      <c r="J99" s="64" t="n"/>
      <c r="K99" s="64">
        <f>IF(PRODUCT_CALCULATION!B93="SI";PRODUCT_CALCULATION!C93;"")</f>
        <v/>
      </c>
      <c r="L99" s="64">
        <f>IF(PRODUCT_CALCULATION!B93="SI";PRODUCT_CALCULATION!E93;"")</f>
        <v/>
      </c>
      <c r="M99" s="64">
        <f>IF(PRODUCT_CALCULATION!C93="";"";VLOOKUP(PRODUCT_CALCULATION!C93;PRODUCT!B:Q;16;FALSE))</f>
        <v/>
      </c>
      <c r="N99" s="64">
        <f>IF(PRODUCT_CALCULATION!C93="";"";VLOOKUP(PRODUCT_CALCULATION!C93;PRODUCT!B:R;17;FALSE))</f>
        <v/>
      </c>
      <c r="O99" s="64">
        <f>IF(PRODUCT_CALCULATION!C93="";"";VLOOKUP(PRODUCT_CALCULATION!C93;PRODUCT!B:S;18;FALSE))</f>
        <v/>
      </c>
      <c r="P99" s="64">
        <f>IF(PRODUCT_CALCULATION!C93="";"";VLOOKUP(PRODUCT_CALCULATION!C93;PRODUCT!B:D;3;FALSE))</f>
        <v/>
      </c>
      <c r="Q99" s="64">
        <f>IF(PRODUCT_CALCULATION!C93="";"";VLOOKUP(PRODUCT_CALCULATION!C93;PRODUCT!B:E;4;FALSE))</f>
        <v/>
      </c>
      <c r="R99" s="64">
        <f>IF(PRODUCT_CALCULATION!B93="SI";PRODUCT_CALCULATION!F93;"")</f>
        <v/>
      </c>
      <c r="S99" s="64">
        <f>IF(PRODUCT_CALCULATION!B93="SI";PRODUCT_CALCULATION!K93;"")</f>
        <v/>
      </c>
      <c r="T99" s="64">
        <f>IF(PRODUCT_CALCULATION!B93="SI";PRODUCT_CALCULATION!J93;"")</f>
        <v/>
      </c>
      <c r="U99" s="64">
        <f>IF(PRODUCT_CALCULATION!B93="SI";PRODUCT_CALCULATION!N93;"")</f>
        <v/>
      </c>
      <c r="V99" s="64">
        <f>IF(PRODUCT_CALCULATION!B93="SI";PRODUCT_CALCULATION!L93;"")</f>
        <v/>
      </c>
      <c r="W99" s="64">
        <f>IF(PRODUCT_CALCULATION!B93="SI";PRODUCT_CALCULATION!M93;"")</f>
        <v/>
      </c>
      <c r="X99" s="64">
        <f>IF(R93="";"";CEILING(R93/S93;1))</f>
        <v/>
      </c>
      <c r="Y99" s="64">
        <f>IF(R93="";"";R93*T93)</f>
        <v/>
      </c>
      <c r="Z99" s="64">
        <f>IF(R93="";"";R93*V93)</f>
        <v/>
      </c>
    </row>
    <row r="100" ht="15.75" customHeight="1" s="125">
      <c r="A100" s="64" t="n"/>
      <c r="B100" s="78" t="n"/>
      <c r="C100" s="64" t="n"/>
      <c r="D100" s="64" t="n"/>
      <c r="E100" s="64" t="n"/>
      <c r="F100" s="64" t="n"/>
      <c r="G100" s="79" t="n"/>
      <c r="H100" s="79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  <c r="Z100" s="64" t="n"/>
    </row>
    <row r="101" ht="15.75" customHeight="1" s="125">
      <c r="A101" s="64" t="n"/>
      <c r="B101" s="78" t="n"/>
      <c r="C101" s="64" t="n"/>
      <c r="D101" s="64" t="n"/>
      <c r="E101" s="64" t="n"/>
      <c r="F101" s="64" t="n"/>
      <c r="G101" s="79" t="n"/>
      <c r="H101" s="79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  <c r="Z101" s="64" t="n"/>
    </row>
    <row r="102" ht="15.75" customHeight="1" s="125">
      <c r="A102" s="64" t="n"/>
      <c r="B102" s="78" t="n"/>
      <c r="C102" s="64" t="n"/>
      <c r="D102" s="64" t="n"/>
      <c r="E102" s="64" t="n"/>
      <c r="F102" s="64" t="n"/>
      <c r="G102" s="79" t="n"/>
      <c r="H102" s="79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  <c r="Z102" s="64" t="n"/>
    </row>
    <row r="103" ht="15.75" customHeight="1" s="125">
      <c r="A103" s="64" t="n"/>
      <c r="B103" s="78" t="n"/>
      <c r="C103" s="64" t="n"/>
      <c r="D103" s="64" t="n"/>
      <c r="E103" s="64" t="n"/>
      <c r="F103" s="64" t="n"/>
      <c r="G103" s="79" t="n"/>
      <c r="H103" s="79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  <c r="Z103" s="64" t="n"/>
    </row>
    <row r="104" ht="15.75" customHeight="1" s="125">
      <c r="A104" s="64" t="n"/>
      <c r="B104" s="78" t="n"/>
      <c r="C104" s="64" t="n"/>
      <c r="D104" s="64" t="n"/>
      <c r="E104" s="64" t="n"/>
      <c r="F104" s="64" t="n"/>
      <c r="G104" s="79" t="n"/>
      <c r="H104" s="79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</row>
    <row r="105" ht="15.75" customHeight="1" s="125">
      <c r="A105" s="64" t="n"/>
      <c r="B105" s="78" t="n"/>
      <c r="C105" s="64" t="n"/>
      <c r="D105" s="64" t="n"/>
      <c r="E105" s="64" t="n"/>
      <c r="F105" s="64" t="n"/>
      <c r="G105" s="79" t="n"/>
      <c r="H105" s="79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</row>
    <row r="106" ht="15.75" customHeight="1" s="125">
      <c r="A106" s="64" t="n"/>
      <c r="B106" s="78" t="n"/>
      <c r="C106" s="64" t="n"/>
      <c r="D106" s="64" t="n"/>
      <c r="E106" s="64" t="n"/>
      <c r="F106" s="64" t="n"/>
      <c r="G106" s="79" t="n"/>
      <c r="H106" s="79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  <c r="Z106" s="64" t="n"/>
    </row>
    <row r="107" ht="15.75" customHeight="1" s="125">
      <c r="A107" s="64" t="n"/>
      <c r="B107" s="78" t="n"/>
      <c r="C107" s="64" t="n"/>
      <c r="D107" s="64" t="n"/>
      <c r="E107" s="64" t="n"/>
      <c r="F107" s="64" t="n"/>
      <c r="G107" s="79" t="n"/>
      <c r="H107" s="79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  <c r="Z107" s="64" t="n"/>
    </row>
    <row r="108" ht="15.75" customHeight="1" s="125">
      <c r="A108" s="64" t="n"/>
      <c r="B108" s="78" t="n"/>
      <c r="C108" s="64" t="n"/>
      <c r="D108" s="64" t="n"/>
      <c r="E108" s="64" t="n"/>
      <c r="F108" s="64" t="n"/>
      <c r="G108" s="79" t="n"/>
      <c r="H108" s="79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  <c r="Z108" s="64" t="n"/>
    </row>
    <row r="109" ht="15.75" customHeight="1" s="125">
      <c r="A109" s="64" t="n"/>
      <c r="B109" s="78" t="n"/>
      <c r="C109" s="64" t="n"/>
      <c r="D109" s="64" t="n"/>
      <c r="E109" s="64" t="n"/>
      <c r="F109" s="64" t="n"/>
      <c r="G109" s="79" t="n"/>
      <c r="H109" s="79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  <c r="Z109" s="64" t="n"/>
    </row>
    <row r="110" ht="15.75" customHeight="1" s="125">
      <c r="A110" s="64" t="n"/>
      <c r="B110" s="78" t="n"/>
      <c r="C110" s="64" t="n"/>
      <c r="D110" s="64" t="n"/>
      <c r="E110" s="64" t="n"/>
      <c r="F110" s="64" t="n"/>
      <c r="G110" s="79" t="n"/>
      <c r="H110" s="79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  <c r="Z110" s="64" t="n"/>
    </row>
    <row r="111" ht="15.75" customHeight="1" s="125">
      <c r="A111" s="64" t="n"/>
      <c r="B111" s="78" t="n"/>
      <c r="C111" s="64" t="n"/>
      <c r="D111" s="64" t="n"/>
      <c r="E111" s="64" t="n"/>
      <c r="F111" s="64" t="n"/>
      <c r="G111" s="79" t="n"/>
      <c r="H111" s="79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  <c r="Z111" s="64" t="n"/>
    </row>
    <row r="112" ht="15.75" customHeight="1" s="125">
      <c r="A112" s="64" t="n"/>
      <c r="B112" s="78" t="n"/>
      <c r="C112" s="64" t="n"/>
      <c r="D112" s="64" t="n"/>
      <c r="E112" s="64" t="n"/>
      <c r="F112" s="64" t="n"/>
      <c r="G112" s="79" t="n"/>
      <c r="H112" s="79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  <c r="Z112" s="64" t="n"/>
    </row>
    <row r="113" ht="15.75" customHeight="1" s="125">
      <c r="A113" s="64" t="n"/>
      <c r="B113" s="78" t="n"/>
      <c r="C113" s="64" t="n"/>
      <c r="D113" s="64" t="n"/>
      <c r="E113" s="64" t="n"/>
      <c r="F113" s="64" t="n"/>
      <c r="G113" s="79" t="n"/>
      <c r="H113" s="79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  <c r="Z113" s="64" t="n"/>
    </row>
    <row r="114" ht="15.75" customHeight="1" s="125">
      <c r="A114" s="64" t="n"/>
      <c r="B114" s="78" t="n"/>
      <c r="C114" s="64" t="n"/>
      <c r="D114" s="64" t="n"/>
      <c r="E114" s="64" t="n"/>
      <c r="F114" s="64" t="n"/>
      <c r="G114" s="79" t="n"/>
      <c r="H114" s="79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  <c r="Z114" s="64" t="n"/>
    </row>
    <row r="115" ht="15.75" customHeight="1" s="125">
      <c r="A115" s="64" t="n"/>
      <c r="B115" s="78" t="n"/>
      <c r="C115" s="64" t="n"/>
      <c r="D115" s="64" t="n"/>
      <c r="E115" s="64" t="n"/>
      <c r="F115" s="64" t="n"/>
      <c r="G115" s="79" t="n"/>
      <c r="H115" s="79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  <c r="Z115" s="64" t="n"/>
    </row>
    <row r="116" ht="15.75" customHeight="1" s="125">
      <c r="A116" s="64" t="n"/>
      <c r="B116" s="78" t="n"/>
      <c r="C116" s="64" t="n"/>
      <c r="D116" s="64" t="n"/>
      <c r="E116" s="64" t="n"/>
      <c r="F116" s="64" t="n"/>
      <c r="G116" s="79" t="n"/>
      <c r="H116" s="79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  <c r="Z116" s="64" t="n"/>
    </row>
    <row r="117" ht="15.75" customHeight="1" s="125">
      <c r="A117" s="64" t="n"/>
      <c r="B117" s="78" t="n"/>
      <c r="C117" s="64" t="n"/>
      <c r="D117" s="64" t="n"/>
      <c r="E117" s="64" t="n"/>
      <c r="F117" s="64" t="n"/>
      <c r="G117" s="79" t="n"/>
      <c r="H117" s="79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  <c r="Z117" s="64" t="n"/>
    </row>
    <row r="118" ht="15.75" customHeight="1" s="125">
      <c r="A118" s="64" t="n"/>
      <c r="B118" s="78" t="n"/>
      <c r="C118" s="64" t="n"/>
      <c r="D118" s="64" t="n"/>
      <c r="E118" s="64" t="n"/>
      <c r="F118" s="64" t="n"/>
      <c r="G118" s="79" t="n"/>
      <c r="H118" s="79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  <c r="Z118" s="64" t="n"/>
    </row>
    <row r="119" ht="15.75" customHeight="1" s="125">
      <c r="A119" s="64" t="n"/>
      <c r="B119" s="78" t="n"/>
      <c r="C119" s="64" t="n"/>
      <c r="D119" s="64" t="n"/>
      <c r="E119" s="64" t="n"/>
      <c r="F119" s="64" t="n"/>
      <c r="G119" s="79" t="n"/>
      <c r="H119" s="79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  <c r="Z119" s="64" t="n"/>
    </row>
    <row r="120" ht="15.75" customHeight="1" s="125">
      <c r="A120" s="64" t="n"/>
      <c r="B120" s="78" t="n"/>
      <c r="C120" s="64" t="n"/>
      <c r="D120" s="64" t="n"/>
      <c r="E120" s="64" t="n"/>
      <c r="F120" s="64" t="n"/>
      <c r="G120" s="79" t="n"/>
      <c r="H120" s="79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  <c r="Z120" s="64" t="n"/>
    </row>
    <row r="121" ht="15.75" customHeight="1" s="125">
      <c r="A121" s="64" t="n"/>
      <c r="B121" s="78" t="n"/>
      <c r="C121" s="64" t="n"/>
      <c r="D121" s="64" t="n"/>
      <c r="E121" s="64" t="n"/>
      <c r="F121" s="64" t="n"/>
      <c r="G121" s="79" t="n"/>
      <c r="H121" s="79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  <c r="Z121" s="64" t="n"/>
    </row>
    <row r="122" ht="15.75" customHeight="1" s="125">
      <c r="A122" s="64" t="n"/>
      <c r="B122" s="78" t="n"/>
      <c r="C122" s="64" t="n"/>
      <c r="D122" s="64" t="n"/>
      <c r="E122" s="64" t="n"/>
      <c r="F122" s="64" t="n"/>
      <c r="G122" s="79" t="n"/>
      <c r="H122" s="79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  <c r="Z122" s="64" t="n"/>
    </row>
    <row r="123" ht="15.75" customHeight="1" s="125">
      <c r="A123" s="64" t="n"/>
      <c r="B123" s="78" t="n"/>
      <c r="C123" s="64" t="n"/>
      <c r="D123" s="64" t="n"/>
      <c r="E123" s="64" t="n"/>
      <c r="F123" s="64" t="n"/>
      <c r="G123" s="79" t="n"/>
      <c r="H123" s="79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  <c r="Z123" s="64" t="n"/>
    </row>
    <row r="124" ht="15.75" customHeight="1" s="125">
      <c r="A124" s="64" t="n"/>
      <c r="B124" s="78" t="n"/>
      <c r="C124" s="64" t="n"/>
      <c r="D124" s="64" t="n"/>
      <c r="E124" s="64" t="n"/>
      <c r="F124" s="64" t="n"/>
      <c r="G124" s="79" t="n"/>
      <c r="H124" s="79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  <c r="Z124" s="64" t="n"/>
    </row>
    <row r="125" ht="15.75" customHeight="1" s="125">
      <c r="A125" s="64" t="n"/>
      <c r="B125" s="78" t="n"/>
      <c r="C125" s="64" t="n"/>
      <c r="D125" s="64" t="n"/>
      <c r="E125" s="64" t="n"/>
      <c r="F125" s="64" t="n"/>
      <c r="G125" s="79" t="n"/>
      <c r="H125" s="79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  <c r="Z125" s="64" t="n"/>
    </row>
    <row r="126" ht="15.75" customHeight="1" s="125">
      <c r="A126" s="64" t="n"/>
      <c r="B126" s="78" t="n"/>
      <c r="C126" s="64" t="n"/>
      <c r="D126" s="64" t="n"/>
      <c r="E126" s="64" t="n"/>
      <c r="F126" s="64" t="n"/>
      <c r="G126" s="79" t="n"/>
      <c r="H126" s="79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  <c r="Z126" s="64" t="n"/>
    </row>
    <row r="127" ht="15.75" customHeight="1" s="125">
      <c r="A127" s="64" t="n"/>
      <c r="B127" s="78" t="n"/>
      <c r="C127" s="64" t="n"/>
      <c r="D127" s="64" t="n"/>
      <c r="E127" s="64" t="n"/>
      <c r="F127" s="64" t="n"/>
      <c r="G127" s="79" t="n"/>
      <c r="H127" s="79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  <c r="Z127" s="64" t="n"/>
    </row>
    <row r="128" ht="15.75" customHeight="1" s="125">
      <c r="A128" s="64" t="n"/>
      <c r="B128" s="78" t="n"/>
      <c r="C128" s="64" t="n"/>
      <c r="D128" s="64" t="n"/>
      <c r="E128" s="64" t="n"/>
      <c r="F128" s="64" t="n"/>
      <c r="G128" s="79" t="n"/>
      <c r="H128" s="79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  <c r="Z128" s="64" t="n"/>
    </row>
    <row r="129" ht="15.75" customHeight="1" s="125">
      <c r="A129" s="64" t="n"/>
      <c r="B129" s="78" t="n"/>
      <c r="C129" s="64" t="n"/>
      <c r="D129" s="64" t="n"/>
      <c r="E129" s="64" t="n"/>
      <c r="F129" s="64" t="n"/>
      <c r="G129" s="79" t="n"/>
      <c r="H129" s="79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  <c r="Z129" s="64" t="n"/>
    </row>
    <row r="130" ht="15.75" customHeight="1" s="125">
      <c r="A130" s="64" t="n"/>
      <c r="B130" s="78" t="n"/>
      <c r="C130" s="64" t="n"/>
      <c r="D130" s="64" t="n"/>
      <c r="E130" s="64" t="n"/>
      <c r="F130" s="64" t="n"/>
      <c r="G130" s="79" t="n"/>
      <c r="H130" s="79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  <c r="Z130" s="64" t="n"/>
    </row>
    <row r="131" ht="15.75" customHeight="1" s="125">
      <c r="A131" s="64" t="n"/>
      <c r="B131" s="78" t="n"/>
      <c r="C131" s="64" t="n"/>
      <c r="D131" s="64" t="n"/>
      <c r="E131" s="64" t="n"/>
      <c r="F131" s="64" t="n"/>
      <c r="G131" s="79" t="n"/>
      <c r="H131" s="79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  <c r="Z131" s="64" t="n"/>
    </row>
    <row r="132" ht="15.75" customHeight="1" s="125">
      <c r="A132" s="64" t="n"/>
      <c r="B132" s="78" t="n"/>
      <c r="C132" s="64" t="n"/>
      <c r="D132" s="64" t="n"/>
      <c r="E132" s="64" t="n"/>
      <c r="F132" s="64" t="n"/>
      <c r="G132" s="79" t="n"/>
      <c r="H132" s="79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  <c r="Z132" s="64" t="n"/>
    </row>
    <row r="133" ht="15.75" customHeight="1" s="125">
      <c r="A133" s="64" t="n"/>
      <c r="B133" s="78" t="n"/>
      <c r="C133" s="64" t="n"/>
      <c r="D133" s="64" t="n"/>
      <c r="E133" s="64" t="n"/>
      <c r="F133" s="64" t="n"/>
      <c r="G133" s="79" t="n"/>
      <c r="H133" s="79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  <c r="Z133" s="64" t="n"/>
    </row>
    <row r="134" ht="15.75" customHeight="1" s="125">
      <c r="A134" s="64" t="n"/>
      <c r="B134" s="78" t="n"/>
      <c r="C134" s="64" t="n"/>
      <c r="D134" s="64" t="n"/>
      <c r="E134" s="64" t="n"/>
      <c r="F134" s="64" t="n"/>
      <c r="G134" s="79" t="n"/>
      <c r="H134" s="79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  <c r="Z134" s="64" t="n"/>
    </row>
    <row r="135" ht="15.75" customHeight="1" s="125">
      <c r="A135" s="64" t="n"/>
      <c r="B135" s="78" t="n"/>
      <c r="C135" s="64" t="n"/>
      <c r="D135" s="64" t="n"/>
      <c r="E135" s="64" t="n"/>
      <c r="F135" s="64" t="n"/>
      <c r="G135" s="79" t="n"/>
      <c r="H135" s="79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  <c r="Z135" s="64" t="n"/>
    </row>
    <row r="136" ht="15.75" customHeight="1" s="125">
      <c r="A136" s="64" t="n"/>
      <c r="B136" s="78" t="n"/>
      <c r="C136" s="64" t="n"/>
      <c r="D136" s="64" t="n"/>
      <c r="E136" s="64" t="n"/>
      <c r="F136" s="64" t="n"/>
      <c r="G136" s="79" t="n"/>
      <c r="H136" s="79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  <c r="Z136" s="64" t="n"/>
    </row>
    <row r="137" ht="15.75" customHeight="1" s="125">
      <c r="A137" s="64" t="n"/>
      <c r="B137" s="78" t="n"/>
      <c r="C137" s="64" t="n"/>
      <c r="D137" s="64" t="n"/>
      <c r="E137" s="64" t="n"/>
      <c r="F137" s="64" t="n"/>
      <c r="G137" s="79" t="n"/>
      <c r="H137" s="79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  <c r="Z137" s="64" t="n"/>
    </row>
    <row r="138" ht="15.75" customHeight="1" s="125">
      <c r="A138" s="64" t="n"/>
      <c r="B138" s="78" t="n"/>
      <c r="C138" s="64" t="n"/>
      <c r="D138" s="64" t="n"/>
      <c r="E138" s="64" t="n"/>
      <c r="F138" s="64" t="n"/>
      <c r="G138" s="79" t="n"/>
      <c r="H138" s="79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  <c r="Z138" s="64" t="n"/>
    </row>
    <row r="139" ht="15.75" customHeight="1" s="125">
      <c r="A139" s="64" t="n"/>
      <c r="B139" s="78" t="n"/>
      <c r="C139" s="64" t="n"/>
      <c r="D139" s="64" t="n"/>
      <c r="E139" s="64" t="n"/>
      <c r="F139" s="64" t="n"/>
      <c r="G139" s="79" t="n"/>
      <c r="H139" s="79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  <c r="Z139" s="64" t="n"/>
    </row>
    <row r="140" ht="15.75" customHeight="1" s="125">
      <c r="A140" s="64" t="n"/>
      <c r="B140" s="78" t="n"/>
      <c r="C140" s="64" t="n"/>
      <c r="D140" s="64" t="n"/>
      <c r="E140" s="64" t="n"/>
      <c r="F140" s="64" t="n"/>
      <c r="G140" s="79" t="n"/>
      <c r="H140" s="79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  <c r="Z140" s="64" t="n"/>
    </row>
    <row r="141" ht="15.75" customHeight="1" s="125">
      <c r="A141" s="64" t="n"/>
      <c r="B141" s="78" t="n"/>
      <c r="C141" s="64" t="n"/>
      <c r="D141" s="64" t="n"/>
      <c r="E141" s="64" t="n"/>
      <c r="F141" s="64" t="n"/>
      <c r="G141" s="79" t="n"/>
      <c r="H141" s="79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  <c r="Z141" s="64" t="n"/>
    </row>
    <row r="142" ht="15.75" customHeight="1" s="125">
      <c r="A142" s="64" t="n"/>
      <c r="B142" s="78" t="n"/>
      <c r="C142" s="64" t="n"/>
      <c r="D142" s="64" t="n"/>
      <c r="E142" s="64" t="n"/>
      <c r="F142" s="64" t="n"/>
      <c r="G142" s="79" t="n"/>
      <c r="H142" s="79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  <c r="Z142" s="64" t="n"/>
    </row>
    <row r="143" ht="15.75" customHeight="1" s="125">
      <c r="A143" s="64" t="n"/>
      <c r="B143" s="78" t="n"/>
      <c r="C143" s="64" t="n"/>
      <c r="D143" s="64" t="n"/>
      <c r="E143" s="64" t="n"/>
      <c r="F143" s="64" t="n"/>
      <c r="G143" s="79" t="n"/>
      <c r="H143" s="79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  <c r="Z143" s="64" t="n"/>
    </row>
    <row r="144" ht="15.75" customHeight="1" s="125">
      <c r="A144" s="64" t="n"/>
      <c r="B144" s="78" t="n"/>
      <c r="C144" s="64" t="n"/>
      <c r="D144" s="64" t="n"/>
      <c r="E144" s="64" t="n"/>
      <c r="F144" s="64" t="n"/>
      <c r="G144" s="79" t="n"/>
      <c r="H144" s="79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  <c r="Z144" s="64" t="n"/>
    </row>
    <row r="145" ht="15.75" customHeight="1" s="125">
      <c r="A145" s="64" t="n"/>
      <c r="B145" s="78" t="n"/>
      <c r="C145" s="64" t="n"/>
      <c r="D145" s="64" t="n"/>
      <c r="E145" s="64" t="n"/>
      <c r="F145" s="64" t="n"/>
      <c r="G145" s="79" t="n"/>
      <c r="H145" s="79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  <c r="Z145" s="64" t="n"/>
    </row>
    <row r="146" ht="15.75" customHeight="1" s="125">
      <c r="A146" s="64" t="n"/>
      <c r="B146" s="78" t="n"/>
      <c r="C146" s="64" t="n"/>
      <c r="D146" s="64" t="n"/>
      <c r="E146" s="64" t="n"/>
      <c r="F146" s="64" t="n"/>
      <c r="G146" s="79" t="n"/>
      <c r="H146" s="79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  <c r="Z146" s="64" t="n"/>
    </row>
    <row r="147" ht="15.75" customHeight="1" s="125">
      <c r="A147" s="64" t="n"/>
      <c r="B147" s="78" t="n"/>
      <c r="C147" s="64" t="n"/>
      <c r="D147" s="64" t="n"/>
      <c r="E147" s="64" t="n"/>
      <c r="F147" s="64" t="n"/>
      <c r="G147" s="79" t="n"/>
      <c r="H147" s="79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  <c r="Z147" s="64" t="n"/>
    </row>
    <row r="148" ht="15.75" customHeight="1" s="125">
      <c r="A148" s="64" t="n"/>
      <c r="B148" s="78" t="n"/>
      <c r="C148" s="64" t="n"/>
      <c r="D148" s="64" t="n"/>
      <c r="E148" s="64" t="n"/>
      <c r="F148" s="64" t="n"/>
      <c r="G148" s="79" t="n"/>
      <c r="H148" s="79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  <c r="Z148" s="64" t="n"/>
    </row>
    <row r="149" ht="15.75" customHeight="1" s="125">
      <c r="A149" s="64" t="n"/>
      <c r="B149" s="78" t="n"/>
      <c r="C149" s="64" t="n"/>
      <c r="D149" s="64" t="n"/>
      <c r="E149" s="64" t="n"/>
      <c r="F149" s="64" t="n"/>
      <c r="G149" s="79" t="n"/>
      <c r="H149" s="79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  <c r="Z149" s="64" t="n"/>
    </row>
    <row r="150" ht="15.75" customHeight="1" s="125">
      <c r="A150" s="64" t="n"/>
      <c r="B150" s="78" t="n"/>
      <c r="C150" s="64" t="n"/>
      <c r="D150" s="64" t="n"/>
      <c r="E150" s="64" t="n"/>
      <c r="F150" s="64" t="n"/>
      <c r="G150" s="79" t="n"/>
      <c r="H150" s="79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  <c r="Z150" s="64" t="n"/>
    </row>
    <row r="151" ht="15.75" customHeight="1" s="125">
      <c r="A151" s="64" t="n"/>
      <c r="B151" s="78" t="n"/>
      <c r="C151" s="64" t="n"/>
      <c r="D151" s="64" t="n"/>
      <c r="E151" s="64" t="n"/>
      <c r="F151" s="64" t="n"/>
      <c r="G151" s="79" t="n"/>
      <c r="H151" s="79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  <c r="Z151" s="64" t="n"/>
    </row>
    <row r="152" ht="15.75" customHeight="1" s="125">
      <c r="A152" s="64" t="n"/>
      <c r="B152" s="78" t="n"/>
      <c r="C152" s="64" t="n"/>
      <c r="D152" s="64" t="n"/>
      <c r="E152" s="64" t="n"/>
      <c r="F152" s="64" t="n"/>
      <c r="G152" s="79" t="n"/>
      <c r="H152" s="79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  <c r="Z152" s="64" t="n"/>
    </row>
    <row r="153" ht="15.75" customHeight="1" s="125">
      <c r="A153" s="64" t="n"/>
      <c r="B153" s="78" t="n"/>
      <c r="C153" s="64" t="n"/>
      <c r="D153" s="64" t="n"/>
      <c r="E153" s="64" t="n"/>
      <c r="F153" s="64" t="n"/>
      <c r="G153" s="79" t="n"/>
      <c r="H153" s="79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  <c r="Z153" s="64" t="n"/>
    </row>
    <row r="154" ht="15.75" customHeight="1" s="125">
      <c r="A154" s="64" t="n"/>
      <c r="B154" s="78" t="n"/>
      <c r="C154" s="64" t="n"/>
      <c r="D154" s="64" t="n"/>
      <c r="E154" s="64" t="n"/>
      <c r="F154" s="64" t="n"/>
      <c r="G154" s="79" t="n"/>
      <c r="H154" s="79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  <c r="Z154" s="64" t="n"/>
    </row>
    <row r="155" ht="15.75" customHeight="1" s="125">
      <c r="A155" s="64" t="n"/>
      <c r="B155" s="78" t="n"/>
      <c r="C155" s="64" t="n"/>
      <c r="D155" s="64" t="n"/>
      <c r="E155" s="64" t="n"/>
      <c r="F155" s="64" t="n"/>
      <c r="G155" s="79" t="n"/>
      <c r="H155" s="79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  <c r="Z155" s="64" t="n"/>
    </row>
    <row r="156" ht="15.75" customHeight="1" s="125">
      <c r="A156" s="64" t="n"/>
      <c r="B156" s="78" t="n"/>
      <c r="C156" s="64" t="n"/>
      <c r="D156" s="64" t="n"/>
      <c r="E156" s="64" t="n"/>
      <c r="F156" s="64" t="n"/>
      <c r="G156" s="79" t="n"/>
      <c r="H156" s="79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  <c r="Z156" s="64" t="n"/>
    </row>
    <row r="157" ht="15.75" customHeight="1" s="125">
      <c r="A157" s="64" t="n"/>
      <c r="B157" s="78" t="n"/>
      <c r="C157" s="64" t="n"/>
      <c r="D157" s="64" t="n"/>
      <c r="E157" s="64" t="n"/>
      <c r="F157" s="64" t="n"/>
      <c r="G157" s="79" t="n"/>
      <c r="H157" s="79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  <c r="Z157" s="64" t="n"/>
    </row>
    <row r="158" ht="15.75" customHeight="1" s="125">
      <c r="A158" s="64" t="n"/>
      <c r="B158" s="78" t="n"/>
      <c r="C158" s="64" t="n"/>
      <c r="D158" s="64" t="n"/>
      <c r="E158" s="64" t="n"/>
      <c r="F158" s="64" t="n"/>
      <c r="G158" s="79" t="n"/>
      <c r="H158" s="79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  <c r="Z158" s="64" t="n"/>
    </row>
    <row r="159" ht="15.75" customHeight="1" s="125">
      <c r="A159" s="64" t="n"/>
      <c r="B159" s="78" t="n"/>
      <c r="C159" s="64" t="n"/>
      <c r="D159" s="64" t="n"/>
      <c r="E159" s="64" t="n"/>
      <c r="F159" s="64" t="n"/>
      <c r="G159" s="79" t="n"/>
      <c r="H159" s="79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  <c r="Z159" s="64" t="n"/>
    </row>
    <row r="160" ht="15.75" customHeight="1" s="125">
      <c r="A160" s="64" t="n"/>
      <c r="B160" s="78" t="n"/>
      <c r="C160" s="64" t="n"/>
      <c r="D160" s="64" t="n"/>
      <c r="E160" s="64" t="n"/>
      <c r="F160" s="64" t="n"/>
      <c r="G160" s="79" t="n"/>
      <c r="H160" s="79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  <c r="Z160" s="64" t="n"/>
    </row>
    <row r="161" ht="15.75" customHeight="1" s="125">
      <c r="A161" s="64" t="n"/>
      <c r="B161" s="78" t="n"/>
      <c r="C161" s="64" t="n"/>
      <c r="D161" s="64" t="n"/>
      <c r="E161" s="64" t="n"/>
      <c r="F161" s="64" t="n"/>
      <c r="G161" s="79" t="n"/>
      <c r="H161" s="79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  <c r="Z161" s="64" t="n"/>
    </row>
    <row r="162" ht="15.75" customHeight="1" s="125">
      <c r="A162" s="64" t="n"/>
      <c r="B162" s="78" t="n"/>
      <c r="C162" s="64" t="n"/>
      <c r="D162" s="64" t="n"/>
      <c r="E162" s="64" t="n"/>
      <c r="F162" s="64" t="n"/>
      <c r="G162" s="79" t="n"/>
      <c r="H162" s="79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  <c r="Z162" s="64" t="n"/>
    </row>
    <row r="163" ht="15.75" customHeight="1" s="125">
      <c r="A163" s="64" t="n"/>
      <c r="B163" s="78" t="n"/>
      <c r="C163" s="64" t="n"/>
      <c r="D163" s="64" t="n"/>
      <c r="E163" s="64" t="n"/>
      <c r="F163" s="64" t="n"/>
      <c r="G163" s="79" t="n"/>
      <c r="H163" s="79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  <c r="Z163" s="64" t="n"/>
    </row>
    <row r="164" ht="15.75" customHeight="1" s="125">
      <c r="A164" s="64" t="n"/>
      <c r="B164" s="78" t="n"/>
      <c r="C164" s="64" t="n"/>
      <c r="D164" s="64" t="n"/>
      <c r="E164" s="64" t="n"/>
      <c r="F164" s="64" t="n"/>
      <c r="G164" s="79" t="n"/>
      <c r="H164" s="79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  <c r="Z164" s="64" t="n"/>
    </row>
    <row r="165" ht="15.75" customHeight="1" s="125">
      <c r="A165" s="64" t="n"/>
      <c r="B165" s="78" t="n"/>
      <c r="C165" s="64" t="n"/>
      <c r="D165" s="64" t="n"/>
      <c r="E165" s="64" t="n"/>
      <c r="F165" s="64" t="n"/>
      <c r="G165" s="79" t="n"/>
      <c r="H165" s="79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  <c r="Z165" s="64" t="n"/>
    </row>
    <row r="166" ht="15.75" customHeight="1" s="125">
      <c r="A166" s="64" t="n"/>
      <c r="B166" s="78" t="n"/>
      <c r="C166" s="64" t="n"/>
      <c r="D166" s="64" t="n"/>
      <c r="E166" s="64" t="n"/>
      <c r="F166" s="64" t="n"/>
      <c r="G166" s="79" t="n"/>
      <c r="H166" s="79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  <c r="Z166" s="64" t="n"/>
    </row>
    <row r="167" ht="15.75" customHeight="1" s="125">
      <c r="A167" s="64" t="n"/>
      <c r="B167" s="78" t="n"/>
      <c r="C167" s="64" t="n"/>
      <c r="D167" s="64" t="n"/>
      <c r="E167" s="64" t="n"/>
      <c r="F167" s="64" t="n"/>
      <c r="G167" s="79" t="n"/>
      <c r="H167" s="79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  <c r="Z167" s="64" t="n"/>
    </row>
    <row r="168" ht="15.75" customHeight="1" s="125">
      <c r="A168" s="64" t="n"/>
      <c r="B168" s="78" t="n"/>
      <c r="C168" s="64" t="n"/>
      <c r="D168" s="64" t="n"/>
      <c r="E168" s="64" t="n"/>
      <c r="F168" s="64" t="n"/>
      <c r="G168" s="79" t="n"/>
      <c r="H168" s="79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  <c r="Z168" s="64" t="n"/>
    </row>
    <row r="169" ht="15.75" customHeight="1" s="125">
      <c r="A169" s="64" t="n"/>
      <c r="B169" s="78" t="n"/>
      <c r="C169" s="64" t="n"/>
      <c r="D169" s="64" t="n"/>
      <c r="E169" s="64" t="n"/>
      <c r="F169" s="64" t="n"/>
      <c r="G169" s="79" t="n"/>
      <c r="H169" s="79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  <c r="Z169" s="64" t="n"/>
    </row>
    <row r="170" ht="15.75" customHeight="1" s="125">
      <c r="A170" s="64" t="n"/>
      <c r="B170" s="78" t="n"/>
      <c r="C170" s="64" t="n"/>
      <c r="D170" s="64" t="n"/>
      <c r="E170" s="64" t="n"/>
      <c r="F170" s="64" t="n"/>
      <c r="G170" s="79" t="n"/>
      <c r="H170" s="79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  <c r="Z170" s="64" t="n"/>
    </row>
    <row r="171" ht="15.75" customHeight="1" s="125">
      <c r="A171" s="64" t="n"/>
      <c r="B171" s="78" t="n"/>
      <c r="C171" s="64" t="n"/>
      <c r="D171" s="64" t="n"/>
      <c r="E171" s="64" t="n"/>
      <c r="F171" s="64" t="n"/>
      <c r="G171" s="79" t="n"/>
      <c r="H171" s="79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  <c r="Z171" s="64" t="n"/>
    </row>
    <row r="172" ht="15.75" customHeight="1" s="125">
      <c r="A172" s="64" t="n"/>
      <c r="B172" s="78" t="n"/>
      <c r="C172" s="64" t="n"/>
      <c r="D172" s="64" t="n"/>
      <c r="E172" s="64" t="n"/>
      <c r="F172" s="64" t="n"/>
      <c r="G172" s="79" t="n"/>
      <c r="H172" s="79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  <c r="Z172" s="64" t="n"/>
    </row>
    <row r="173" ht="15.75" customHeight="1" s="125">
      <c r="A173" s="64" t="n"/>
      <c r="B173" s="78" t="n"/>
      <c r="C173" s="64" t="n"/>
      <c r="D173" s="64" t="n"/>
      <c r="E173" s="64" t="n"/>
      <c r="F173" s="64" t="n"/>
      <c r="G173" s="79" t="n"/>
      <c r="H173" s="79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  <c r="Z173" s="64" t="n"/>
    </row>
    <row r="174" ht="15.75" customHeight="1" s="125">
      <c r="A174" s="64" t="n"/>
      <c r="B174" s="78" t="n"/>
      <c r="C174" s="64" t="n"/>
      <c r="D174" s="64" t="n"/>
      <c r="E174" s="64" t="n"/>
      <c r="F174" s="64" t="n"/>
      <c r="G174" s="79" t="n"/>
      <c r="H174" s="79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  <c r="Z174" s="64" t="n"/>
    </row>
    <row r="175" ht="15.75" customHeight="1" s="125">
      <c r="A175" s="64" t="n"/>
      <c r="B175" s="78" t="n"/>
      <c r="C175" s="64" t="n"/>
      <c r="D175" s="64" t="n"/>
      <c r="E175" s="64" t="n"/>
      <c r="F175" s="64" t="n"/>
      <c r="G175" s="79" t="n"/>
      <c r="H175" s="79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  <c r="Z175" s="64" t="n"/>
    </row>
    <row r="176" ht="15.75" customHeight="1" s="125">
      <c r="A176" s="64" t="n"/>
      <c r="B176" s="78" t="n"/>
      <c r="C176" s="64" t="n"/>
      <c r="D176" s="64" t="n"/>
      <c r="E176" s="64" t="n"/>
      <c r="F176" s="64" t="n"/>
      <c r="G176" s="79" t="n"/>
      <c r="H176" s="79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  <c r="Z176" s="64" t="n"/>
    </row>
    <row r="177" ht="15.75" customHeight="1" s="125">
      <c r="A177" s="64" t="n"/>
      <c r="B177" s="78" t="n"/>
      <c r="C177" s="64" t="n"/>
      <c r="D177" s="64" t="n"/>
      <c r="E177" s="64" t="n"/>
      <c r="F177" s="64" t="n"/>
      <c r="G177" s="79" t="n"/>
      <c r="H177" s="79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  <c r="Z177" s="64" t="n"/>
    </row>
    <row r="178" ht="15.75" customHeight="1" s="125">
      <c r="A178" s="64" t="n"/>
      <c r="B178" s="78" t="n"/>
      <c r="C178" s="64" t="n"/>
      <c r="D178" s="64" t="n"/>
      <c r="E178" s="64" t="n"/>
      <c r="F178" s="64" t="n"/>
      <c r="G178" s="79" t="n"/>
      <c r="H178" s="79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  <c r="Z178" s="64" t="n"/>
    </row>
    <row r="179" ht="15.75" customHeight="1" s="125">
      <c r="A179" s="64" t="n"/>
      <c r="B179" s="78" t="n"/>
      <c r="C179" s="64" t="n"/>
      <c r="D179" s="64" t="n"/>
      <c r="E179" s="64" t="n"/>
      <c r="F179" s="64" t="n"/>
      <c r="G179" s="79" t="n"/>
      <c r="H179" s="79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  <c r="Z179" s="64" t="n"/>
    </row>
    <row r="180" ht="15.75" customHeight="1" s="125">
      <c r="A180" s="64" t="n"/>
      <c r="B180" s="78" t="n"/>
      <c r="C180" s="64" t="n"/>
      <c r="D180" s="64" t="n"/>
      <c r="E180" s="64" t="n"/>
      <c r="F180" s="64" t="n"/>
      <c r="G180" s="79" t="n"/>
      <c r="H180" s="79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  <c r="Z180" s="64" t="n"/>
    </row>
    <row r="181" ht="15.75" customHeight="1" s="125">
      <c r="A181" s="64" t="n"/>
      <c r="B181" s="78" t="n"/>
      <c r="C181" s="64" t="n"/>
      <c r="D181" s="64" t="n"/>
      <c r="E181" s="64" t="n"/>
      <c r="F181" s="64" t="n"/>
      <c r="G181" s="79" t="n"/>
      <c r="H181" s="79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  <c r="Z181" s="64" t="n"/>
    </row>
    <row r="182" ht="15.75" customHeight="1" s="125">
      <c r="A182" s="64" t="n"/>
      <c r="B182" s="78" t="n"/>
      <c r="C182" s="64" t="n"/>
      <c r="D182" s="64" t="n"/>
      <c r="E182" s="64" t="n"/>
      <c r="F182" s="64" t="n"/>
      <c r="G182" s="79" t="n"/>
      <c r="H182" s="79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  <c r="Z182" s="64" t="n"/>
    </row>
    <row r="183" ht="15.75" customHeight="1" s="125">
      <c r="A183" s="64" t="n"/>
      <c r="B183" s="78" t="n"/>
      <c r="C183" s="64" t="n"/>
      <c r="D183" s="64" t="n"/>
      <c r="E183" s="64" t="n"/>
      <c r="F183" s="64" t="n"/>
      <c r="G183" s="79" t="n"/>
      <c r="H183" s="79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  <c r="Z183" s="64" t="n"/>
    </row>
    <row r="184" ht="15.75" customHeight="1" s="125">
      <c r="A184" s="64" t="n"/>
      <c r="B184" s="78" t="n"/>
      <c r="C184" s="64" t="n"/>
      <c r="D184" s="64" t="n"/>
      <c r="E184" s="64" t="n"/>
      <c r="F184" s="64" t="n"/>
      <c r="G184" s="79" t="n"/>
      <c r="H184" s="79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  <c r="Z184" s="64" t="n"/>
    </row>
    <row r="185" ht="15.75" customHeight="1" s="125">
      <c r="A185" s="64" t="n"/>
      <c r="B185" s="78" t="n"/>
      <c r="C185" s="64" t="n"/>
      <c r="D185" s="64" t="n"/>
      <c r="E185" s="64" t="n"/>
      <c r="F185" s="64" t="n"/>
      <c r="G185" s="79" t="n"/>
      <c r="H185" s="79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  <c r="Z185" s="64" t="n"/>
    </row>
    <row r="186" ht="15.75" customHeight="1" s="125">
      <c r="A186" s="64" t="n"/>
      <c r="B186" s="78" t="n"/>
      <c r="C186" s="64" t="n"/>
      <c r="D186" s="64" t="n"/>
      <c r="E186" s="64" t="n"/>
      <c r="F186" s="64" t="n"/>
      <c r="G186" s="79" t="n"/>
      <c r="H186" s="79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  <c r="Z186" s="64" t="n"/>
    </row>
    <row r="187" ht="15.75" customHeight="1" s="125">
      <c r="A187" s="64" t="n"/>
      <c r="B187" s="78" t="n"/>
      <c r="C187" s="64" t="n"/>
      <c r="D187" s="64" t="n"/>
      <c r="E187" s="64" t="n"/>
      <c r="F187" s="64" t="n"/>
      <c r="G187" s="79" t="n"/>
      <c r="H187" s="79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  <c r="Z187" s="64" t="n"/>
    </row>
    <row r="188" ht="15.75" customHeight="1" s="125">
      <c r="A188" s="64" t="n"/>
      <c r="B188" s="78" t="n"/>
      <c r="C188" s="64" t="n"/>
      <c r="D188" s="64" t="n"/>
      <c r="E188" s="64" t="n"/>
      <c r="F188" s="64" t="n"/>
      <c r="G188" s="79" t="n"/>
      <c r="H188" s="79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  <c r="Z188" s="64" t="n"/>
    </row>
    <row r="189" ht="15.75" customHeight="1" s="125">
      <c r="A189" s="64" t="n"/>
      <c r="B189" s="78" t="n"/>
      <c r="C189" s="64" t="n"/>
      <c r="D189" s="64" t="n"/>
      <c r="E189" s="64" t="n"/>
      <c r="F189" s="64" t="n"/>
      <c r="G189" s="79" t="n"/>
      <c r="H189" s="79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  <c r="Z189" s="64" t="n"/>
    </row>
    <row r="190" ht="15.75" customHeight="1" s="125">
      <c r="A190" s="64" t="n"/>
      <c r="B190" s="78" t="n"/>
      <c r="C190" s="64" t="n"/>
      <c r="D190" s="64" t="n"/>
      <c r="E190" s="64" t="n"/>
      <c r="F190" s="64" t="n"/>
      <c r="G190" s="79" t="n"/>
      <c r="H190" s="79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  <c r="Z190" s="64" t="n"/>
    </row>
    <row r="191" ht="15.75" customHeight="1" s="125">
      <c r="A191" s="64" t="n"/>
      <c r="B191" s="78" t="n"/>
      <c r="C191" s="64" t="n"/>
      <c r="D191" s="64" t="n"/>
      <c r="E191" s="64" t="n"/>
      <c r="F191" s="64" t="n"/>
      <c r="G191" s="79" t="n"/>
      <c r="H191" s="79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  <c r="Z191" s="64" t="n"/>
    </row>
    <row r="192" ht="15.75" customHeight="1" s="125">
      <c r="A192" s="64" t="n"/>
      <c r="B192" s="78" t="n"/>
      <c r="C192" s="64" t="n"/>
      <c r="D192" s="64" t="n"/>
      <c r="E192" s="64" t="n"/>
      <c r="F192" s="64" t="n"/>
      <c r="G192" s="79" t="n"/>
      <c r="H192" s="79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  <c r="Z192" s="64" t="n"/>
    </row>
    <row r="193" ht="15.75" customHeight="1" s="125">
      <c r="A193" s="64" t="n"/>
      <c r="B193" s="78" t="n"/>
      <c r="C193" s="64" t="n"/>
      <c r="D193" s="64" t="n"/>
      <c r="E193" s="64" t="n"/>
      <c r="F193" s="64" t="n"/>
      <c r="G193" s="79" t="n"/>
      <c r="H193" s="79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  <c r="Z193" s="64" t="n"/>
    </row>
    <row r="194" ht="15.75" customHeight="1" s="125">
      <c r="A194" s="64" t="n"/>
      <c r="B194" s="78" t="n"/>
      <c r="C194" s="64" t="n"/>
      <c r="D194" s="64" t="n"/>
      <c r="E194" s="64" t="n"/>
      <c r="F194" s="64" t="n"/>
      <c r="G194" s="79" t="n"/>
      <c r="H194" s="79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  <c r="Z194" s="64" t="n"/>
    </row>
    <row r="195" ht="15.75" customHeight="1" s="125">
      <c r="A195" s="64" t="n"/>
      <c r="B195" s="78" t="n"/>
      <c r="C195" s="64" t="n"/>
      <c r="D195" s="64" t="n"/>
      <c r="E195" s="64" t="n"/>
      <c r="F195" s="64" t="n"/>
      <c r="G195" s="79" t="n"/>
      <c r="H195" s="79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  <c r="Z195" s="64" t="n"/>
    </row>
    <row r="196" ht="15.75" customHeight="1" s="125">
      <c r="A196" s="64" t="n"/>
      <c r="B196" s="78" t="n"/>
      <c r="C196" s="64" t="n"/>
      <c r="D196" s="64" t="n"/>
      <c r="E196" s="64" t="n"/>
      <c r="F196" s="64" t="n"/>
      <c r="G196" s="79" t="n"/>
      <c r="H196" s="79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  <c r="Z196" s="64" t="n"/>
    </row>
    <row r="197" ht="15.75" customHeight="1" s="125">
      <c r="A197" s="64" t="n"/>
      <c r="B197" s="78" t="n"/>
      <c r="C197" s="64" t="n"/>
      <c r="D197" s="64" t="n"/>
      <c r="E197" s="64" t="n"/>
      <c r="F197" s="64" t="n"/>
      <c r="G197" s="79" t="n"/>
      <c r="H197" s="79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  <c r="Z197" s="64" t="n"/>
    </row>
    <row r="198" ht="15.75" customHeight="1" s="125">
      <c r="A198" s="64" t="n"/>
      <c r="B198" s="78" t="n"/>
      <c r="C198" s="64" t="n"/>
      <c r="D198" s="64" t="n"/>
      <c r="E198" s="64" t="n"/>
      <c r="F198" s="64" t="n"/>
      <c r="G198" s="79" t="n"/>
      <c r="H198" s="79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  <c r="Z198" s="64" t="n"/>
    </row>
    <row r="199" ht="15.75" customHeight="1" s="125">
      <c r="A199" s="64" t="n"/>
      <c r="B199" s="78" t="n"/>
      <c r="C199" s="64" t="n"/>
      <c r="D199" s="64" t="n"/>
      <c r="E199" s="64" t="n"/>
      <c r="F199" s="64" t="n"/>
      <c r="G199" s="79" t="n"/>
      <c r="H199" s="79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  <c r="Z199" s="64" t="n"/>
    </row>
    <row r="200" ht="15.75" customHeight="1" s="125">
      <c r="A200" s="64" t="n"/>
      <c r="B200" s="78" t="n"/>
      <c r="C200" s="64" t="n"/>
      <c r="D200" s="64" t="n"/>
      <c r="E200" s="64" t="n"/>
      <c r="F200" s="64" t="n"/>
      <c r="G200" s="79" t="n"/>
      <c r="H200" s="79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  <c r="Z200" s="64" t="n"/>
    </row>
    <row r="201" ht="15.75" customHeight="1" s="125">
      <c r="A201" s="64" t="n"/>
      <c r="B201" s="78" t="n"/>
      <c r="C201" s="64" t="n"/>
      <c r="D201" s="64" t="n"/>
      <c r="E201" s="64" t="n"/>
      <c r="F201" s="64" t="n"/>
      <c r="G201" s="79" t="n"/>
      <c r="H201" s="79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  <c r="Z201" s="64" t="n"/>
    </row>
    <row r="202" ht="15.75" customHeight="1" s="125">
      <c r="A202" s="64" t="n"/>
      <c r="B202" s="78" t="n"/>
      <c r="C202" s="64" t="n"/>
      <c r="D202" s="64" t="n"/>
      <c r="E202" s="64" t="n"/>
      <c r="F202" s="64" t="n"/>
      <c r="G202" s="79" t="n"/>
      <c r="H202" s="79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  <c r="Z202" s="64" t="n"/>
    </row>
    <row r="203" ht="15.75" customHeight="1" s="125">
      <c r="A203" s="64" t="n"/>
      <c r="B203" s="78" t="n"/>
      <c r="C203" s="64" t="n"/>
      <c r="D203" s="64" t="n"/>
      <c r="E203" s="64" t="n"/>
      <c r="F203" s="64" t="n"/>
      <c r="G203" s="79" t="n"/>
      <c r="H203" s="79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  <c r="Z203" s="64" t="n"/>
    </row>
    <row r="204" ht="15.75" customHeight="1" s="125">
      <c r="A204" s="64" t="n"/>
      <c r="B204" s="78" t="n"/>
      <c r="C204" s="64" t="n"/>
      <c r="D204" s="64" t="n"/>
      <c r="E204" s="64" t="n"/>
      <c r="F204" s="64" t="n"/>
      <c r="G204" s="79" t="n"/>
      <c r="H204" s="79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  <c r="Z204" s="64" t="n"/>
    </row>
    <row r="205" ht="15.75" customHeight="1" s="125">
      <c r="A205" s="64" t="n"/>
      <c r="B205" s="78" t="n"/>
      <c r="C205" s="64" t="n"/>
      <c r="D205" s="64" t="n"/>
      <c r="E205" s="64" t="n"/>
      <c r="F205" s="64" t="n"/>
      <c r="G205" s="79" t="n"/>
      <c r="H205" s="79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  <c r="Z205" s="64" t="n"/>
    </row>
    <row r="206" ht="15.75" customHeight="1" s="125">
      <c r="A206" s="64" t="n"/>
      <c r="B206" s="78" t="n"/>
      <c r="C206" s="64" t="n"/>
      <c r="D206" s="64" t="n"/>
      <c r="E206" s="64" t="n"/>
      <c r="F206" s="64" t="n"/>
      <c r="G206" s="79" t="n"/>
      <c r="H206" s="79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  <c r="Z206" s="64" t="n"/>
    </row>
    <row r="207" ht="15.75" customHeight="1" s="125">
      <c r="A207" s="64" t="n"/>
      <c r="B207" s="78" t="n"/>
      <c r="C207" s="64" t="n"/>
      <c r="D207" s="64" t="n"/>
      <c r="E207" s="64" t="n"/>
      <c r="F207" s="64" t="n"/>
      <c r="G207" s="79" t="n"/>
      <c r="H207" s="79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  <c r="Z207" s="64" t="n"/>
    </row>
    <row r="208" ht="15.75" customHeight="1" s="125">
      <c r="A208" s="64" t="n"/>
      <c r="B208" s="78" t="n"/>
      <c r="C208" s="64" t="n"/>
      <c r="D208" s="64" t="n"/>
      <c r="E208" s="64" t="n"/>
      <c r="F208" s="64" t="n"/>
      <c r="G208" s="79" t="n"/>
      <c r="H208" s="79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  <c r="Z208" s="64" t="n"/>
    </row>
    <row r="209" ht="15.75" customHeight="1" s="125">
      <c r="A209" s="64" t="n"/>
      <c r="B209" s="78" t="n"/>
      <c r="C209" s="64" t="n"/>
      <c r="D209" s="64" t="n"/>
      <c r="E209" s="64" t="n"/>
      <c r="F209" s="64" t="n"/>
      <c r="G209" s="79" t="n"/>
      <c r="H209" s="79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  <c r="Z209" s="64" t="n"/>
    </row>
    <row r="210" ht="15.75" customHeight="1" s="125">
      <c r="A210" s="64" t="n"/>
      <c r="B210" s="78" t="n"/>
      <c r="C210" s="64" t="n"/>
      <c r="D210" s="64" t="n"/>
      <c r="E210" s="64" t="n"/>
      <c r="F210" s="64" t="n"/>
      <c r="G210" s="79" t="n"/>
      <c r="H210" s="79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  <c r="Z210" s="64" t="n"/>
    </row>
    <row r="211" ht="15.75" customHeight="1" s="125">
      <c r="A211" s="64" t="n"/>
      <c r="B211" s="78" t="n"/>
      <c r="C211" s="64" t="n"/>
      <c r="D211" s="64" t="n"/>
      <c r="E211" s="64" t="n"/>
      <c r="F211" s="64" t="n"/>
      <c r="G211" s="79" t="n"/>
      <c r="H211" s="79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  <c r="Z211" s="64" t="n"/>
    </row>
    <row r="212" ht="15.75" customHeight="1" s="125">
      <c r="A212" s="64" t="n"/>
      <c r="B212" s="78" t="n"/>
      <c r="C212" s="64" t="n"/>
      <c r="D212" s="64" t="n"/>
      <c r="E212" s="64" t="n"/>
      <c r="F212" s="64" t="n"/>
      <c r="G212" s="79" t="n"/>
      <c r="H212" s="79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  <c r="Z212" s="64" t="n"/>
    </row>
    <row r="213" ht="15.75" customHeight="1" s="125">
      <c r="A213" s="64" t="n"/>
      <c r="B213" s="78" t="n"/>
      <c r="C213" s="64" t="n"/>
      <c r="D213" s="64" t="n"/>
      <c r="E213" s="64" t="n"/>
      <c r="F213" s="64" t="n"/>
      <c r="G213" s="79" t="n"/>
      <c r="H213" s="79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  <c r="Z213" s="64" t="n"/>
    </row>
    <row r="214" ht="15.75" customHeight="1" s="125">
      <c r="A214" s="64" t="n"/>
      <c r="B214" s="78" t="n"/>
      <c r="C214" s="64" t="n"/>
      <c r="D214" s="64" t="n"/>
      <c r="E214" s="64" t="n"/>
      <c r="F214" s="64" t="n"/>
      <c r="G214" s="79" t="n"/>
      <c r="H214" s="79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  <c r="Z214" s="64" t="n"/>
    </row>
    <row r="215" ht="15.75" customHeight="1" s="125">
      <c r="A215" s="64" t="n"/>
      <c r="B215" s="78" t="n"/>
      <c r="C215" s="64" t="n"/>
      <c r="D215" s="64" t="n"/>
      <c r="E215" s="64" t="n"/>
      <c r="F215" s="64" t="n"/>
      <c r="G215" s="79" t="n"/>
      <c r="H215" s="79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  <c r="Z215" s="64" t="n"/>
    </row>
    <row r="216" ht="15.75" customHeight="1" s="125">
      <c r="A216" s="64" t="n"/>
      <c r="B216" s="78" t="n"/>
      <c r="C216" s="64" t="n"/>
      <c r="D216" s="64" t="n"/>
      <c r="E216" s="64" t="n"/>
      <c r="F216" s="64" t="n"/>
      <c r="G216" s="79" t="n"/>
      <c r="H216" s="79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  <c r="Z216" s="64" t="n"/>
    </row>
    <row r="217" ht="15.75" customHeight="1" s="125">
      <c r="A217" s="64" t="n"/>
      <c r="B217" s="78" t="n"/>
      <c r="C217" s="64" t="n"/>
      <c r="D217" s="64" t="n"/>
      <c r="E217" s="64" t="n"/>
      <c r="F217" s="64" t="n"/>
      <c r="G217" s="79" t="n"/>
      <c r="H217" s="79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  <c r="Z217" s="64" t="n"/>
    </row>
    <row r="218" ht="15.75" customHeight="1" s="125">
      <c r="A218" s="64" t="n"/>
      <c r="B218" s="78" t="n"/>
      <c r="C218" s="64" t="n"/>
      <c r="D218" s="64" t="n"/>
      <c r="E218" s="64" t="n"/>
      <c r="F218" s="64" t="n"/>
      <c r="G218" s="79" t="n"/>
      <c r="H218" s="79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  <c r="Z218" s="64" t="n"/>
    </row>
    <row r="219" ht="15.75" customHeight="1" s="125">
      <c r="A219" s="64" t="n"/>
      <c r="B219" s="78" t="n"/>
      <c r="C219" s="64" t="n"/>
      <c r="D219" s="64" t="n"/>
      <c r="E219" s="64" t="n"/>
      <c r="F219" s="64" t="n"/>
      <c r="G219" s="79" t="n"/>
      <c r="H219" s="79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  <c r="Z219" s="64" t="n"/>
    </row>
    <row r="220" ht="15.75" customHeight="1" s="125">
      <c r="A220" s="64" t="n"/>
      <c r="B220" s="78" t="n"/>
      <c r="C220" s="64" t="n"/>
      <c r="D220" s="64" t="n"/>
      <c r="E220" s="64" t="n"/>
      <c r="F220" s="64" t="n"/>
      <c r="G220" s="79" t="n"/>
      <c r="H220" s="79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  <c r="Z220" s="64" t="n"/>
    </row>
    <row r="221" ht="15.75" customHeight="1" s="125">
      <c r="A221" s="64" t="n"/>
      <c r="B221" s="78" t="n"/>
      <c r="C221" s="64" t="n"/>
      <c r="D221" s="64" t="n"/>
      <c r="E221" s="64" t="n"/>
      <c r="F221" s="64" t="n"/>
      <c r="G221" s="79" t="n"/>
      <c r="H221" s="79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  <c r="Z221" s="64" t="n"/>
    </row>
    <row r="222" ht="15.75" customHeight="1" s="125">
      <c r="A222" s="64" t="n"/>
      <c r="B222" s="78" t="n"/>
      <c r="C222" s="64" t="n"/>
      <c r="D222" s="64" t="n"/>
      <c r="E222" s="64" t="n"/>
      <c r="F222" s="64" t="n"/>
      <c r="G222" s="79" t="n"/>
      <c r="H222" s="79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  <c r="Z222" s="64" t="n"/>
    </row>
    <row r="223" ht="15.75" customHeight="1" s="125">
      <c r="A223" s="64" t="n"/>
      <c r="B223" s="78" t="n"/>
      <c r="C223" s="64" t="n"/>
      <c r="D223" s="64" t="n"/>
      <c r="E223" s="64" t="n"/>
      <c r="F223" s="64" t="n"/>
      <c r="G223" s="79" t="n"/>
      <c r="H223" s="79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  <c r="Z223" s="64" t="n"/>
    </row>
    <row r="224" ht="15.75" customHeight="1" s="125">
      <c r="A224" s="64" t="n"/>
      <c r="B224" s="78" t="n"/>
      <c r="C224" s="64" t="n"/>
      <c r="D224" s="64" t="n"/>
      <c r="E224" s="64" t="n"/>
      <c r="F224" s="64" t="n"/>
      <c r="G224" s="79" t="n"/>
      <c r="H224" s="79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  <c r="Z224" s="64" t="n"/>
    </row>
    <row r="225" ht="15.75" customHeight="1" s="125">
      <c r="A225" s="64" t="n"/>
      <c r="B225" s="78" t="n"/>
      <c r="C225" s="64" t="n"/>
      <c r="D225" s="64" t="n"/>
      <c r="E225" s="64" t="n"/>
      <c r="F225" s="64" t="n"/>
      <c r="G225" s="79" t="n"/>
      <c r="H225" s="79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  <c r="Z225" s="64" t="n"/>
    </row>
    <row r="226" ht="15.75" customHeight="1" s="125">
      <c r="A226" s="64" t="n"/>
      <c r="B226" s="78" t="n"/>
      <c r="C226" s="64" t="n"/>
      <c r="D226" s="64" t="n"/>
      <c r="E226" s="64" t="n"/>
      <c r="F226" s="64" t="n"/>
      <c r="G226" s="79" t="n"/>
      <c r="H226" s="79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  <c r="Z226" s="64" t="n"/>
    </row>
    <row r="227" ht="15.75" customHeight="1" s="125">
      <c r="A227" s="64" t="n"/>
      <c r="B227" s="78" t="n"/>
      <c r="C227" s="64" t="n"/>
      <c r="D227" s="64" t="n"/>
      <c r="E227" s="64" t="n"/>
      <c r="F227" s="64" t="n"/>
      <c r="G227" s="79" t="n"/>
      <c r="H227" s="79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  <c r="Z227" s="64" t="n"/>
    </row>
    <row r="228" ht="15.75" customHeight="1" s="125">
      <c r="A228" s="64" t="n"/>
      <c r="B228" s="78" t="n"/>
      <c r="C228" s="64" t="n"/>
      <c r="D228" s="64" t="n"/>
      <c r="E228" s="64" t="n"/>
      <c r="F228" s="64" t="n"/>
      <c r="G228" s="79" t="n"/>
      <c r="H228" s="79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  <c r="Z228" s="64" t="n"/>
    </row>
    <row r="229" ht="15.75" customHeight="1" s="125">
      <c r="A229" s="64" t="n"/>
      <c r="B229" s="78" t="n"/>
      <c r="C229" s="64" t="n"/>
      <c r="D229" s="64" t="n"/>
      <c r="E229" s="64" t="n"/>
      <c r="F229" s="64" t="n"/>
      <c r="G229" s="79" t="n"/>
      <c r="H229" s="79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  <c r="Z229" s="64" t="n"/>
    </row>
    <row r="230" ht="15.75" customHeight="1" s="125">
      <c r="A230" s="64" t="n"/>
      <c r="B230" s="78" t="n"/>
      <c r="C230" s="64" t="n"/>
      <c r="D230" s="64" t="n"/>
      <c r="E230" s="64" t="n"/>
      <c r="F230" s="64" t="n"/>
      <c r="G230" s="79" t="n"/>
      <c r="H230" s="79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  <c r="Z230" s="64" t="n"/>
    </row>
    <row r="231" ht="15.75" customHeight="1" s="125">
      <c r="A231" s="64" t="n"/>
      <c r="B231" s="78" t="n"/>
      <c r="C231" s="64" t="n"/>
      <c r="D231" s="64" t="n"/>
      <c r="E231" s="64" t="n"/>
      <c r="F231" s="64" t="n"/>
      <c r="G231" s="79" t="n"/>
      <c r="H231" s="79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  <c r="Z231" s="64" t="n"/>
    </row>
    <row r="232" ht="15.75" customHeight="1" s="125">
      <c r="A232" s="64" t="n"/>
      <c r="B232" s="78" t="n"/>
      <c r="C232" s="64" t="n"/>
      <c r="D232" s="64" t="n"/>
      <c r="E232" s="64" t="n"/>
      <c r="F232" s="64" t="n"/>
      <c r="G232" s="79" t="n"/>
      <c r="H232" s="79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  <c r="Z232" s="64" t="n"/>
    </row>
    <row r="233" ht="15.75" customHeight="1" s="125">
      <c r="A233" s="64" t="n"/>
      <c r="B233" s="78" t="n"/>
      <c r="C233" s="64" t="n"/>
      <c r="D233" s="64" t="n"/>
      <c r="E233" s="64" t="n"/>
      <c r="F233" s="64" t="n"/>
      <c r="G233" s="79" t="n"/>
      <c r="H233" s="79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  <c r="Z233" s="64" t="n"/>
    </row>
    <row r="234" ht="15.75" customHeight="1" s="125">
      <c r="A234" s="64" t="n"/>
      <c r="B234" s="78" t="n"/>
      <c r="C234" s="64" t="n"/>
      <c r="D234" s="64" t="n"/>
      <c r="E234" s="64" t="n"/>
      <c r="F234" s="64" t="n"/>
      <c r="G234" s="79" t="n"/>
      <c r="H234" s="79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  <c r="Z234" s="64" t="n"/>
    </row>
    <row r="235" ht="15.75" customHeight="1" s="125">
      <c r="A235" s="64" t="n"/>
      <c r="B235" s="78" t="n"/>
      <c r="C235" s="64" t="n"/>
      <c r="D235" s="64" t="n"/>
      <c r="E235" s="64" t="n"/>
      <c r="F235" s="64" t="n"/>
      <c r="G235" s="79" t="n"/>
      <c r="H235" s="79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  <c r="Z235" s="64" t="n"/>
    </row>
    <row r="236" ht="15.75" customHeight="1" s="125">
      <c r="A236" s="64" t="n"/>
      <c r="B236" s="78" t="n"/>
      <c r="C236" s="64" t="n"/>
      <c r="D236" s="64" t="n"/>
      <c r="E236" s="64" t="n"/>
      <c r="F236" s="64" t="n"/>
      <c r="G236" s="79" t="n"/>
      <c r="H236" s="79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  <c r="Z236" s="64" t="n"/>
    </row>
    <row r="237" ht="15.75" customHeight="1" s="125">
      <c r="A237" s="64" t="n"/>
      <c r="B237" s="78" t="n"/>
      <c r="C237" s="64" t="n"/>
      <c r="D237" s="64" t="n"/>
      <c r="E237" s="64" t="n"/>
      <c r="F237" s="64" t="n"/>
      <c r="G237" s="79" t="n"/>
      <c r="H237" s="79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  <c r="Z237" s="64" t="n"/>
    </row>
    <row r="238" ht="15.75" customHeight="1" s="125">
      <c r="A238" s="64" t="n"/>
      <c r="B238" s="78" t="n"/>
      <c r="C238" s="64" t="n"/>
      <c r="D238" s="64" t="n"/>
      <c r="E238" s="64" t="n"/>
      <c r="F238" s="64" t="n"/>
      <c r="G238" s="79" t="n"/>
      <c r="H238" s="79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  <c r="Z238" s="64" t="n"/>
    </row>
    <row r="239" ht="15.75" customHeight="1" s="125">
      <c r="A239" s="64" t="n"/>
      <c r="B239" s="78" t="n"/>
      <c r="C239" s="64" t="n"/>
      <c r="D239" s="64" t="n"/>
      <c r="E239" s="64" t="n"/>
      <c r="F239" s="64" t="n"/>
      <c r="G239" s="79" t="n"/>
      <c r="H239" s="79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  <c r="Z239" s="64" t="n"/>
    </row>
    <row r="240" ht="15.75" customHeight="1" s="125">
      <c r="A240" s="64" t="n"/>
      <c r="B240" s="78" t="n"/>
      <c r="C240" s="64" t="n"/>
      <c r="D240" s="64" t="n"/>
      <c r="E240" s="64" t="n"/>
      <c r="F240" s="64" t="n"/>
      <c r="G240" s="79" t="n"/>
      <c r="H240" s="79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  <c r="Z240" s="64" t="n"/>
    </row>
    <row r="241" ht="15.75" customHeight="1" s="125">
      <c r="A241" s="64" t="n"/>
      <c r="B241" s="78" t="n"/>
      <c r="C241" s="64" t="n"/>
      <c r="D241" s="64" t="n"/>
      <c r="E241" s="64" t="n"/>
      <c r="F241" s="64" t="n"/>
      <c r="G241" s="79" t="n"/>
      <c r="H241" s="79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  <c r="Z241" s="64" t="n"/>
    </row>
    <row r="242" ht="15.75" customHeight="1" s="125">
      <c r="A242" s="64" t="n"/>
      <c r="B242" s="78" t="n"/>
      <c r="C242" s="64" t="n"/>
      <c r="D242" s="64" t="n"/>
      <c r="E242" s="64" t="n"/>
      <c r="F242" s="64" t="n"/>
      <c r="G242" s="79" t="n"/>
      <c r="H242" s="79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  <c r="Z242" s="64" t="n"/>
    </row>
    <row r="243" ht="15.75" customHeight="1" s="125">
      <c r="A243" s="64" t="n"/>
      <c r="B243" s="78" t="n"/>
      <c r="C243" s="64" t="n"/>
      <c r="D243" s="64" t="n"/>
      <c r="E243" s="64" t="n"/>
      <c r="F243" s="64" t="n"/>
      <c r="G243" s="79" t="n"/>
      <c r="H243" s="79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  <c r="Z243" s="64" t="n"/>
    </row>
    <row r="244" ht="15.75" customHeight="1" s="125">
      <c r="A244" s="64" t="n"/>
      <c r="B244" s="78" t="n"/>
      <c r="C244" s="64" t="n"/>
      <c r="D244" s="64" t="n"/>
      <c r="E244" s="64" t="n"/>
      <c r="F244" s="64" t="n"/>
      <c r="G244" s="79" t="n"/>
      <c r="H244" s="79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  <c r="Z244" s="64" t="n"/>
    </row>
    <row r="245" ht="15.75" customHeight="1" s="125">
      <c r="A245" s="64" t="n"/>
      <c r="B245" s="78" t="n"/>
      <c r="C245" s="64" t="n"/>
      <c r="D245" s="64" t="n"/>
      <c r="E245" s="64" t="n"/>
      <c r="F245" s="64" t="n"/>
      <c r="G245" s="79" t="n"/>
      <c r="H245" s="79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  <c r="Z245" s="64" t="n"/>
    </row>
    <row r="246" ht="15.75" customHeight="1" s="125">
      <c r="A246" s="64" t="n"/>
      <c r="B246" s="78" t="n"/>
      <c r="C246" s="64" t="n"/>
      <c r="D246" s="64" t="n"/>
      <c r="E246" s="64" t="n"/>
      <c r="F246" s="64" t="n"/>
      <c r="G246" s="79" t="n"/>
      <c r="H246" s="79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  <c r="Z246" s="64" t="n"/>
    </row>
    <row r="247" ht="15.75" customHeight="1" s="125">
      <c r="A247" s="64" t="n"/>
      <c r="B247" s="78" t="n"/>
      <c r="C247" s="64" t="n"/>
      <c r="D247" s="64" t="n"/>
      <c r="E247" s="64" t="n"/>
      <c r="F247" s="64" t="n"/>
      <c r="G247" s="79" t="n"/>
      <c r="H247" s="79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  <c r="Z247" s="64" t="n"/>
    </row>
    <row r="248" ht="15.75" customHeight="1" s="125">
      <c r="A248" s="64" t="n"/>
      <c r="B248" s="78" t="n"/>
      <c r="C248" s="64" t="n"/>
      <c r="D248" s="64" t="n"/>
      <c r="E248" s="64" t="n"/>
      <c r="F248" s="64" t="n"/>
      <c r="G248" s="79" t="n"/>
      <c r="H248" s="79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  <c r="Z248" s="64" t="n"/>
    </row>
    <row r="249" ht="15.75" customHeight="1" s="125">
      <c r="A249" s="64" t="n"/>
      <c r="B249" s="78" t="n"/>
      <c r="C249" s="64" t="n"/>
      <c r="D249" s="64" t="n"/>
      <c r="E249" s="64" t="n"/>
      <c r="F249" s="64" t="n"/>
      <c r="G249" s="79" t="n"/>
      <c r="H249" s="79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  <c r="Z249" s="64" t="n"/>
    </row>
    <row r="250" ht="15.75" customHeight="1" s="125">
      <c r="A250" s="64" t="n"/>
      <c r="B250" s="78" t="n"/>
      <c r="C250" s="64" t="n"/>
      <c r="D250" s="64" t="n"/>
      <c r="E250" s="64" t="n"/>
      <c r="F250" s="64" t="n"/>
      <c r="G250" s="79" t="n"/>
      <c r="H250" s="79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  <c r="Z250" s="64" t="n"/>
    </row>
    <row r="251" ht="15.75" customHeight="1" s="125">
      <c r="A251" s="64" t="n"/>
      <c r="B251" s="78" t="n"/>
      <c r="C251" s="64" t="n"/>
      <c r="D251" s="64" t="n"/>
      <c r="E251" s="64" t="n"/>
      <c r="F251" s="64" t="n"/>
      <c r="G251" s="79" t="n"/>
      <c r="H251" s="79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  <c r="Z251" s="64" t="n"/>
    </row>
    <row r="252" ht="15.75" customHeight="1" s="125">
      <c r="A252" s="64" t="n"/>
      <c r="B252" s="78" t="n"/>
      <c r="C252" s="64" t="n"/>
      <c r="D252" s="64" t="n"/>
      <c r="E252" s="64" t="n"/>
      <c r="F252" s="64" t="n"/>
      <c r="G252" s="79" t="n"/>
      <c r="H252" s="79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  <c r="Z252" s="64" t="n"/>
    </row>
    <row r="253" ht="15.75" customHeight="1" s="125">
      <c r="A253" s="64" t="n"/>
      <c r="B253" s="78" t="n"/>
      <c r="C253" s="64" t="n"/>
      <c r="D253" s="64" t="n"/>
      <c r="E253" s="64" t="n"/>
      <c r="F253" s="64" t="n"/>
      <c r="G253" s="79" t="n"/>
      <c r="H253" s="79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  <c r="Z253" s="64" t="n"/>
    </row>
    <row r="254" ht="15.75" customHeight="1" s="125">
      <c r="A254" s="64" t="n"/>
      <c r="B254" s="78" t="n"/>
      <c r="C254" s="64" t="n"/>
      <c r="D254" s="64" t="n"/>
      <c r="E254" s="64" t="n"/>
      <c r="F254" s="64" t="n"/>
      <c r="G254" s="79" t="n"/>
      <c r="H254" s="79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  <c r="Z254" s="64" t="n"/>
    </row>
    <row r="255" ht="15.75" customHeight="1" s="125">
      <c r="A255" s="64" t="n"/>
      <c r="B255" s="78" t="n"/>
      <c r="C255" s="64" t="n"/>
      <c r="D255" s="64" t="n"/>
      <c r="E255" s="64" t="n"/>
      <c r="F255" s="64" t="n"/>
      <c r="G255" s="79" t="n"/>
      <c r="H255" s="79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  <c r="Z255" s="64" t="n"/>
    </row>
    <row r="256" ht="15.75" customHeight="1" s="125">
      <c r="A256" s="64" t="n"/>
      <c r="B256" s="78" t="n"/>
      <c r="C256" s="64" t="n"/>
      <c r="D256" s="64" t="n"/>
      <c r="E256" s="64" t="n"/>
      <c r="F256" s="64" t="n"/>
      <c r="G256" s="79" t="n"/>
      <c r="H256" s="79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  <c r="Z256" s="64" t="n"/>
    </row>
    <row r="257" ht="15.75" customHeight="1" s="125">
      <c r="A257" s="64" t="n"/>
      <c r="B257" s="78" t="n"/>
      <c r="C257" s="64" t="n"/>
      <c r="D257" s="64" t="n"/>
      <c r="E257" s="64" t="n"/>
      <c r="F257" s="64" t="n"/>
      <c r="G257" s="79" t="n"/>
      <c r="H257" s="79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  <c r="Z257" s="64" t="n"/>
    </row>
    <row r="258" ht="15.75" customHeight="1" s="125">
      <c r="A258" s="64" t="n"/>
      <c r="B258" s="78" t="n"/>
      <c r="C258" s="64" t="n"/>
      <c r="D258" s="64" t="n"/>
      <c r="E258" s="64" t="n"/>
      <c r="F258" s="64" t="n"/>
      <c r="G258" s="79" t="n"/>
      <c r="H258" s="79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  <c r="Z258" s="64" t="n"/>
    </row>
    <row r="259" ht="15.75" customHeight="1" s="125">
      <c r="A259" s="64" t="n"/>
      <c r="B259" s="78" t="n"/>
      <c r="C259" s="64" t="n"/>
      <c r="D259" s="64" t="n"/>
      <c r="E259" s="64" t="n"/>
      <c r="F259" s="64" t="n"/>
      <c r="G259" s="79" t="n"/>
      <c r="H259" s="79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  <c r="Z259" s="64" t="n"/>
    </row>
    <row r="260" ht="15.75" customHeight="1" s="125">
      <c r="A260" s="64" t="n"/>
      <c r="B260" s="78" t="n"/>
      <c r="C260" s="64" t="n"/>
      <c r="D260" s="64" t="n"/>
      <c r="E260" s="64" t="n"/>
      <c r="F260" s="64" t="n"/>
      <c r="G260" s="79" t="n"/>
      <c r="H260" s="79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  <c r="Z260" s="64" t="n"/>
    </row>
    <row r="261" ht="15.75" customHeight="1" s="125">
      <c r="A261" s="64" t="n"/>
      <c r="B261" s="78" t="n"/>
      <c r="C261" s="64" t="n"/>
      <c r="D261" s="64" t="n"/>
      <c r="E261" s="64" t="n"/>
      <c r="F261" s="64" t="n"/>
      <c r="G261" s="79" t="n"/>
      <c r="H261" s="79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  <c r="Z261" s="64" t="n"/>
    </row>
    <row r="262" ht="15.75" customHeight="1" s="125">
      <c r="A262" s="64" t="n"/>
      <c r="B262" s="78" t="n"/>
      <c r="C262" s="64" t="n"/>
      <c r="D262" s="64" t="n"/>
      <c r="E262" s="64" t="n"/>
      <c r="F262" s="64" t="n"/>
      <c r="G262" s="79" t="n"/>
      <c r="H262" s="79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  <c r="Z262" s="64" t="n"/>
    </row>
    <row r="263" ht="15.75" customHeight="1" s="125">
      <c r="A263" s="64" t="n"/>
      <c r="B263" s="78" t="n"/>
      <c r="C263" s="64" t="n"/>
      <c r="D263" s="64" t="n"/>
      <c r="E263" s="64" t="n"/>
      <c r="F263" s="64" t="n"/>
      <c r="G263" s="79" t="n"/>
      <c r="H263" s="79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  <c r="Z263" s="64" t="n"/>
    </row>
    <row r="264" ht="15.75" customHeight="1" s="125">
      <c r="A264" s="64" t="n"/>
      <c r="B264" s="78" t="n"/>
      <c r="C264" s="64" t="n"/>
      <c r="D264" s="64" t="n"/>
      <c r="E264" s="64" t="n"/>
      <c r="F264" s="64" t="n"/>
      <c r="G264" s="79" t="n"/>
      <c r="H264" s="79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  <c r="Z264" s="64" t="n"/>
    </row>
    <row r="265" ht="15.75" customHeight="1" s="125">
      <c r="A265" s="64" t="n"/>
      <c r="B265" s="78" t="n"/>
      <c r="C265" s="64" t="n"/>
      <c r="D265" s="64" t="n"/>
      <c r="E265" s="64" t="n"/>
      <c r="F265" s="64" t="n"/>
      <c r="G265" s="79" t="n"/>
      <c r="H265" s="79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  <c r="Z265" s="64" t="n"/>
    </row>
    <row r="266" ht="15.75" customHeight="1" s="125">
      <c r="A266" s="64" t="n"/>
      <c r="B266" s="78" t="n"/>
      <c r="C266" s="64" t="n"/>
      <c r="D266" s="64" t="n"/>
      <c r="E266" s="64" t="n"/>
      <c r="F266" s="64" t="n"/>
      <c r="G266" s="79" t="n"/>
      <c r="H266" s="79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  <c r="Z266" s="64" t="n"/>
    </row>
    <row r="267" ht="15.75" customHeight="1" s="125">
      <c r="A267" s="64" t="n"/>
      <c r="B267" s="78" t="n"/>
      <c r="C267" s="64" t="n"/>
      <c r="D267" s="64" t="n"/>
      <c r="E267" s="64" t="n"/>
      <c r="F267" s="64" t="n"/>
      <c r="G267" s="79" t="n"/>
      <c r="H267" s="79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  <c r="Z267" s="64" t="n"/>
    </row>
    <row r="268" ht="15.75" customHeight="1" s="125">
      <c r="A268" s="64" t="n"/>
      <c r="B268" s="78" t="n"/>
      <c r="C268" s="64" t="n"/>
      <c r="D268" s="64" t="n"/>
      <c r="E268" s="64" t="n"/>
      <c r="F268" s="64" t="n"/>
      <c r="G268" s="79" t="n"/>
      <c r="H268" s="79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  <c r="Z268" s="64" t="n"/>
    </row>
    <row r="269" ht="15.75" customHeight="1" s="125">
      <c r="A269" s="64" t="n"/>
      <c r="B269" s="78" t="n"/>
      <c r="C269" s="64" t="n"/>
      <c r="D269" s="64" t="n"/>
      <c r="E269" s="64" t="n"/>
      <c r="F269" s="64" t="n"/>
      <c r="G269" s="79" t="n"/>
      <c r="H269" s="79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  <c r="Z269" s="64" t="n"/>
    </row>
    <row r="270" ht="15.75" customHeight="1" s="125">
      <c r="A270" s="64" t="n"/>
      <c r="B270" s="78" t="n"/>
      <c r="C270" s="64" t="n"/>
      <c r="D270" s="64" t="n"/>
      <c r="E270" s="64" t="n"/>
      <c r="F270" s="64" t="n"/>
      <c r="G270" s="79" t="n"/>
      <c r="H270" s="79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  <c r="Z270" s="64" t="n"/>
    </row>
    <row r="271" ht="15.75" customHeight="1" s="125">
      <c r="A271" s="64" t="n"/>
      <c r="B271" s="78" t="n"/>
      <c r="C271" s="64" t="n"/>
      <c r="D271" s="64" t="n"/>
      <c r="E271" s="64" t="n"/>
      <c r="F271" s="64" t="n"/>
      <c r="G271" s="79" t="n"/>
      <c r="H271" s="79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  <c r="Z271" s="64" t="n"/>
    </row>
    <row r="272" ht="15.75" customHeight="1" s="125">
      <c r="A272" s="64" t="n"/>
      <c r="B272" s="78" t="n"/>
      <c r="C272" s="64" t="n"/>
      <c r="D272" s="64" t="n"/>
      <c r="E272" s="64" t="n"/>
      <c r="F272" s="64" t="n"/>
      <c r="G272" s="79" t="n"/>
      <c r="H272" s="79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  <c r="Z272" s="64" t="n"/>
    </row>
    <row r="273" ht="15.75" customHeight="1" s="125">
      <c r="A273" s="64" t="n"/>
      <c r="B273" s="78" t="n"/>
      <c r="C273" s="64" t="n"/>
      <c r="D273" s="64" t="n"/>
      <c r="E273" s="64" t="n"/>
      <c r="F273" s="64" t="n"/>
      <c r="G273" s="79" t="n"/>
      <c r="H273" s="79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  <c r="Z273" s="64" t="n"/>
    </row>
    <row r="274" ht="15.75" customHeight="1" s="125">
      <c r="A274" s="64" t="n"/>
      <c r="B274" s="78" t="n"/>
      <c r="C274" s="64" t="n"/>
      <c r="D274" s="64" t="n"/>
      <c r="E274" s="64" t="n"/>
      <c r="F274" s="64" t="n"/>
      <c r="G274" s="79" t="n"/>
      <c r="H274" s="79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  <c r="Z274" s="64" t="n"/>
    </row>
    <row r="275" ht="15.75" customHeight="1" s="125">
      <c r="A275" s="64" t="n"/>
      <c r="B275" s="78" t="n"/>
      <c r="C275" s="64" t="n"/>
      <c r="D275" s="64" t="n"/>
      <c r="E275" s="64" t="n"/>
      <c r="F275" s="64" t="n"/>
      <c r="G275" s="79" t="n"/>
      <c r="H275" s="79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  <c r="Z275" s="64" t="n"/>
    </row>
    <row r="276" ht="15.75" customHeight="1" s="125">
      <c r="A276" s="64" t="n"/>
      <c r="B276" s="78" t="n"/>
      <c r="C276" s="64" t="n"/>
      <c r="D276" s="64" t="n"/>
      <c r="E276" s="64" t="n"/>
      <c r="F276" s="64" t="n"/>
      <c r="G276" s="79" t="n"/>
      <c r="H276" s="79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  <c r="Z276" s="64" t="n"/>
    </row>
    <row r="277" ht="15.75" customHeight="1" s="125">
      <c r="A277" s="64" t="n"/>
      <c r="B277" s="78" t="n"/>
      <c r="C277" s="64" t="n"/>
      <c r="D277" s="64" t="n"/>
      <c r="E277" s="64" t="n"/>
      <c r="F277" s="64" t="n"/>
      <c r="G277" s="79" t="n"/>
      <c r="H277" s="79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  <c r="Z277" s="64" t="n"/>
    </row>
    <row r="278" ht="15.75" customHeight="1" s="125">
      <c r="A278" s="64" t="n"/>
      <c r="B278" s="78" t="n"/>
      <c r="C278" s="64" t="n"/>
      <c r="D278" s="64" t="n"/>
      <c r="E278" s="64" t="n"/>
      <c r="F278" s="64" t="n"/>
      <c r="G278" s="79" t="n"/>
      <c r="H278" s="79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  <c r="Z278" s="64" t="n"/>
    </row>
    <row r="279" ht="15.75" customHeight="1" s="125">
      <c r="A279" s="64" t="n"/>
      <c r="B279" s="78" t="n"/>
      <c r="C279" s="64" t="n"/>
      <c r="D279" s="64" t="n"/>
      <c r="E279" s="64" t="n"/>
      <c r="F279" s="64" t="n"/>
      <c r="G279" s="79" t="n"/>
      <c r="H279" s="79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  <c r="Z279" s="64" t="n"/>
    </row>
    <row r="280" ht="15.75" customHeight="1" s="125">
      <c r="A280" s="64" t="n"/>
      <c r="B280" s="78" t="n"/>
      <c r="C280" s="64" t="n"/>
      <c r="D280" s="64" t="n"/>
      <c r="E280" s="64" t="n"/>
      <c r="F280" s="64" t="n"/>
      <c r="G280" s="79" t="n"/>
      <c r="H280" s="79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  <c r="Z280" s="64" t="n"/>
    </row>
    <row r="281" ht="15.75" customHeight="1" s="125">
      <c r="A281" s="64" t="n"/>
      <c r="B281" s="78" t="n"/>
      <c r="C281" s="64" t="n"/>
      <c r="D281" s="64" t="n"/>
      <c r="E281" s="64" t="n"/>
      <c r="F281" s="64" t="n"/>
      <c r="G281" s="79" t="n"/>
      <c r="H281" s="79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  <c r="Z281" s="64" t="n"/>
    </row>
    <row r="282" ht="15.75" customHeight="1" s="125">
      <c r="A282" s="64" t="n"/>
      <c r="B282" s="78" t="n"/>
      <c r="C282" s="64" t="n"/>
      <c r="D282" s="64" t="n"/>
      <c r="E282" s="64" t="n"/>
      <c r="F282" s="64" t="n"/>
      <c r="G282" s="79" t="n"/>
      <c r="H282" s="79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  <c r="Z282" s="64" t="n"/>
    </row>
    <row r="283" ht="15.75" customHeight="1" s="125">
      <c r="A283" s="64" t="n"/>
      <c r="B283" s="78" t="n"/>
      <c r="C283" s="64" t="n"/>
      <c r="D283" s="64" t="n"/>
      <c r="E283" s="64" t="n"/>
      <c r="F283" s="64" t="n"/>
      <c r="G283" s="79" t="n"/>
      <c r="H283" s="79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  <c r="Z283" s="64" t="n"/>
    </row>
    <row r="284" ht="15.75" customHeight="1" s="125">
      <c r="A284" s="64" t="n"/>
      <c r="B284" s="78" t="n"/>
      <c r="C284" s="64" t="n"/>
      <c r="D284" s="64" t="n"/>
      <c r="E284" s="64" t="n"/>
      <c r="F284" s="64" t="n"/>
      <c r="G284" s="79" t="n"/>
      <c r="H284" s="79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  <c r="Z284" s="64" t="n"/>
    </row>
    <row r="285" ht="15.75" customHeight="1" s="125">
      <c r="A285" s="64" t="n"/>
      <c r="B285" s="78" t="n"/>
      <c r="C285" s="64" t="n"/>
      <c r="D285" s="64" t="n"/>
      <c r="E285" s="64" t="n"/>
      <c r="F285" s="64" t="n"/>
      <c r="G285" s="79" t="n"/>
      <c r="H285" s="79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  <c r="Z285" s="64" t="n"/>
    </row>
    <row r="286" ht="15.75" customHeight="1" s="125">
      <c r="A286" s="64" t="n"/>
      <c r="B286" s="78" t="n"/>
      <c r="C286" s="64" t="n"/>
      <c r="D286" s="64" t="n"/>
      <c r="E286" s="64" t="n"/>
      <c r="F286" s="64" t="n"/>
      <c r="G286" s="79" t="n"/>
      <c r="H286" s="79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  <c r="Z286" s="64" t="n"/>
    </row>
    <row r="287" ht="15.75" customHeight="1" s="125">
      <c r="A287" s="64" t="n"/>
      <c r="B287" s="78" t="n"/>
      <c r="C287" s="64" t="n"/>
      <c r="D287" s="64" t="n"/>
      <c r="E287" s="64" t="n"/>
      <c r="F287" s="64" t="n"/>
      <c r="G287" s="79" t="n"/>
      <c r="H287" s="79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  <c r="Z287" s="64" t="n"/>
    </row>
    <row r="288" ht="15.75" customHeight="1" s="125">
      <c r="A288" s="64" t="n"/>
      <c r="B288" s="78" t="n"/>
      <c r="C288" s="64" t="n"/>
      <c r="D288" s="64" t="n"/>
      <c r="E288" s="64" t="n"/>
      <c r="F288" s="64" t="n"/>
      <c r="G288" s="79" t="n"/>
      <c r="H288" s="79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  <c r="Z288" s="64" t="n"/>
    </row>
    <row r="289" ht="15.75" customHeight="1" s="125">
      <c r="A289" s="64" t="n"/>
      <c r="B289" s="78" t="n"/>
      <c r="C289" s="64" t="n"/>
      <c r="D289" s="64" t="n"/>
      <c r="E289" s="64" t="n"/>
      <c r="F289" s="64" t="n"/>
      <c r="G289" s="79" t="n"/>
      <c r="H289" s="79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  <c r="Z289" s="64" t="n"/>
    </row>
    <row r="290" ht="15.75" customHeight="1" s="125">
      <c r="A290" s="64" t="n"/>
      <c r="B290" s="78" t="n"/>
      <c r="C290" s="64" t="n"/>
      <c r="D290" s="64" t="n"/>
      <c r="E290" s="64" t="n"/>
      <c r="F290" s="64" t="n"/>
      <c r="G290" s="79" t="n"/>
      <c r="H290" s="79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  <c r="Z290" s="64" t="n"/>
    </row>
    <row r="291" ht="15.75" customHeight="1" s="125">
      <c r="A291" s="64" t="n"/>
      <c r="B291" s="78" t="n"/>
      <c r="C291" s="64" t="n"/>
      <c r="D291" s="64" t="n"/>
      <c r="E291" s="64" t="n"/>
      <c r="F291" s="64" t="n"/>
      <c r="G291" s="79" t="n"/>
      <c r="H291" s="79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  <c r="Z291" s="64" t="n"/>
    </row>
    <row r="292" ht="15.75" customHeight="1" s="125">
      <c r="A292" s="64" t="n"/>
      <c r="B292" s="78" t="n"/>
      <c r="C292" s="64" t="n"/>
      <c r="D292" s="64" t="n"/>
      <c r="E292" s="64" t="n"/>
      <c r="F292" s="64" t="n"/>
      <c r="G292" s="79" t="n"/>
      <c r="H292" s="79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  <c r="Z292" s="64" t="n"/>
    </row>
    <row r="293" ht="15.75" customHeight="1" s="125">
      <c r="A293" s="64" t="n"/>
      <c r="B293" s="78" t="n"/>
      <c r="C293" s="64" t="n"/>
      <c r="D293" s="64" t="n"/>
      <c r="E293" s="64" t="n"/>
      <c r="F293" s="64" t="n"/>
      <c r="G293" s="79" t="n"/>
      <c r="H293" s="79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  <c r="Z293" s="64" t="n"/>
    </row>
    <row r="294" ht="15.75" customHeight="1" s="125">
      <c r="A294" s="64" t="n"/>
      <c r="B294" s="78" t="n"/>
      <c r="C294" s="64" t="n"/>
      <c r="D294" s="64" t="n"/>
      <c r="E294" s="64" t="n"/>
      <c r="F294" s="64" t="n"/>
      <c r="G294" s="79" t="n"/>
      <c r="H294" s="79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  <c r="Z294" s="64" t="n"/>
    </row>
    <row r="295" ht="15.75" customHeight="1" s="125">
      <c r="A295" s="64" t="n"/>
      <c r="B295" s="78" t="n"/>
      <c r="C295" s="64" t="n"/>
      <c r="D295" s="64" t="n"/>
      <c r="E295" s="64" t="n"/>
      <c r="F295" s="64" t="n"/>
      <c r="G295" s="79" t="n"/>
      <c r="H295" s="79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  <c r="Z295" s="64" t="n"/>
    </row>
    <row r="296" ht="15.75" customHeight="1" s="125">
      <c r="A296" s="64" t="n"/>
      <c r="B296" s="78" t="n"/>
      <c r="C296" s="64" t="n"/>
      <c r="D296" s="64" t="n"/>
      <c r="E296" s="64" t="n"/>
      <c r="F296" s="64" t="n"/>
      <c r="G296" s="79" t="n"/>
      <c r="H296" s="79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  <c r="Z296" s="64" t="n"/>
    </row>
    <row r="297" ht="15.75" customHeight="1" s="125">
      <c r="A297" s="64" t="n"/>
      <c r="B297" s="78" t="n"/>
      <c r="C297" s="64" t="n"/>
      <c r="D297" s="64" t="n"/>
      <c r="E297" s="64" t="n"/>
      <c r="F297" s="64" t="n"/>
      <c r="G297" s="79" t="n"/>
      <c r="H297" s="79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  <c r="Z297" s="64" t="n"/>
    </row>
    <row r="298" ht="15.75" customHeight="1" s="125">
      <c r="A298" s="64" t="n"/>
      <c r="B298" s="78" t="n"/>
      <c r="C298" s="64" t="n"/>
      <c r="D298" s="64" t="n"/>
      <c r="E298" s="64" t="n"/>
      <c r="F298" s="64" t="n"/>
      <c r="G298" s="79" t="n"/>
      <c r="H298" s="79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  <c r="Z298" s="64" t="n"/>
    </row>
    <row r="299" ht="15.75" customHeight="1" s="125">
      <c r="A299" s="64" t="n"/>
      <c r="B299" s="78" t="n"/>
      <c r="C299" s="64" t="n"/>
      <c r="D299" s="64" t="n"/>
      <c r="E299" s="64" t="n"/>
      <c r="F299" s="64" t="n"/>
      <c r="G299" s="79" t="n"/>
      <c r="H299" s="79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  <c r="Z299" s="64" t="n"/>
    </row>
    <row r="300" ht="15.75" customHeight="1" s="125">
      <c r="A300" s="64" t="n"/>
      <c r="B300" s="78" t="n"/>
      <c r="C300" s="64" t="n"/>
      <c r="D300" s="64" t="n"/>
      <c r="E300" s="64" t="n"/>
      <c r="F300" s="64" t="n"/>
      <c r="G300" s="79" t="n"/>
      <c r="H300" s="79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  <c r="Z300" s="64" t="n"/>
    </row>
    <row r="301" ht="15.75" customHeight="1" s="125">
      <c r="A301" s="64" t="n"/>
      <c r="B301" s="78" t="n"/>
      <c r="C301" s="64" t="n"/>
      <c r="D301" s="64" t="n"/>
      <c r="E301" s="64" t="n"/>
      <c r="F301" s="64" t="n"/>
      <c r="G301" s="79" t="n"/>
      <c r="H301" s="79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  <c r="Z301" s="64" t="n"/>
    </row>
    <row r="302" ht="15.75" customHeight="1" s="125">
      <c r="A302" s="64" t="n"/>
      <c r="B302" s="78" t="n"/>
      <c r="C302" s="64" t="n"/>
      <c r="D302" s="64" t="n"/>
      <c r="E302" s="64" t="n"/>
      <c r="F302" s="64" t="n"/>
      <c r="G302" s="79" t="n"/>
      <c r="H302" s="79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  <c r="Z302" s="64" t="n"/>
    </row>
    <row r="303" ht="15.75" customHeight="1" s="125">
      <c r="A303" s="64" t="n"/>
      <c r="B303" s="78" t="n"/>
      <c r="C303" s="64" t="n"/>
      <c r="D303" s="64" t="n"/>
      <c r="E303" s="64" t="n"/>
      <c r="F303" s="64" t="n"/>
      <c r="G303" s="79" t="n"/>
      <c r="H303" s="79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  <c r="Z303" s="64" t="n"/>
    </row>
    <row r="304" ht="15.75" customHeight="1" s="125">
      <c r="A304" s="64" t="n"/>
      <c r="B304" s="78" t="n"/>
      <c r="C304" s="64" t="n"/>
      <c r="D304" s="64" t="n"/>
      <c r="E304" s="64" t="n"/>
      <c r="F304" s="64" t="n"/>
      <c r="G304" s="79" t="n"/>
      <c r="H304" s="79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  <c r="Z304" s="64" t="n"/>
    </row>
    <row r="305" ht="15.75" customHeight="1" s="125">
      <c r="A305" s="64" t="n"/>
      <c r="B305" s="78" t="n"/>
      <c r="C305" s="64" t="n"/>
      <c r="D305" s="64" t="n"/>
      <c r="E305" s="64" t="n"/>
      <c r="F305" s="64" t="n"/>
      <c r="G305" s="79" t="n"/>
      <c r="H305" s="79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  <c r="Z305" s="64" t="n"/>
    </row>
    <row r="306" ht="15.75" customHeight="1" s="125">
      <c r="A306" s="64" t="n"/>
      <c r="B306" s="78" t="n"/>
      <c r="C306" s="64" t="n"/>
      <c r="D306" s="64" t="n"/>
      <c r="E306" s="64" t="n"/>
      <c r="F306" s="64" t="n"/>
      <c r="G306" s="79" t="n"/>
      <c r="H306" s="79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  <c r="Z306" s="64" t="n"/>
    </row>
    <row r="307" ht="15.75" customHeight="1" s="125">
      <c r="A307" s="64" t="n"/>
      <c r="B307" s="78" t="n"/>
      <c r="C307" s="64" t="n"/>
      <c r="D307" s="64" t="n"/>
      <c r="E307" s="64" t="n"/>
      <c r="F307" s="64" t="n"/>
      <c r="G307" s="79" t="n"/>
      <c r="H307" s="79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  <c r="Z307" s="64" t="n"/>
    </row>
    <row r="308" ht="15.75" customHeight="1" s="125">
      <c r="A308" s="64" t="n"/>
      <c r="B308" s="78" t="n"/>
      <c r="C308" s="64" t="n"/>
      <c r="D308" s="64" t="n"/>
      <c r="E308" s="64" t="n"/>
      <c r="F308" s="64" t="n"/>
      <c r="G308" s="79" t="n"/>
      <c r="H308" s="79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  <c r="Z308" s="64" t="n"/>
    </row>
    <row r="309" ht="15.75" customHeight="1" s="125">
      <c r="A309" s="64" t="n"/>
      <c r="B309" s="78" t="n"/>
      <c r="C309" s="64" t="n"/>
      <c r="D309" s="64" t="n"/>
      <c r="E309" s="64" t="n"/>
      <c r="F309" s="64" t="n"/>
      <c r="G309" s="79" t="n"/>
      <c r="H309" s="79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  <c r="Z309" s="64" t="n"/>
    </row>
    <row r="310" ht="15.75" customHeight="1" s="125">
      <c r="A310" s="64" t="n"/>
      <c r="B310" s="78" t="n"/>
      <c r="C310" s="64" t="n"/>
      <c r="D310" s="64" t="n"/>
      <c r="E310" s="64" t="n"/>
      <c r="F310" s="64" t="n"/>
      <c r="G310" s="79" t="n"/>
      <c r="H310" s="79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  <c r="Z310" s="64" t="n"/>
    </row>
    <row r="311" ht="15.75" customHeight="1" s="125">
      <c r="A311" s="64" t="n"/>
      <c r="B311" s="78" t="n"/>
      <c r="C311" s="64" t="n"/>
      <c r="D311" s="64" t="n"/>
      <c r="E311" s="64" t="n"/>
      <c r="F311" s="64" t="n"/>
      <c r="G311" s="79" t="n"/>
      <c r="H311" s="79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  <c r="Z311" s="64" t="n"/>
    </row>
    <row r="312" ht="15.75" customHeight="1" s="125">
      <c r="A312" s="64" t="n"/>
      <c r="B312" s="78" t="n"/>
      <c r="C312" s="64" t="n"/>
      <c r="D312" s="64" t="n"/>
      <c r="E312" s="64" t="n"/>
      <c r="F312" s="64" t="n"/>
      <c r="G312" s="79" t="n"/>
      <c r="H312" s="79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  <c r="Z312" s="64" t="n"/>
    </row>
    <row r="313" ht="15.75" customHeight="1" s="125">
      <c r="A313" s="64" t="n"/>
      <c r="B313" s="78" t="n"/>
      <c r="C313" s="64" t="n"/>
      <c r="D313" s="64" t="n"/>
      <c r="E313" s="64" t="n"/>
      <c r="F313" s="64" t="n"/>
      <c r="G313" s="79" t="n"/>
      <c r="H313" s="79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  <c r="Z313" s="64" t="n"/>
    </row>
    <row r="314" ht="15.75" customHeight="1" s="125">
      <c r="A314" s="64" t="n"/>
      <c r="B314" s="78" t="n"/>
      <c r="C314" s="64" t="n"/>
      <c r="D314" s="64" t="n"/>
      <c r="E314" s="64" t="n"/>
      <c r="F314" s="64" t="n"/>
      <c r="G314" s="79" t="n"/>
      <c r="H314" s="79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  <c r="Z314" s="64" t="n"/>
    </row>
    <row r="315" ht="15.75" customHeight="1" s="125">
      <c r="A315" s="64" t="n"/>
      <c r="B315" s="78" t="n"/>
      <c r="C315" s="64" t="n"/>
      <c r="D315" s="64" t="n"/>
      <c r="E315" s="64" t="n"/>
      <c r="F315" s="64" t="n"/>
      <c r="G315" s="79" t="n"/>
      <c r="H315" s="79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  <c r="Z315" s="64" t="n"/>
    </row>
    <row r="316" ht="15.75" customHeight="1" s="125">
      <c r="A316" s="64" t="n"/>
      <c r="B316" s="78" t="n"/>
      <c r="C316" s="64" t="n"/>
      <c r="D316" s="64" t="n"/>
      <c r="E316" s="64" t="n"/>
      <c r="F316" s="64" t="n"/>
      <c r="G316" s="79" t="n"/>
      <c r="H316" s="79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  <c r="Z316" s="64" t="n"/>
    </row>
    <row r="317" ht="15.75" customHeight="1" s="125">
      <c r="A317" s="64" t="n"/>
      <c r="B317" s="78" t="n"/>
      <c r="C317" s="64" t="n"/>
      <c r="D317" s="64" t="n"/>
      <c r="E317" s="64" t="n"/>
      <c r="F317" s="64" t="n"/>
      <c r="G317" s="79" t="n"/>
      <c r="H317" s="79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  <c r="Z317" s="64" t="n"/>
    </row>
    <row r="318" ht="15.75" customHeight="1" s="125">
      <c r="A318" s="64" t="n"/>
      <c r="B318" s="78" t="n"/>
      <c r="C318" s="64" t="n"/>
      <c r="D318" s="64" t="n"/>
      <c r="E318" s="64" t="n"/>
      <c r="F318" s="64" t="n"/>
      <c r="G318" s="79" t="n"/>
      <c r="H318" s="79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  <c r="Z318" s="64" t="n"/>
    </row>
    <row r="319" ht="15.75" customHeight="1" s="125">
      <c r="A319" s="64" t="n"/>
      <c r="B319" s="78" t="n"/>
      <c r="C319" s="64" t="n"/>
      <c r="D319" s="64" t="n"/>
      <c r="E319" s="64" t="n"/>
      <c r="F319" s="64" t="n"/>
      <c r="G319" s="79" t="n"/>
      <c r="H319" s="79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  <c r="Z319" s="64" t="n"/>
    </row>
    <row r="320" ht="15.75" customHeight="1" s="125">
      <c r="A320" s="64" t="n"/>
      <c r="B320" s="78" t="n"/>
      <c r="C320" s="64" t="n"/>
      <c r="D320" s="64" t="n"/>
      <c r="E320" s="64" t="n"/>
      <c r="F320" s="64" t="n"/>
      <c r="G320" s="79" t="n"/>
      <c r="H320" s="79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  <c r="Z320" s="64" t="n"/>
    </row>
    <row r="321" ht="15.75" customHeight="1" s="125">
      <c r="A321" s="64" t="n"/>
      <c r="B321" s="78" t="n"/>
      <c r="C321" s="64" t="n"/>
      <c r="D321" s="64" t="n"/>
      <c r="E321" s="64" t="n"/>
      <c r="F321" s="64" t="n"/>
      <c r="G321" s="79" t="n"/>
      <c r="H321" s="79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  <c r="Z321" s="64" t="n"/>
    </row>
    <row r="322" ht="15.75" customHeight="1" s="125">
      <c r="A322" s="64" t="n"/>
      <c r="B322" s="78" t="n"/>
      <c r="C322" s="64" t="n"/>
      <c r="D322" s="64" t="n"/>
      <c r="E322" s="64" t="n"/>
      <c r="F322" s="64" t="n"/>
      <c r="G322" s="79" t="n"/>
      <c r="H322" s="79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  <c r="Z322" s="64" t="n"/>
    </row>
    <row r="323" ht="15.75" customHeight="1" s="125">
      <c r="A323" s="64" t="n"/>
      <c r="B323" s="78" t="n"/>
      <c r="C323" s="64" t="n"/>
      <c r="D323" s="64" t="n"/>
      <c r="E323" s="64" t="n"/>
      <c r="F323" s="64" t="n"/>
      <c r="G323" s="79" t="n"/>
      <c r="H323" s="79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  <c r="Z323" s="64" t="n"/>
    </row>
    <row r="324" ht="15.75" customHeight="1" s="125">
      <c r="A324" s="64" t="n"/>
      <c r="B324" s="78" t="n"/>
      <c r="C324" s="64" t="n"/>
      <c r="D324" s="64" t="n"/>
      <c r="E324" s="64" t="n"/>
      <c r="F324" s="64" t="n"/>
      <c r="G324" s="79" t="n"/>
      <c r="H324" s="79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  <c r="Z324" s="64" t="n"/>
    </row>
    <row r="325" ht="15.75" customHeight="1" s="125">
      <c r="A325" s="64" t="n"/>
      <c r="B325" s="78" t="n"/>
      <c r="C325" s="64" t="n"/>
      <c r="D325" s="64" t="n"/>
      <c r="E325" s="64" t="n"/>
      <c r="F325" s="64" t="n"/>
      <c r="G325" s="79" t="n"/>
      <c r="H325" s="79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  <c r="Z325" s="64" t="n"/>
    </row>
    <row r="326" ht="15.75" customHeight="1" s="125">
      <c r="A326" s="64" t="n"/>
      <c r="B326" s="78" t="n"/>
      <c r="C326" s="64" t="n"/>
      <c r="D326" s="64" t="n"/>
      <c r="E326" s="64" t="n"/>
      <c r="F326" s="64" t="n"/>
      <c r="G326" s="79" t="n"/>
      <c r="H326" s="79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  <c r="Z326" s="64" t="n"/>
    </row>
    <row r="327" ht="15.75" customHeight="1" s="125">
      <c r="A327" s="64" t="n"/>
      <c r="B327" s="78" t="n"/>
      <c r="C327" s="64" t="n"/>
      <c r="D327" s="64" t="n"/>
      <c r="E327" s="64" t="n"/>
      <c r="F327" s="64" t="n"/>
      <c r="G327" s="79" t="n"/>
      <c r="H327" s="79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  <c r="Z327" s="64" t="n"/>
    </row>
    <row r="328" ht="15.75" customHeight="1" s="125">
      <c r="A328" s="64" t="n"/>
      <c r="B328" s="78" t="n"/>
      <c r="C328" s="64" t="n"/>
      <c r="D328" s="64" t="n"/>
      <c r="E328" s="64" t="n"/>
      <c r="F328" s="64" t="n"/>
      <c r="G328" s="79" t="n"/>
      <c r="H328" s="79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  <c r="Z328" s="64" t="n"/>
    </row>
    <row r="329" ht="15.75" customHeight="1" s="125">
      <c r="A329" s="64" t="n"/>
      <c r="B329" s="78" t="n"/>
      <c r="C329" s="64" t="n"/>
      <c r="D329" s="64" t="n"/>
      <c r="E329" s="64" t="n"/>
      <c r="F329" s="64" t="n"/>
      <c r="G329" s="79" t="n"/>
      <c r="H329" s="79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  <c r="Z329" s="64" t="n"/>
    </row>
    <row r="330" ht="15.75" customHeight="1" s="125">
      <c r="A330" s="64" t="n"/>
      <c r="B330" s="78" t="n"/>
      <c r="C330" s="64" t="n"/>
      <c r="D330" s="64" t="n"/>
      <c r="E330" s="64" t="n"/>
      <c r="F330" s="64" t="n"/>
      <c r="G330" s="79" t="n"/>
      <c r="H330" s="79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  <c r="Z330" s="64" t="n"/>
    </row>
    <row r="331" ht="15.75" customHeight="1" s="125">
      <c r="A331" s="64" t="n"/>
      <c r="B331" s="78" t="n"/>
      <c r="C331" s="64" t="n"/>
      <c r="D331" s="64" t="n"/>
      <c r="E331" s="64" t="n"/>
      <c r="F331" s="64" t="n"/>
      <c r="G331" s="79" t="n"/>
      <c r="H331" s="79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  <c r="Z331" s="64" t="n"/>
    </row>
    <row r="332" ht="15.75" customHeight="1" s="125">
      <c r="A332" s="64" t="n"/>
      <c r="B332" s="78" t="n"/>
      <c r="C332" s="64" t="n"/>
      <c r="D332" s="64" t="n"/>
      <c r="E332" s="64" t="n"/>
      <c r="F332" s="64" t="n"/>
      <c r="G332" s="79" t="n"/>
      <c r="H332" s="79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  <c r="Z332" s="64" t="n"/>
    </row>
    <row r="333" ht="15.75" customHeight="1" s="125">
      <c r="A333" s="64" t="n"/>
      <c r="B333" s="78" t="n"/>
      <c r="C333" s="64" t="n"/>
      <c r="D333" s="64" t="n"/>
      <c r="E333" s="64" t="n"/>
      <c r="F333" s="64" t="n"/>
      <c r="G333" s="79" t="n"/>
      <c r="H333" s="79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  <c r="Z333" s="64" t="n"/>
    </row>
    <row r="334" ht="15.75" customHeight="1" s="125">
      <c r="A334" s="64" t="n"/>
      <c r="B334" s="78" t="n"/>
      <c r="C334" s="64" t="n"/>
      <c r="D334" s="64" t="n"/>
      <c r="E334" s="64" t="n"/>
      <c r="F334" s="64" t="n"/>
      <c r="G334" s="79" t="n"/>
      <c r="H334" s="79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  <c r="Z334" s="64" t="n"/>
    </row>
    <row r="335" ht="15.75" customHeight="1" s="125">
      <c r="A335" s="64" t="n"/>
      <c r="B335" s="78" t="n"/>
      <c r="C335" s="64" t="n"/>
      <c r="D335" s="64" t="n"/>
      <c r="E335" s="64" t="n"/>
      <c r="F335" s="64" t="n"/>
      <c r="G335" s="79" t="n"/>
      <c r="H335" s="79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  <c r="Z335" s="64" t="n"/>
    </row>
    <row r="336" ht="15.75" customHeight="1" s="125">
      <c r="A336" s="64" t="n"/>
      <c r="B336" s="78" t="n"/>
      <c r="C336" s="64" t="n"/>
      <c r="D336" s="64" t="n"/>
      <c r="E336" s="64" t="n"/>
      <c r="F336" s="64" t="n"/>
      <c r="G336" s="79" t="n"/>
      <c r="H336" s="79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  <c r="Z336" s="64" t="n"/>
    </row>
    <row r="337" ht="15.75" customHeight="1" s="125">
      <c r="A337" s="64" t="n"/>
      <c r="B337" s="78" t="n"/>
      <c r="C337" s="64" t="n"/>
      <c r="D337" s="64" t="n"/>
      <c r="E337" s="64" t="n"/>
      <c r="F337" s="64" t="n"/>
      <c r="G337" s="79" t="n"/>
      <c r="H337" s="79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  <c r="Z337" s="64" t="n"/>
    </row>
    <row r="338" ht="15.75" customHeight="1" s="125">
      <c r="A338" s="64" t="n"/>
      <c r="B338" s="78" t="n"/>
      <c r="C338" s="64" t="n"/>
      <c r="D338" s="64" t="n"/>
      <c r="E338" s="64" t="n"/>
      <c r="F338" s="64" t="n"/>
      <c r="G338" s="79" t="n"/>
      <c r="H338" s="79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  <c r="Z338" s="64" t="n"/>
    </row>
    <row r="339" ht="15.75" customHeight="1" s="125">
      <c r="A339" s="64" t="n"/>
      <c r="B339" s="78" t="n"/>
      <c r="C339" s="64" t="n"/>
      <c r="D339" s="64" t="n"/>
      <c r="E339" s="64" t="n"/>
      <c r="F339" s="64" t="n"/>
      <c r="G339" s="79" t="n"/>
      <c r="H339" s="79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  <c r="Z339" s="64" t="n"/>
    </row>
    <row r="340" ht="15.75" customHeight="1" s="125">
      <c r="A340" s="64" t="n"/>
      <c r="B340" s="78" t="n"/>
      <c r="C340" s="64" t="n"/>
      <c r="D340" s="64" t="n"/>
      <c r="E340" s="64" t="n"/>
      <c r="F340" s="64" t="n"/>
      <c r="G340" s="79" t="n"/>
      <c r="H340" s="79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  <c r="Z340" s="64" t="n"/>
    </row>
    <row r="341" ht="15.75" customHeight="1" s="125">
      <c r="A341" s="64" t="n"/>
      <c r="B341" s="78" t="n"/>
      <c r="C341" s="64" t="n"/>
      <c r="D341" s="64" t="n"/>
      <c r="E341" s="64" t="n"/>
      <c r="F341" s="64" t="n"/>
      <c r="G341" s="79" t="n"/>
      <c r="H341" s="79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  <c r="Z341" s="64" t="n"/>
    </row>
    <row r="342" ht="15.75" customHeight="1" s="125">
      <c r="A342" s="64" t="n"/>
      <c r="B342" s="78" t="n"/>
      <c r="C342" s="64" t="n"/>
      <c r="D342" s="64" t="n"/>
      <c r="E342" s="64" t="n"/>
      <c r="F342" s="64" t="n"/>
      <c r="G342" s="79" t="n"/>
      <c r="H342" s="79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  <c r="Z342" s="64" t="n"/>
    </row>
    <row r="343" ht="15.75" customHeight="1" s="125">
      <c r="A343" s="64" t="n"/>
      <c r="B343" s="78" t="n"/>
      <c r="C343" s="64" t="n"/>
      <c r="D343" s="64" t="n"/>
      <c r="E343" s="64" t="n"/>
      <c r="F343" s="64" t="n"/>
      <c r="G343" s="79" t="n"/>
      <c r="H343" s="79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  <c r="Z343" s="64" t="n"/>
    </row>
    <row r="344" ht="15.75" customHeight="1" s="125">
      <c r="A344" s="64" t="n"/>
      <c r="B344" s="78" t="n"/>
      <c r="C344" s="64" t="n"/>
      <c r="D344" s="64" t="n"/>
      <c r="E344" s="64" t="n"/>
      <c r="F344" s="64" t="n"/>
      <c r="G344" s="79" t="n"/>
      <c r="H344" s="79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  <c r="Z344" s="64" t="n"/>
    </row>
    <row r="345" ht="15.75" customHeight="1" s="125">
      <c r="A345" s="64" t="n"/>
      <c r="B345" s="78" t="n"/>
      <c r="C345" s="64" t="n"/>
      <c r="D345" s="64" t="n"/>
      <c r="E345" s="64" t="n"/>
      <c r="F345" s="64" t="n"/>
      <c r="G345" s="79" t="n"/>
      <c r="H345" s="79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  <c r="Z345" s="64" t="n"/>
    </row>
    <row r="346" ht="15.75" customHeight="1" s="125">
      <c r="A346" s="64" t="n"/>
      <c r="B346" s="78" t="n"/>
      <c r="C346" s="64" t="n"/>
      <c r="D346" s="64" t="n"/>
      <c r="E346" s="64" t="n"/>
      <c r="F346" s="64" t="n"/>
      <c r="G346" s="79" t="n"/>
      <c r="H346" s="79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  <c r="Z346" s="64" t="n"/>
    </row>
    <row r="347" ht="15.75" customHeight="1" s="125">
      <c r="A347" s="64" t="n"/>
      <c r="B347" s="78" t="n"/>
      <c r="C347" s="64" t="n"/>
      <c r="D347" s="64" t="n"/>
      <c r="E347" s="64" t="n"/>
      <c r="F347" s="64" t="n"/>
      <c r="G347" s="79" t="n"/>
      <c r="H347" s="79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  <c r="Z347" s="64" t="n"/>
    </row>
    <row r="348" ht="15.75" customHeight="1" s="125">
      <c r="A348" s="64" t="n"/>
      <c r="B348" s="78" t="n"/>
      <c r="C348" s="64" t="n"/>
      <c r="D348" s="64" t="n"/>
      <c r="E348" s="64" t="n"/>
      <c r="F348" s="64" t="n"/>
      <c r="G348" s="79" t="n"/>
      <c r="H348" s="79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  <c r="Z348" s="64" t="n"/>
    </row>
    <row r="349" ht="15.75" customHeight="1" s="125">
      <c r="A349" s="64" t="n"/>
      <c r="B349" s="78" t="n"/>
      <c r="C349" s="64" t="n"/>
      <c r="D349" s="64" t="n"/>
      <c r="E349" s="64" t="n"/>
      <c r="F349" s="64" t="n"/>
      <c r="G349" s="79" t="n"/>
      <c r="H349" s="79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  <c r="Z349" s="64" t="n"/>
    </row>
    <row r="350" ht="15.75" customHeight="1" s="125">
      <c r="A350" s="64" t="n"/>
      <c r="B350" s="78" t="n"/>
      <c r="C350" s="64" t="n"/>
      <c r="D350" s="64" t="n"/>
      <c r="E350" s="64" t="n"/>
      <c r="F350" s="64" t="n"/>
      <c r="G350" s="79" t="n"/>
      <c r="H350" s="79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  <c r="Z350" s="64" t="n"/>
    </row>
    <row r="351" ht="15.75" customHeight="1" s="125">
      <c r="A351" s="64" t="n"/>
      <c r="B351" s="78" t="n"/>
      <c r="C351" s="64" t="n"/>
      <c r="D351" s="64" t="n"/>
      <c r="E351" s="64" t="n"/>
      <c r="F351" s="64" t="n"/>
      <c r="G351" s="79" t="n"/>
      <c r="H351" s="79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  <c r="Z351" s="64" t="n"/>
    </row>
    <row r="352" ht="15.75" customHeight="1" s="125">
      <c r="A352" s="64" t="n"/>
      <c r="B352" s="78" t="n"/>
      <c r="C352" s="64" t="n"/>
      <c r="D352" s="64" t="n"/>
      <c r="E352" s="64" t="n"/>
      <c r="F352" s="64" t="n"/>
      <c r="G352" s="79" t="n"/>
      <c r="H352" s="79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  <c r="Z352" s="64" t="n"/>
    </row>
    <row r="353" ht="15.75" customHeight="1" s="125">
      <c r="A353" s="64" t="n"/>
      <c r="B353" s="78" t="n"/>
      <c r="C353" s="64" t="n"/>
      <c r="D353" s="64" t="n"/>
      <c r="E353" s="64" t="n"/>
      <c r="F353" s="64" t="n"/>
      <c r="G353" s="79" t="n"/>
      <c r="H353" s="79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  <c r="Z353" s="64" t="n"/>
    </row>
    <row r="354" ht="15.75" customHeight="1" s="125">
      <c r="A354" s="64" t="n"/>
      <c r="B354" s="78" t="n"/>
      <c r="C354" s="64" t="n"/>
      <c r="D354" s="64" t="n"/>
      <c r="E354" s="64" t="n"/>
      <c r="F354" s="64" t="n"/>
      <c r="G354" s="79" t="n"/>
      <c r="H354" s="79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  <c r="Z354" s="64" t="n"/>
    </row>
    <row r="355" ht="15.75" customHeight="1" s="125">
      <c r="A355" s="64" t="n"/>
      <c r="B355" s="78" t="n"/>
      <c r="C355" s="64" t="n"/>
      <c r="D355" s="64" t="n"/>
      <c r="E355" s="64" t="n"/>
      <c r="F355" s="64" t="n"/>
      <c r="G355" s="79" t="n"/>
      <c r="H355" s="79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  <c r="Z355" s="64" t="n"/>
    </row>
    <row r="356" ht="15.75" customHeight="1" s="125">
      <c r="A356" s="64" t="n"/>
      <c r="B356" s="78" t="n"/>
      <c r="C356" s="64" t="n"/>
      <c r="D356" s="64" t="n"/>
      <c r="E356" s="64" t="n"/>
      <c r="F356" s="64" t="n"/>
      <c r="G356" s="79" t="n"/>
      <c r="H356" s="79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  <c r="Z356" s="64" t="n"/>
    </row>
    <row r="357" ht="15.75" customHeight="1" s="125">
      <c r="A357" s="64" t="n"/>
      <c r="B357" s="78" t="n"/>
      <c r="C357" s="64" t="n"/>
      <c r="D357" s="64" t="n"/>
      <c r="E357" s="64" t="n"/>
      <c r="F357" s="64" t="n"/>
      <c r="G357" s="79" t="n"/>
      <c r="H357" s="79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  <c r="Z357" s="64" t="n"/>
    </row>
    <row r="358" ht="15.75" customHeight="1" s="125">
      <c r="A358" s="64" t="n"/>
      <c r="B358" s="78" t="n"/>
      <c r="C358" s="64" t="n"/>
      <c r="D358" s="64" t="n"/>
      <c r="E358" s="64" t="n"/>
      <c r="F358" s="64" t="n"/>
      <c r="G358" s="79" t="n"/>
      <c r="H358" s="79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  <c r="Z358" s="64" t="n"/>
    </row>
    <row r="359" ht="15.75" customHeight="1" s="125">
      <c r="A359" s="64" t="n"/>
      <c r="B359" s="78" t="n"/>
      <c r="C359" s="64" t="n"/>
      <c r="D359" s="64" t="n"/>
      <c r="E359" s="64" t="n"/>
      <c r="F359" s="64" t="n"/>
      <c r="G359" s="79" t="n"/>
      <c r="H359" s="79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  <c r="Z359" s="64" t="n"/>
    </row>
    <row r="360" ht="15.75" customHeight="1" s="125">
      <c r="A360" s="64" t="n"/>
      <c r="B360" s="78" t="n"/>
      <c r="C360" s="64" t="n"/>
      <c r="D360" s="64" t="n"/>
      <c r="E360" s="64" t="n"/>
      <c r="F360" s="64" t="n"/>
      <c r="G360" s="79" t="n"/>
      <c r="H360" s="79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  <c r="Z360" s="64" t="n"/>
    </row>
    <row r="361" ht="15.75" customHeight="1" s="125">
      <c r="A361" s="64" t="n"/>
      <c r="B361" s="78" t="n"/>
      <c r="C361" s="64" t="n"/>
      <c r="D361" s="64" t="n"/>
      <c r="E361" s="64" t="n"/>
      <c r="F361" s="64" t="n"/>
      <c r="G361" s="79" t="n"/>
      <c r="H361" s="79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  <c r="Z361" s="64" t="n"/>
    </row>
    <row r="362" ht="15.75" customHeight="1" s="125">
      <c r="A362" s="64" t="n"/>
      <c r="B362" s="78" t="n"/>
      <c r="C362" s="64" t="n"/>
      <c r="D362" s="64" t="n"/>
      <c r="E362" s="64" t="n"/>
      <c r="F362" s="64" t="n"/>
      <c r="G362" s="79" t="n"/>
      <c r="H362" s="79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  <c r="Z362" s="64" t="n"/>
    </row>
    <row r="363" ht="15.75" customHeight="1" s="125">
      <c r="A363" s="64" t="n"/>
      <c r="B363" s="78" t="n"/>
      <c r="C363" s="64" t="n"/>
      <c r="D363" s="64" t="n"/>
      <c r="E363" s="64" t="n"/>
      <c r="F363" s="64" t="n"/>
      <c r="G363" s="79" t="n"/>
      <c r="H363" s="79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  <c r="Z363" s="64" t="n"/>
    </row>
    <row r="364" ht="15.75" customHeight="1" s="125">
      <c r="A364" s="64" t="n"/>
      <c r="B364" s="78" t="n"/>
      <c r="C364" s="64" t="n"/>
      <c r="D364" s="64" t="n"/>
      <c r="E364" s="64" t="n"/>
      <c r="F364" s="64" t="n"/>
      <c r="G364" s="79" t="n"/>
      <c r="H364" s="79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  <c r="Z364" s="64" t="n"/>
    </row>
    <row r="365" ht="15.75" customHeight="1" s="125">
      <c r="A365" s="64" t="n"/>
      <c r="B365" s="78" t="n"/>
      <c r="C365" s="64" t="n"/>
      <c r="D365" s="64" t="n"/>
      <c r="E365" s="64" t="n"/>
      <c r="F365" s="64" t="n"/>
      <c r="G365" s="79" t="n"/>
      <c r="H365" s="79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  <c r="Z365" s="64" t="n"/>
    </row>
    <row r="366" ht="15.75" customHeight="1" s="125">
      <c r="A366" s="64" t="n"/>
      <c r="B366" s="78" t="n"/>
      <c r="C366" s="64" t="n"/>
      <c r="D366" s="64" t="n"/>
      <c r="E366" s="64" t="n"/>
      <c r="F366" s="64" t="n"/>
      <c r="G366" s="79" t="n"/>
      <c r="H366" s="79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  <c r="Z366" s="64" t="n"/>
    </row>
    <row r="367" ht="15.75" customHeight="1" s="125">
      <c r="A367" s="64" t="n"/>
      <c r="B367" s="78" t="n"/>
      <c r="C367" s="64" t="n"/>
      <c r="D367" s="64" t="n"/>
      <c r="E367" s="64" t="n"/>
      <c r="F367" s="64" t="n"/>
      <c r="G367" s="79" t="n"/>
      <c r="H367" s="79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  <c r="Z367" s="64" t="n"/>
    </row>
    <row r="368" ht="15.75" customHeight="1" s="125">
      <c r="A368" s="64" t="n"/>
      <c r="B368" s="78" t="n"/>
      <c r="C368" s="64" t="n"/>
      <c r="D368" s="64" t="n"/>
      <c r="E368" s="64" t="n"/>
      <c r="F368" s="64" t="n"/>
      <c r="G368" s="79" t="n"/>
      <c r="H368" s="79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  <c r="Z368" s="64" t="n"/>
    </row>
    <row r="369" ht="15.75" customHeight="1" s="125">
      <c r="A369" s="64" t="n"/>
      <c r="B369" s="78" t="n"/>
      <c r="C369" s="64" t="n"/>
      <c r="D369" s="64" t="n"/>
      <c r="E369" s="64" t="n"/>
      <c r="F369" s="64" t="n"/>
      <c r="G369" s="79" t="n"/>
      <c r="H369" s="79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  <c r="Z369" s="64" t="n"/>
    </row>
    <row r="370" ht="15.75" customHeight="1" s="125">
      <c r="A370" s="64" t="n"/>
      <c r="B370" s="78" t="n"/>
      <c r="C370" s="64" t="n"/>
      <c r="D370" s="64" t="n"/>
      <c r="E370" s="64" t="n"/>
      <c r="F370" s="64" t="n"/>
      <c r="G370" s="79" t="n"/>
      <c r="H370" s="79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  <c r="Z370" s="64" t="n"/>
    </row>
    <row r="371" ht="15.75" customHeight="1" s="125">
      <c r="A371" s="64" t="n"/>
      <c r="B371" s="78" t="n"/>
      <c r="C371" s="64" t="n"/>
      <c r="D371" s="64" t="n"/>
      <c r="E371" s="64" t="n"/>
      <c r="F371" s="64" t="n"/>
      <c r="G371" s="79" t="n"/>
      <c r="H371" s="79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  <c r="Z371" s="64" t="n"/>
    </row>
    <row r="372" ht="15.75" customHeight="1" s="125">
      <c r="A372" s="64" t="n"/>
      <c r="B372" s="78" t="n"/>
      <c r="C372" s="64" t="n"/>
      <c r="D372" s="64" t="n"/>
      <c r="E372" s="64" t="n"/>
      <c r="F372" s="64" t="n"/>
      <c r="G372" s="79" t="n"/>
      <c r="H372" s="79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  <c r="Z372" s="64" t="n"/>
    </row>
    <row r="373" ht="15.75" customHeight="1" s="125">
      <c r="A373" s="64" t="n"/>
      <c r="B373" s="78" t="n"/>
      <c r="C373" s="64" t="n"/>
      <c r="D373" s="64" t="n"/>
      <c r="E373" s="64" t="n"/>
      <c r="F373" s="64" t="n"/>
      <c r="G373" s="79" t="n"/>
      <c r="H373" s="79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  <c r="Z373" s="64" t="n"/>
    </row>
    <row r="374" ht="15.75" customHeight="1" s="125">
      <c r="A374" s="64" t="n"/>
      <c r="B374" s="78" t="n"/>
      <c r="C374" s="64" t="n"/>
      <c r="D374" s="64" t="n"/>
      <c r="E374" s="64" t="n"/>
      <c r="F374" s="64" t="n"/>
      <c r="G374" s="79" t="n"/>
      <c r="H374" s="79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  <c r="Z374" s="64" t="n"/>
    </row>
    <row r="375" ht="15.75" customHeight="1" s="125">
      <c r="A375" s="64" t="n"/>
      <c r="B375" s="78" t="n"/>
      <c r="C375" s="64" t="n"/>
      <c r="D375" s="64" t="n"/>
      <c r="E375" s="64" t="n"/>
      <c r="F375" s="64" t="n"/>
      <c r="G375" s="79" t="n"/>
      <c r="H375" s="79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  <c r="Z375" s="64" t="n"/>
    </row>
    <row r="376" ht="15.75" customHeight="1" s="125">
      <c r="A376" s="64" t="n"/>
      <c r="B376" s="78" t="n"/>
      <c r="C376" s="64" t="n"/>
      <c r="D376" s="64" t="n"/>
      <c r="E376" s="64" t="n"/>
      <c r="F376" s="64" t="n"/>
      <c r="G376" s="79" t="n"/>
      <c r="H376" s="79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  <c r="Z376" s="64" t="n"/>
    </row>
    <row r="377" ht="15.75" customHeight="1" s="125">
      <c r="A377" s="64" t="n"/>
      <c r="B377" s="78" t="n"/>
      <c r="C377" s="64" t="n"/>
      <c r="D377" s="64" t="n"/>
      <c r="E377" s="64" t="n"/>
      <c r="F377" s="64" t="n"/>
      <c r="G377" s="79" t="n"/>
      <c r="H377" s="79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  <c r="Z377" s="64" t="n"/>
    </row>
    <row r="378" ht="15.75" customHeight="1" s="125">
      <c r="A378" s="64" t="n"/>
      <c r="B378" s="78" t="n"/>
      <c r="C378" s="64" t="n"/>
      <c r="D378" s="64" t="n"/>
      <c r="E378" s="64" t="n"/>
      <c r="F378" s="64" t="n"/>
      <c r="G378" s="79" t="n"/>
      <c r="H378" s="79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  <c r="Z378" s="64" t="n"/>
    </row>
    <row r="379" ht="15.75" customHeight="1" s="125">
      <c r="A379" s="64" t="n"/>
      <c r="B379" s="78" t="n"/>
      <c r="C379" s="64" t="n"/>
      <c r="D379" s="64" t="n"/>
      <c r="E379" s="64" t="n"/>
      <c r="F379" s="64" t="n"/>
      <c r="G379" s="79" t="n"/>
      <c r="H379" s="79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  <c r="Z379" s="64" t="n"/>
    </row>
    <row r="380" ht="15.75" customHeight="1" s="125">
      <c r="A380" s="64" t="n"/>
      <c r="B380" s="78" t="n"/>
      <c r="C380" s="64" t="n"/>
      <c r="D380" s="64" t="n"/>
      <c r="E380" s="64" t="n"/>
      <c r="F380" s="64" t="n"/>
      <c r="G380" s="79" t="n"/>
      <c r="H380" s="79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  <c r="Z380" s="64" t="n"/>
    </row>
    <row r="381" ht="15.75" customHeight="1" s="125">
      <c r="A381" s="64" t="n"/>
      <c r="B381" s="78" t="n"/>
      <c r="C381" s="64" t="n"/>
      <c r="D381" s="64" t="n"/>
      <c r="E381" s="64" t="n"/>
      <c r="F381" s="64" t="n"/>
      <c r="G381" s="79" t="n"/>
      <c r="H381" s="79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  <c r="Z381" s="64" t="n"/>
    </row>
    <row r="382" ht="15.75" customHeight="1" s="125">
      <c r="A382" s="64" t="n"/>
      <c r="B382" s="78" t="n"/>
      <c r="C382" s="64" t="n"/>
      <c r="D382" s="64" t="n"/>
      <c r="E382" s="64" t="n"/>
      <c r="F382" s="64" t="n"/>
      <c r="G382" s="79" t="n"/>
      <c r="H382" s="79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  <c r="Z382" s="64" t="n"/>
    </row>
    <row r="383" ht="15.75" customHeight="1" s="125">
      <c r="A383" s="64" t="n"/>
      <c r="B383" s="78" t="n"/>
      <c r="C383" s="64" t="n"/>
      <c r="D383" s="64" t="n"/>
      <c r="E383" s="64" t="n"/>
      <c r="F383" s="64" t="n"/>
      <c r="G383" s="79" t="n"/>
      <c r="H383" s="79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  <c r="Z383" s="64" t="n"/>
    </row>
    <row r="384" ht="15.75" customHeight="1" s="125">
      <c r="A384" s="64" t="n"/>
      <c r="B384" s="78" t="n"/>
      <c r="C384" s="64" t="n"/>
      <c r="D384" s="64" t="n"/>
      <c r="E384" s="64" t="n"/>
      <c r="F384" s="64" t="n"/>
      <c r="G384" s="79" t="n"/>
      <c r="H384" s="79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  <c r="Z384" s="64" t="n"/>
    </row>
    <row r="385" ht="15.75" customHeight="1" s="125">
      <c r="A385" s="64" t="n"/>
      <c r="B385" s="78" t="n"/>
      <c r="C385" s="64" t="n"/>
      <c r="D385" s="64" t="n"/>
      <c r="E385" s="64" t="n"/>
      <c r="F385" s="64" t="n"/>
      <c r="G385" s="79" t="n"/>
      <c r="H385" s="79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  <c r="Z385" s="64" t="n"/>
    </row>
    <row r="386" ht="15.75" customHeight="1" s="125">
      <c r="A386" s="64" t="n"/>
      <c r="B386" s="78" t="n"/>
      <c r="C386" s="64" t="n"/>
      <c r="D386" s="64" t="n"/>
      <c r="E386" s="64" t="n"/>
      <c r="F386" s="64" t="n"/>
      <c r="G386" s="79" t="n"/>
      <c r="H386" s="79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  <c r="Z386" s="64" t="n"/>
    </row>
    <row r="387" ht="15.75" customHeight="1" s="125">
      <c r="A387" s="64" t="n"/>
      <c r="B387" s="78" t="n"/>
      <c r="C387" s="64" t="n"/>
      <c r="D387" s="64" t="n"/>
      <c r="E387" s="64" t="n"/>
      <c r="F387" s="64" t="n"/>
      <c r="G387" s="79" t="n"/>
      <c r="H387" s="79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  <c r="Z387" s="64" t="n"/>
    </row>
    <row r="388" ht="15.75" customHeight="1" s="125">
      <c r="A388" s="64" t="n"/>
      <c r="B388" s="78" t="n"/>
      <c r="C388" s="64" t="n"/>
      <c r="D388" s="64" t="n"/>
      <c r="E388" s="64" t="n"/>
      <c r="F388" s="64" t="n"/>
      <c r="G388" s="79" t="n"/>
      <c r="H388" s="79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  <c r="Z388" s="64" t="n"/>
    </row>
    <row r="389" ht="15.75" customHeight="1" s="125">
      <c r="A389" s="64" t="n"/>
      <c r="B389" s="78" t="n"/>
      <c r="C389" s="64" t="n"/>
      <c r="D389" s="64" t="n"/>
      <c r="E389" s="64" t="n"/>
      <c r="F389" s="64" t="n"/>
      <c r="G389" s="79" t="n"/>
      <c r="H389" s="79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  <c r="Z389" s="64" t="n"/>
    </row>
    <row r="390" ht="15.75" customHeight="1" s="125">
      <c r="A390" s="64" t="n"/>
      <c r="B390" s="78" t="n"/>
      <c r="C390" s="64" t="n"/>
      <c r="D390" s="64" t="n"/>
      <c r="E390" s="64" t="n"/>
      <c r="F390" s="64" t="n"/>
      <c r="G390" s="79" t="n"/>
      <c r="H390" s="79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  <c r="Z390" s="64" t="n"/>
    </row>
    <row r="391" ht="15.75" customHeight="1" s="125">
      <c r="A391" s="64" t="n"/>
      <c r="B391" s="78" t="n"/>
      <c r="C391" s="64" t="n"/>
      <c r="D391" s="64" t="n"/>
      <c r="E391" s="64" t="n"/>
      <c r="F391" s="64" t="n"/>
      <c r="G391" s="79" t="n"/>
      <c r="H391" s="79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  <c r="Z391" s="64" t="n"/>
    </row>
    <row r="392" ht="15.75" customHeight="1" s="125">
      <c r="A392" s="64" t="n"/>
      <c r="B392" s="78" t="n"/>
      <c r="C392" s="64" t="n"/>
      <c r="D392" s="64" t="n"/>
      <c r="E392" s="64" t="n"/>
      <c r="F392" s="64" t="n"/>
      <c r="G392" s="79" t="n"/>
      <c r="H392" s="79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  <c r="Z392" s="64" t="n"/>
    </row>
    <row r="393" ht="15.75" customHeight="1" s="125">
      <c r="A393" s="64" t="n"/>
      <c r="B393" s="78" t="n"/>
      <c r="C393" s="64" t="n"/>
      <c r="D393" s="64" t="n"/>
      <c r="E393" s="64" t="n"/>
      <c r="F393" s="64" t="n"/>
      <c r="G393" s="79" t="n"/>
      <c r="H393" s="79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  <c r="Z393" s="64" t="n"/>
    </row>
    <row r="394" ht="15.75" customHeight="1" s="125">
      <c r="A394" s="64" t="n"/>
      <c r="B394" s="78" t="n"/>
      <c r="C394" s="64" t="n"/>
      <c r="D394" s="64" t="n"/>
      <c r="E394" s="64" t="n"/>
      <c r="F394" s="64" t="n"/>
      <c r="G394" s="79" t="n"/>
      <c r="H394" s="79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  <c r="Z394" s="64" t="n"/>
    </row>
    <row r="395" ht="15.75" customHeight="1" s="125">
      <c r="A395" s="64" t="n"/>
      <c r="B395" s="78" t="n"/>
      <c r="C395" s="64" t="n"/>
      <c r="D395" s="64" t="n"/>
      <c r="E395" s="64" t="n"/>
      <c r="F395" s="64" t="n"/>
      <c r="G395" s="79" t="n"/>
      <c r="H395" s="79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  <c r="Z395" s="64" t="n"/>
    </row>
    <row r="396" ht="15.75" customHeight="1" s="125">
      <c r="A396" s="64" t="n"/>
      <c r="B396" s="78" t="n"/>
      <c r="C396" s="64" t="n"/>
      <c r="D396" s="64" t="n"/>
      <c r="E396" s="64" t="n"/>
      <c r="F396" s="64" t="n"/>
      <c r="G396" s="79" t="n"/>
      <c r="H396" s="79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  <c r="Z396" s="64" t="n"/>
    </row>
    <row r="397" ht="15.75" customHeight="1" s="125">
      <c r="A397" s="64" t="n"/>
      <c r="B397" s="78" t="n"/>
      <c r="C397" s="64" t="n"/>
      <c r="D397" s="64" t="n"/>
      <c r="E397" s="64" t="n"/>
      <c r="F397" s="64" t="n"/>
      <c r="G397" s="79" t="n"/>
      <c r="H397" s="79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  <c r="Z397" s="64" t="n"/>
    </row>
    <row r="398" ht="15.75" customHeight="1" s="125">
      <c r="A398" s="64" t="n"/>
      <c r="B398" s="78" t="n"/>
      <c r="C398" s="64" t="n"/>
      <c r="D398" s="64" t="n"/>
      <c r="E398" s="64" t="n"/>
      <c r="F398" s="64" t="n"/>
      <c r="G398" s="79" t="n"/>
      <c r="H398" s="79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  <c r="Z398" s="64" t="n"/>
    </row>
    <row r="399" ht="15.75" customHeight="1" s="125">
      <c r="A399" s="64" t="n"/>
      <c r="B399" s="78" t="n"/>
      <c r="C399" s="64" t="n"/>
      <c r="D399" s="64" t="n"/>
      <c r="E399" s="64" t="n"/>
      <c r="F399" s="64" t="n"/>
      <c r="G399" s="79" t="n"/>
      <c r="H399" s="79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  <c r="Z399" s="64" t="n"/>
    </row>
    <row r="400" ht="15.75" customHeight="1" s="125">
      <c r="A400" s="64" t="n"/>
      <c r="B400" s="78" t="n"/>
      <c r="C400" s="64" t="n"/>
      <c r="D400" s="64" t="n"/>
      <c r="E400" s="64" t="n"/>
      <c r="F400" s="64" t="n"/>
      <c r="G400" s="79" t="n"/>
      <c r="H400" s="79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  <c r="Z400" s="64" t="n"/>
    </row>
    <row r="401" ht="15.75" customHeight="1" s="125">
      <c r="A401" s="64" t="n"/>
      <c r="B401" s="78" t="n"/>
      <c r="C401" s="64" t="n"/>
      <c r="D401" s="64" t="n"/>
      <c r="E401" s="64" t="n"/>
      <c r="F401" s="64" t="n"/>
      <c r="G401" s="79" t="n"/>
      <c r="H401" s="79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  <c r="Z401" s="64" t="n"/>
    </row>
    <row r="402" ht="15.75" customHeight="1" s="125">
      <c r="A402" s="64" t="n"/>
      <c r="B402" s="78" t="n"/>
      <c r="C402" s="64" t="n"/>
      <c r="D402" s="64" t="n"/>
      <c r="E402" s="64" t="n"/>
      <c r="F402" s="64" t="n"/>
      <c r="G402" s="79" t="n"/>
      <c r="H402" s="79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  <c r="Z402" s="64" t="n"/>
    </row>
    <row r="403" ht="15.75" customHeight="1" s="125">
      <c r="A403" s="64" t="n"/>
      <c r="B403" s="78" t="n"/>
      <c r="C403" s="64" t="n"/>
      <c r="D403" s="64" t="n"/>
      <c r="E403" s="64" t="n"/>
      <c r="F403" s="64" t="n"/>
      <c r="G403" s="79" t="n"/>
      <c r="H403" s="79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  <c r="Z403" s="64" t="n"/>
    </row>
    <row r="404" ht="15.75" customHeight="1" s="125">
      <c r="A404" s="64" t="n"/>
      <c r="B404" s="78" t="n"/>
      <c r="C404" s="64" t="n"/>
      <c r="D404" s="64" t="n"/>
      <c r="E404" s="64" t="n"/>
      <c r="F404" s="64" t="n"/>
      <c r="G404" s="79" t="n"/>
      <c r="H404" s="79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  <c r="Z404" s="64" t="n"/>
    </row>
    <row r="405" ht="15.75" customHeight="1" s="125">
      <c r="A405" s="64" t="n"/>
      <c r="B405" s="78" t="n"/>
      <c r="C405" s="64" t="n"/>
      <c r="D405" s="64" t="n"/>
      <c r="E405" s="64" t="n"/>
      <c r="F405" s="64" t="n"/>
      <c r="G405" s="79" t="n"/>
      <c r="H405" s="79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  <c r="Z405" s="64" t="n"/>
    </row>
    <row r="406" ht="15.75" customHeight="1" s="125">
      <c r="A406" s="64" t="n"/>
      <c r="B406" s="78" t="n"/>
      <c r="C406" s="64" t="n"/>
      <c r="D406" s="64" t="n"/>
      <c r="E406" s="64" t="n"/>
      <c r="F406" s="64" t="n"/>
      <c r="G406" s="79" t="n"/>
      <c r="H406" s="79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  <c r="Z406" s="64" t="n"/>
    </row>
    <row r="407" ht="15.75" customHeight="1" s="125">
      <c r="A407" s="64" t="n"/>
      <c r="B407" s="78" t="n"/>
      <c r="C407" s="64" t="n"/>
      <c r="D407" s="64" t="n"/>
      <c r="E407" s="64" t="n"/>
      <c r="F407" s="64" t="n"/>
      <c r="G407" s="79" t="n"/>
      <c r="H407" s="79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  <c r="Z407" s="64" t="n"/>
    </row>
    <row r="408" ht="15.75" customHeight="1" s="125">
      <c r="A408" s="64" t="n"/>
      <c r="B408" s="78" t="n"/>
      <c r="C408" s="64" t="n"/>
      <c r="D408" s="64" t="n"/>
      <c r="E408" s="64" t="n"/>
      <c r="F408" s="64" t="n"/>
      <c r="G408" s="79" t="n"/>
      <c r="H408" s="79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  <c r="Z408" s="64" t="n"/>
    </row>
    <row r="409" ht="15.75" customHeight="1" s="125">
      <c r="A409" s="64" t="n"/>
      <c r="B409" s="78" t="n"/>
      <c r="C409" s="64" t="n"/>
      <c r="D409" s="64" t="n"/>
      <c r="E409" s="64" t="n"/>
      <c r="F409" s="64" t="n"/>
      <c r="G409" s="79" t="n"/>
      <c r="H409" s="79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  <c r="Z409" s="64" t="n"/>
    </row>
    <row r="410" ht="15.75" customHeight="1" s="125">
      <c r="A410" s="64" t="n"/>
      <c r="B410" s="78" t="n"/>
      <c r="C410" s="64" t="n"/>
      <c r="D410" s="64" t="n"/>
      <c r="E410" s="64" t="n"/>
      <c r="F410" s="64" t="n"/>
      <c r="G410" s="79" t="n"/>
      <c r="H410" s="79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  <c r="Z410" s="64" t="n"/>
    </row>
    <row r="411" ht="15.75" customHeight="1" s="125">
      <c r="A411" s="64" t="n"/>
      <c r="B411" s="78" t="n"/>
      <c r="C411" s="64" t="n"/>
      <c r="D411" s="64" t="n"/>
      <c r="E411" s="64" t="n"/>
      <c r="F411" s="64" t="n"/>
      <c r="G411" s="79" t="n"/>
      <c r="H411" s="79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  <c r="Z411" s="64" t="n"/>
    </row>
    <row r="412" ht="15.75" customHeight="1" s="125">
      <c r="A412" s="64" t="n"/>
      <c r="B412" s="78" t="n"/>
      <c r="C412" s="64" t="n"/>
      <c r="D412" s="64" t="n"/>
      <c r="E412" s="64" t="n"/>
      <c r="F412" s="64" t="n"/>
      <c r="G412" s="79" t="n"/>
      <c r="H412" s="79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  <c r="Z412" s="64" t="n"/>
    </row>
    <row r="413" ht="15.75" customHeight="1" s="125">
      <c r="A413" s="64" t="n"/>
      <c r="B413" s="78" t="n"/>
      <c r="C413" s="64" t="n"/>
      <c r="D413" s="64" t="n"/>
      <c r="E413" s="64" t="n"/>
      <c r="F413" s="64" t="n"/>
      <c r="G413" s="79" t="n"/>
      <c r="H413" s="79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  <c r="Z413" s="64" t="n"/>
    </row>
    <row r="414" ht="15.75" customHeight="1" s="125">
      <c r="A414" s="64" t="n"/>
      <c r="B414" s="78" t="n"/>
      <c r="C414" s="64" t="n"/>
      <c r="D414" s="64" t="n"/>
      <c r="E414" s="64" t="n"/>
      <c r="F414" s="64" t="n"/>
      <c r="G414" s="79" t="n"/>
      <c r="H414" s="79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  <c r="Z414" s="64" t="n"/>
    </row>
    <row r="415" ht="15.75" customHeight="1" s="125">
      <c r="A415" s="64" t="n"/>
      <c r="B415" s="78" t="n"/>
      <c r="C415" s="64" t="n"/>
      <c r="D415" s="64" t="n"/>
      <c r="E415" s="64" t="n"/>
      <c r="F415" s="64" t="n"/>
      <c r="G415" s="79" t="n"/>
      <c r="H415" s="79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  <c r="Z415" s="64" t="n"/>
    </row>
    <row r="416" ht="15.75" customHeight="1" s="125">
      <c r="A416" s="64" t="n"/>
      <c r="B416" s="78" t="n"/>
      <c r="C416" s="64" t="n"/>
      <c r="D416" s="64" t="n"/>
      <c r="E416" s="64" t="n"/>
      <c r="F416" s="64" t="n"/>
      <c r="G416" s="79" t="n"/>
      <c r="H416" s="79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  <c r="Z416" s="64" t="n"/>
    </row>
    <row r="417" ht="15.75" customHeight="1" s="125">
      <c r="A417" s="64" t="n"/>
      <c r="B417" s="78" t="n"/>
      <c r="C417" s="64" t="n"/>
      <c r="D417" s="64" t="n"/>
      <c r="E417" s="64" t="n"/>
      <c r="F417" s="64" t="n"/>
      <c r="G417" s="79" t="n"/>
      <c r="H417" s="79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  <c r="Z417" s="64" t="n"/>
    </row>
    <row r="418" ht="15.75" customHeight="1" s="125">
      <c r="A418" s="64" t="n"/>
      <c r="B418" s="78" t="n"/>
      <c r="C418" s="64" t="n"/>
      <c r="D418" s="64" t="n"/>
      <c r="E418" s="64" t="n"/>
      <c r="F418" s="64" t="n"/>
      <c r="G418" s="79" t="n"/>
      <c r="H418" s="79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  <c r="Z418" s="64" t="n"/>
    </row>
    <row r="419" ht="15.75" customHeight="1" s="125">
      <c r="A419" s="64" t="n"/>
      <c r="B419" s="78" t="n"/>
      <c r="C419" s="64" t="n"/>
      <c r="D419" s="64" t="n"/>
      <c r="E419" s="64" t="n"/>
      <c r="F419" s="64" t="n"/>
      <c r="G419" s="79" t="n"/>
      <c r="H419" s="79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  <c r="Z419" s="64" t="n"/>
    </row>
    <row r="420" ht="15.75" customHeight="1" s="125">
      <c r="A420" s="64" t="n"/>
      <c r="B420" s="78" t="n"/>
      <c r="C420" s="64" t="n"/>
      <c r="D420" s="64" t="n"/>
      <c r="E420" s="64" t="n"/>
      <c r="F420" s="64" t="n"/>
      <c r="G420" s="79" t="n"/>
      <c r="H420" s="79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  <c r="Z420" s="64" t="n"/>
    </row>
    <row r="421" ht="15.75" customHeight="1" s="125">
      <c r="A421" s="64" t="n"/>
      <c r="B421" s="78" t="n"/>
      <c r="C421" s="64" t="n"/>
      <c r="D421" s="64" t="n"/>
      <c r="E421" s="64" t="n"/>
      <c r="F421" s="64" t="n"/>
      <c r="G421" s="79" t="n"/>
      <c r="H421" s="79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  <c r="Z421" s="64" t="n"/>
    </row>
    <row r="422" ht="15.75" customHeight="1" s="125">
      <c r="A422" s="64" t="n"/>
      <c r="B422" s="78" t="n"/>
      <c r="C422" s="64" t="n"/>
      <c r="D422" s="64" t="n"/>
      <c r="E422" s="64" t="n"/>
      <c r="F422" s="64" t="n"/>
      <c r="G422" s="79" t="n"/>
      <c r="H422" s="79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  <c r="Z422" s="64" t="n"/>
    </row>
    <row r="423" ht="15.75" customHeight="1" s="125">
      <c r="A423" s="64" t="n"/>
      <c r="B423" s="78" t="n"/>
      <c r="C423" s="64" t="n"/>
      <c r="D423" s="64" t="n"/>
      <c r="E423" s="64" t="n"/>
      <c r="F423" s="64" t="n"/>
      <c r="G423" s="79" t="n"/>
      <c r="H423" s="79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  <c r="Z423" s="64" t="n"/>
    </row>
    <row r="424" ht="15.75" customHeight="1" s="125">
      <c r="A424" s="64" t="n"/>
      <c r="B424" s="78" t="n"/>
      <c r="C424" s="64" t="n"/>
      <c r="D424" s="64" t="n"/>
      <c r="E424" s="64" t="n"/>
      <c r="F424" s="64" t="n"/>
      <c r="G424" s="79" t="n"/>
      <c r="H424" s="79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  <c r="Z424" s="64" t="n"/>
    </row>
    <row r="425" ht="15.75" customHeight="1" s="125">
      <c r="A425" s="64" t="n"/>
      <c r="B425" s="78" t="n"/>
      <c r="C425" s="64" t="n"/>
      <c r="D425" s="64" t="n"/>
      <c r="E425" s="64" t="n"/>
      <c r="F425" s="64" t="n"/>
      <c r="G425" s="79" t="n"/>
      <c r="H425" s="79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  <c r="Z425" s="64" t="n"/>
    </row>
    <row r="426" ht="15.75" customHeight="1" s="125">
      <c r="A426" s="64" t="n"/>
      <c r="B426" s="78" t="n"/>
      <c r="C426" s="64" t="n"/>
      <c r="D426" s="64" t="n"/>
      <c r="E426" s="64" t="n"/>
      <c r="F426" s="64" t="n"/>
      <c r="G426" s="79" t="n"/>
      <c r="H426" s="79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  <c r="Z426" s="64" t="n"/>
    </row>
    <row r="427" ht="15.75" customHeight="1" s="125">
      <c r="A427" s="64" t="n"/>
      <c r="B427" s="78" t="n"/>
      <c r="C427" s="64" t="n"/>
      <c r="D427" s="64" t="n"/>
      <c r="E427" s="64" t="n"/>
      <c r="F427" s="64" t="n"/>
      <c r="G427" s="79" t="n"/>
      <c r="H427" s="79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  <c r="Z427" s="64" t="n"/>
    </row>
    <row r="428" ht="15.75" customHeight="1" s="125">
      <c r="A428" s="64" t="n"/>
      <c r="B428" s="78" t="n"/>
      <c r="C428" s="64" t="n"/>
      <c r="D428" s="64" t="n"/>
      <c r="E428" s="64" t="n"/>
      <c r="F428" s="64" t="n"/>
      <c r="G428" s="79" t="n"/>
      <c r="H428" s="79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  <c r="Z428" s="64" t="n"/>
    </row>
    <row r="429" ht="15.75" customHeight="1" s="125">
      <c r="A429" s="64" t="n"/>
      <c r="B429" s="78" t="n"/>
      <c r="C429" s="64" t="n"/>
      <c r="D429" s="64" t="n"/>
      <c r="E429" s="64" t="n"/>
      <c r="F429" s="64" t="n"/>
      <c r="G429" s="79" t="n"/>
      <c r="H429" s="79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  <c r="Z429" s="64" t="n"/>
    </row>
    <row r="430" ht="15.75" customHeight="1" s="125">
      <c r="A430" s="64" t="n"/>
      <c r="B430" s="78" t="n"/>
      <c r="C430" s="64" t="n"/>
      <c r="D430" s="64" t="n"/>
      <c r="E430" s="64" t="n"/>
      <c r="F430" s="64" t="n"/>
      <c r="G430" s="79" t="n"/>
      <c r="H430" s="79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  <c r="Z430" s="64" t="n"/>
    </row>
    <row r="431" ht="15.75" customHeight="1" s="125">
      <c r="A431" s="64" t="n"/>
      <c r="B431" s="78" t="n"/>
      <c r="C431" s="64" t="n"/>
      <c r="D431" s="64" t="n"/>
      <c r="E431" s="64" t="n"/>
      <c r="F431" s="64" t="n"/>
      <c r="G431" s="79" t="n"/>
      <c r="H431" s="79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  <c r="Z431" s="64" t="n"/>
    </row>
    <row r="432" ht="15.75" customHeight="1" s="125">
      <c r="A432" s="64" t="n"/>
      <c r="B432" s="78" t="n"/>
      <c r="C432" s="64" t="n"/>
      <c r="D432" s="64" t="n"/>
      <c r="E432" s="64" t="n"/>
      <c r="F432" s="64" t="n"/>
      <c r="G432" s="79" t="n"/>
      <c r="H432" s="79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  <c r="Z432" s="64" t="n"/>
    </row>
    <row r="433" ht="15.75" customHeight="1" s="125">
      <c r="A433" s="64" t="n"/>
      <c r="B433" s="78" t="n"/>
      <c r="C433" s="64" t="n"/>
      <c r="D433" s="64" t="n"/>
      <c r="E433" s="64" t="n"/>
      <c r="F433" s="64" t="n"/>
      <c r="G433" s="79" t="n"/>
      <c r="H433" s="79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  <c r="Z433" s="64" t="n"/>
    </row>
    <row r="434" ht="15.75" customHeight="1" s="125">
      <c r="A434" s="64" t="n"/>
      <c r="B434" s="78" t="n"/>
      <c r="C434" s="64" t="n"/>
      <c r="D434" s="64" t="n"/>
      <c r="E434" s="64" t="n"/>
      <c r="F434" s="64" t="n"/>
      <c r="G434" s="79" t="n"/>
      <c r="H434" s="79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  <c r="Z434" s="64" t="n"/>
    </row>
    <row r="435" ht="15.75" customHeight="1" s="125">
      <c r="A435" s="64" t="n"/>
      <c r="B435" s="78" t="n"/>
      <c r="C435" s="64" t="n"/>
      <c r="D435" s="64" t="n"/>
      <c r="E435" s="64" t="n"/>
      <c r="F435" s="64" t="n"/>
      <c r="G435" s="79" t="n"/>
      <c r="H435" s="79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  <c r="Z435" s="64" t="n"/>
    </row>
    <row r="436" ht="15.75" customHeight="1" s="125">
      <c r="A436" s="64" t="n"/>
      <c r="B436" s="78" t="n"/>
      <c r="C436" s="64" t="n"/>
      <c r="D436" s="64" t="n"/>
      <c r="E436" s="64" t="n"/>
      <c r="F436" s="64" t="n"/>
      <c r="G436" s="79" t="n"/>
      <c r="H436" s="79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  <c r="Z436" s="64" t="n"/>
    </row>
    <row r="437" ht="15.75" customHeight="1" s="125">
      <c r="A437" s="64" t="n"/>
      <c r="B437" s="78" t="n"/>
      <c r="C437" s="64" t="n"/>
      <c r="D437" s="64" t="n"/>
      <c r="E437" s="64" t="n"/>
      <c r="F437" s="64" t="n"/>
      <c r="G437" s="79" t="n"/>
      <c r="H437" s="79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  <c r="Z437" s="64" t="n"/>
    </row>
    <row r="438" ht="15.75" customHeight="1" s="125">
      <c r="A438" s="64" t="n"/>
      <c r="B438" s="78" t="n"/>
      <c r="C438" s="64" t="n"/>
      <c r="D438" s="64" t="n"/>
      <c r="E438" s="64" t="n"/>
      <c r="F438" s="64" t="n"/>
      <c r="G438" s="79" t="n"/>
      <c r="H438" s="79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  <c r="Z438" s="64" t="n"/>
    </row>
    <row r="439" ht="15.75" customHeight="1" s="125">
      <c r="A439" s="64" t="n"/>
      <c r="B439" s="78" t="n"/>
      <c r="C439" s="64" t="n"/>
      <c r="D439" s="64" t="n"/>
      <c r="E439" s="64" t="n"/>
      <c r="F439" s="64" t="n"/>
      <c r="G439" s="79" t="n"/>
      <c r="H439" s="79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  <c r="Z439" s="64" t="n"/>
    </row>
    <row r="440" ht="15.75" customHeight="1" s="125">
      <c r="A440" s="64" t="n"/>
      <c r="B440" s="78" t="n"/>
      <c r="C440" s="64" t="n"/>
      <c r="D440" s="64" t="n"/>
      <c r="E440" s="64" t="n"/>
      <c r="F440" s="64" t="n"/>
      <c r="G440" s="79" t="n"/>
      <c r="H440" s="79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  <c r="Z440" s="64" t="n"/>
    </row>
    <row r="441" ht="15.75" customHeight="1" s="125">
      <c r="A441" s="64" t="n"/>
      <c r="B441" s="78" t="n"/>
      <c r="C441" s="64" t="n"/>
      <c r="D441" s="64" t="n"/>
      <c r="E441" s="64" t="n"/>
      <c r="F441" s="64" t="n"/>
      <c r="G441" s="79" t="n"/>
      <c r="H441" s="79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  <c r="Z441" s="64" t="n"/>
    </row>
    <row r="442" ht="15.75" customHeight="1" s="125">
      <c r="A442" s="64" t="n"/>
      <c r="B442" s="78" t="n"/>
      <c r="C442" s="64" t="n"/>
      <c r="D442" s="64" t="n"/>
      <c r="E442" s="64" t="n"/>
      <c r="F442" s="64" t="n"/>
      <c r="G442" s="79" t="n"/>
      <c r="H442" s="79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  <c r="Z442" s="64" t="n"/>
    </row>
    <row r="443" ht="15.75" customHeight="1" s="125">
      <c r="A443" s="64" t="n"/>
      <c r="B443" s="78" t="n"/>
      <c r="C443" s="64" t="n"/>
      <c r="D443" s="64" t="n"/>
      <c r="E443" s="64" t="n"/>
      <c r="F443" s="64" t="n"/>
      <c r="G443" s="79" t="n"/>
      <c r="H443" s="79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  <c r="Z443" s="64" t="n"/>
    </row>
    <row r="444" ht="15.75" customHeight="1" s="125">
      <c r="A444" s="64" t="n"/>
      <c r="B444" s="78" t="n"/>
      <c r="C444" s="64" t="n"/>
      <c r="D444" s="64" t="n"/>
      <c r="E444" s="64" t="n"/>
      <c r="F444" s="64" t="n"/>
      <c r="G444" s="79" t="n"/>
      <c r="H444" s="79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  <c r="Z444" s="64" t="n"/>
    </row>
    <row r="445" ht="15.75" customHeight="1" s="125">
      <c r="A445" s="64" t="n"/>
      <c r="B445" s="78" t="n"/>
      <c r="C445" s="64" t="n"/>
      <c r="D445" s="64" t="n"/>
      <c r="E445" s="64" t="n"/>
      <c r="F445" s="64" t="n"/>
      <c r="G445" s="79" t="n"/>
      <c r="H445" s="79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  <c r="Z445" s="64" t="n"/>
    </row>
    <row r="446" ht="15.75" customHeight="1" s="125">
      <c r="A446" s="64" t="n"/>
      <c r="B446" s="78" t="n"/>
      <c r="C446" s="64" t="n"/>
      <c r="D446" s="64" t="n"/>
      <c r="E446" s="64" t="n"/>
      <c r="F446" s="64" t="n"/>
      <c r="G446" s="79" t="n"/>
      <c r="H446" s="79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  <c r="Z446" s="64" t="n"/>
    </row>
    <row r="447" ht="15.75" customHeight="1" s="125">
      <c r="A447" s="64" t="n"/>
      <c r="B447" s="78" t="n"/>
      <c r="C447" s="64" t="n"/>
      <c r="D447" s="64" t="n"/>
      <c r="E447" s="64" t="n"/>
      <c r="F447" s="64" t="n"/>
      <c r="G447" s="79" t="n"/>
      <c r="H447" s="79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  <c r="Z447" s="64" t="n"/>
    </row>
    <row r="448" ht="15.75" customHeight="1" s="125">
      <c r="A448" s="64" t="n"/>
      <c r="B448" s="78" t="n"/>
      <c r="C448" s="64" t="n"/>
      <c r="D448" s="64" t="n"/>
      <c r="E448" s="64" t="n"/>
      <c r="F448" s="64" t="n"/>
      <c r="G448" s="79" t="n"/>
      <c r="H448" s="79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  <c r="Z448" s="64" t="n"/>
    </row>
    <row r="449" ht="15.75" customHeight="1" s="125">
      <c r="A449" s="64" t="n"/>
      <c r="B449" s="78" t="n"/>
      <c r="C449" s="64" t="n"/>
      <c r="D449" s="64" t="n"/>
      <c r="E449" s="64" t="n"/>
      <c r="F449" s="64" t="n"/>
      <c r="G449" s="79" t="n"/>
      <c r="H449" s="79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  <c r="Z449" s="64" t="n"/>
    </row>
    <row r="450" ht="15.75" customHeight="1" s="125">
      <c r="A450" s="64" t="n"/>
      <c r="B450" s="78" t="n"/>
      <c r="C450" s="64" t="n"/>
      <c r="D450" s="64" t="n"/>
      <c r="E450" s="64" t="n"/>
      <c r="F450" s="64" t="n"/>
      <c r="G450" s="79" t="n"/>
      <c r="H450" s="79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  <c r="Z450" s="64" t="n"/>
    </row>
    <row r="451" ht="15.75" customHeight="1" s="125">
      <c r="A451" s="64" t="n"/>
      <c r="B451" s="78" t="n"/>
      <c r="C451" s="64" t="n"/>
      <c r="D451" s="64" t="n"/>
      <c r="E451" s="64" t="n"/>
      <c r="F451" s="64" t="n"/>
      <c r="G451" s="79" t="n"/>
      <c r="H451" s="79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  <c r="Z451" s="64" t="n"/>
    </row>
    <row r="452" ht="15.75" customHeight="1" s="125">
      <c r="A452" s="64" t="n"/>
      <c r="B452" s="78" t="n"/>
      <c r="C452" s="64" t="n"/>
      <c r="D452" s="64" t="n"/>
      <c r="E452" s="64" t="n"/>
      <c r="F452" s="64" t="n"/>
      <c r="G452" s="79" t="n"/>
      <c r="H452" s="79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  <c r="Z452" s="64" t="n"/>
    </row>
    <row r="453" ht="15.75" customHeight="1" s="125">
      <c r="A453" s="64" t="n"/>
      <c r="B453" s="78" t="n"/>
      <c r="C453" s="64" t="n"/>
      <c r="D453" s="64" t="n"/>
      <c r="E453" s="64" t="n"/>
      <c r="F453" s="64" t="n"/>
      <c r="G453" s="79" t="n"/>
      <c r="H453" s="79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  <c r="Z453" s="64" t="n"/>
    </row>
    <row r="454" ht="15.75" customHeight="1" s="125">
      <c r="A454" s="64" t="n"/>
      <c r="B454" s="78" t="n"/>
      <c r="C454" s="64" t="n"/>
      <c r="D454" s="64" t="n"/>
      <c r="E454" s="64" t="n"/>
      <c r="F454" s="64" t="n"/>
      <c r="G454" s="79" t="n"/>
      <c r="H454" s="79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  <c r="Z454" s="64" t="n"/>
    </row>
    <row r="455" ht="15.75" customHeight="1" s="125">
      <c r="A455" s="64" t="n"/>
      <c r="B455" s="78" t="n"/>
      <c r="C455" s="64" t="n"/>
      <c r="D455" s="64" t="n"/>
      <c r="E455" s="64" t="n"/>
      <c r="F455" s="64" t="n"/>
      <c r="G455" s="79" t="n"/>
      <c r="H455" s="79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  <c r="Z455" s="64" t="n"/>
    </row>
    <row r="456" ht="15.75" customHeight="1" s="125">
      <c r="A456" s="64" t="n"/>
      <c r="B456" s="78" t="n"/>
      <c r="C456" s="64" t="n"/>
      <c r="D456" s="64" t="n"/>
      <c r="E456" s="64" t="n"/>
      <c r="F456" s="64" t="n"/>
      <c r="G456" s="79" t="n"/>
      <c r="H456" s="79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  <c r="Z456" s="64" t="n"/>
    </row>
    <row r="457" ht="15.75" customHeight="1" s="125">
      <c r="A457" s="64" t="n"/>
      <c r="B457" s="78" t="n"/>
      <c r="C457" s="64" t="n"/>
      <c r="D457" s="64" t="n"/>
      <c r="E457" s="64" t="n"/>
      <c r="F457" s="64" t="n"/>
      <c r="G457" s="79" t="n"/>
      <c r="H457" s="79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  <c r="Z457" s="64" t="n"/>
    </row>
    <row r="458" ht="15.75" customHeight="1" s="125">
      <c r="A458" s="64" t="n"/>
      <c r="B458" s="78" t="n"/>
      <c r="C458" s="64" t="n"/>
      <c r="D458" s="64" t="n"/>
      <c r="E458" s="64" t="n"/>
      <c r="F458" s="64" t="n"/>
      <c r="G458" s="79" t="n"/>
      <c r="H458" s="79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  <c r="Z458" s="64" t="n"/>
    </row>
    <row r="459" ht="15.75" customHeight="1" s="125">
      <c r="A459" s="64" t="n"/>
      <c r="B459" s="78" t="n"/>
      <c r="C459" s="64" t="n"/>
      <c r="D459" s="64" t="n"/>
      <c r="E459" s="64" t="n"/>
      <c r="F459" s="64" t="n"/>
      <c r="G459" s="79" t="n"/>
      <c r="H459" s="79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  <c r="Z459" s="64" t="n"/>
    </row>
    <row r="460" ht="15.75" customHeight="1" s="125">
      <c r="A460" s="64" t="n"/>
      <c r="B460" s="78" t="n"/>
      <c r="C460" s="64" t="n"/>
      <c r="D460" s="64" t="n"/>
      <c r="E460" s="64" t="n"/>
      <c r="F460" s="64" t="n"/>
      <c r="G460" s="79" t="n"/>
      <c r="H460" s="79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  <c r="Z460" s="64" t="n"/>
    </row>
    <row r="461" ht="15.75" customHeight="1" s="125">
      <c r="A461" s="64" t="n"/>
      <c r="B461" s="78" t="n"/>
      <c r="C461" s="64" t="n"/>
      <c r="D461" s="64" t="n"/>
      <c r="E461" s="64" t="n"/>
      <c r="F461" s="64" t="n"/>
      <c r="G461" s="79" t="n"/>
      <c r="H461" s="79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  <c r="Z461" s="64" t="n"/>
    </row>
    <row r="462" ht="15.75" customHeight="1" s="125">
      <c r="A462" s="64" t="n"/>
      <c r="B462" s="78" t="n"/>
      <c r="C462" s="64" t="n"/>
      <c r="D462" s="64" t="n"/>
      <c r="E462" s="64" t="n"/>
      <c r="F462" s="64" t="n"/>
      <c r="G462" s="79" t="n"/>
      <c r="H462" s="79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  <c r="Z462" s="64" t="n"/>
    </row>
    <row r="463" ht="15.75" customHeight="1" s="125">
      <c r="A463" s="64" t="n"/>
      <c r="B463" s="78" t="n"/>
      <c r="C463" s="64" t="n"/>
      <c r="D463" s="64" t="n"/>
      <c r="E463" s="64" t="n"/>
      <c r="F463" s="64" t="n"/>
      <c r="G463" s="79" t="n"/>
      <c r="H463" s="79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  <c r="Z463" s="64" t="n"/>
    </row>
    <row r="464" ht="15.75" customHeight="1" s="125">
      <c r="A464" s="64" t="n"/>
      <c r="B464" s="78" t="n"/>
      <c r="C464" s="64" t="n"/>
      <c r="D464" s="64" t="n"/>
      <c r="E464" s="64" t="n"/>
      <c r="F464" s="64" t="n"/>
      <c r="G464" s="79" t="n"/>
      <c r="H464" s="79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  <c r="Z464" s="64" t="n"/>
    </row>
    <row r="465" ht="15.75" customHeight="1" s="125">
      <c r="A465" s="64" t="n"/>
      <c r="B465" s="78" t="n"/>
      <c r="C465" s="64" t="n"/>
      <c r="D465" s="64" t="n"/>
      <c r="E465" s="64" t="n"/>
      <c r="F465" s="64" t="n"/>
      <c r="G465" s="79" t="n"/>
      <c r="H465" s="79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  <c r="Z465" s="64" t="n"/>
    </row>
    <row r="466" ht="15.75" customHeight="1" s="125">
      <c r="A466" s="64" t="n"/>
      <c r="B466" s="78" t="n"/>
      <c r="C466" s="64" t="n"/>
      <c r="D466" s="64" t="n"/>
      <c r="E466" s="64" t="n"/>
      <c r="F466" s="64" t="n"/>
      <c r="G466" s="79" t="n"/>
      <c r="H466" s="79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  <c r="Z466" s="64" t="n"/>
    </row>
    <row r="467" ht="15.75" customHeight="1" s="125">
      <c r="A467" s="64" t="n"/>
      <c r="B467" s="78" t="n"/>
      <c r="C467" s="64" t="n"/>
      <c r="D467" s="64" t="n"/>
      <c r="E467" s="64" t="n"/>
      <c r="F467" s="64" t="n"/>
      <c r="G467" s="79" t="n"/>
      <c r="H467" s="79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  <c r="Z467" s="64" t="n"/>
    </row>
    <row r="468" ht="15.75" customHeight="1" s="125">
      <c r="A468" s="64" t="n"/>
      <c r="B468" s="78" t="n"/>
      <c r="C468" s="64" t="n"/>
      <c r="D468" s="64" t="n"/>
      <c r="E468" s="64" t="n"/>
      <c r="F468" s="64" t="n"/>
      <c r="G468" s="79" t="n"/>
      <c r="H468" s="79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  <c r="Z468" s="64" t="n"/>
    </row>
    <row r="469" ht="15.75" customHeight="1" s="125">
      <c r="A469" s="64" t="n"/>
      <c r="B469" s="78" t="n"/>
      <c r="C469" s="64" t="n"/>
      <c r="D469" s="64" t="n"/>
      <c r="E469" s="64" t="n"/>
      <c r="F469" s="64" t="n"/>
      <c r="G469" s="79" t="n"/>
      <c r="H469" s="79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  <c r="Z469" s="64" t="n"/>
    </row>
    <row r="470" ht="15.75" customHeight="1" s="125">
      <c r="A470" s="64" t="n"/>
      <c r="B470" s="78" t="n"/>
      <c r="C470" s="64" t="n"/>
      <c r="D470" s="64" t="n"/>
      <c r="E470" s="64" t="n"/>
      <c r="F470" s="64" t="n"/>
      <c r="G470" s="79" t="n"/>
      <c r="H470" s="79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  <c r="Z470" s="64" t="n"/>
    </row>
    <row r="471" ht="15.75" customHeight="1" s="125">
      <c r="A471" s="64" t="n"/>
      <c r="B471" s="78" t="n"/>
      <c r="C471" s="64" t="n"/>
      <c r="D471" s="64" t="n"/>
      <c r="E471" s="64" t="n"/>
      <c r="F471" s="64" t="n"/>
      <c r="G471" s="79" t="n"/>
      <c r="H471" s="79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  <c r="Z471" s="64" t="n"/>
    </row>
    <row r="472" ht="15.75" customHeight="1" s="125">
      <c r="A472" s="64" t="n"/>
      <c r="B472" s="78" t="n"/>
      <c r="C472" s="64" t="n"/>
      <c r="D472" s="64" t="n"/>
      <c r="E472" s="64" t="n"/>
      <c r="F472" s="64" t="n"/>
      <c r="G472" s="79" t="n"/>
      <c r="H472" s="79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  <c r="Z472" s="64" t="n"/>
    </row>
    <row r="473" ht="15.75" customHeight="1" s="125">
      <c r="A473" s="64" t="n"/>
      <c r="B473" s="78" t="n"/>
      <c r="C473" s="64" t="n"/>
      <c r="D473" s="64" t="n"/>
      <c r="E473" s="64" t="n"/>
      <c r="F473" s="64" t="n"/>
      <c r="G473" s="79" t="n"/>
      <c r="H473" s="79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  <c r="Z473" s="64" t="n"/>
    </row>
    <row r="474" ht="15.75" customHeight="1" s="125">
      <c r="A474" s="64" t="n"/>
      <c r="B474" s="78" t="n"/>
      <c r="C474" s="64" t="n"/>
      <c r="D474" s="64" t="n"/>
      <c r="E474" s="64" t="n"/>
      <c r="F474" s="64" t="n"/>
      <c r="G474" s="79" t="n"/>
      <c r="H474" s="79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  <c r="Z474" s="64" t="n"/>
    </row>
    <row r="475" ht="15.75" customHeight="1" s="125">
      <c r="A475" s="64" t="n"/>
      <c r="B475" s="78" t="n"/>
      <c r="C475" s="64" t="n"/>
      <c r="D475" s="64" t="n"/>
      <c r="E475" s="64" t="n"/>
      <c r="F475" s="64" t="n"/>
      <c r="G475" s="79" t="n"/>
      <c r="H475" s="79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  <c r="Z475" s="64" t="n"/>
    </row>
    <row r="476" ht="15.75" customHeight="1" s="125">
      <c r="A476" s="64" t="n"/>
      <c r="B476" s="78" t="n"/>
      <c r="C476" s="64" t="n"/>
      <c r="D476" s="64" t="n"/>
      <c r="E476" s="64" t="n"/>
      <c r="F476" s="64" t="n"/>
      <c r="G476" s="79" t="n"/>
      <c r="H476" s="79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  <c r="Z476" s="64" t="n"/>
    </row>
    <row r="477" ht="15.75" customHeight="1" s="125">
      <c r="A477" s="64" t="n"/>
      <c r="B477" s="78" t="n"/>
      <c r="C477" s="64" t="n"/>
      <c r="D477" s="64" t="n"/>
      <c r="E477" s="64" t="n"/>
      <c r="F477" s="64" t="n"/>
      <c r="G477" s="79" t="n"/>
      <c r="H477" s="79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  <c r="Z477" s="64" t="n"/>
    </row>
    <row r="478" ht="15.75" customHeight="1" s="125">
      <c r="A478" s="64" t="n"/>
      <c r="B478" s="78" t="n"/>
      <c r="C478" s="64" t="n"/>
      <c r="D478" s="64" t="n"/>
      <c r="E478" s="64" t="n"/>
      <c r="F478" s="64" t="n"/>
      <c r="G478" s="79" t="n"/>
      <c r="H478" s="79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  <c r="Z478" s="64" t="n"/>
    </row>
    <row r="479" ht="15.75" customHeight="1" s="125">
      <c r="A479" s="64" t="n"/>
      <c r="B479" s="78" t="n"/>
      <c r="C479" s="64" t="n"/>
      <c r="D479" s="64" t="n"/>
      <c r="E479" s="64" t="n"/>
      <c r="F479" s="64" t="n"/>
      <c r="G479" s="79" t="n"/>
      <c r="H479" s="79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  <c r="Z479" s="64" t="n"/>
    </row>
    <row r="480" ht="15.75" customHeight="1" s="125">
      <c r="A480" s="64" t="n"/>
      <c r="B480" s="78" t="n"/>
      <c r="C480" s="64" t="n"/>
      <c r="D480" s="64" t="n"/>
      <c r="E480" s="64" t="n"/>
      <c r="F480" s="64" t="n"/>
      <c r="G480" s="79" t="n"/>
      <c r="H480" s="79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  <c r="Z480" s="64" t="n"/>
    </row>
    <row r="481" ht="15.75" customHeight="1" s="125">
      <c r="A481" s="64" t="n"/>
      <c r="B481" s="78" t="n"/>
      <c r="C481" s="64" t="n"/>
      <c r="D481" s="64" t="n"/>
      <c r="E481" s="64" t="n"/>
      <c r="F481" s="64" t="n"/>
      <c r="G481" s="79" t="n"/>
      <c r="H481" s="79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  <c r="Z481" s="64" t="n"/>
    </row>
    <row r="482" ht="15.75" customHeight="1" s="125">
      <c r="A482" s="64" t="n"/>
      <c r="B482" s="78" t="n"/>
      <c r="C482" s="64" t="n"/>
      <c r="D482" s="64" t="n"/>
      <c r="E482" s="64" t="n"/>
      <c r="F482" s="64" t="n"/>
      <c r="G482" s="79" t="n"/>
      <c r="H482" s="79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  <c r="Z482" s="64" t="n"/>
    </row>
    <row r="483" ht="15.75" customHeight="1" s="125">
      <c r="A483" s="64" t="n"/>
      <c r="B483" s="78" t="n"/>
      <c r="C483" s="64" t="n"/>
      <c r="D483" s="64" t="n"/>
      <c r="E483" s="64" t="n"/>
      <c r="F483" s="64" t="n"/>
      <c r="G483" s="79" t="n"/>
      <c r="H483" s="79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  <c r="Z483" s="64" t="n"/>
    </row>
    <row r="484" ht="15.75" customHeight="1" s="125">
      <c r="A484" s="64" t="n"/>
      <c r="B484" s="78" t="n"/>
      <c r="C484" s="64" t="n"/>
      <c r="D484" s="64" t="n"/>
      <c r="E484" s="64" t="n"/>
      <c r="F484" s="64" t="n"/>
      <c r="G484" s="79" t="n"/>
      <c r="H484" s="79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  <c r="Z484" s="64" t="n"/>
    </row>
    <row r="485" ht="15.75" customHeight="1" s="125">
      <c r="A485" s="64" t="n"/>
      <c r="B485" s="78" t="n"/>
      <c r="C485" s="64" t="n"/>
      <c r="D485" s="64" t="n"/>
      <c r="E485" s="64" t="n"/>
      <c r="F485" s="64" t="n"/>
      <c r="G485" s="79" t="n"/>
      <c r="H485" s="79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  <c r="Z485" s="64" t="n"/>
    </row>
    <row r="486" ht="15.75" customHeight="1" s="125">
      <c r="A486" s="64" t="n"/>
      <c r="B486" s="78" t="n"/>
      <c r="C486" s="64" t="n"/>
      <c r="D486" s="64" t="n"/>
      <c r="E486" s="64" t="n"/>
      <c r="F486" s="64" t="n"/>
      <c r="G486" s="79" t="n"/>
      <c r="H486" s="79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  <c r="Z486" s="64" t="n"/>
    </row>
    <row r="487" ht="15.75" customHeight="1" s="125">
      <c r="A487" s="64" t="n"/>
      <c r="B487" s="78" t="n"/>
      <c r="C487" s="64" t="n"/>
      <c r="D487" s="64" t="n"/>
      <c r="E487" s="64" t="n"/>
      <c r="F487" s="64" t="n"/>
      <c r="G487" s="79" t="n"/>
      <c r="H487" s="79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  <c r="Z487" s="64" t="n"/>
    </row>
    <row r="488" ht="15.75" customHeight="1" s="125">
      <c r="A488" s="64" t="n"/>
      <c r="B488" s="78" t="n"/>
      <c r="C488" s="64" t="n"/>
      <c r="D488" s="64" t="n"/>
      <c r="E488" s="64" t="n"/>
      <c r="F488" s="64" t="n"/>
      <c r="G488" s="79" t="n"/>
      <c r="H488" s="79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  <c r="Z488" s="64" t="n"/>
    </row>
    <row r="489" ht="15.75" customHeight="1" s="125">
      <c r="A489" s="64" t="n"/>
      <c r="B489" s="78" t="n"/>
      <c r="C489" s="64" t="n"/>
      <c r="D489" s="64" t="n"/>
      <c r="E489" s="64" t="n"/>
      <c r="F489" s="64" t="n"/>
      <c r="G489" s="79" t="n"/>
      <c r="H489" s="79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  <c r="Z489" s="64" t="n"/>
    </row>
    <row r="490" ht="15.75" customHeight="1" s="125">
      <c r="A490" s="64" t="n"/>
      <c r="B490" s="78" t="n"/>
      <c r="C490" s="64" t="n"/>
      <c r="D490" s="64" t="n"/>
      <c r="E490" s="64" t="n"/>
      <c r="F490" s="64" t="n"/>
      <c r="G490" s="79" t="n"/>
      <c r="H490" s="79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  <c r="Z490" s="64" t="n"/>
    </row>
    <row r="491" ht="15.75" customHeight="1" s="125">
      <c r="A491" s="64" t="n"/>
      <c r="B491" s="78" t="n"/>
      <c r="C491" s="64" t="n"/>
      <c r="D491" s="64" t="n"/>
      <c r="E491" s="64" t="n"/>
      <c r="F491" s="64" t="n"/>
      <c r="G491" s="79" t="n"/>
      <c r="H491" s="79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  <c r="Z491" s="64" t="n"/>
    </row>
    <row r="492" ht="15.75" customHeight="1" s="125">
      <c r="A492" s="64" t="n"/>
      <c r="B492" s="78" t="n"/>
      <c r="C492" s="64" t="n"/>
      <c r="D492" s="64" t="n"/>
      <c r="E492" s="64" t="n"/>
      <c r="F492" s="64" t="n"/>
      <c r="G492" s="79" t="n"/>
      <c r="H492" s="79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  <c r="Z492" s="64" t="n"/>
    </row>
    <row r="493" ht="15.75" customHeight="1" s="125">
      <c r="A493" s="64" t="n"/>
      <c r="B493" s="78" t="n"/>
      <c r="C493" s="64" t="n"/>
      <c r="D493" s="64" t="n"/>
      <c r="E493" s="64" t="n"/>
      <c r="F493" s="64" t="n"/>
      <c r="G493" s="79" t="n"/>
      <c r="H493" s="79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  <c r="Z493" s="64" t="n"/>
    </row>
    <row r="494" ht="15.75" customHeight="1" s="125">
      <c r="A494" s="64" t="n"/>
      <c r="B494" s="78" t="n"/>
      <c r="C494" s="64" t="n"/>
      <c r="D494" s="64" t="n"/>
      <c r="E494" s="64" t="n"/>
      <c r="F494" s="64" t="n"/>
      <c r="G494" s="79" t="n"/>
      <c r="H494" s="79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  <c r="Z494" s="64" t="n"/>
    </row>
    <row r="495" ht="15.75" customHeight="1" s="125">
      <c r="A495" s="64" t="n"/>
      <c r="B495" s="78" t="n"/>
      <c r="C495" s="64" t="n"/>
      <c r="D495" s="64" t="n"/>
      <c r="E495" s="64" t="n"/>
      <c r="F495" s="64" t="n"/>
      <c r="G495" s="79" t="n"/>
      <c r="H495" s="79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  <c r="Z495" s="64" t="n"/>
    </row>
    <row r="496" ht="15.75" customHeight="1" s="125">
      <c r="A496" s="64" t="n"/>
      <c r="B496" s="78" t="n"/>
      <c r="C496" s="64" t="n"/>
      <c r="D496" s="64" t="n"/>
      <c r="E496" s="64" t="n"/>
      <c r="F496" s="64" t="n"/>
      <c r="G496" s="79" t="n"/>
      <c r="H496" s="79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  <c r="Z496" s="64" t="n"/>
    </row>
    <row r="497" ht="15.75" customHeight="1" s="125">
      <c r="A497" s="64" t="n"/>
      <c r="B497" s="78" t="n"/>
      <c r="C497" s="64" t="n"/>
      <c r="D497" s="64" t="n"/>
      <c r="E497" s="64" t="n"/>
      <c r="F497" s="64" t="n"/>
      <c r="G497" s="79" t="n"/>
      <c r="H497" s="79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  <c r="Z497" s="64" t="n"/>
    </row>
    <row r="498" ht="15.75" customHeight="1" s="125">
      <c r="A498" s="64" t="n"/>
      <c r="B498" s="78" t="n"/>
      <c r="C498" s="64" t="n"/>
      <c r="D498" s="64" t="n"/>
      <c r="E498" s="64" t="n"/>
      <c r="F498" s="64" t="n"/>
      <c r="G498" s="79" t="n"/>
      <c r="H498" s="79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  <c r="Z498" s="64" t="n"/>
    </row>
    <row r="499" ht="15.75" customHeight="1" s="125">
      <c r="A499" s="64" t="n"/>
      <c r="B499" s="78" t="n"/>
      <c r="C499" s="64" t="n"/>
      <c r="D499" s="64" t="n"/>
      <c r="E499" s="64" t="n"/>
      <c r="F499" s="64" t="n"/>
      <c r="G499" s="79" t="n"/>
      <c r="H499" s="79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  <c r="Z499" s="64" t="n"/>
    </row>
    <row r="500" ht="15.75" customHeight="1" s="125">
      <c r="A500" s="64" t="n"/>
      <c r="B500" s="78" t="n"/>
      <c r="C500" s="64" t="n"/>
      <c r="D500" s="64" t="n"/>
      <c r="E500" s="64" t="n"/>
      <c r="F500" s="64" t="n"/>
      <c r="G500" s="79" t="n"/>
      <c r="H500" s="79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  <c r="Z500" s="64" t="n"/>
    </row>
    <row r="501" ht="15.75" customHeight="1" s="125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  <c r="Z501" s="64" t="n"/>
    </row>
    <row r="502" ht="15.75" customHeight="1" s="125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  <c r="Z502" s="64" t="n"/>
    </row>
    <row r="503" ht="15.75" customHeight="1" s="125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  <c r="Z503" s="64" t="n"/>
    </row>
    <row r="504" ht="15.75" customHeight="1" s="125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  <c r="Z504" s="64" t="n"/>
    </row>
    <row r="505" ht="15.75" customHeight="1" s="12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  <c r="Z505" s="64" t="n"/>
    </row>
    <row r="506" ht="15.75" customHeight="1" s="125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  <c r="Z506" s="64" t="n"/>
    </row>
    <row r="507" ht="15.75" customHeight="1" s="125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  <c r="Z507" s="64" t="n"/>
    </row>
    <row r="508" ht="15.75" customHeight="1" s="125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  <c r="Z508" s="64" t="n"/>
    </row>
    <row r="509" ht="15.75" customHeight="1" s="125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  <c r="Z509" s="64" t="n"/>
    </row>
    <row r="510" ht="15.75" customHeight="1" s="125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  <c r="Z510" s="64" t="n"/>
    </row>
    <row r="511" ht="15.75" customHeight="1" s="125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  <c r="Z511" s="64" t="n"/>
    </row>
    <row r="512" ht="15.75" customHeight="1" s="125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  <c r="Z512" s="64" t="n"/>
    </row>
    <row r="513" ht="15.75" customHeight="1" s="125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  <c r="Z513" s="64" t="n"/>
    </row>
    <row r="514" ht="15.75" customHeight="1" s="125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  <c r="Z514" s="64" t="n"/>
    </row>
    <row r="515" ht="15.75" customHeight="1" s="12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  <c r="Z515" s="64" t="n"/>
    </row>
    <row r="516" ht="15.75" customHeight="1" s="125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  <c r="Z516" s="64" t="n"/>
    </row>
    <row r="517" ht="15.75" customHeight="1" s="125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  <c r="Z517" s="64" t="n"/>
    </row>
    <row r="518" ht="15.75" customHeight="1" s="125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  <c r="Z518" s="64" t="n"/>
    </row>
    <row r="519" ht="15.75" customHeight="1" s="125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  <c r="Z519" s="64" t="n"/>
    </row>
    <row r="520" ht="15.75" customHeight="1" s="125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  <c r="Z520" s="64" t="n"/>
    </row>
    <row r="521" ht="15.75" customHeight="1" s="125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  <c r="Z521" s="64" t="n"/>
    </row>
    <row r="522" ht="15.75" customHeight="1" s="125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  <c r="Z522" s="64" t="n"/>
    </row>
    <row r="523" ht="15.75" customHeight="1" s="125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  <c r="Z523" s="64" t="n"/>
    </row>
    <row r="524" ht="15.75" customHeight="1" s="125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  <c r="Z524" s="64" t="n"/>
    </row>
    <row r="525" ht="15.75" customHeight="1" s="1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  <c r="Z525" s="64" t="n"/>
    </row>
    <row r="526" ht="15.75" customHeight="1" s="125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  <c r="Z526" s="64" t="n"/>
    </row>
    <row r="527" ht="15.75" customHeight="1" s="125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  <c r="Z527" s="64" t="n"/>
    </row>
    <row r="528" ht="15.75" customHeight="1" s="125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  <c r="Z528" s="64" t="n"/>
    </row>
    <row r="529" ht="15.75" customHeight="1" s="125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  <c r="Z529" s="64" t="n"/>
    </row>
    <row r="530" ht="15.75" customHeight="1" s="125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  <c r="Z530" s="64" t="n"/>
    </row>
    <row r="531" ht="15.75" customHeight="1" s="125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  <c r="Z531" s="64" t="n"/>
    </row>
    <row r="532" ht="15.75" customHeight="1" s="125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  <c r="Z532" s="64" t="n"/>
    </row>
    <row r="533" ht="15.75" customHeight="1" s="125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  <c r="Z533" s="64" t="n"/>
    </row>
    <row r="534" ht="15.75" customHeight="1" s="125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  <c r="Z534" s="64" t="n"/>
    </row>
    <row r="535" ht="15.75" customHeight="1" s="12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  <c r="Z535" s="64" t="n"/>
    </row>
    <row r="536" ht="15.75" customHeight="1" s="125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  <c r="Z536" s="64" t="n"/>
    </row>
    <row r="537" ht="15.75" customHeight="1" s="125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  <c r="Z537" s="64" t="n"/>
    </row>
    <row r="538" ht="15.75" customHeight="1" s="125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  <c r="Z538" s="64" t="n"/>
    </row>
    <row r="539" ht="15.75" customHeight="1" s="125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  <c r="Z539" s="64" t="n"/>
    </row>
    <row r="540" ht="15.75" customHeight="1" s="125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  <c r="Z540" s="64" t="n"/>
    </row>
    <row r="541" ht="15.75" customHeight="1" s="125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  <c r="Z541" s="64" t="n"/>
    </row>
    <row r="542" ht="15.75" customHeight="1" s="125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  <c r="Z542" s="64" t="n"/>
    </row>
    <row r="543" ht="15.75" customHeight="1" s="125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  <c r="Z543" s="64" t="n"/>
    </row>
    <row r="544" ht="15.75" customHeight="1" s="125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  <c r="Z544" s="64" t="n"/>
    </row>
    <row r="545" ht="15.75" customHeight="1" s="12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  <c r="Z545" s="64" t="n"/>
    </row>
    <row r="546" ht="15.75" customHeight="1" s="125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  <c r="Z546" s="64" t="n"/>
    </row>
    <row r="547" ht="15.75" customHeight="1" s="125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  <c r="Z547" s="64" t="n"/>
    </row>
    <row r="548" ht="15.75" customHeight="1" s="125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  <c r="Z548" s="64" t="n"/>
    </row>
    <row r="549" ht="15.75" customHeight="1" s="125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  <c r="Z549" s="64" t="n"/>
    </row>
    <row r="550" ht="15.75" customHeight="1" s="125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  <c r="Z550" s="64" t="n"/>
    </row>
    <row r="551" ht="15.75" customHeight="1" s="125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  <c r="Z551" s="64" t="n"/>
    </row>
    <row r="552" ht="15.75" customHeight="1" s="125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  <c r="Z552" s="64" t="n"/>
    </row>
    <row r="553" ht="15.75" customHeight="1" s="125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  <c r="Z553" s="64" t="n"/>
    </row>
    <row r="554" ht="15.75" customHeight="1" s="125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  <c r="Z554" s="64" t="n"/>
    </row>
    <row r="555" ht="15.75" customHeight="1" s="12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  <c r="Z555" s="64" t="n"/>
    </row>
    <row r="556" ht="15.75" customHeight="1" s="125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  <c r="Z556" s="64" t="n"/>
    </row>
    <row r="557" ht="15.75" customHeight="1" s="125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  <c r="Z557" s="64" t="n"/>
    </row>
    <row r="558" ht="15.75" customHeight="1" s="125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  <c r="Z558" s="64" t="n"/>
    </row>
    <row r="559" ht="15.75" customHeight="1" s="125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  <c r="Z559" s="64" t="n"/>
    </row>
    <row r="560" ht="15.75" customHeight="1" s="125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  <c r="Z560" s="64" t="n"/>
    </row>
    <row r="561" ht="15.75" customHeight="1" s="125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  <c r="Z561" s="64" t="n"/>
    </row>
    <row r="562" ht="15.75" customHeight="1" s="125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  <c r="Z562" s="64" t="n"/>
    </row>
    <row r="563" ht="15.75" customHeight="1" s="125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  <c r="Z563" s="64" t="n"/>
    </row>
    <row r="564" ht="15.75" customHeight="1" s="125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  <c r="Z564" s="64" t="n"/>
    </row>
    <row r="565" ht="15.75" customHeight="1" s="12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  <c r="Z565" s="64" t="n"/>
    </row>
    <row r="566" ht="15.75" customHeight="1" s="125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  <c r="Z566" s="64" t="n"/>
    </row>
    <row r="567" ht="15.75" customHeight="1" s="125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  <c r="Z567" s="64" t="n"/>
    </row>
    <row r="568" ht="15.75" customHeight="1" s="125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  <c r="Z568" s="64" t="n"/>
    </row>
    <row r="569" ht="15.75" customHeight="1" s="125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  <c r="Z569" s="64" t="n"/>
    </row>
    <row r="570" ht="15.75" customHeight="1" s="125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  <c r="Z570" s="64" t="n"/>
    </row>
    <row r="571" ht="15.75" customHeight="1" s="125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  <c r="Z571" s="64" t="n"/>
    </row>
    <row r="572" ht="15.75" customHeight="1" s="125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  <c r="Z572" s="64" t="n"/>
    </row>
    <row r="573" ht="15.75" customHeight="1" s="125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  <c r="Z573" s="64" t="n"/>
    </row>
    <row r="574" ht="15.75" customHeight="1" s="125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  <c r="Z574" s="64" t="n"/>
    </row>
    <row r="575" ht="15.75" customHeight="1" s="12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  <c r="Z575" s="64" t="n"/>
    </row>
    <row r="576" ht="15.75" customHeight="1" s="125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  <c r="Z576" s="64" t="n"/>
    </row>
    <row r="577" ht="15.75" customHeight="1" s="125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  <c r="Z577" s="64" t="n"/>
    </row>
    <row r="578" ht="15.75" customHeight="1" s="125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  <c r="Z578" s="64" t="n"/>
    </row>
    <row r="579" ht="15.75" customHeight="1" s="125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  <c r="Z579" s="64" t="n"/>
    </row>
    <row r="580" ht="15.75" customHeight="1" s="125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  <c r="Z580" s="64" t="n"/>
    </row>
    <row r="581" ht="15.75" customHeight="1" s="125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  <c r="Z581" s="64" t="n"/>
    </row>
    <row r="582" ht="15.75" customHeight="1" s="125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  <c r="Z582" s="64" t="n"/>
    </row>
    <row r="583" ht="15.75" customHeight="1" s="125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  <c r="Z583" s="64" t="n"/>
    </row>
    <row r="584" ht="15.75" customHeight="1" s="125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  <c r="Z584" s="64" t="n"/>
    </row>
    <row r="585" ht="15.75" customHeight="1" s="12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  <c r="Z585" s="64" t="n"/>
    </row>
    <row r="586" ht="15.75" customHeight="1" s="125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  <c r="Z586" s="64" t="n"/>
    </row>
    <row r="587" ht="15.75" customHeight="1" s="125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  <c r="Z587" s="64" t="n"/>
    </row>
    <row r="588" ht="15.75" customHeight="1" s="125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  <c r="Z588" s="64" t="n"/>
    </row>
    <row r="589" ht="15.75" customHeight="1" s="125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  <c r="Z589" s="64" t="n"/>
    </row>
    <row r="590" ht="15.75" customHeight="1" s="125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  <c r="Z590" s="64" t="n"/>
    </row>
    <row r="591" ht="15.75" customHeight="1" s="125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  <c r="Z591" s="64" t="n"/>
    </row>
    <row r="592" ht="15.75" customHeight="1" s="125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  <c r="Z592" s="64" t="n"/>
    </row>
    <row r="593" ht="15.75" customHeight="1" s="125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  <c r="Z593" s="64" t="n"/>
    </row>
    <row r="594" ht="15.75" customHeight="1" s="125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  <c r="Z594" s="64" t="n"/>
    </row>
    <row r="595" ht="15.75" customHeight="1" s="12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  <c r="Z595" s="64" t="n"/>
    </row>
    <row r="596" ht="15.75" customHeight="1" s="125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  <c r="Z596" s="64" t="n"/>
    </row>
    <row r="597" ht="15.75" customHeight="1" s="125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  <c r="Z597" s="64" t="n"/>
    </row>
    <row r="598" ht="15.75" customHeight="1" s="125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  <c r="Z598" s="64" t="n"/>
    </row>
    <row r="599" ht="15.75" customHeight="1" s="125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  <c r="Z599" s="64" t="n"/>
    </row>
    <row r="600" ht="15.75" customHeight="1" s="125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  <c r="Z600" s="64" t="n"/>
    </row>
    <row r="601" ht="15.75" customHeight="1" s="125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  <c r="Z601" s="64" t="n"/>
    </row>
    <row r="602" ht="15.75" customHeight="1" s="125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  <c r="Z602" s="64" t="n"/>
    </row>
    <row r="603" ht="15.75" customHeight="1" s="125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  <c r="Z603" s="64" t="n"/>
    </row>
    <row r="604" ht="15.75" customHeight="1" s="125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  <c r="Z604" s="64" t="n"/>
    </row>
    <row r="605" ht="15.75" customHeight="1" s="12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  <c r="Z605" s="64" t="n"/>
    </row>
    <row r="606" ht="15.75" customHeight="1" s="125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  <c r="Z606" s="64" t="n"/>
    </row>
    <row r="607" ht="15.75" customHeight="1" s="125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  <c r="Z607" s="64" t="n"/>
    </row>
    <row r="608" ht="15.75" customHeight="1" s="125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  <c r="Z608" s="64" t="n"/>
    </row>
    <row r="609" ht="15.75" customHeight="1" s="125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  <c r="Z609" s="64" t="n"/>
    </row>
    <row r="610" ht="15.75" customHeight="1" s="125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  <c r="Z610" s="64" t="n"/>
    </row>
    <row r="611" ht="15.75" customHeight="1" s="125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  <c r="Z611" s="64" t="n"/>
    </row>
    <row r="612" ht="15.75" customHeight="1" s="125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  <c r="Z612" s="64" t="n"/>
    </row>
    <row r="613" ht="15.75" customHeight="1" s="125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  <c r="Z613" s="64" t="n"/>
    </row>
    <row r="614" ht="15.75" customHeight="1" s="125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  <c r="Z614" s="64" t="n"/>
    </row>
    <row r="615" ht="15.75" customHeight="1" s="12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  <c r="Z615" s="64" t="n"/>
    </row>
    <row r="616" ht="15.75" customHeight="1" s="125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  <c r="Z616" s="64" t="n"/>
    </row>
    <row r="617" ht="15.75" customHeight="1" s="125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  <c r="Z617" s="64" t="n"/>
    </row>
    <row r="618" ht="15.75" customHeight="1" s="125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  <c r="Z618" s="64" t="n"/>
    </row>
    <row r="619" ht="15.75" customHeight="1" s="125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  <c r="Z619" s="64" t="n"/>
    </row>
    <row r="620" ht="15.75" customHeight="1" s="125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  <c r="Z620" s="64" t="n"/>
    </row>
    <row r="621" ht="15.75" customHeight="1" s="125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  <c r="Z621" s="64" t="n"/>
    </row>
    <row r="622" ht="15.75" customHeight="1" s="125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  <c r="Z622" s="64" t="n"/>
    </row>
    <row r="623" ht="15.75" customHeight="1" s="125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  <c r="Z623" s="64" t="n"/>
    </row>
    <row r="624" ht="15.75" customHeight="1" s="125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  <c r="Z624" s="64" t="n"/>
    </row>
    <row r="625" ht="15.75" customHeight="1" s="1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  <c r="Z625" s="64" t="n"/>
    </row>
    <row r="626" ht="15.75" customHeight="1" s="125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  <c r="Z626" s="64" t="n"/>
    </row>
    <row r="627" ht="15.75" customHeight="1" s="125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  <c r="Z627" s="64" t="n"/>
    </row>
    <row r="628" ht="15.75" customHeight="1" s="125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  <c r="Z628" s="64" t="n"/>
    </row>
    <row r="629" ht="15.75" customHeight="1" s="125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  <c r="Z629" s="64" t="n"/>
    </row>
    <row r="630" ht="15.75" customHeight="1" s="125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  <c r="Z630" s="64" t="n"/>
    </row>
    <row r="631" ht="15.75" customHeight="1" s="125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  <c r="Z631" s="64" t="n"/>
    </row>
    <row r="632" ht="15.75" customHeight="1" s="125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  <c r="Z632" s="64" t="n"/>
    </row>
    <row r="633" ht="15.75" customHeight="1" s="125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  <c r="Z633" s="64" t="n"/>
    </row>
    <row r="634" ht="15.75" customHeight="1" s="125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  <c r="Z634" s="64" t="n"/>
    </row>
    <row r="635" ht="15.75" customHeight="1" s="12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  <c r="Z635" s="64" t="n"/>
    </row>
    <row r="636" ht="15.75" customHeight="1" s="125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  <c r="Z636" s="64" t="n"/>
    </row>
    <row r="637" ht="15.75" customHeight="1" s="125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  <c r="Z637" s="64" t="n"/>
    </row>
    <row r="638" ht="15.75" customHeight="1" s="125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  <c r="Z638" s="64" t="n"/>
    </row>
    <row r="639" ht="15.75" customHeight="1" s="125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  <c r="Z639" s="64" t="n"/>
    </row>
    <row r="640" ht="15.75" customHeight="1" s="125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  <c r="Z640" s="64" t="n"/>
    </row>
    <row r="641" ht="15.75" customHeight="1" s="125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  <c r="Z641" s="64" t="n"/>
    </row>
    <row r="642" ht="15.75" customHeight="1" s="125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  <c r="Z642" s="64" t="n"/>
    </row>
    <row r="643" ht="15.75" customHeight="1" s="125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  <c r="Z643" s="64" t="n"/>
    </row>
    <row r="644" ht="15.75" customHeight="1" s="125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  <c r="Z644" s="64" t="n"/>
    </row>
    <row r="645" ht="15.75" customHeight="1" s="12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  <c r="Z645" s="64" t="n"/>
    </row>
    <row r="646" ht="15.75" customHeight="1" s="125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  <c r="Z646" s="64" t="n"/>
    </row>
    <row r="647" ht="15.75" customHeight="1" s="125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  <c r="Z647" s="64" t="n"/>
    </row>
    <row r="648" ht="15.75" customHeight="1" s="125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  <c r="Z648" s="64" t="n"/>
    </row>
    <row r="649" ht="15.75" customHeight="1" s="125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  <c r="Z649" s="64" t="n"/>
    </row>
    <row r="650" ht="15.75" customHeight="1" s="125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  <c r="Z650" s="64" t="n"/>
    </row>
    <row r="651" ht="15.75" customHeight="1" s="125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  <c r="Z651" s="64" t="n"/>
    </row>
    <row r="652" ht="15.75" customHeight="1" s="125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  <c r="Z652" s="64" t="n"/>
    </row>
    <row r="653" ht="15.75" customHeight="1" s="125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  <c r="Z653" s="64" t="n"/>
    </row>
    <row r="654" ht="15.75" customHeight="1" s="125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  <c r="Z654" s="64" t="n"/>
    </row>
    <row r="655" ht="15.75" customHeight="1" s="12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  <c r="Z655" s="64" t="n"/>
    </row>
    <row r="656" ht="15.75" customHeight="1" s="125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  <c r="Z656" s="64" t="n"/>
    </row>
    <row r="657" ht="15.75" customHeight="1" s="125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  <c r="Z657" s="64" t="n"/>
    </row>
    <row r="658" ht="15.75" customHeight="1" s="125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  <c r="Z658" s="64" t="n"/>
    </row>
    <row r="659" ht="15.75" customHeight="1" s="125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  <c r="Z659" s="64" t="n"/>
    </row>
    <row r="660" ht="15.75" customHeight="1" s="125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  <c r="Z660" s="64" t="n"/>
    </row>
    <row r="661" ht="15.75" customHeight="1" s="125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  <c r="Z661" s="64" t="n"/>
    </row>
    <row r="662" ht="15.75" customHeight="1" s="125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  <c r="Z662" s="64" t="n"/>
    </row>
    <row r="663" ht="15.75" customHeight="1" s="125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  <c r="Z663" s="64" t="n"/>
    </row>
    <row r="664" ht="15.75" customHeight="1" s="125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  <c r="Z664" s="64" t="n"/>
    </row>
    <row r="665" ht="15.75" customHeight="1" s="12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  <c r="Z665" s="64" t="n"/>
    </row>
    <row r="666" ht="15.75" customHeight="1" s="125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  <c r="Z666" s="64" t="n"/>
    </row>
    <row r="667" ht="15.75" customHeight="1" s="125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  <c r="Z667" s="64" t="n"/>
    </row>
    <row r="668" ht="15.75" customHeight="1" s="125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  <c r="Z668" s="64" t="n"/>
    </row>
    <row r="669" ht="15.75" customHeight="1" s="125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  <c r="Z669" s="64" t="n"/>
    </row>
    <row r="670" ht="15.75" customHeight="1" s="125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  <c r="Z670" s="64" t="n"/>
    </row>
    <row r="671" ht="15.75" customHeight="1" s="125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  <c r="Z671" s="64" t="n"/>
    </row>
    <row r="672" ht="15.75" customHeight="1" s="125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  <c r="Z672" s="64" t="n"/>
    </row>
    <row r="673" ht="15.75" customHeight="1" s="125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  <c r="Z673" s="64" t="n"/>
    </row>
    <row r="674" ht="15.75" customHeight="1" s="125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  <c r="Z674" s="64" t="n"/>
    </row>
    <row r="675" ht="15.75" customHeight="1" s="12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  <c r="Z675" s="64" t="n"/>
    </row>
    <row r="676" ht="15.75" customHeight="1" s="125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  <c r="Z676" s="64" t="n"/>
    </row>
    <row r="677" ht="15.75" customHeight="1" s="125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  <c r="Z677" s="64" t="n"/>
    </row>
    <row r="678" ht="15.75" customHeight="1" s="125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  <c r="Z678" s="64" t="n"/>
    </row>
    <row r="679" ht="15.75" customHeight="1" s="125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  <c r="Z679" s="64" t="n"/>
    </row>
    <row r="680" ht="15.75" customHeight="1" s="125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  <c r="Z680" s="64" t="n"/>
    </row>
    <row r="681" ht="15.75" customHeight="1" s="125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  <c r="Z681" s="64" t="n"/>
    </row>
    <row r="682" ht="15.75" customHeight="1" s="125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  <c r="Z682" s="64" t="n"/>
    </row>
    <row r="683" ht="15.75" customHeight="1" s="125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  <c r="Z683" s="64" t="n"/>
    </row>
    <row r="684" ht="15.75" customHeight="1" s="125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  <c r="Z684" s="64" t="n"/>
    </row>
    <row r="685" ht="15.75" customHeight="1" s="12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  <c r="Z685" s="64" t="n"/>
    </row>
    <row r="686" ht="15.75" customHeight="1" s="125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  <c r="Z686" s="64" t="n"/>
    </row>
    <row r="687" ht="15.75" customHeight="1" s="125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  <c r="Z687" s="64" t="n"/>
    </row>
    <row r="688" ht="15.75" customHeight="1" s="125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  <c r="Z688" s="64" t="n"/>
    </row>
    <row r="689" ht="15.75" customHeight="1" s="125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  <c r="Z689" s="64" t="n"/>
    </row>
    <row r="690" ht="15.75" customHeight="1" s="125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  <c r="Z690" s="64" t="n"/>
    </row>
    <row r="691" ht="15.75" customHeight="1" s="125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  <c r="Z691" s="64" t="n"/>
    </row>
    <row r="692" ht="15.75" customHeight="1" s="125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  <c r="Z692" s="64" t="n"/>
    </row>
    <row r="693" ht="15.75" customHeight="1" s="125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  <c r="Z693" s="64" t="n"/>
    </row>
    <row r="694" ht="15.75" customHeight="1" s="125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  <c r="Z694" s="64" t="n"/>
    </row>
    <row r="695" ht="15.75" customHeight="1" s="12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  <c r="Z695" s="64" t="n"/>
    </row>
    <row r="696" ht="15.75" customHeight="1" s="125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  <c r="Z696" s="64" t="n"/>
    </row>
    <row r="697" ht="15.75" customHeight="1" s="125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  <c r="Z697" s="64" t="n"/>
    </row>
    <row r="698" ht="15.75" customHeight="1" s="125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  <c r="Z698" s="64" t="n"/>
    </row>
    <row r="699" ht="15.75" customHeight="1" s="125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  <c r="Z699" s="64" t="n"/>
    </row>
    <row r="700" ht="15.75" customHeight="1" s="125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  <c r="Z700" s="64" t="n"/>
    </row>
    <row r="701" ht="15.75" customHeight="1" s="125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  <c r="Z701" s="64" t="n"/>
    </row>
    <row r="702" ht="15.75" customHeight="1" s="125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  <c r="Z702" s="64" t="n"/>
    </row>
    <row r="703" ht="15.75" customHeight="1" s="125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  <c r="Z703" s="64" t="n"/>
    </row>
    <row r="704" ht="15.75" customHeight="1" s="125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  <c r="Z704" s="64" t="n"/>
    </row>
    <row r="705" ht="15.75" customHeight="1" s="12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  <c r="Z705" s="64" t="n"/>
    </row>
    <row r="706" ht="15.75" customHeight="1" s="125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  <c r="Z706" s="64" t="n"/>
    </row>
    <row r="707" ht="15.75" customHeight="1" s="125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  <c r="Z707" s="64" t="n"/>
    </row>
    <row r="708" ht="15.75" customHeight="1" s="125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  <c r="Z708" s="64" t="n"/>
    </row>
    <row r="709" ht="15.75" customHeight="1" s="125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  <c r="Z709" s="64" t="n"/>
    </row>
    <row r="710" ht="15.75" customHeight="1" s="125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  <c r="Z710" s="64" t="n"/>
    </row>
    <row r="711" ht="15.75" customHeight="1" s="125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  <c r="Z711" s="64" t="n"/>
    </row>
    <row r="712" ht="15.75" customHeight="1" s="125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  <c r="Z712" s="64" t="n"/>
    </row>
    <row r="713" ht="15.75" customHeight="1" s="125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  <c r="Z713" s="64" t="n"/>
    </row>
    <row r="714" ht="15.75" customHeight="1" s="125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  <c r="Z714" s="64" t="n"/>
    </row>
    <row r="715" ht="15.75" customHeight="1" s="12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  <c r="Z715" s="64" t="n"/>
    </row>
    <row r="716" ht="15.75" customHeight="1" s="125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  <c r="Z716" s="64" t="n"/>
    </row>
    <row r="717" ht="15.75" customHeight="1" s="125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  <c r="Z717" s="64" t="n"/>
    </row>
    <row r="718" ht="15.75" customHeight="1" s="125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  <c r="Z718" s="64" t="n"/>
    </row>
    <row r="719" ht="15.75" customHeight="1" s="125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  <c r="Z719" s="64" t="n"/>
    </row>
    <row r="720" ht="15.75" customHeight="1" s="125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  <c r="Z720" s="64" t="n"/>
    </row>
    <row r="721" ht="15.75" customHeight="1" s="125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  <c r="Z721" s="64" t="n"/>
    </row>
    <row r="722" ht="15.75" customHeight="1" s="125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  <c r="Z722" s="64" t="n"/>
    </row>
    <row r="723" ht="15.75" customHeight="1" s="125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  <c r="Z723" s="64" t="n"/>
    </row>
    <row r="724" ht="15.75" customHeight="1" s="125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  <c r="Z724" s="64" t="n"/>
    </row>
    <row r="725" ht="15.75" customHeight="1" s="1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  <c r="Z725" s="64" t="n"/>
    </row>
    <row r="726" ht="15.75" customHeight="1" s="125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  <c r="Z726" s="64" t="n"/>
    </row>
    <row r="727" ht="15.75" customHeight="1" s="125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  <c r="Z727" s="64" t="n"/>
    </row>
    <row r="728" ht="15.75" customHeight="1" s="125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  <c r="Z728" s="64" t="n"/>
    </row>
    <row r="729" ht="15.75" customHeight="1" s="125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  <c r="Z729" s="64" t="n"/>
    </row>
    <row r="730" ht="15.75" customHeight="1" s="125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  <c r="Z730" s="64" t="n"/>
    </row>
    <row r="731" ht="15.75" customHeight="1" s="125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  <c r="Z731" s="64" t="n"/>
    </row>
    <row r="732" ht="15.75" customHeight="1" s="125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  <c r="Z732" s="64" t="n"/>
    </row>
    <row r="733" ht="15.75" customHeight="1" s="125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  <c r="Z733" s="64" t="n"/>
    </row>
    <row r="734" ht="15.75" customHeight="1" s="125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  <c r="Z734" s="64" t="n"/>
    </row>
    <row r="735" ht="15.75" customHeight="1" s="12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  <c r="Z735" s="64" t="n"/>
    </row>
    <row r="736" ht="15.75" customHeight="1" s="125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  <c r="Z736" s="64" t="n"/>
    </row>
    <row r="737" ht="15.75" customHeight="1" s="125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  <c r="Z737" s="64" t="n"/>
    </row>
    <row r="738" ht="15.75" customHeight="1" s="125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  <c r="Z738" s="64" t="n"/>
    </row>
    <row r="739" ht="15.75" customHeight="1" s="125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  <c r="Z739" s="64" t="n"/>
    </row>
    <row r="740" ht="15.75" customHeight="1" s="125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  <c r="Z740" s="64" t="n"/>
    </row>
    <row r="741" ht="15.75" customHeight="1" s="125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  <c r="Z741" s="64" t="n"/>
    </row>
    <row r="742" ht="15.75" customHeight="1" s="125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  <c r="Z742" s="64" t="n"/>
    </row>
    <row r="743" ht="15.75" customHeight="1" s="125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  <c r="Z743" s="64" t="n"/>
    </row>
    <row r="744" ht="15.75" customHeight="1" s="125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  <c r="Z744" s="64" t="n"/>
    </row>
    <row r="745" ht="15.75" customHeight="1" s="12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  <c r="Z745" s="64" t="n"/>
    </row>
    <row r="746" ht="15.75" customHeight="1" s="125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  <c r="Z746" s="64" t="n"/>
    </row>
    <row r="747" ht="15.75" customHeight="1" s="125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  <c r="Z747" s="64" t="n"/>
    </row>
    <row r="748" ht="15.75" customHeight="1" s="125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  <c r="Z748" s="64" t="n"/>
    </row>
    <row r="749" ht="15.75" customHeight="1" s="125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  <c r="Z749" s="64" t="n"/>
    </row>
    <row r="750" ht="15.75" customHeight="1" s="125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  <c r="Z750" s="64" t="n"/>
    </row>
    <row r="751" ht="15.75" customHeight="1" s="125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  <c r="Z751" s="64" t="n"/>
    </row>
    <row r="752" ht="15.75" customHeight="1" s="125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  <c r="Z752" s="64" t="n"/>
    </row>
    <row r="753" ht="15.75" customHeight="1" s="125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  <c r="Z753" s="64" t="n"/>
    </row>
    <row r="754" ht="15.75" customHeight="1" s="125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  <c r="Z754" s="64" t="n"/>
    </row>
    <row r="755" ht="15.75" customHeight="1" s="12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  <c r="Z755" s="64" t="n"/>
    </row>
    <row r="756" ht="15.75" customHeight="1" s="125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  <c r="Z756" s="64" t="n"/>
    </row>
    <row r="757" ht="15.75" customHeight="1" s="125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  <c r="Z757" s="64" t="n"/>
    </row>
    <row r="758" ht="15.75" customHeight="1" s="125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  <c r="Z758" s="64" t="n"/>
    </row>
    <row r="759" ht="15.75" customHeight="1" s="125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  <c r="Z759" s="64" t="n"/>
    </row>
    <row r="760" ht="15.75" customHeight="1" s="125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  <c r="Z760" s="64" t="n"/>
    </row>
    <row r="761" ht="15.75" customHeight="1" s="125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  <c r="Z761" s="64" t="n"/>
    </row>
    <row r="762" ht="15.75" customHeight="1" s="125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  <c r="Z762" s="64" t="n"/>
    </row>
    <row r="763" ht="15.75" customHeight="1" s="125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  <c r="Z763" s="64" t="n"/>
    </row>
    <row r="764" ht="15.75" customHeight="1" s="125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  <c r="Z764" s="64" t="n"/>
    </row>
    <row r="765" ht="15.75" customHeight="1" s="12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  <c r="Z765" s="64" t="n"/>
    </row>
    <row r="766" ht="15.75" customHeight="1" s="125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  <c r="Z766" s="64" t="n"/>
    </row>
    <row r="767" ht="15.75" customHeight="1" s="125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  <c r="Z767" s="64" t="n"/>
    </row>
    <row r="768" ht="15.75" customHeight="1" s="125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  <c r="Z768" s="64" t="n"/>
    </row>
    <row r="769" ht="15.75" customHeight="1" s="125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  <c r="Z769" s="64" t="n"/>
    </row>
    <row r="770" ht="15.75" customHeight="1" s="125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  <c r="Z770" s="64" t="n"/>
    </row>
    <row r="771" ht="15.75" customHeight="1" s="125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  <c r="Z771" s="64" t="n"/>
    </row>
    <row r="772" ht="15.75" customHeight="1" s="125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  <c r="Z772" s="64" t="n"/>
    </row>
    <row r="773" ht="15.75" customHeight="1" s="125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  <c r="Z773" s="64" t="n"/>
    </row>
    <row r="774" ht="15.75" customHeight="1" s="125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  <c r="Z774" s="64" t="n"/>
    </row>
    <row r="775" ht="15.75" customHeight="1" s="12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  <c r="Z775" s="64" t="n"/>
    </row>
    <row r="776" ht="15.75" customHeight="1" s="125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  <c r="Z776" s="64" t="n"/>
    </row>
    <row r="777" ht="15.75" customHeight="1" s="125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  <c r="Z777" s="64" t="n"/>
    </row>
    <row r="778" ht="15.75" customHeight="1" s="125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  <c r="Z778" s="64" t="n"/>
    </row>
    <row r="779" ht="15.75" customHeight="1" s="125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  <c r="Z779" s="64" t="n"/>
    </row>
    <row r="780" ht="15.75" customHeight="1" s="125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  <c r="Z780" s="64" t="n"/>
    </row>
    <row r="781" ht="15.75" customHeight="1" s="125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  <c r="Z781" s="64" t="n"/>
    </row>
    <row r="782" ht="15.75" customHeight="1" s="125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  <c r="Z782" s="64" t="n"/>
    </row>
    <row r="783" ht="15.75" customHeight="1" s="125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  <c r="Z783" s="64" t="n"/>
    </row>
    <row r="784" ht="15.75" customHeight="1" s="125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  <c r="Z784" s="64" t="n"/>
    </row>
    <row r="785" ht="15.75" customHeight="1" s="12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  <c r="Z785" s="64" t="n"/>
    </row>
    <row r="786" ht="15.75" customHeight="1" s="125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  <c r="Z786" s="64" t="n"/>
    </row>
    <row r="787" ht="15.75" customHeight="1" s="125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  <c r="Z787" s="64" t="n"/>
    </row>
    <row r="788" ht="15.75" customHeight="1" s="125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  <c r="Z788" s="64" t="n"/>
    </row>
    <row r="789" ht="15.75" customHeight="1" s="125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  <c r="Z789" s="64" t="n"/>
    </row>
    <row r="790" ht="15.75" customHeight="1" s="125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  <c r="Z790" s="64" t="n"/>
    </row>
    <row r="791" ht="15.75" customHeight="1" s="125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  <c r="Z791" s="64" t="n"/>
    </row>
    <row r="792" ht="15.75" customHeight="1" s="125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  <c r="Z792" s="64" t="n"/>
    </row>
    <row r="793" ht="15.75" customHeight="1" s="125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  <c r="Z793" s="64" t="n"/>
    </row>
    <row r="794" ht="15.75" customHeight="1" s="125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  <c r="Z794" s="64" t="n"/>
    </row>
    <row r="795" ht="15.75" customHeight="1" s="12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  <c r="Z795" s="64" t="n"/>
    </row>
    <row r="796" ht="15.75" customHeight="1" s="125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  <c r="Z796" s="64" t="n"/>
    </row>
    <row r="797" ht="15.75" customHeight="1" s="125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  <c r="Z797" s="64" t="n"/>
    </row>
    <row r="798" ht="15.75" customHeight="1" s="125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  <c r="Z798" s="64" t="n"/>
    </row>
    <row r="799" ht="15.75" customHeight="1" s="125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  <c r="Z799" s="64" t="n"/>
    </row>
    <row r="800" ht="15.75" customHeight="1" s="125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  <c r="Z800" s="64" t="n"/>
    </row>
    <row r="801" ht="15.75" customHeight="1" s="125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  <c r="Z801" s="64" t="n"/>
    </row>
    <row r="802" ht="15.75" customHeight="1" s="125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  <c r="Z802" s="64" t="n"/>
    </row>
    <row r="803" ht="15.75" customHeight="1" s="125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  <c r="Z803" s="64" t="n"/>
    </row>
    <row r="804" ht="15.75" customHeight="1" s="125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  <c r="Z804" s="64" t="n"/>
    </row>
    <row r="805" ht="15.75" customHeight="1" s="12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  <c r="Z805" s="64" t="n"/>
    </row>
    <row r="806" ht="15.75" customHeight="1" s="125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  <c r="Z806" s="64" t="n"/>
    </row>
    <row r="807" ht="15.75" customHeight="1" s="125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  <c r="Z807" s="64" t="n"/>
    </row>
    <row r="808" ht="15.75" customHeight="1" s="125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  <c r="Z808" s="64" t="n"/>
    </row>
    <row r="809" ht="15.75" customHeight="1" s="125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  <c r="Z809" s="64" t="n"/>
    </row>
    <row r="810" ht="15.75" customHeight="1" s="125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  <c r="Z810" s="64" t="n"/>
    </row>
    <row r="811" ht="15.75" customHeight="1" s="125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  <c r="Z811" s="64" t="n"/>
    </row>
    <row r="812" ht="15.75" customHeight="1" s="125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  <c r="Z812" s="64" t="n"/>
    </row>
    <row r="813" ht="15.75" customHeight="1" s="125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  <c r="Z813" s="64" t="n"/>
    </row>
    <row r="814" ht="15.75" customHeight="1" s="125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  <c r="Z814" s="64" t="n"/>
    </row>
    <row r="815" ht="15.75" customHeight="1" s="12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  <c r="Z815" s="64" t="n"/>
    </row>
    <row r="816" ht="15.75" customHeight="1" s="125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  <c r="Z816" s="64" t="n"/>
    </row>
    <row r="817" ht="15.75" customHeight="1" s="125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  <c r="Z817" s="64" t="n"/>
    </row>
    <row r="818" ht="15.75" customHeight="1" s="125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  <c r="Z818" s="64" t="n"/>
    </row>
    <row r="819" ht="15.75" customHeight="1" s="125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  <c r="Z819" s="64" t="n"/>
    </row>
    <row r="820" ht="15.75" customHeight="1" s="125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  <c r="Z820" s="64" t="n"/>
    </row>
    <row r="821" ht="15.75" customHeight="1" s="125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  <c r="Z821" s="64" t="n"/>
    </row>
    <row r="822" ht="15.75" customHeight="1" s="125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  <c r="Z822" s="64" t="n"/>
    </row>
    <row r="823" ht="15.75" customHeight="1" s="125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  <c r="Z823" s="64" t="n"/>
    </row>
    <row r="824" ht="15.75" customHeight="1" s="125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  <c r="Z824" s="64" t="n"/>
    </row>
    <row r="825" ht="15.75" customHeight="1" s="1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  <c r="Z825" s="64" t="n"/>
    </row>
    <row r="826" ht="15.75" customHeight="1" s="125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  <c r="Z826" s="64" t="n"/>
    </row>
    <row r="827" ht="15.75" customHeight="1" s="125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  <c r="Z827" s="64" t="n"/>
    </row>
    <row r="828" ht="15.75" customHeight="1" s="125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  <c r="Z828" s="64" t="n"/>
    </row>
    <row r="829" ht="15.75" customHeight="1" s="125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  <c r="Z829" s="64" t="n"/>
    </row>
    <row r="830" ht="15.75" customHeight="1" s="125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  <c r="Z830" s="64" t="n"/>
    </row>
    <row r="831" ht="15.75" customHeight="1" s="125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  <c r="Z831" s="64" t="n"/>
    </row>
    <row r="832" ht="15.75" customHeight="1" s="125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  <c r="Z832" s="64" t="n"/>
    </row>
    <row r="833" ht="15.75" customHeight="1" s="125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  <c r="Z833" s="64" t="n"/>
    </row>
    <row r="834" ht="15.75" customHeight="1" s="125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  <c r="Z834" s="64" t="n"/>
    </row>
    <row r="835" ht="15.75" customHeight="1" s="12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  <c r="Z835" s="64" t="n"/>
    </row>
    <row r="836" ht="15.75" customHeight="1" s="125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  <c r="Z836" s="64" t="n"/>
    </row>
    <row r="837" ht="15.75" customHeight="1" s="125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  <c r="Z837" s="64" t="n"/>
    </row>
    <row r="838" ht="15.75" customHeight="1" s="125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  <c r="Z838" s="64" t="n"/>
    </row>
    <row r="839" ht="15.75" customHeight="1" s="125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  <c r="Z839" s="64" t="n"/>
    </row>
    <row r="840" ht="15.75" customHeight="1" s="125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  <c r="Z840" s="64" t="n"/>
    </row>
    <row r="841" ht="15.75" customHeight="1" s="125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  <c r="Z841" s="64" t="n"/>
    </row>
    <row r="842" ht="15.75" customHeight="1" s="125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  <c r="Z842" s="64" t="n"/>
    </row>
    <row r="843" ht="15.75" customHeight="1" s="125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  <c r="Z843" s="64" t="n"/>
    </row>
    <row r="844" ht="15.75" customHeight="1" s="125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  <c r="Z844" s="64" t="n"/>
    </row>
    <row r="845" ht="15.75" customHeight="1" s="12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  <c r="Z845" s="64" t="n"/>
    </row>
    <row r="846" ht="15.75" customHeight="1" s="125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  <c r="Z846" s="64" t="n"/>
    </row>
    <row r="847" ht="15.75" customHeight="1" s="125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  <c r="Z847" s="64" t="n"/>
    </row>
    <row r="848" ht="15.75" customHeight="1" s="125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  <c r="Z848" s="64" t="n"/>
    </row>
    <row r="849" ht="15.75" customHeight="1" s="125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  <c r="Z849" s="64" t="n"/>
    </row>
    <row r="850" ht="15.75" customHeight="1" s="125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  <c r="Z850" s="64" t="n"/>
    </row>
    <row r="851" ht="15.75" customHeight="1" s="125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  <c r="Z851" s="64" t="n"/>
    </row>
    <row r="852" ht="15.75" customHeight="1" s="125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  <c r="Z852" s="64" t="n"/>
    </row>
    <row r="853" ht="15.75" customHeight="1" s="125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  <c r="Z853" s="64" t="n"/>
    </row>
    <row r="854" ht="15.75" customHeight="1" s="125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  <c r="Z854" s="64" t="n"/>
    </row>
    <row r="855" ht="15.75" customHeight="1" s="12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  <c r="Z855" s="64" t="n"/>
    </row>
    <row r="856" ht="15.75" customHeight="1" s="125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  <c r="Z856" s="64" t="n"/>
    </row>
    <row r="857" ht="15.75" customHeight="1" s="125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  <c r="Z857" s="64" t="n"/>
    </row>
    <row r="858" ht="15.75" customHeight="1" s="125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  <c r="Z858" s="64" t="n"/>
    </row>
    <row r="859" ht="15.75" customHeight="1" s="125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  <c r="Z859" s="64" t="n"/>
    </row>
    <row r="860" ht="15.75" customHeight="1" s="125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  <c r="Z860" s="64" t="n"/>
    </row>
    <row r="861" ht="15.75" customHeight="1" s="125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  <c r="Z861" s="64" t="n"/>
    </row>
    <row r="862" ht="15.75" customHeight="1" s="125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  <c r="Z862" s="64" t="n"/>
    </row>
    <row r="863" ht="15.75" customHeight="1" s="125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  <c r="Z863" s="64" t="n"/>
    </row>
    <row r="864" ht="15.75" customHeight="1" s="125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  <c r="Z864" s="64" t="n"/>
    </row>
    <row r="865" ht="15.75" customHeight="1" s="12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  <c r="Z865" s="64" t="n"/>
    </row>
    <row r="866" ht="15.75" customHeight="1" s="125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  <c r="Z866" s="64" t="n"/>
    </row>
    <row r="867" ht="15.75" customHeight="1" s="125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  <c r="Z867" s="64" t="n"/>
    </row>
    <row r="868" ht="15.75" customHeight="1" s="125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  <c r="Z868" s="64" t="n"/>
    </row>
    <row r="869" ht="15.75" customHeight="1" s="125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  <c r="Z869" s="64" t="n"/>
    </row>
    <row r="870" ht="15.75" customHeight="1" s="125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  <c r="Z870" s="64" t="n"/>
    </row>
    <row r="871" ht="15.75" customHeight="1" s="125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  <c r="Z871" s="64" t="n"/>
    </row>
    <row r="872" ht="15.75" customHeight="1" s="125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  <c r="Z872" s="64" t="n"/>
    </row>
    <row r="873" ht="15.75" customHeight="1" s="125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  <c r="Z873" s="64" t="n"/>
    </row>
    <row r="874" ht="15.75" customHeight="1" s="125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  <c r="Z874" s="64" t="n"/>
    </row>
    <row r="875" ht="15.75" customHeight="1" s="12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  <c r="Z875" s="64" t="n"/>
    </row>
    <row r="876" ht="15.75" customHeight="1" s="125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  <c r="Z876" s="64" t="n"/>
    </row>
    <row r="877" ht="15.75" customHeight="1" s="125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  <c r="Z877" s="64" t="n"/>
    </row>
    <row r="878" ht="15.75" customHeight="1" s="125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  <c r="Z878" s="64" t="n"/>
    </row>
    <row r="879" ht="15.75" customHeight="1" s="125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  <c r="Z879" s="64" t="n"/>
    </row>
    <row r="880" ht="15.75" customHeight="1" s="125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  <c r="Z880" s="64" t="n"/>
    </row>
    <row r="881" ht="15.75" customHeight="1" s="125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  <c r="Z881" s="64" t="n"/>
    </row>
    <row r="882" ht="15.75" customHeight="1" s="125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  <c r="Z882" s="64" t="n"/>
    </row>
    <row r="883" ht="15.75" customHeight="1" s="125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  <c r="Z883" s="64" t="n"/>
    </row>
    <row r="884" ht="15.75" customHeight="1" s="125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  <c r="Z884" s="64" t="n"/>
    </row>
    <row r="885" ht="15.75" customHeight="1" s="12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  <c r="Z885" s="64" t="n"/>
    </row>
    <row r="886" ht="15.75" customHeight="1" s="125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  <c r="Z886" s="64" t="n"/>
    </row>
    <row r="887" ht="15.75" customHeight="1" s="125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  <c r="Z887" s="64" t="n"/>
    </row>
    <row r="888" ht="15.75" customHeight="1" s="125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  <c r="Z888" s="64" t="n"/>
    </row>
    <row r="889" ht="15.75" customHeight="1" s="125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  <c r="Z889" s="64" t="n"/>
    </row>
    <row r="890" ht="15.75" customHeight="1" s="125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  <c r="Z890" s="64" t="n"/>
    </row>
    <row r="891" ht="15.75" customHeight="1" s="125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  <c r="Z891" s="64" t="n"/>
    </row>
    <row r="892" ht="15.75" customHeight="1" s="125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  <c r="Z892" s="64" t="n"/>
    </row>
    <row r="893" ht="15.75" customHeight="1" s="125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  <c r="Z893" s="64" t="n"/>
    </row>
    <row r="894" ht="15.75" customHeight="1" s="125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  <c r="Z894" s="64" t="n"/>
    </row>
    <row r="895" ht="15.75" customHeight="1" s="12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  <c r="Z895" s="64" t="n"/>
    </row>
    <row r="896" ht="15.75" customHeight="1" s="125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  <c r="Z896" s="64" t="n"/>
    </row>
    <row r="897" ht="15.75" customHeight="1" s="125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  <c r="Z897" s="64" t="n"/>
    </row>
    <row r="898" ht="15.75" customHeight="1" s="125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  <c r="Z898" s="64" t="n"/>
    </row>
    <row r="899" ht="15.75" customHeight="1" s="125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  <c r="Z899" s="64" t="n"/>
    </row>
    <row r="900" ht="15.75" customHeight="1" s="125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  <c r="Z900" s="64" t="n"/>
    </row>
    <row r="901" ht="15.75" customHeight="1" s="125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  <c r="Z901" s="64" t="n"/>
    </row>
    <row r="902" ht="15.75" customHeight="1" s="125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  <c r="Z902" s="64" t="n"/>
    </row>
    <row r="903" ht="15.75" customHeight="1" s="125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  <c r="Z903" s="64" t="n"/>
    </row>
    <row r="904" ht="15.75" customHeight="1" s="125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  <c r="Z904" s="64" t="n"/>
    </row>
    <row r="905" ht="15.75" customHeight="1" s="12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  <c r="Z905" s="64" t="n"/>
    </row>
    <row r="906" ht="15.75" customHeight="1" s="125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  <c r="Z906" s="64" t="n"/>
    </row>
    <row r="907" ht="15.75" customHeight="1" s="125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  <c r="Z907" s="64" t="n"/>
    </row>
    <row r="908" ht="15.75" customHeight="1" s="125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  <c r="Z908" s="64" t="n"/>
    </row>
    <row r="909" ht="15.75" customHeight="1" s="125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  <c r="Z909" s="64" t="n"/>
    </row>
    <row r="910" ht="15.75" customHeight="1" s="125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  <c r="Z910" s="64" t="n"/>
    </row>
    <row r="911" ht="15.75" customHeight="1" s="125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  <c r="Z911" s="64" t="n"/>
    </row>
    <row r="912" ht="15.75" customHeight="1" s="125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  <c r="Z912" s="64" t="n"/>
    </row>
    <row r="913" ht="15.75" customHeight="1" s="125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  <c r="Z913" s="64" t="n"/>
    </row>
    <row r="914" ht="15.75" customHeight="1" s="125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  <c r="Z914" s="64" t="n"/>
    </row>
    <row r="915" ht="15.75" customHeight="1" s="12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  <c r="Z915" s="64" t="n"/>
    </row>
    <row r="916" ht="15.75" customHeight="1" s="125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  <c r="Z916" s="64" t="n"/>
    </row>
    <row r="917" ht="15.75" customHeight="1" s="125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  <c r="Z917" s="64" t="n"/>
    </row>
    <row r="918" ht="15.75" customHeight="1" s="125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  <c r="Z918" s="64" t="n"/>
    </row>
    <row r="919" ht="15.75" customHeight="1" s="125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  <c r="Z919" s="64" t="n"/>
    </row>
    <row r="920" ht="15.75" customHeight="1" s="125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  <c r="Z920" s="64" t="n"/>
    </row>
    <row r="921" ht="15.75" customHeight="1" s="125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  <c r="Z921" s="64" t="n"/>
    </row>
    <row r="922" ht="15.75" customHeight="1" s="125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  <c r="Z922" s="64" t="n"/>
    </row>
    <row r="923" ht="15.75" customHeight="1" s="125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  <c r="Z923" s="64" t="n"/>
    </row>
    <row r="924" ht="15.75" customHeight="1" s="125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  <c r="Z924" s="64" t="n"/>
    </row>
    <row r="925" ht="15.75" customHeight="1" s="1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  <c r="Z925" s="64" t="n"/>
    </row>
    <row r="926" ht="15.75" customHeight="1" s="125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  <c r="Z926" s="64" t="n"/>
    </row>
    <row r="927" ht="15.75" customHeight="1" s="125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  <c r="Z927" s="64" t="n"/>
    </row>
    <row r="928" ht="15.75" customHeight="1" s="125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  <c r="Z928" s="64" t="n"/>
    </row>
    <row r="929" ht="15.75" customHeight="1" s="125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  <c r="Z929" s="64" t="n"/>
    </row>
    <row r="930" ht="15.75" customHeight="1" s="125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  <c r="Z930" s="64" t="n"/>
    </row>
    <row r="931" ht="15.75" customHeight="1" s="125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  <c r="Z931" s="64" t="n"/>
    </row>
    <row r="932" ht="15.75" customHeight="1" s="125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  <c r="Z932" s="64" t="n"/>
    </row>
    <row r="933" ht="15.75" customHeight="1" s="125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  <c r="Z933" s="64" t="n"/>
    </row>
    <row r="934" ht="15.75" customHeight="1" s="125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  <c r="Z934" s="64" t="n"/>
    </row>
    <row r="935" ht="15.75" customHeight="1" s="12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  <c r="Z935" s="64" t="n"/>
    </row>
    <row r="936" ht="15.75" customHeight="1" s="125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  <c r="Z936" s="64" t="n"/>
    </row>
    <row r="937" ht="15.75" customHeight="1" s="125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  <c r="Z937" s="64" t="n"/>
    </row>
    <row r="938" ht="15.75" customHeight="1" s="125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  <c r="Z938" s="64" t="n"/>
    </row>
    <row r="939" ht="15.75" customHeight="1" s="125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  <c r="Z939" s="64" t="n"/>
    </row>
    <row r="940" ht="15.75" customHeight="1" s="125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  <c r="Z940" s="64" t="n"/>
    </row>
    <row r="941" ht="15.75" customHeight="1" s="125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  <c r="Z941" s="64" t="n"/>
    </row>
    <row r="942" ht="15.75" customHeight="1" s="125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  <c r="Z942" s="64" t="n"/>
    </row>
    <row r="943" ht="15.75" customHeight="1" s="125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  <c r="Z943" s="64" t="n"/>
    </row>
    <row r="944" ht="15.75" customHeight="1" s="125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  <c r="Z944" s="64" t="n"/>
    </row>
    <row r="945" ht="15.75" customHeight="1" s="12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  <c r="Z945" s="64" t="n"/>
    </row>
    <row r="946" ht="15.75" customHeight="1" s="125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  <c r="Z946" s="64" t="n"/>
    </row>
    <row r="947" ht="15.75" customHeight="1" s="125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  <c r="Z947" s="64" t="n"/>
    </row>
    <row r="948" ht="15.75" customHeight="1" s="125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  <c r="Z948" s="64" t="n"/>
    </row>
    <row r="949" ht="15.75" customHeight="1" s="125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  <c r="Z949" s="64" t="n"/>
    </row>
    <row r="950" ht="15.75" customHeight="1" s="125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  <c r="Z950" s="64" t="n"/>
    </row>
    <row r="951" ht="15.75" customHeight="1" s="125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  <c r="Z951" s="64" t="n"/>
    </row>
    <row r="952" ht="15.75" customHeight="1" s="125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  <c r="Z952" s="64" t="n"/>
    </row>
    <row r="953" ht="15.75" customHeight="1" s="125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  <c r="Z953" s="64" t="n"/>
    </row>
    <row r="954" ht="15.75" customHeight="1" s="125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  <c r="Z954" s="64" t="n"/>
    </row>
    <row r="955" ht="15.75" customHeight="1" s="12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  <c r="Z955" s="64" t="n"/>
    </row>
    <row r="956" ht="15.75" customHeight="1" s="125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  <c r="Z956" s="64" t="n"/>
    </row>
    <row r="957" ht="15.75" customHeight="1" s="125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  <c r="Z957" s="64" t="n"/>
    </row>
    <row r="958" ht="15.75" customHeight="1" s="125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  <c r="Z958" s="64" t="n"/>
    </row>
    <row r="959" ht="15.75" customHeight="1" s="125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  <c r="Z959" s="64" t="n"/>
    </row>
    <row r="960" ht="15.75" customHeight="1" s="125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  <c r="Z960" s="64" t="n"/>
    </row>
    <row r="961" ht="15.75" customHeight="1" s="125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  <c r="Z961" s="64" t="n"/>
    </row>
    <row r="962" ht="15.75" customHeight="1" s="125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  <c r="Z962" s="64" t="n"/>
    </row>
    <row r="963" ht="15.75" customHeight="1" s="125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  <c r="Z963" s="64" t="n"/>
    </row>
    <row r="964" ht="15.75" customHeight="1" s="125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  <c r="Z964" s="64" t="n"/>
    </row>
    <row r="965" ht="15.75" customHeight="1" s="12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  <c r="Z965" s="64" t="n"/>
    </row>
    <row r="966" ht="15.75" customHeight="1" s="125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  <c r="Z966" s="64" t="n"/>
    </row>
    <row r="967" ht="15.75" customHeight="1" s="125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  <c r="Z967" s="64" t="n"/>
    </row>
    <row r="968" ht="15.75" customHeight="1" s="125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  <c r="Z968" s="64" t="n"/>
    </row>
    <row r="969" ht="15.75" customHeight="1" s="125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  <c r="Z969" s="64" t="n"/>
    </row>
    <row r="970" ht="15.75" customHeight="1" s="125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  <c r="Z970" s="64" t="n"/>
    </row>
    <row r="971" ht="15.75" customHeight="1" s="125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  <c r="Z971" s="64" t="n"/>
    </row>
    <row r="972" ht="15.75" customHeight="1" s="125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  <c r="Z972" s="64" t="n"/>
    </row>
    <row r="973" ht="15.75" customHeight="1" s="125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  <c r="Z973" s="64" t="n"/>
    </row>
    <row r="974" ht="15.75" customHeight="1" s="125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  <c r="Z974" s="64" t="n"/>
    </row>
    <row r="975" ht="15.75" customHeight="1" s="12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  <c r="Z975" s="64" t="n"/>
    </row>
    <row r="976" ht="15.75" customHeight="1" s="125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  <c r="Z976" s="64" t="n"/>
    </row>
    <row r="977" ht="15.75" customHeight="1" s="125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  <c r="Z977" s="64" t="n"/>
    </row>
    <row r="978" ht="15.75" customHeight="1" s="125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  <c r="Z978" s="64" t="n"/>
    </row>
    <row r="979" ht="15.75" customHeight="1" s="125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  <c r="Z979" s="64" t="n"/>
    </row>
    <row r="980" ht="15.75" customHeight="1" s="125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  <c r="Z980" s="64" t="n"/>
    </row>
    <row r="981" ht="15.75" customHeight="1" s="125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  <c r="Z981" s="64" t="n"/>
    </row>
    <row r="982" ht="15.75" customHeight="1" s="125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  <c r="Z982" s="64" t="n"/>
    </row>
    <row r="983" ht="15.75" customHeight="1" s="125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  <c r="Z983" s="64" t="n"/>
    </row>
    <row r="984" ht="15.75" customHeight="1" s="125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  <c r="Z984" s="64" t="n"/>
    </row>
    <row r="985" ht="15.75" customHeight="1" s="12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  <c r="Z985" s="64" t="n"/>
    </row>
    <row r="986" ht="15.75" customHeight="1" s="125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  <c r="Z986" s="64" t="n"/>
    </row>
    <row r="987" ht="15.75" customHeight="1" s="125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  <c r="Z987" s="64" t="n"/>
    </row>
    <row r="988" ht="15.75" customHeight="1" s="125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  <c r="Z988" s="64" t="n"/>
    </row>
    <row r="989" ht="15.75" customHeight="1" s="125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  <c r="Z989" s="64" t="n"/>
    </row>
    <row r="990" ht="15.75" customHeight="1" s="125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  <c r="Z990" s="64" t="n"/>
    </row>
    <row r="991" ht="15.75" customHeight="1" s="125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  <c r="Z991" s="64" t="n"/>
    </row>
    <row r="992" ht="15.75" customHeight="1" s="125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  <c r="Z992" s="64" t="n"/>
    </row>
    <row r="993" ht="15.75" customHeight="1" s="125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  <c r="Z993" s="64" t="n"/>
    </row>
    <row r="994" ht="15.75" customHeight="1" s="125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  <c r="Z994" s="64" t="n"/>
    </row>
    <row r="995" ht="15.75" customHeight="1" s="12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  <c r="Z995" s="64" t="n"/>
    </row>
    <row r="996" ht="15.75" customHeight="1" s="125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  <c r="Z996" s="64" t="n"/>
    </row>
    <row r="997" ht="15.75" customHeight="1" s="125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  <c r="Z997" s="64" t="n"/>
    </row>
    <row r="998" ht="15.75" customHeight="1" s="125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  <c r="Z998" s="64" t="n"/>
    </row>
    <row r="999" ht="15.75" customHeight="1" s="125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  <c r="Z999" s="64" t="n"/>
    </row>
    <row r="1000" ht="15.75" customHeight="1" s="125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  <c r="Z1000" s="64" t="n"/>
    </row>
  </sheetData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3" customWidth="1" style="125" min="1" max="1"/>
    <col width="18.38" customWidth="1" style="125" min="2" max="2"/>
    <col width="39" customWidth="1" style="125" min="3" max="3"/>
    <col width="11.5" customWidth="1" style="125" min="4" max="4"/>
    <col width="20.63" customWidth="1" style="125" min="5" max="5"/>
    <col width="23" customWidth="1" style="125" min="6" max="6"/>
    <col width="18" customWidth="1" style="125" min="7" max="7"/>
    <col width="21.13" customWidth="1" style="125" min="8" max="8"/>
    <col width="21.25" customWidth="1" style="125" min="9" max="9"/>
  </cols>
  <sheetData>
    <row r="1" ht="15.75" customHeight="1" s="125">
      <c r="A1" s="1" t="inlineStr">
        <is>
          <t>CLIENTE</t>
        </is>
      </c>
      <c r="B1" s="1" t="inlineStr">
        <is>
          <t>PROYECTO</t>
        </is>
      </c>
      <c r="C1" s="1" t="inlineStr">
        <is>
          <t>N_COTIZACION</t>
        </is>
      </c>
      <c r="D1" s="1" t="inlineStr">
        <is>
          <t>FECHA</t>
        </is>
      </c>
      <c r="E1" s="1" t="inlineStr">
        <is>
          <t>INCOTERM</t>
        </is>
      </c>
      <c r="F1" s="1" t="inlineStr">
        <is>
          <t>SKU_FASSA</t>
        </is>
      </c>
      <c r="G1" s="1" t="inlineStr">
        <is>
          <t>NOMBRE_PRODUCTO</t>
        </is>
      </c>
      <c r="H1" s="1" t="inlineStr">
        <is>
          <t>CANTIDAD_FINAL_INPUT</t>
        </is>
      </c>
      <c r="I1" s="1" t="inlineStr">
        <is>
          <t>UNIDAD_INPUT</t>
        </is>
      </c>
      <c r="J1" s="0" t="inlineStr">
        <is>
          <t>UNIDADES_SUMINISTRO</t>
        </is>
      </c>
      <c r="K1" s="0" t="inlineStr">
        <is>
          <t>UDS_POR_PALET</t>
        </is>
      </c>
      <c r="L1" s="0" t="inlineStr">
        <is>
          <t>TOTAL_PALETS</t>
        </is>
      </c>
      <c r="M1" s="0" t="inlineStr">
        <is>
          <t>ORIGEN</t>
        </is>
      </c>
      <c r="N1" s="0" t="inlineStr">
        <is>
          <t>OBSERVACIONES_INTERNAS</t>
        </is>
      </c>
    </row>
    <row r="2" ht="15.75" customHeight="1" s="125">
      <c r="A2" s="62">
        <f>INPUT_PRODUCT!B1</f>
        <v/>
      </c>
      <c r="B2" s="58">
        <f>INPUT_PRODUCT!B2</f>
        <v/>
      </c>
      <c r="C2" s="62">
        <f>INPUT_PRODUCT!B6</f>
        <v/>
      </c>
      <c r="D2" s="63">
        <f>INPUT_PRODUCT!B5</f>
        <v/>
      </c>
      <c r="E2" s="18">
        <f>INPUT_PRODUCT!B7</f>
        <v/>
      </c>
      <c r="F2" s="18">
        <f>IF(PRODUCT_CALCULATION!B2="SI";PRODUCT_CALCULATION!C2;"")</f>
        <v/>
      </c>
      <c r="G2" s="18">
        <f>IF(PRODUCT_CALCULATION!B2="SI";PRODUCT_CALCULATION!E2;"")</f>
        <v/>
      </c>
      <c r="H2" s="18">
        <f>IF(PRODUCT_CALCULATION!B2="SI";PRODUCT_CALCULATION!F2;"")</f>
        <v/>
      </c>
      <c r="I2" s="62">
        <f>IF(PRODUCT_CALCULATION!B2="SI";PRODUCT_CALCULATION!G2;"")</f>
        <v/>
      </c>
      <c r="J2" s="0">
        <f>IF(PRODUCT_CALCULATION!B2="SI";PRODUCT_CALCULATION!S2;"")</f>
        <v/>
      </c>
      <c r="K2" s="0">
        <f>IF(PRODUCT_CALCULATION!B2="SI";PRODUCT_CALCULATION!K2;"")</f>
        <v/>
      </c>
      <c r="L2" s="0">
        <f>IF(PRODUCT_CALCULATION!B2="SI";CEILING(PRODUCT_CALCULATION!F2/PRODUCT_CALCULATION!K2;1);"")</f>
        <v/>
      </c>
      <c r="M2" s="0">
        <f>IF(PRODUCT_CALCULATION!B2="SI";INDEX(PRODUCT!A:A;MATCH(PRODUCT_CALCULATION!C2;PRODUCT!B:B;0));"")</f>
        <v/>
      </c>
      <c r="N2" s="0">
        <f>IF(PRODUCT_CALCULATION!B2="SI";PRODUCT_CALCULATION!Y2;"")</f>
        <v/>
      </c>
    </row>
    <row r="3" ht="15.75" customHeight="1" s="125">
      <c r="A3" s="62">
        <f>INPUT_PRODUCT!B1</f>
        <v/>
      </c>
      <c r="B3" s="58">
        <f>INPUT_PRODUCT!B2</f>
        <v/>
      </c>
      <c r="C3" s="62">
        <f>INPUT_PRODUCT!B6</f>
        <v/>
      </c>
      <c r="D3" s="62">
        <f>INPUT_PRODUCT!B5</f>
        <v/>
      </c>
      <c r="E3" s="14">
        <f>INPUT_PRODUCT!B7</f>
        <v/>
      </c>
      <c r="F3" s="18">
        <f>IF(PRODUCT_CALCULATION!B3="SI";PRODUCT_CALCULATION!C3;"")</f>
        <v/>
      </c>
      <c r="G3" s="18">
        <f>IF(PRODUCT_CALCULATION!B3="SI";PRODUCT_CALCULATION!E3;"")</f>
        <v/>
      </c>
      <c r="H3" s="18">
        <f>IF(PRODUCT_CALCULATION!B3="SI";PRODUCT_CALCULATION!F3;"")</f>
        <v/>
      </c>
      <c r="I3" s="62">
        <f>IF(PRODUCT_CALCULATION!B3="SI";PRODUCT_CALCULATION!G3;"")</f>
        <v/>
      </c>
      <c r="J3" s="0">
        <f>IF(PRODUCT_CALCULATION!B3="SI";PRODUCT_CALCULATION!S3;"")</f>
        <v/>
      </c>
      <c r="K3" s="0">
        <f>IF(PRODUCT_CALCULATION!B3="SI";PRODUCT_CALCULATION!K3;"")</f>
        <v/>
      </c>
      <c r="L3" s="0">
        <f>IF(PRODUCT_CALCULATION!B3="SI";CEILING(PRODUCT_CALCULATION!F3/PRODUCT_CALCULATION!K3;1);"")</f>
        <v/>
      </c>
      <c r="M3" s="0">
        <f>IF(PRODUCT_CALCULATION!B3="SI";INDEX(PRODUCT!A:A;MATCH(PRODUCT_CALCULATION!C3;PRODUCT!B:B;0));"")</f>
        <v/>
      </c>
      <c r="N3" s="0">
        <f>IF(PRODUCT_CALCULATION!B3="SI";PRODUCT_CALCULATION!Y3;"")</f>
        <v/>
      </c>
    </row>
    <row r="4" ht="15.75" customHeight="1" s="125">
      <c r="A4" s="62">
        <f>INPUT_PRODUCT!B1</f>
        <v/>
      </c>
      <c r="B4" s="58">
        <f>INPUT_PRODUCT!B2</f>
        <v/>
      </c>
      <c r="C4" s="62">
        <f>INPUT_PRODUCT!B6</f>
        <v/>
      </c>
      <c r="D4" s="62">
        <f>INPUT_PRODUCT!B5</f>
        <v/>
      </c>
      <c r="E4" s="14">
        <f>INPUT_PRODUCT!B7</f>
        <v/>
      </c>
      <c r="F4" s="18">
        <f>IF(PRODUCT_CALCULATION!B4="SI";PRODUCT_CALCULATION!C4;"")</f>
        <v/>
      </c>
      <c r="G4" s="18">
        <f>IF(PRODUCT_CALCULATION!B4="SI";PRODUCT_CALCULATION!E4;"")</f>
        <v/>
      </c>
      <c r="H4" s="18">
        <f>IF(PRODUCT_CALCULATION!B4="SI";PRODUCT_CALCULATION!F4;"")</f>
        <v/>
      </c>
      <c r="I4" s="62">
        <f>IF(PRODUCT_CALCULATION!B4="SI";PRODUCT_CALCULATION!G4;"")</f>
        <v/>
      </c>
      <c r="J4" s="0">
        <f>IF(PRODUCT_CALCULATION!B4="SI";PRODUCT_CALCULATION!S4;"")</f>
        <v/>
      </c>
      <c r="K4" s="0">
        <f>IF(PRODUCT_CALCULATION!B4="SI";PRODUCT_CALCULATION!K4;"")</f>
        <v/>
      </c>
      <c r="L4" s="0">
        <f>IF(PRODUCT_CALCULATION!B4="SI";CEILING(PRODUCT_CALCULATION!F4/PRODUCT_CALCULATION!K4;1);"")</f>
        <v/>
      </c>
      <c r="M4" s="0">
        <f>IF(PRODUCT_CALCULATION!B4="SI";INDEX(PRODUCT!A:A;MATCH(PRODUCT_CALCULATION!C4;PRODUCT!B:B;0));"")</f>
        <v/>
      </c>
      <c r="N4" s="0">
        <f>IF(PRODUCT_CALCULATION!B4="SI";PRODUCT_CALCULATION!Y4;"")</f>
        <v/>
      </c>
    </row>
    <row r="5" ht="15.75" customHeight="1" s="125">
      <c r="A5" s="62">
        <f>INPUT_PRODUCT!B1</f>
        <v/>
      </c>
      <c r="B5" s="58">
        <f>INPUT_PRODUCT!B2</f>
        <v/>
      </c>
      <c r="C5" s="62">
        <f>INPUT_PRODUCT!B6</f>
        <v/>
      </c>
      <c r="D5" s="62">
        <f>INPUT_PRODUCT!B5</f>
        <v/>
      </c>
      <c r="E5" s="14">
        <f>INPUT_PRODUCT!B7</f>
        <v/>
      </c>
      <c r="F5" s="18">
        <f>IF(PRODUCT_CALCULATION!B5="SI";PRODUCT_CALCULATION!C5;"")</f>
        <v/>
      </c>
      <c r="G5" s="18">
        <f>IF(PRODUCT_CALCULATION!B5="SI";PRODUCT_CALCULATION!E5;"")</f>
        <v/>
      </c>
      <c r="H5" s="18">
        <f>IF(PRODUCT_CALCULATION!B5="SI";PRODUCT_CALCULATION!F5;"")</f>
        <v/>
      </c>
      <c r="I5" s="62">
        <f>IF(PRODUCT_CALCULATION!B5="SI";PRODUCT_CALCULATION!G5;"")</f>
        <v/>
      </c>
      <c r="J5" s="0">
        <f>IF(PRODUCT_CALCULATION!B5="SI";PRODUCT_CALCULATION!S5;"")</f>
        <v/>
      </c>
      <c r="K5" s="0">
        <f>IF(PRODUCT_CALCULATION!B5="SI";PRODUCT_CALCULATION!K5;"")</f>
        <v/>
      </c>
      <c r="L5" s="0">
        <f>IF(PRODUCT_CALCULATION!B5="SI";CEILING(PRODUCT_CALCULATION!F5/PRODUCT_CALCULATION!K5;1);"")</f>
        <v/>
      </c>
      <c r="M5" s="0">
        <f>IF(PRODUCT_CALCULATION!B5="SI";INDEX(PRODUCT!A:A;MATCH(PRODUCT_CALCULATION!C5;PRODUCT!B:B;0));"")</f>
        <v/>
      </c>
      <c r="N5" s="0">
        <f>IF(PRODUCT_CALCULATION!B5="SI";PRODUCT_CALCULATION!Y5;"")</f>
        <v/>
      </c>
    </row>
    <row r="6" ht="15.75" customHeight="1" s="125">
      <c r="A6" s="62">
        <f>INPUT_PRODUCT!B1</f>
        <v/>
      </c>
      <c r="B6" s="58">
        <f>INPUT_PRODUCT!B2</f>
        <v/>
      </c>
      <c r="C6" s="62">
        <f>INPUT_PRODUCT!B6</f>
        <v/>
      </c>
      <c r="D6" s="62">
        <f>INPUT_PRODUCT!B5</f>
        <v/>
      </c>
      <c r="E6" s="14">
        <f>INPUT_PRODUCT!B7</f>
        <v/>
      </c>
      <c r="F6" s="18">
        <f>IF(PRODUCT_CALCULATION!B6="SI";PRODUCT_CALCULATION!C6;"")</f>
        <v/>
      </c>
      <c r="G6" s="18">
        <f>IF(PRODUCT_CALCULATION!B6="SI";PRODUCT_CALCULATION!E6;"")</f>
        <v/>
      </c>
      <c r="H6" s="18">
        <f>IF(PRODUCT_CALCULATION!B6="SI";PRODUCT_CALCULATION!F6;"")</f>
        <v/>
      </c>
      <c r="I6" s="62">
        <f>IF(PRODUCT_CALCULATION!B6="SI";PRODUCT_CALCULATION!G6;"")</f>
        <v/>
      </c>
      <c r="J6" s="0">
        <f>IF(PRODUCT_CALCULATION!B6="SI";PRODUCT_CALCULATION!S6;"")</f>
        <v/>
      </c>
      <c r="K6" s="0">
        <f>IF(PRODUCT_CALCULATION!B6="SI";PRODUCT_CALCULATION!K6;"")</f>
        <v/>
      </c>
      <c r="L6" s="0">
        <f>IF(PRODUCT_CALCULATION!B6="SI";CEILING(PRODUCT_CALCULATION!F6/PRODUCT_CALCULATION!K6;1);"")</f>
        <v/>
      </c>
      <c r="M6" s="0">
        <f>IF(PRODUCT_CALCULATION!B6="SI";INDEX(PRODUCT!A:A;MATCH(PRODUCT_CALCULATION!C6;PRODUCT!B:B;0));"")</f>
        <v/>
      </c>
      <c r="N6" s="0">
        <f>IF(PRODUCT_CALCULATION!B6="SI";PRODUCT_CALCULATION!Y6;"")</f>
        <v/>
      </c>
    </row>
    <row r="7" ht="15.75" customHeight="1" s="125">
      <c r="A7" s="62">
        <f>INPUT_PRODUCT!B1</f>
        <v/>
      </c>
      <c r="B7" s="58">
        <f>INPUT_PRODUCT!B2</f>
        <v/>
      </c>
      <c r="C7" s="62">
        <f>INPUT_PRODUCT!B6</f>
        <v/>
      </c>
      <c r="D7" s="62">
        <f>INPUT_PRODUCT!B5</f>
        <v/>
      </c>
      <c r="E7" s="14">
        <f>INPUT_PRODUCT!B7</f>
        <v/>
      </c>
      <c r="F7" s="18">
        <f>IF(PRODUCT_CALCULATION!B7="SI";PRODUCT_CALCULATION!C7;"")</f>
        <v/>
      </c>
      <c r="G7" s="18">
        <f>IF(PRODUCT_CALCULATION!B7="SI";PRODUCT_CALCULATION!E7;"")</f>
        <v/>
      </c>
      <c r="H7" s="18">
        <f>IF(PRODUCT_CALCULATION!B7="SI";PRODUCT_CALCULATION!F7;"")</f>
        <v/>
      </c>
      <c r="I7" s="62">
        <f>IF(PRODUCT_CALCULATION!B7="SI";PRODUCT_CALCULATION!G7;"")</f>
        <v/>
      </c>
      <c r="J7" s="0">
        <f>IF(PRODUCT_CALCULATION!B7="SI";PRODUCT_CALCULATION!S7;"")</f>
        <v/>
      </c>
      <c r="K7" s="0">
        <f>IF(PRODUCT_CALCULATION!B7="SI";PRODUCT_CALCULATION!K7;"")</f>
        <v/>
      </c>
      <c r="L7" s="0">
        <f>IF(PRODUCT_CALCULATION!B7="SI";CEILING(PRODUCT_CALCULATION!F7/PRODUCT_CALCULATION!K7;1);"")</f>
        <v/>
      </c>
      <c r="M7" s="0">
        <f>IF(PRODUCT_CALCULATION!B7="SI";INDEX(PRODUCT!A:A;MATCH(PRODUCT_CALCULATION!C7;PRODUCT!B:B;0));"")</f>
        <v/>
      </c>
      <c r="N7" s="0">
        <f>IF(PRODUCT_CALCULATION!B7="SI";PRODUCT_CALCULATION!Y7;"")</f>
        <v/>
      </c>
    </row>
    <row r="8" ht="15.75" customHeight="1" s="125">
      <c r="A8" s="62">
        <f>INPUT_PRODUCT!B1</f>
        <v/>
      </c>
      <c r="B8" s="58">
        <f>INPUT_PRODUCT!B2</f>
        <v/>
      </c>
      <c r="C8" s="62">
        <f>INPUT_PRODUCT!B6</f>
        <v/>
      </c>
      <c r="D8" s="62">
        <f>INPUT_PRODUCT!B5</f>
        <v/>
      </c>
      <c r="E8" s="14">
        <f>INPUT_PRODUCT!B7</f>
        <v/>
      </c>
      <c r="F8" s="18">
        <f>IF(PRODUCT_CALCULATION!B8="SI";PRODUCT_CALCULATION!C8;"")</f>
        <v/>
      </c>
      <c r="G8" s="18">
        <f>IF(PRODUCT_CALCULATION!B8="SI";PRODUCT_CALCULATION!E8;"")</f>
        <v/>
      </c>
      <c r="H8" s="18">
        <f>IF(PRODUCT_CALCULATION!B8="SI";PRODUCT_CALCULATION!F8;"")</f>
        <v/>
      </c>
      <c r="I8" s="62">
        <f>IF(PRODUCT_CALCULATION!B8="SI";PRODUCT_CALCULATION!G8;"")</f>
        <v/>
      </c>
      <c r="J8" s="0">
        <f>IF(PRODUCT_CALCULATION!B8="SI";PRODUCT_CALCULATION!S8;"")</f>
        <v/>
      </c>
      <c r="K8" s="0">
        <f>IF(PRODUCT_CALCULATION!B8="SI";PRODUCT_CALCULATION!K8;"")</f>
        <v/>
      </c>
      <c r="L8" s="0">
        <f>IF(PRODUCT_CALCULATION!B8="SI";CEILING(PRODUCT_CALCULATION!F8/PRODUCT_CALCULATION!K8;1);"")</f>
        <v/>
      </c>
      <c r="M8" s="0">
        <f>IF(PRODUCT_CALCULATION!B8="SI";INDEX(PRODUCT!A:A;MATCH(PRODUCT_CALCULATION!C8;PRODUCT!B:B;0));"")</f>
        <v/>
      </c>
      <c r="N8" s="0">
        <f>IF(PRODUCT_CALCULATION!B8="SI";PRODUCT_CALCULATION!Y8;"")</f>
        <v/>
      </c>
    </row>
    <row r="9" ht="15.75" customHeight="1" s="125">
      <c r="A9" s="62">
        <f>INPUT_PRODUCT!B1</f>
        <v/>
      </c>
      <c r="B9" s="58">
        <f>INPUT_PRODUCT!B2</f>
        <v/>
      </c>
      <c r="C9" s="62">
        <f>INPUT_PRODUCT!B6</f>
        <v/>
      </c>
      <c r="D9" s="62">
        <f>INPUT_PRODUCT!B5</f>
        <v/>
      </c>
      <c r="E9" s="62">
        <f>INPUT_PRODUCT!B7</f>
        <v/>
      </c>
      <c r="F9" s="62">
        <f>IF(PRODUCT_CALCULATION!B9="SI";PRODUCT_CALCULATION!C9;"")</f>
        <v/>
      </c>
      <c r="G9" s="63">
        <f>IF(PRODUCT_CALCULATION!B9="SI";PRODUCT_CALCULATION!E9;"")</f>
        <v/>
      </c>
      <c r="H9" s="63">
        <f>IF(PRODUCT_CALCULATION!B9="SI";PRODUCT_CALCULATION!F9;"")</f>
        <v/>
      </c>
      <c r="I9" s="62">
        <f>IF(PRODUCT_CALCULATION!B9="SI";PRODUCT_CALCULATION!G9;"")</f>
        <v/>
      </c>
      <c r="J9" s="0">
        <f>IF(PRODUCT_CALCULATION!B9="SI";PRODUCT_CALCULATION!S9;"")</f>
        <v/>
      </c>
      <c r="K9" s="0">
        <f>IF(PRODUCT_CALCULATION!B9="SI";PRODUCT_CALCULATION!K9;"")</f>
        <v/>
      </c>
      <c r="L9" s="0">
        <f>IF(PRODUCT_CALCULATION!B9="SI";CEILING(PRODUCT_CALCULATION!F9/PRODUCT_CALCULATION!K9;1);"")</f>
        <v/>
      </c>
      <c r="M9" s="0">
        <f>IF(PRODUCT_CALCULATION!B9="SI";INDEX(PRODUCT!A:A;MATCH(PRODUCT_CALCULATION!C9;PRODUCT!B:B;0));"")</f>
        <v/>
      </c>
      <c r="N9" s="0">
        <f>IF(PRODUCT_CALCULATION!B9="SI";PRODUCT_CALCULATION!Y9;"")</f>
        <v/>
      </c>
    </row>
    <row r="10" ht="15.75" customHeight="1" s="125">
      <c r="A10" s="62">
        <f>INPUT_PRODUCT!B1</f>
        <v/>
      </c>
      <c r="B10" s="58">
        <f>INPUT_PRODUCT!B2</f>
        <v/>
      </c>
      <c r="C10" s="62">
        <f>INPUT_PRODUCT!B6</f>
        <v/>
      </c>
      <c r="D10" s="62">
        <f>INPUT_PRODUCT!B5</f>
        <v/>
      </c>
      <c r="E10" s="62">
        <f>INPUT_PRODUCT!B7</f>
        <v/>
      </c>
      <c r="F10" s="62">
        <f>IF(PRODUCT_CALCULATION!B10="SI";PRODUCT_CALCULATION!C10;"")</f>
        <v/>
      </c>
      <c r="G10" s="63">
        <f>IF(PRODUCT_CALCULATION!B10="SI";PRODUCT_CALCULATION!E10;"")</f>
        <v/>
      </c>
      <c r="H10" s="63">
        <f>IF(PRODUCT_CALCULATION!B10="SI";PRODUCT_CALCULATION!F10;"")</f>
        <v/>
      </c>
      <c r="I10" s="62">
        <f>IF(PRODUCT_CALCULATION!B10="SI";PRODUCT_CALCULATION!G10;"")</f>
        <v/>
      </c>
      <c r="J10" s="0">
        <f>IF(PRODUCT_CALCULATION!B10="SI";PRODUCT_CALCULATION!S10;"")</f>
        <v/>
      </c>
      <c r="K10" s="0">
        <f>IF(PRODUCT_CALCULATION!B10="SI";PRODUCT_CALCULATION!K10;"")</f>
        <v/>
      </c>
      <c r="L10" s="0">
        <f>IF(PRODUCT_CALCULATION!B10="SI";CEILING(PRODUCT_CALCULATION!F10/PRODUCT_CALCULATION!K10;1);"")</f>
        <v/>
      </c>
      <c r="M10" s="0">
        <f>IF(PRODUCT_CALCULATION!B10="SI";INDEX(PRODUCT!A:A;MATCH(PRODUCT_CALCULATION!C10;PRODUCT!B:B;0));"")</f>
        <v/>
      </c>
      <c r="N10" s="0">
        <f>IF(PRODUCT_CALCULATION!B10="SI";PRODUCT_CALCULATION!Y10;"")</f>
        <v/>
      </c>
    </row>
    <row r="11" ht="15.75" customHeight="1" s="125">
      <c r="A11" s="62">
        <f>INPUT_PRODUCT!B1</f>
        <v/>
      </c>
      <c r="B11" s="58">
        <f>INPUT_PRODUCT!B2</f>
        <v/>
      </c>
      <c r="C11" s="62">
        <f>INPUT_PRODUCT!B6</f>
        <v/>
      </c>
      <c r="D11" s="62">
        <f>INPUT_PRODUCT!B5</f>
        <v/>
      </c>
      <c r="E11" s="62">
        <f>INPUT_PRODUCT!B7</f>
        <v/>
      </c>
      <c r="F11" s="62">
        <f>IF(PRODUCT_CALCULATION!B11="SI";PRODUCT_CALCULATION!C11;"")</f>
        <v/>
      </c>
      <c r="G11" s="63">
        <f>IF(PRODUCT_CALCULATION!B11="SI";PRODUCT_CALCULATION!E11;"")</f>
        <v/>
      </c>
      <c r="H11" s="63">
        <f>IF(PRODUCT_CALCULATION!B11="SI";PRODUCT_CALCULATION!F11;"")</f>
        <v/>
      </c>
      <c r="I11" s="62">
        <f>IF(PRODUCT_CALCULATION!B11="SI";PRODUCT_CALCULATION!G11;"")</f>
        <v/>
      </c>
      <c r="J11" s="0">
        <f>IF(PRODUCT_CALCULATION!B11="SI";PRODUCT_CALCULATION!S11;"")</f>
        <v/>
      </c>
      <c r="K11" s="0">
        <f>IF(PRODUCT_CALCULATION!B11="SI";PRODUCT_CALCULATION!K11;"")</f>
        <v/>
      </c>
      <c r="L11" s="0">
        <f>IF(PRODUCT_CALCULATION!B11="SI";CEILING(PRODUCT_CALCULATION!F11/PRODUCT_CALCULATION!K11;1);"")</f>
        <v/>
      </c>
      <c r="M11" s="0">
        <f>IF(PRODUCT_CALCULATION!B11="SI";INDEX(PRODUCT!A:A;MATCH(PRODUCT_CALCULATION!C11;PRODUCT!B:B;0));"")</f>
        <v/>
      </c>
      <c r="N11" s="0">
        <f>IF(PRODUCT_CALCULATION!B11="SI";PRODUCT_CALCULATION!Y11;"")</f>
        <v/>
      </c>
    </row>
    <row r="12" ht="15.75" customHeight="1" s="125">
      <c r="A12" s="62">
        <f>INPUT_PRODUCT!B1</f>
        <v/>
      </c>
      <c r="B12" s="58">
        <f>INPUT_PRODUCT!B2</f>
        <v/>
      </c>
      <c r="C12" s="62">
        <f>INPUT_PRODUCT!B6</f>
        <v/>
      </c>
      <c r="D12" s="62">
        <f>INPUT_PRODUCT!B5</f>
        <v/>
      </c>
      <c r="E12" s="62">
        <f>INPUT_PRODUCT!B7</f>
        <v/>
      </c>
      <c r="F12" s="62">
        <f>IF(PRODUCT_CALCULATION!B12="SI";PRODUCT_CALCULATION!C12;"")</f>
        <v/>
      </c>
      <c r="G12" s="63">
        <f>IF(PRODUCT_CALCULATION!B12="SI";PRODUCT_CALCULATION!E12;"")</f>
        <v/>
      </c>
      <c r="H12" s="63">
        <f>IF(PRODUCT_CALCULATION!B12="SI";PRODUCT_CALCULATION!F12;"")</f>
        <v/>
      </c>
      <c r="I12" s="62">
        <f>IF(PRODUCT_CALCULATION!B12="SI";PRODUCT_CALCULATION!G12;"")</f>
        <v/>
      </c>
      <c r="J12" s="0">
        <f>IF(PRODUCT_CALCULATION!B12="SI";PRODUCT_CALCULATION!S12;"")</f>
        <v/>
      </c>
      <c r="K12" s="0">
        <f>IF(PRODUCT_CALCULATION!B12="SI";PRODUCT_CALCULATION!K12;"")</f>
        <v/>
      </c>
      <c r="L12" s="0">
        <f>IF(PRODUCT_CALCULATION!B12="SI";CEILING(PRODUCT_CALCULATION!F12/PRODUCT_CALCULATION!K12;1);"")</f>
        <v/>
      </c>
      <c r="M12" s="0">
        <f>IF(PRODUCT_CALCULATION!B12="SI";INDEX(PRODUCT!A:A;MATCH(PRODUCT_CALCULATION!C12;PRODUCT!B:B;0));"")</f>
        <v/>
      </c>
      <c r="N12" s="0">
        <f>IF(PRODUCT_CALCULATION!B12="SI";PRODUCT_CALCULATION!Y12;"")</f>
        <v/>
      </c>
    </row>
    <row r="13" ht="15.75" customHeight="1" s="125">
      <c r="A13" s="62">
        <f>INPUT_PRODUCT!B1</f>
        <v/>
      </c>
      <c r="B13" s="58">
        <f>INPUT_PRODUCT!B2</f>
        <v/>
      </c>
      <c r="C13" s="62">
        <f>INPUT_PRODUCT!B6</f>
        <v/>
      </c>
      <c r="D13" s="62">
        <f>INPUT_PRODUCT!B5</f>
        <v/>
      </c>
      <c r="E13" s="62">
        <f>INPUT_PRODUCT!B7</f>
        <v/>
      </c>
      <c r="F13" s="62">
        <f>IF(PRODUCT_CALCULATION!B13="SI";PRODUCT_CALCULATION!C13;"")</f>
        <v/>
      </c>
      <c r="G13" s="63">
        <f>IF(PRODUCT_CALCULATION!B13="SI";PRODUCT_CALCULATION!E13;"")</f>
        <v/>
      </c>
      <c r="H13" s="63">
        <f>IF(PRODUCT_CALCULATION!B13="SI";PRODUCT_CALCULATION!F13;"")</f>
        <v/>
      </c>
      <c r="I13" s="62">
        <f>IF(PRODUCT_CALCULATION!B13="SI";PRODUCT_CALCULATION!G13;"")</f>
        <v/>
      </c>
      <c r="J13" s="0">
        <f>IF(PRODUCT_CALCULATION!B13="SI";PRODUCT_CALCULATION!S13;"")</f>
        <v/>
      </c>
      <c r="K13" s="0">
        <f>IF(PRODUCT_CALCULATION!B13="SI";PRODUCT_CALCULATION!K13;"")</f>
        <v/>
      </c>
      <c r="L13" s="0">
        <f>IF(PRODUCT_CALCULATION!B13="SI";CEILING(PRODUCT_CALCULATION!F13/PRODUCT_CALCULATION!K13;1);"")</f>
        <v/>
      </c>
      <c r="M13" s="0">
        <f>IF(PRODUCT_CALCULATION!B13="SI";INDEX(PRODUCT!A:A;MATCH(PRODUCT_CALCULATION!C13;PRODUCT!B:B;0));"")</f>
        <v/>
      </c>
      <c r="N13" s="0">
        <f>IF(PRODUCT_CALCULATION!B13="SI";PRODUCT_CALCULATION!Y13;"")</f>
        <v/>
      </c>
    </row>
    <row r="14" ht="15.75" customHeight="1" s="125">
      <c r="A14" s="62">
        <f>INPUT_PRODUCT!B1</f>
        <v/>
      </c>
      <c r="B14" s="58">
        <f>INPUT_PRODUCT!B2</f>
        <v/>
      </c>
      <c r="C14" s="62">
        <f>INPUT_PRODUCT!B6</f>
        <v/>
      </c>
      <c r="D14" s="62">
        <f>INPUT_PRODUCT!B5</f>
        <v/>
      </c>
      <c r="E14" s="62">
        <f>INPUT_PRODUCT!B7</f>
        <v/>
      </c>
      <c r="F14" s="62">
        <f>IF(PRODUCT_CALCULATION!B14="SI";PRODUCT_CALCULATION!C14;"")</f>
        <v/>
      </c>
      <c r="G14" s="63">
        <f>IF(PRODUCT_CALCULATION!B14="SI";PRODUCT_CALCULATION!E14;"")</f>
        <v/>
      </c>
      <c r="H14" s="63">
        <f>IF(PRODUCT_CALCULATION!B14="SI";PRODUCT_CALCULATION!F14;"")</f>
        <v/>
      </c>
      <c r="I14" s="62">
        <f>IF(PRODUCT_CALCULATION!B14="SI";PRODUCT_CALCULATION!G14;"")</f>
        <v/>
      </c>
      <c r="J14" s="0">
        <f>IF(PRODUCT_CALCULATION!B14="SI";PRODUCT_CALCULATION!S14;"")</f>
        <v/>
      </c>
      <c r="K14" s="0">
        <f>IF(PRODUCT_CALCULATION!B14="SI";PRODUCT_CALCULATION!K14;"")</f>
        <v/>
      </c>
      <c r="L14" s="0">
        <f>IF(PRODUCT_CALCULATION!B14="SI";CEILING(PRODUCT_CALCULATION!F14/PRODUCT_CALCULATION!K14;1);"")</f>
        <v/>
      </c>
      <c r="M14" s="0">
        <f>IF(PRODUCT_CALCULATION!B14="SI";INDEX(PRODUCT!A:A;MATCH(PRODUCT_CALCULATION!C14;PRODUCT!B:B;0));"")</f>
        <v/>
      </c>
      <c r="N14" s="0">
        <f>IF(PRODUCT_CALCULATION!B14="SI";PRODUCT_CALCULATION!Y14;"")</f>
        <v/>
      </c>
    </row>
    <row r="15" ht="15.75" customHeight="1" s="125">
      <c r="A15" s="62">
        <f>INPUT_PRODUCT!B1</f>
        <v/>
      </c>
      <c r="B15" s="58">
        <f>INPUT_PRODUCT!B2</f>
        <v/>
      </c>
      <c r="C15" s="62">
        <f>INPUT_PRODUCT!B6</f>
        <v/>
      </c>
      <c r="D15" s="62">
        <f>INPUT_PRODUCT!B5</f>
        <v/>
      </c>
      <c r="E15" s="62">
        <f>INPUT_PRODUCT!B7</f>
        <v/>
      </c>
      <c r="F15" s="62">
        <f>IF(PRODUCT_CALCULATION!B15="SI";PRODUCT_CALCULATION!C15;"")</f>
        <v/>
      </c>
      <c r="G15" s="63">
        <f>IF(PRODUCT_CALCULATION!B15="SI";PRODUCT_CALCULATION!E15;"")</f>
        <v/>
      </c>
      <c r="H15" s="63">
        <f>IF(PRODUCT_CALCULATION!B15="SI";PRODUCT_CALCULATION!F15;"")</f>
        <v/>
      </c>
      <c r="I15" s="62">
        <f>IF(PRODUCT_CALCULATION!B15="SI";PRODUCT_CALCULATION!G15;"")</f>
        <v/>
      </c>
      <c r="J15" s="0">
        <f>IF(PRODUCT_CALCULATION!B15="SI";PRODUCT_CALCULATION!S15;"")</f>
        <v/>
      </c>
      <c r="K15" s="0">
        <f>IF(PRODUCT_CALCULATION!B15="SI";PRODUCT_CALCULATION!K15;"")</f>
        <v/>
      </c>
      <c r="L15" s="0">
        <f>IF(PRODUCT_CALCULATION!B15="SI";CEILING(PRODUCT_CALCULATION!F15/PRODUCT_CALCULATION!K15;1);"")</f>
        <v/>
      </c>
      <c r="M15" s="0">
        <f>IF(PRODUCT_CALCULATION!B15="SI";INDEX(PRODUCT!A:A;MATCH(PRODUCT_CALCULATION!C15;PRODUCT!B:B;0));"")</f>
        <v/>
      </c>
      <c r="N15" s="0">
        <f>IF(PRODUCT_CALCULATION!B15="SI";PRODUCT_CALCULATION!Y15;"")</f>
        <v/>
      </c>
    </row>
    <row r="16" ht="15.75" customHeight="1" s="125">
      <c r="A16" s="62">
        <f>INPUT_PRODUCT!B1</f>
        <v/>
      </c>
      <c r="B16" s="58">
        <f>INPUT_PRODUCT!B2</f>
        <v/>
      </c>
      <c r="C16" s="62">
        <f>INPUT_PRODUCT!B6</f>
        <v/>
      </c>
      <c r="D16" s="62">
        <f>INPUT_PRODUCT!B5</f>
        <v/>
      </c>
      <c r="E16" s="62">
        <f>INPUT_PRODUCT!B7</f>
        <v/>
      </c>
      <c r="F16" s="62">
        <f>IF(PRODUCT_CALCULATION!B16="SI";PRODUCT_CALCULATION!C16;"")</f>
        <v/>
      </c>
      <c r="G16" s="63">
        <f>IF(PRODUCT_CALCULATION!B16="SI";PRODUCT_CALCULATION!E16;"")</f>
        <v/>
      </c>
      <c r="H16" s="63">
        <f>IF(PRODUCT_CALCULATION!B16="SI";PRODUCT_CALCULATION!F16;"")</f>
        <v/>
      </c>
      <c r="I16" s="62">
        <f>IF(PRODUCT_CALCULATION!B16="SI";PRODUCT_CALCULATION!G16;"")</f>
        <v/>
      </c>
      <c r="J16" s="0">
        <f>IF(PRODUCT_CALCULATION!B16="SI";PRODUCT_CALCULATION!S16;"")</f>
        <v/>
      </c>
      <c r="K16" s="0">
        <f>IF(PRODUCT_CALCULATION!B16="SI";PRODUCT_CALCULATION!K16;"")</f>
        <v/>
      </c>
      <c r="L16" s="0">
        <f>IF(PRODUCT_CALCULATION!B16="SI";CEILING(PRODUCT_CALCULATION!F16/PRODUCT_CALCULATION!K16;1);"")</f>
        <v/>
      </c>
      <c r="M16" s="0">
        <f>IF(PRODUCT_CALCULATION!B16="SI";INDEX(PRODUCT!A:A;MATCH(PRODUCT_CALCULATION!C16;PRODUCT!B:B;0));"")</f>
        <v/>
      </c>
      <c r="N16" s="0">
        <f>IF(PRODUCT_CALCULATION!B16="SI";PRODUCT_CALCULATION!Y16;"")</f>
        <v/>
      </c>
    </row>
    <row r="17" ht="15.75" customHeight="1" s="125">
      <c r="A17" s="62">
        <f>INPUT_PRODUCT!B1</f>
        <v/>
      </c>
      <c r="B17" s="58">
        <f>INPUT_PRODUCT!B2</f>
        <v/>
      </c>
      <c r="C17" s="62">
        <f>INPUT_PRODUCT!B6</f>
        <v/>
      </c>
      <c r="D17" s="62">
        <f>INPUT_PRODUCT!B5</f>
        <v/>
      </c>
      <c r="E17" s="62">
        <f>INPUT_PRODUCT!B7</f>
        <v/>
      </c>
      <c r="F17" s="62">
        <f>IF(PRODUCT_CALCULATION!B17="SI";PRODUCT_CALCULATION!C17;"")</f>
        <v/>
      </c>
      <c r="G17" s="63">
        <f>IF(PRODUCT_CALCULATION!B17="SI";PRODUCT_CALCULATION!E17;"")</f>
        <v/>
      </c>
      <c r="H17" s="63">
        <f>IF(PRODUCT_CALCULATION!B17="SI";PRODUCT_CALCULATION!F17;"")</f>
        <v/>
      </c>
      <c r="I17" s="62">
        <f>IF(PRODUCT_CALCULATION!B17="SI";PRODUCT_CALCULATION!G17;"")</f>
        <v/>
      </c>
      <c r="J17" s="0">
        <f>IF(PRODUCT_CALCULATION!B17="SI";PRODUCT_CALCULATION!S17;"")</f>
        <v/>
      </c>
      <c r="K17" s="0">
        <f>IF(PRODUCT_CALCULATION!B17="SI";PRODUCT_CALCULATION!K17;"")</f>
        <v/>
      </c>
      <c r="L17" s="0">
        <f>IF(PRODUCT_CALCULATION!B17="SI";CEILING(PRODUCT_CALCULATION!F17/PRODUCT_CALCULATION!K17;1);"")</f>
        <v/>
      </c>
      <c r="M17" s="0">
        <f>IF(PRODUCT_CALCULATION!B17="SI";INDEX(PRODUCT!A:A;MATCH(PRODUCT_CALCULATION!C17;PRODUCT!B:B;0));"")</f>
        <v/>
      </c>
      <c r="N17" s="0">
        <f>IF(PRODUCT_CALCULATION!B17="SI";PRODUCT_CALCULATION!Y17;"")</f>
        <v/>
      </c>
    </row>
    <row r="18" ht="15.75" customHeight="1" s="125">
      <c r="A18" s="62">
        <f>INPUT_PRODUCT!B1</f>
        <v/>
      </c>
      <c r="B18" s="58">
        <f>INPUT_PRODUCT!B2</f>
        <v/>
      </c>
      <c r="C18" s="62">
        <f>INPUT_PRODUCT!B6</f>
        <v/>
      </c>
      <c r="D18" s="62">
        <f>INPUT_PRODUCT!B5</f>
        <v/>
      </c>
      <c r="E18" s="62">
        <f>INPUT_PRODUCT!B7</f>
        <v/>
      </c>
      <c r="F18" s="62">
        <f>IF(PRODUCT_CALCULATION!B18="SI";PRODUCT_CALCULATION!C18;"")</f>
        <v/>
      </c>
      <c r="G18" s="63">
        <f>IF(PRODUCT_CALCULATION!B18="SI";PRODUCT_CALCULATION!E18;"")</f>
        <v/>
      </c>
      <c r="H18" s="63">
        <f>IF(PRODUCT_CALCULATION!B18="SI";PRODUCT_CALCULATION!F18;"")</f>
        <v/>
      </c>
      <c r="I18" s="62">
        <f>IF(PRODUCT_CALCULATION!B18="SI";PRODUCT_CALCULATION!G18;"")</f>
        <v/>
      </c>
      <c r="J18" s="0">
        <f>IF(PRODUCT_CALCULATION!B18="SI";PRODUCT_CALCULATION!S18;"")</f>
        <v/>
      </c>
      <c r="K18" s="0">
        <f>IF(PRODUCT_CALCULATION!B18="SI";PRODUCT_CALCULATION!K18;"")</f>
        <v/>
      </c>
      <c r="L18" s="0">
        <f>IF(PRODUCT_CALCULATION!B18="SI";CEILING(PRODUCT_CALCULATION!F18/PRODUCT_CALCULATION!K18;1);"")</f>
        <v/>
      </c>
      <c r="M18" s="0">
        <f>IF(PRODUCT_CALCULATION!B18="SI";INDEX(PRODUCT!A:A;MATCH(PRODUCT_CALCULATION!C18;PRODUCT!B:B;0));"")</f>
        <v/>
      </c>
      <c r="N18" s="0">
        <f>IF(PRODUCT_CALCULATION!B18="SI";PRODUCT_CALCULATION!Y18;"")</f>
        <v/>
      </c>
    </row>
    <row r="19" ht="15.75" customHeight="1" s="125">
      <c r="A19" s="62">
        <f>INPUT_PRODUCT!B1</f>
        <v/>
      </c>
      <c r="B19" s="58">
        <f>INPUT_PRODUCT!B2</f>
        <v/>
      </c>
      <c r="C19" s="62">
        <f>INPUT_PRODUCT!B6</f>
        <v/>
      </c>
      <c r="D19" s="62">
        <f>INPUT_PRODUCT!B5</f>
        <v/>
      </c>
      <c r="E19" s="62">
        <f>INPUT_PRODUCT!B7</f>
        <v/>
      </c>
      <c r="F19" s="62">
        <f>IF(PRODUCT_CALCULATION!B19="SI";PRODUCT_CALCULATION!C19;"")</f>
        <v/>
      </c>
      <c r="G19" s="63">
        <f>IF(PRODUCT_CALCULATION!B19="SI";PRODUCT_CALCULATION!E19;"")</f>
        <v/>
      </c>
      <c r="H19" s="63">
        <f>IF(PRODUCT_CALCULATION!B19="SI";PRODUCT_CALCULATION!F19;"")</f>
        <v/>
      </c>
      <c r="I19" s="62">
        <f>IF(PRODUCT_CALCULATION!B19="SI";PRODUCT_CALCULATION!G19;"")</f>
        <v/>
      </c>
      <c r="J19" s="0">
        <f>IF(PRODUCT_CALCULATION!B19="SI";PRODUCT_CALCULATION!S19;"")</f>
        <v/>
      </c>
      <c r="K19" s="0">
        <f>IF(PRODUCT_CALCULATION!B19="SI";PRODUCT_CALCULATION!K19;"")</f>
        <v/>
      </c>
      <c r="L19" s="0">
        <f>IF(PRODUCT_CALCULATION!B19="SI";CEILING(PRODUCT_CALCULATION!F19/PRODUCT_CALCULATION!K19;1);"")</f>
        <v/>
      </c>
      <c r="M19" s="0">
        <f>IF(PRODUCT_CALCULATION!B19="SI";INDEX(PRODUCT!A:A;MATCH(PRODUCT_CALCULATION!C19;PRODUCT!B:B;0));"")</f>
        <v/>
      </c>
      <c r="N19" s="0">
        <f>IF(PRODUCT_CALCULATION!B19="SI";PRODUCT_CALCULATION!Y19;"")</f>
        <v/>
      </c>
    </row>
    <row r="20" ht="15.75" customHeight="1" s="125">
      <c r="A20" s="62">
        <f>INPUT_PRODUCT!B1</f>
        <v/>
      </c>
      <c r="B20" s="58">
        <f>INPUT_PRODUCT!B2</f>
        <v/>
      </c>
      <c r="C20" s="62">
        <f>INPUT_PRODUCT!B6</f>
        <v/>
      </c>
      <c r="D20" s="62">
        <f>INPUT_PRODUCT!B5</f>
        <v/>
      </c>
      <c r="E20" s="62">
        <f>INPUT_PRODUCT!B7</f>
        <v/>
      </c>
      <c r="F20" s="62">
        <f>IF(PRODUCT_CALCULATION!B20="SI";PRODUCT_CALCULATION!C20;"")</f>
        <v/>
      </c>
      <c r="G20" s="63">
        <f>IF(PRODUCT_CALCULATION!B20="SI";PRODUCT_CALCULATION!E20;"")</f>
        <v/>
      </c>
      <c r="H20" s="63">
        <f>IF(PRODUCT_CALCULATION!B20="SI";PRODUCT_CALCULATION!F20;"")</f>
        <v/>
      </c>
      <c r="I20" s="62">
        <f>IF(PRODUCT_CALCULATION!B20="SI";PRODUCT_CALCULATION!G20;"")</f>
        <v/>
      </c>
      <c r="J20" s="0">
        <f>IF(PRODUCT_CALCULATION!B20="SI";PRODUCT_CALCULATION!S20;"")</f>
        <v/>
      </c>
      <c r="K20" s="0">
        <f>IF(PRODUCT_CALCULATION!B20="SI";PRODUCT_CALCULATION!K20;"")</f>
        <v/>
      </c>
      <c r="L20" s="0">
        <f>IF(PRODUCT_CALCULATION!B20="SI";CEILING(PRODUCT_CALCULATION!F20/PRODUCT_CALCULATION!K20;1);"")</f>
        <v/>
      </c>
      <c r="M20" s="0">
        <f>IF(PRODUCT_CALCULATION!B20="SI";INDEX(PRODUCT!A:A;MATCH(PRODUCT_CALCULATION!C20;PRODUCT!B:B;0));"")</f>
        <v/>
      </c>
      <c r="N20" s="0">
        <f>IF(PRODUCT_CALCULATION!B20="SI";PRODUCT_CALCULATION!Y20;"")</f>
        <v/>
      </c>
    </row>
    <row r="21" ht="15.75" customHeight="1" s="125">
      <c r="A21" s="62">
        <f>INPUT_PRODUCT!B1</f>
        <v/>
      </c>
      <c r="B21" s="58">
        <f>INPUT_PRODUCT!B2</f>
        <v/>
      </c>
      <c r="C21" s="62">
        <f>INPUT_PRODUCT!B6</f>
        <v/>
      </c>
      <c r="D21" s="62">
        <f>INPUT_PRODUCT!B5</f>
        <v/>
      </c>
      <c r="E21" s="62">
        <f>INPUT_PRODUCT!B7</f>
        <v/>
      </c>
      <c r="F21" s="62">
        <f>IF(PRODUCT_CALCULATION!B21="SI";PRODUCT_CALCULATION!C21;"")</f>
        <v/>
      </c>
      <c r="G21" s="63">
        <f>IF(PRODUCT_CALCULATION!B21="SI";PRODUCT_CALCULATION!E21;"")</f>
        <v/>
      </c>
      <c r="H21" s="63">
        <f>IF(PRODUCT_CALCULATION!B21="SI";PRODUCT_CALCULATION!F21;"")</f>
        <v/>
      </c>
      <c r="I21" s="62">
        <f>IF(PRODUCT_CALCULATION!B21="SI";PRODUCT_CALCULATION!G21;"")</f>
        <v/>
      </c>
      <c r="J21" s="0">
        <f>IF(PRODUCT_CALCULATION!B21="SI";PRODUCT_CALCULATION!S21;"")</f>
        <v/>
      </c>
      <c r="K21" s="0">
        <f>IF(PRODUCT_CALCULATION!B21="SI";PRODUCT_CALCULATION!K21;"")</f>
        <v/>
      </c>
      <c r="L21" s="0">
        <f>IF(PRODUCT_CALCULATION!B21="SI";CEILING(PRODUCT_CALCULATION!F21/PRODUCT_CALCULATION!K21;1);"")</f>
        <v/>
      </c>
      <c r="M21" s="0">
        <f>IF(PRODUCT_CALCULATION!B21="SI";INDEX(PRODUCT!A:A;MATCH(PRODUCT_CALCULATION!C21;PRODUCT!B:B;0));"")</f>
        <v/>
      </c>
      <c r="N21" s="0">
        <f>IF(PRODUCT_CALCULATION!B21="SI";PRODUCT_CALCULATION!Y21;"")</f>
        <v/>
      </c>
    </row>
    <row r="22" ht="15.75" customHeight="1" s="125">
      <c r="A22" s="62">
        <f>INPUT_PRODUCT!B1</f>
        <v/>
      </c>
      <c r="B22" s="58">
        <f>INPUT_PRODUCT!B2</f>
        <v/>
      </c>
      <c r="C22" s="62">
        <f>INPUT_PRODUCT!B6</f>
        <v/>
      </c>
      <c r="D22" s="62">
        <f>INPUT_PRODUCT!B5</f>
        <v/>
      </c>
      <c r="E22" s="62">
        <f>INPUT_PRODUCT!B7</f>
        <v/>
      </c>
      <c r="F22" s="62">
        <f>IF(PRODUCT_CALCULATION!B22="SI";PRODUCT_CALCULATION!C22;"")</f>
        <v/>
      </c>
      <c r="G22" s="63">
        <f>IF(PRODUCT_CALCULATION!B22="SI";PRODUCT_CALCULATION!E22;"")</f>
        <v/>
      </c>
      <c r="H22" s="63">
        <f>IF(PRODUCT_CALCULATION!B22="SI";PRODUCT_CALCULATION!F22;"")</f>
        <v/>
      </c>
      <c r="I22" s="62">
        <f>IF(PRODUCT_CALCULATION!B22="SI";PRODUCT_CALCULATION!G22;"")</f>
        <v/>
      </c>
      <c r="J22" s="0">
        <f>IF(PRODUCT_CALCULATION!B22="SI";PRODUCT_CALCULATION!S22;"")</f>
        <v/>
      </c>
      <c r="K22" s="0">
        <f>IF(PRODUCT_CALCULATION!B22="SI";PRODUCT_CALCULATION!K22;"")</f>
        <v/>
      </c>
      <c r="L22" s="0">
        <f>IF(PRODUCT_CALCULATION!B22="SI";CEILING(PRODUCT_CALCULATION!F22/PRODUCT_CALCULATION!K22;1);"")</f>
        <v/>
      </c>
      <c r="M22" s="0">
        <f>IF(PRODUCT_CALCULATION!B22="SI";INDEX(PRODUCT!A:A;MATCH(PRODUCT_CALCULATION!C22;PRODUCT!B:B;0));"")</f>
        <v/>
      </c>
      <c r="N22" s="0">
        <f>IF(PRODUCT_CALCULATION!B22="SI";PRODUCT_CALCULATION!Y22;"")</f>
        <v/>
      </c>
    </row>
    <row r="23" ht="15.75" customHeight="1" s="125">
      <c r="A23" s="62">
        <f>INPUT_PRODUCT!B1</f>
        <v/>
      </c>
      <c r="B23" s="58">
        <f>INPUT_PRODUCT!B2</f>
        <v/>
      </c>
      <c r="C23" s="62">
        <f>INPUT_PRODUCT!B6</f>
        <v/>
      </c>
      <c r="D23" s="62">
        <f>INPUT_PRODUCT!B5</f>
        <v/>
      </c>
      <c r="E23" s="62">
        <f>INPUT_PRODUCT!B7</f>
        <v/>
      </c>
      <c r="F23" s="62">
        <f>IF(PRODUCT_CALCULATION!B23="SI";PRODUCT_CALCULATION!C23;"")</f>
        <v/>
      </c>
      <c r="G23" s="63">
        <f>IF(PRODUCT_CALCULATION!B23="SI";PRODUCT_CALCULATION!E23;"")</f>
        <v/>
      </c>
      <c r="H23" s="63">
        <f>IF(PRODUCT_CALCULATION!B23="SI";PRODUCT_CALCULATION!F23;"")</f>
        <v/>
      </c>
      <c r="I23" s="62">
        <f>IF(PRODUCT_CALCULATION!B23="SI";PRODUCT_CALCULATION!G23;"")</f>
        <v/>
      </c>
      <c r="J23" s="0">
        <f>IF(PRODUCT_CALCULATION!B23="SI";PRODUCT_CALCULATION!S23;"")</f>
        <v/>
      </c>
      <c r="K23" s="0">
        <f>IF(PRODUCT_CALCULATION!B23="SI";PRODUCT_CALCULATION!K23;"")</f>
        <v/>
      </c>
      <c r="L23" s="0">
        <f>IF(PRODUCT_CALCULATION!B23="SI";CEILING(PRODUCT_CALCULATION!F23/PRODUCT_CALCULATION!K23;1);"")</f>
        <v/>
      </c>
      <c r="M23" s="0">
        <f>IF(PRODUCT_CALCULATION!B23="SI";INDEX(PRODUCT!A:A;MATCH(PRODUCT_CALCULATION!C23;PRODUCT!B:B;0));"")</f>
        <v/>
      </c>
      <c r="N23" s="0">
        <f>IF(PRODUCT_CALCULATION!B23="SI";PRODUCT_CALCULATION!Y23;"")</f>
        <v/>
      </c>
    </row>
    <row r="24" ht="15.75" customHeight="1" s="125">
      <c r="A24" s="62">
        <f>INPUT_PRODUCT!B1</f>
        <v/>
      </c>
      <c r="B24" s="58">
        <f>INPUT_PRODUCT!B2</f>
        <v/>
      </c>
      <c r="C24" s="62">
        <f>INPUT_PRODUCT!B6</f>
        <v/>
      </c>
      <c r="D24" s="62">
        <f>INPUT_PRODUCT!B5</f>
        <v/>
      </c>
      <c r="E24" s="62">
        <f>INPUT_PRODUCT!B7</f>
        <v/>
      </c>
      <c r="F24" s="62">
        <f>IF(PRODUCT_CALCULATION!B24="SI";PRODUCT_CALCULATION!C24;"")</f>
        <v/>
      </c>
      <c r="G24" s="63">
        <f>IF(PRODUCT_CALCULATION!B24="SI";PRODUCT_CALCULATION!E24;"")</f>
        <v/>
      </c>
      <c r="H24" s="63">
        <f>IF(PRODUCT_CALCULATION!B24="SI";PRODUCT_CALCULATION!F24;"")</f>
        <v/>
      </c>
      <c r="I24" s="62">
        <f>IF(PRODUCT_CALCULATION!B24="SI";PRODUCT_CALCULATION!G24;"")</f>
        <v/>
      </c>
      <c r="J24" s="0">
        <f>IF(PRODUCT_CALCULATION!B24="SI";PRODUCT_CALCULATION!S24;"")</f>
        <v/>
      </c>
      <c r="K24" s="0">
        <f>IF(PRODUCT_CALCULATION!B24="SI";PRODUCT_CALCULATION!K24;"")</f>
        <v/>
      </c>
      <c r="L24" s="0">
        <f>IF(PRODUCT_CALCULATION!B24="SI";CEILING(PRODUCT_CALCULATION!F24/PRODUCT_CALCULATION!K24;1);"")</f>
        <v/>
      </c>
      <c r="M24" s="0">
        <f>IF(PRODUCT_CALCULATION!B24="SI";INDEX(PRODUCT!A:A;MATCH(PRODUCT_CALCULATION!C24;PRODUCT!B:B;0));"")</f>
        <v/>
      </c>
      <c r="N24" s="0">
        <f>IF(PRODUCT_CALCULATION!B24="SI";PRODUCT_CALCULATION!Y24;"")</f>
        <v/>
      </c>
    </row>
    <row r="25" ht="15.75" customHeight="1" s="125">
      <c r="A25" s="62">
        <f>INPUT_PRODUCT!B1</f>
        <v/>
      </c>
      <c r="B25" s="58">
        <f>INPUT_PRODUCT!B2</f>
        <v/>
      </c>
      <c r="C25" s="62">
        <f>INPUT_PRODUCT!B6</f>
        <v/>
      </c>
      <c r="D25" s="62">
        <f>INPUT_PRODUCT!B5</f>
        <v/>
      </c>
      <c r="E25" s="62">
        <f>INPUT_PRODUCT!B7</f>
        <v/>
      </c>
      <c r="F25" s="62">
        <f>IF(PRODUCT_CALCULATION!B25="SI";PRODUCT_CALCULATION!C25;"")</f>
        <v/>
      </c>
      <c r="G25" s="63">
        <f>IF(PRODUCT_CALCULATION!B25="SI";PRODUCT_CALCULATION!E25;"")</f>
        <v/>
      </c>
      <c r="H25" s="63">
        <f>IF(PRODUCT_CALCULATION!B25="SI";PRODUCT_CALCULATION!F25;"")</f>
        <v/>
      </c>
      <c r="I25" s="62">
        <f>IF(PRODUCT_CALCULATION!B25="SI";PRODUCT_CALCULATION!G25;"")</f>
        <v/>
      </c>
      <c r="J25" s="0">
        <f>IF(PRODUCT_CALCULATION!B25="SI";PRODUCT_CALCULATION!S25;"")</f>
        <v/>
      </c>
      <c r="K25" s="0">
        <f>IF(PRODUCT_CALCULATION!B25="SI";PRODUCT_CALCULATION!K25;"")</f>
        <v/>
      </c>
      <c r="L25" s="0">
        <f>IF(PRODUCT_CALCULATION!B25="SI";CEILING(PRODUCT_CALCULATION!F25/PRODUCT_CALCULATION!K25;1);"")</f>
        <v/>
      </c>
      <c r="M25" s="0">
        <f>IF(PRODUCT_CALCULATION!B25="SI";INDEX(PRODUCT!A:A;MATCH(PRODUCT_CALCULATION!C25;PRODUCT!B:B;0));"")</f>
        <v/>
      </c>
      <c r="N25" s="0">
        <f>IF(PRODUCT_CALCULATION!B25="SI";PRODUCT_CALCULATION!Y25;"")</f>
        <v/>
      </c>
    </row>
    <row r="26" ht="15.75" customHeight="1" s="125">
      <c r="A26" s="62">
        <f>INPUT_PRODUCT!B1</f>
        <v/>
      </c>
      <c r="B26" s="58">
        <f>INPUT_PRODUCT!B2</f>
        <v/>
      </c>
      <c r="C26" s="62">
        <f>INPUT_PRODUCT!B6</f>
        <v/>
      </c>
      <c r="D26" s="62">
        <f>INPUT_PRODUCT!B5</f>
        <v/>
      </c>
      <c r="E26" s="62">
        <f>INPUT_PRODUCT!B7</f>
        <v/>
      </c>
      <c r="F26" s="62">
        <f>IF(PRODUCT_CALCULATION!B26="SI";PRODUCT_CALCULATION!C26;"")</f>
        <v/>
      </c>
      <c r="G26" s="63">
        <f>IF(PRODUCT_CALCULATION!B26="SI";PRODUCT_CALCULATION!E26;"")</f>
        <v/>
      </c>
      <c r="H26" s="63">
        <f>IF(PRODUCT_CALCULATION!B26="SI";PRODUCT_CALCULATION!F26;"")</f>
        <v/>
      </c>
      <c r="I26" s="62">
        <f>IF(PRODUCT_CALCULATION!B26="SI";PRODUCT_CALCULATION!G26;"")</f>
        <v/>
      </c>
      <c r="J26" s="0">
        <f>IF(PRODUCT_CALCULATION!B26="SI";PRODUCT_CALCULATION!S26;"")</f>
        <v/>
      </c>
      <c r="K26" s="0">
        <f>IF(PRODUCT_CALCULATION!B26="SI";PRODUCT_CALCULATION!K26;"")</f>
        <v/>
      </c>
      <c r="L26" s="0">
        <f>IF(PRODUCT_CALCULATION!B26="SI";CEILING(PRODUCT_CALCULATION!F26/PRODUCT_CALCULATION!K26;1);"")</f>
        <v/>
      </c>
      <c r="M26" s="0">
        <f>IF(PRODUCT_CALCULATION!B26="SI";INDEX(PRODUCT!A:A;MATCH(PRODUCT_CALCULATION!C26;PRODUCT!B:B;0));"")</f>
        <v/>
      </c>
      <c r="N26" s="0">
        <f>IF(PRODUCT_CALCULATION!B26="SI";PRODUCT_CALCULATION!Y26;"")</f>
        <v/>
      </c>
    </row>
    <row r="27" ht="15.75" customHeight="1" s="125">
      <c r="A27" s="62">
        <f>INPUT_PRODUCT!B1</f>
        <v/>
      </c>
      <c r="B27" s="58">
        <f>INPUT_PRODUCT!B2</f>
        <v/>
      </c>
      <c r="C27" s="62">
        <f>INPUT_PRODUCT!B6</f>
        <v/>
      </c>
      <c r="D27" s="62">
        <f>INPUT_PRODUCT!B5</f>
        <v/>
      </c>
      <c r="E27" s="62">
        <f>INPUT_PRODUCT!B7</f>
        <v/>
      </c>
      <c r="F27" s="62">
        <f>IF(PRODUCT_CALCULATION!B27="SI";PRODUCT_CALCULATION!C27;"")</f>
        <v/>
      </c>
      <c r="G27" s="63">
        <f>IF(PRODUCT_CALCULATION!B27="SI";PRODUCT_CALCULATION!E27;"")</f>
        <v/>
      </c>
      <c r="H27" s="63">
        <f>IF(PRODUCT_CALCULATION!B27="SI";PRODUCT_CALCULATION!F27;"")</f>
        <v/>
      </c>
      <c r="I27" s="62">
        <f>IF(PRODUCT_CALCULATION!B27="SI";PRODUCT_CALCULATION!G27;"")</f>
        <v/>
      </c>
      <c r="J27" s="0">
        <f>IF(PRODUCT_CALCULATION!B27="SI";PRODUCT_CALCULATION!S27;"")</f>
        <v/>
      </c>
      <c r="K27" s="0">
        <f>IF(PRODUCT_CALCULATION!B27="SI";PRODUCT_CALCULATION!K27;"")</f>
        <v/>
      </c>
      <c r="L27" s="0">
        <f>IF(PRODUCT_CALCULATION!B27="SI";CEILING(PRODUCT_CALCULATION!F27/PRODUCT_CALCULATION!K27;1);"")</f>
        <v/>
      </c>
      <c r="M27" s="0">
        <f>IF(PRODUCT_CALCULATION!B27="SI";INDEX(PRODUCT!A:A;MATCH(PRODUCT_CALCULATION!C27;PRODUCT!B:B;0));"")</f>
        <v/>
      </c>
      <c r="N27" s="0">
        <f>IF(PRODUCT_CALCULATION!B27="SI";PRODUCT_CALCULATION!Y27;"")</f>
        <v/>
      </c>
    </row>
    <row r="28" ht="15.75" customHeight="1" s="125">
      <c r="A28" s="62">
        <f>INPUT_PRODUCT!B1</f>
        <v/>
      </c>
      <c r="B28" s="58">
        <f>INPUT_PRODUCT!B2</f>
        <v/>
      </c>
      <c r="C28" s="62">
        <f>INPUT_PRODUCT!B6</f>
        <v/>
      </c>
      <c r="D28" s="62">
        <f>INPUT_PRODUCT!B5</f>
        <v/>
      </c>
      <c r="E28" s="62">
        <f>INPUT_PRODUCT!B7</f>
        <v/>
      </c>
      <c r="F28" s="62">
        <f>IF(PRODUCT_CALCULATION!B28="SI";PRODUCT_CALCULATION!C28;"")</f>
        <v/>
      </c>
      <c r="G28" s="63">
        <f>IF(PRODUCT_CALCULATION!B28="SI";PRODUCT_CALCULATION!E28;"")</f>
        <v/>
      </c>
      <c r="H28" s="63">
        <f>IF(PRODUCT_CALCULATION!B28="SI";PRODUCT_CALCULATION!F28;"")</f>
        <v/>
      </c>
      <c r="I28" s="62">
        <f>IF(PRODUCT_CALCULATION!B28="SI";PRODUCT_CALCULATION!G28;"")</f>
        <v/>
      </c>
      <c r="J28" s="0">
        <f>IF(PRODUCT_CALCULATION!B28="SI";PRODUCT_CALCULATION!S28;"")</f>
        <v/>
      </c>
      <c r="K28" s="0">
        <f>IF(PRODUCT_CALCULATION!B28="SI";PRODUCT_CALCULATION!K28;"")</f>
        <v/>
      </c>
      <c r="L28" s="0">
        <f>IF(PRODUCT_CALCULATION!B28="SI";CEILING(PRODUCT_CALCULATION!F28/PRODUCT_CALCULATION!K28;1);"")</f>
        <v/>
      </c>
      <c r="M28" s="0">
        <f>IF(PRODUCT_CALCULATION!B28="SI";INDEX(PRODUCT!A:A;MATCH(PRODUCT_CALCULATION!C28;PRODUCT!B:B;0));"")</f>
        <v/>
      </c>
      <c r="N28" s="0">
        <f>IF(PRODUCT_CALCULATION!B28="SI";PRODUCT_CALCULATION!Y28;"")</f>
        <v/>
      </c>
    </row>
    <row r="29" ht="15.75" customHeight="1" s="125">
      <c r="A29" s="62">
        <f>INPUT_PRODUCT!B1</f>
        <v/>
      </c>
      <c r="B29" s="58">
        <f>INPUT_PRODUCT!B2</f>
        <v/>
      </c>
      <c r="C29" s="62">
        <f>INPUT_PRODUCT!B6</f>
        <v/>
      </c>
      <c r="D29" s="62">
        <f>INPUT_PRODUCT!B5</f>
        <v/>
      </c>
      <c r="E29" s="62">
        <f>INPUT_PRODUCT!B7</f>
        <v/>
      </c>
      <c r="F29" s="62">
        <f>IF(PRODUCT_CALCULATION!B29="SI";PRODUCT_CALCULATION!C29;"")</f>
        <v/>
      </c>
      <c r="G29" s="63">
        <f>IF(PRODUCT_CALCULATION!B29="SI";PRODUCT_CALCULATION!E29;"")</f>
        <v/>
      </c>
      <c r="H29" s="63">
        <f>IF(PRODUCT_CALCULATION!B29="SI";PRODUCT_CALCULATION!F29;"")</f>
        <v/>
      </c>
      <c r="I29" s="62">
        <f>IF(PRODUCT_CALCULATION!B29="SI";PRODUCT_CALCULATION!G29;"")</f>
        <v/>
      </c>
      <c r="J29" s="0">
        <f>IF(PRODUCT_CALCULATION!B29="SI";PRODUCT_CALCULATION!S29;"")</f>
        <v/>
      </c>
      <c r="K29" s="0">
        <f>IF(PRODUCT_CALCULATION!B29="SI";PRODUCT_CALCULATION!K29;"")</f>
        <v/>
      </c>
      <c r="L29" s="0">
        <f>IF(PRODUCT_CALCULATION!B29="SI";CEILING(PRODUCT_CALCULATION!F29/PRODUCT_CALCULATION!K29;1);"")</f>
        <v/>
      </c>
      <c r="M29" s="0">
        <f>IF(PRODUCT_CALCULATION!B29="SI";INDEX(PRODUCT!A:A;MATCH(PRODUCT_CALCULATION!C29;PRODUCT!B:B;0));"")</f>
        <v/>
      </c>
      <c r="N29" s="0">
        <f>IF(PRODUCT_CALCULATION!B29="SI";PRODUCT_CALCULATION!Y29;"")</f>
        <v/>
      </c>
    </row>
    <row r="30" ht="15.75" customHeight="1" s="125">
      <c r="A30" s="62">
        <f>INPUT_PRODUCT!B1</f>
        <v/>
      </c>
      <c r="B30" s="58">
        <f>INPUT_PRODUCT!B2</f>
        <v/>
      </c>
      <c r="C30" s="62">
        <f>INPUT_PRODUCT!B6</f>
        <v/>
      </c>
      <c r="D30" s="62">
        <f>INPUT_PRODUCT!B5</f>
        <v/>
      </c>
      <c r="E30" s="62">
        <f>INPUT_PRODUCT!B7</f>
        <v/>
      </c>
      <c r="F30" s="62">
        <f>IF(PRODUCT_CALCULATION!B30="SI";PRODUCT_CALCULATION!C30;"")</f>
        <v/>
      </c>
      <c r="G30" s="63">
        <f>IF(PRODUCT_CALCULATION!B30="SI";PRODUCT_CALCULATION!E30;"")</f>
        <v/>
      </c>
      <c r="H30" s="63">
        <f>IF(PRODUCT_CALCULATION!B30="SI";PRODUCT_CALCULATION!F30;"")</f>
        <v/>
      </c>
      <c r="I30" s="62">
        <f>IF(PRODUCT_CALCULATION!B30="SI";PRODUCT_CALCULATION!G30;"")</f>
        <v/>
      </c>
      <c r="J30" s="0">
        <f>IF(PRODUCT_CALCULATION!B30="SI";PRODUCT_CALCULATION!S30;"")</f>
        <v/>
      </c>
      <c r="K30" s="0">
        <f>IF(PRODUCT_CALCULATION!B30="SI";PRODUCT_CALCULATION!K30;"")</f>
        <v/>
      </c>
      <c r="L30" s="0">
        <f>IF(PRODUCT_CALCULATION!B30="SI";CEILING(PRODUCT_CALCULATION!F30/PRODUCT_CALCULATION!K30;1);"")</f>
        <v/>
      </c>
      <c r="M30" s="0">
        <f>IF(PRODUCT_CALCULATION!B30="SI";INDEX(PRODUCT!A:A;MATCH(PRODUCT_CALCULATION!C30;PRODUCT!B:B;0));"")</f>
        <v/>
      </c>
      <c r="N30" s="0">
        <f>IF(PRODUCT_CALCULATION!B30="SI";PRODUCT_CALCULATION!Y30;"")</f>
        <v/>
      </c>
    </row>
    <row r="31" ht="15.75" customHeight="1" s="125">
      <c r="A31" s="62">
        <f>INPUT_PRODUCT!B1</f>
        <v/>
      </c>
      <c r="B31" s="58">
        <f>INPUT_PRODUCT!B2</f>
        <v/>
      </c>
      <c r="C31" s="62">
        <f>INPUT_PRODUCT!B6</f>
        <v/>
      </c>
      <c r="D31" s="62">
        <f>INPUT_PRODUCT!B5</f>
        <v/>
      </c>
      <c r="E31" s="62">
        <f>INPUT_PRODUCT!B7</f>
        <v/>
      </c>
      <c r="F31" s="62">
        <f>IF(PRODUCT_CALCULATION!B31="SI";PRODUCT_CALCULATION!C31;"")</f>
        <v/>
      </c>
      <c r="G31" s="63">
        <f>IF(PRODUCT_CALCULATION!B31="SI";PRODUCT_CALCULATION!E31;"")</f>
        <v/>
      </c>
      <c r="H31" s="63">
        <f>IF(PRODUCT_CALCULATION!B31="SI";PRODUCT_CALCULATION!F31;"")</f>
        <v/>
      </c>
      <c r="I31" s="62">
        <f>IF(PRODUCT_CALCULATION!B31="SI";PRODUCT_CALCULATION!G31;"")</f>
        <v/>
      </c>
      <c r="J31" s="0">
        <f>IF(PRODUCT_CALCULATION!B31="SI";PRODUCT_CALCULATION!S31;"")</f>
        <v/>
      </c>
      <c r="K31" s="0">
        <f>IF(PRODUCT_CALCULATION!B31="SI";PRODUCT_CALCULATION!K31;"")</f>
        <v/>
      </c>
      <c r="L31" s="0">
        <f>IF(PRODUCT_CALCULATION!B31="SI";CEILING(PRODUCT_CALCULATION!F31/PRODUCT_CALCULATION!K31;1);"")</f>
        <v/>
      </c>
      <c r="M31" s="0">
        <f>IF(PRODUCT_CALCULATION!B31="SI";INDEX(PRODUCT!A:A;MATCH(PRODUCT_CALCULATION!C31;PRODUCT!B:B;0));"")</f>
        <v/>
      </c>
      <c r="N31" s="0">
        <f>IF(PRODUCT_CALCULATION!B31="SI";PRODUCT_CALCULATION!Y31;"")</f>
        <v/>
      </c>
    </row>
    <row r="32" ht="15.75" customHeight="1" s="125">
      <c r="A32" s="62">
        <f>INPUT_PRODUCT!B1</f>
        <v/>
      </c>
      <c r="B32" s="58">
        <f>INPUT_PRODUCT!B2</f>
        <v/>
      </c>
      <c r="C32" s="62">
        <f>INPUT_PRODUCT!B6</f>
        <v/>
      </c>
      <c r="D32" s="62">
        <f>INPUT_PRODUCT!B5</f>
        <v/>
      </c>
      <c r="E32" s="62">
        <f>INPUT_PRODUCT!B7</f>
        <v/>
      </c>
      <c r="F32" s="62">
        <f>IF(PRODUCT_CALCULATION!B32="SI";PRODUCT_CALCULATION!C32;"")</f>
        <v/>
      </c>
      <c r="G32" s="63">
        <f>IF(PRODUCT_CALCULATION!B32="SI";PRODUCT_CALCULATION!E32;"")</f>
        <v/>
      </c>
      <c r="H32" s="63">
        <f>IF(PRODUCT_CALCULATION!B32="SI";PRODUCT_CALCULATION!F32;"")</f>
        <v/>
      </c>
      <c r="I32" s="62">
        <f>IF(PRODUCT_CALCULATION!B32="SI";PRODUCT_CALCULATION!G32;"")</f>
        <v/>
      </c>
      <c r="J32" s="0">
        <f>IF(PRODUCT_CALCULATION!B32="SI";PRODUCT_CALCULATION!S32;"")</f>
        <v/>
      </c>
      <c r="K32" s="0">
        <f>IF(PRODUCT_CALCULATION!B32="SI";PRODUCT_CALCULATION!K32;"")</f>
        <v/>
      </c>
      <c r="L32" s="0">
        <f>IF(PRODUCT_CALCULATION!B32="SI";CEILING(PRODUCT_CALCULATION!F32/PRODUCT_CALCULATION!K32;1);"")</f>
        <v/>
      </c>
      <c r="M32" s="0">
        <f>IF(PRODUCT_CALCULATION!B32="SI";INDEX(PRODUCT!A:A;MATCH(PRODUCT_CALCULATION!C32;PRODUCT!B:B;0));"")</f>
        <v/>
      </c>
      <c r="N32" s="0">
        <f>IF(PRODUCT_CALCULATION!B32="SI";PRODUCT_CALCULATION!Y32;"")</f>
        <v/>
      </c>
    </row>
    <row r="33" ht="15.75" customHeight="1" s="125">
      <c r="A33" s="62">
        <f>INPUT_PRODUCT!B1</f>
        <v/>
      </c>
      <c r="B33" s="58">
        <f>INPUT_PRODUCT!B2</f>
        <v/>
      </c>
      <c r="C33" s="62">
        <f>INPUT_PRODUCT!B6</f>
        <v/>
      </c>
      <c r="D33" s="62">
        <f>INPUT_PRODUCT!B5</f>
        <v/>
      </c>
      <c r="E33" s="62">
        <f>INPUT_PRODUCT!B7</f>
        <v/>
      </c>
      <c r="F33" s="62">
        <f>IF(PRODUCT_CALCULATION!B33="SI";PRODUCT_CALCULATION!C33;"")</f>
        <v/>
      </c>
      <c r="G33" s="63">
        <f>IF(PRODUCT_CALCULATION!B33="SI";PRODUCT_CALCULATION!E33;"")</f>
        <v/>
      </c>
      <c r="H33" s="63">
        <f>IF(PRODUCT_CALCULATION!B33="SI";PRODUCT_CALCULATION!F33;"")</f>
        <v/>
      </c>
      <c r="I33" s="62">
        <f>IF(PRODUCT_CALCULATION!B33="SI";PRODUCT_CALCULATION!G33;"")</f>
        <v/>
      </c>
      <c r="J33" s="0">
        <f>IF(PRODUCT_CALCULATION!B33="SI";PRODUCT_CALCULATION!S33;"")</f>
        <v/>
      </c>
      <c r="K33" s="0">
        <f>IF(PRODUCT_CALCULATION!B33="SI";PRODUCT_CALCULATION!K33;"")</f>
        <v/>
      </c>
      <c r="L33" s="0">
        <f>IF(PRODUCT_CALCULATION!B33="SI";CEILING(PRODUCT_CALCULATION!F33/PRODUCT_CALCULATION!K33;1);"")</f>
        <v/>
      </c>
      <c r="M33" s="0">
        <f>IF(PRODUCT_CALCULATION!B33="SI";INDEX(PRODUCT!A:A;MATCH(PRODUCT_CALCULATION!C33;PRODUCT!B:B;0));"")</f>
        <v/>
      </c>
      <c r="N33" s="0">
        <f>IF(PRODUCT_CALCULATION!B33="SI";PRODUCT_CALCULATION!Y33;"")</f>
        <v/>
      </c>
    </row>
    <row r="34" ht="15.75" customHeight="1" s="125">
      <c r="A34" s="62">
        <f>INPUT_PRODUCT!B1</f>
        <v/>
      </c>
      <c r="B34" s="58">
        <f>INPUT_PRODUCT!B2</f>
        <v/>
      </c>
      <c r="C34" s="62">
        <f>INPUT_PRODUCT!B6</f>
        <v/>
      </c>
      <c r="D34" s="62">
        <f>INPUT_PRODUCT!B5</f>
        <v/>
      </c>
      <c r="E34" s="62">
        <f>INPUT_PRODUCT!B7</f>
        <v/>
      </c>
      <c r="F34" s="62">
        <f>IF(PRODUCT_CALCULATION!B34="SI";PRODUCT_CALCULATION!C34;"")</f>
        <v/>
      </c>
      <c r="G34" s="63">
        <f>IF(PRODUCT_CALCULATION!B34="SI";PRODUCT_CALCULATION!E34;"")</f>
        <v/>
      </c>
      <c r="H34" s="63">
        <f>IF(PRODUCT_CALCULATION!B34="SI";PRODUCT_CALCULATION!F34;"")</f>
        <v/>
      </c>
      <c r="I34" s="62">
        <f>IF(PRODUCT_CALCULATION!B34="SI";PRODUCT_CALCULATION!G34;"")</f>
        <v/>
      </c>
      <c r="J34" s="0">
        <f>IF(PRODUCT_CALCULATION!B34="SI";PRODUCT_CALCULATION!S34;"")</f>
        <v/>
      </c>
      <c r="K34" s="0">
        <f>IF(PRODUCT_CALCULATION!B34="SI";PRODUCT_CALCULATION!K34;"")</f>
        <v/>
      </c>
      <c r="L34" s="0">
        <f>IF(PRODUCT_CALCULATION!B34="SI";CEILING(PRODUCT_CALCULATION!F34/PRODUCT_CALCULATION!K34;1);"")</f>
        <v/>
      </c>
      <c r="M34" s="0">
        <f>IF(PRODUCT_CALCULATION!B34="SI";INDEX(PRODUCT!A:A;MATCH(PRODUCT_CALCULATION!C34;PRODUCT!B:B;0));"")</f>
        <v/>
      </c>
      <c r="N34" s="0">
        <f>IF(PRODUCT_CALCULATION!B34="SI";PRODUCT_CALCULATION!Y34;"")</f>
        <v/>
      </c>
    </row>
    <row r="35" ht="15.75" customHeight="1" s="125">
      <c r="A35" s="62">
        <f>INPUT_PRODUCT!B1</f>
        <v/>
      </c>
      <c r="B35" s="58">
        <f>INPUT_PRODUCT!B2</f>
        <v/>
      </c>
      <c r="C35" s="62">
        <f>INPUT_PRODUCT!B6</f>
        <v/>
      </c>
      <c r="D35" s="62">
        <f>INPUT_PRODUCT!B5</f>
        <v/>
      </c>
      <c r="E35" s="62">
        <f>INPUT_PRODUCT!B7</f>
        <v/>
      </c>
      <c r="F35" s="62">
        <f>IF(PRODUCT_CALCULATION!B35="SI";PRODUCT_CALCULATION!C35;"")</f>
        <v/>
      </c>
      <c r="G35" s="63">
        <f>IF(PRODUCT_CALCULATION!B35="SI";PRODUCT_CALCULATION!E35;"")</f>
        <v/>
      </c>
      <c r="H35" s="63">
        <f>IF(PRODUCT_CALCULATION!B35="SI";PRODUCT_CALCULATION!F35;"")</f>
        <v/>
      </c>
      <c r="I35" s="62">
        <f>IF(PRODUCT_CALCULATION!B35="SI";PRODUCT_CALCULATION!G35;"")</f>
        <v/>
      </c>
      <c r="J35" s="0">
        <f>IF(PRODUCT_CALCULATION!B35="SI";PRODUCT_CALCULATION!S35;"")</f>
        <v/>
      </c>
      <c r="K35" s="0">
        <f>IF(PRODUCT_CALCULATION!B35="SI";PRODUCT_CALCULATION!K35;"")</f>
        <v/>
      </c>
      <c r="L35" s="0">
        <f>IF(PRODUCT_CALCULATION!B35="SI";CEILING(PRODUCT_CALCULATION!F35/PRODUCT_CALCULATION!K35;1);"")</f>
        <v/>
      </c>
      <c r="M35" s="0">
        <f>IF(PRODUCT_CALCULATION!B35="SI";INDEX(PRODUCT!A:A;MATCH(PRODUCT_CALCULATION!C35;PRODUCT!B:B;0));"")</f>
        <v/>
      </c>
      <c r="N35" s="0">
        <f>IF(PRODUCT_CALCULATION!B35="SI";PRODUCT_CALCULATION!Y35;"")</f>
        <v/>
      </c>
    </row>
    <row r="36" ht="15.75" customHeight="1" s="125">
      <c r="A36" s="62">
        <f>INPUT_PRODUCT!B1</f>
        <v/>
      </c>
      <c r="B36" s="58">
        <f>INPUT_PRODUCT!B2</f>
        <v/>
      </c>
      <c r="C36" s="62">
        <f>INPUT_PRODUCT!B6</f>
        <v/>
      </c>
      <c r="D36" s="62">
        <f>INPUT_PRODUCT!B5</f>
        <v/>
      </c>
      <c r="E36" s="62">
        <f>INPUT_PRODUCT!B7</f>
        <v/>
      </c>
      <c r="F36" s="62">
        <f>IF(PRODUCT_CALCULATION!B36="SI";PRODUCT_CALCULATION!C36;"")</f>
        <v/>
      </c>
      <c r="G36" s="63">
        <f>IF(PRODUCT_CALCULATION!B36="SI";PRODUCT_CALCULATION!E36;"")</f>
        <v/>
      </c>
      <c r="H36" s="63">
        <f>IF(PRODUCT_CALCULATION!B36="SI";PRODUCT_CALCULATION!F36;"")</f>
        <v/>
      </c>
      <c r="I36" s="62">
        <f>IF(PRODUCT_CALCULATION!B36="SI";PRODUCT_CALCULATION!G36;"")</f>
        <v/>
      </c>
      <c r="J36" s="0">
        <f>IF(PRODUCT_CALCULATION!B36="SI";PRODUCT_CALCULATION!S36;"")</f>
        <v/>
      </c>
      <c r="K36" s="0">
        <f>IF(PRODUCT_CALCULATION!B36="SI";PRODUCT_CALCULATION!K36;"")</f>
        <v/>
      </c>
      <c r="L36" s="0">
        <f>IF(PRODUCT_CALCULATION!B36="SI";CEILING(PRODUCT_CALCULATION!F36/PRODUCT_CALCULATION!K36;1);"")</f>
        <v/>
      </c>
      <c r="M36" s="0">
        <f>IF(PRODUCT_CALCULATION!B36="SI";INDEX(PRODUCT!A:A;MATCH(PRODUCT_CALCULATION!C36;PRODUCT!B:B;0));"")</f>
        <v/>
      </c>
      <c r="N36" s="0">
        <f>IF(PRODUCT_CALCULATION!B36="SI";PRODUCT_CALCULATION!Y36;"")</f>
        <v/>
      </c>
    </row>
    <row r="37" ht="15.75" customHeight="1" s="125">
      <c r="A37" s="62">
        <f>INPUT_PRODUCT!B1</f>
        <v/>
      </c>
      <c r="B37" s="58">
        <f>INPUT_PRODUCT!B2</f>
        <v/>
      </c>
      <c r="C37" s="62">
        <f>INPUT_PRODUCT!B6</f>
        <v/>
      </c>
      <c r="D37" s="62">
        <f>INPUT_PRODUCT!B5</f>
        <v/>
      </c>
      <c r="E37" s="62">
        <f>INPUT_PRODUCT!B7</f>
        <v/>
      </c>
      <c r="F37" s="62">
        <f>IF(PRODUCT_CALCULATION!B37="SI";PRODUCT_CALCULATION!C37;"")</f>
        <v/>
      </c>
      <c r="G37" s="63">
        <f>IF(PRODUCT_CALCULATION!B37="SI";PRODUCT_CALCULATION!E37;"")</f>
        <v/>
      </c>
      <c r="H37" s="63">
        <f>IF(PRODUCT_CALCULATION!B37="SI";PRODUCT_CALCULATION!F37;"")</f>
        <v/>
      </c>
      <c r="I37" s="62">
        <f>IF(PRODUCT_CALCULATION!B37="SI";PRODUCT_CALCULATION!G37;"")</f>
        <v/>
      </c>
      <c r="J37" s="0">
        <f>IF(PRODUCT_CALCULATION!B37="SI";PRODUCT_CALCULATION!S37;"")</f>
        <v/>
      </c>
      <c r="K37" s="0">
        <f>IF(PRODUCT_CALCULATION!B37="SI";PRODUCT_CALCULATION!K37;"")</f>
        <v/>
      </c>
      <c r="L37" s="0">
        <f>IF(PRODUCT_CALCULATION!B37="SI";CEILING(PRODUCT_CALCULATION!F37/PRODUCT_CALCULATION!K37;1);"")</f>
        <v/>
      </c>
      <c r="M37" s="0">
        <f>IF(PRODUCT_CALCULATION!B37="SI";INDEX(PRODUCT!A:A;MATCH(PRODUCT_CALCULATION!C37;PRODUCT!B:B;0));"")</f>
        <v/>
      </c>
      <c r="N37" s="0">
        <f>IF(PRODUCT_CALCULATION!B37="SI";PRODUCT_CALCULATION!Y37;"")</f>
        <v/>
      </c>
    </row>
    <row r="38" ht="15.75" customHeight="1" s="125">
      <c r="A38" s="62">
        <f>INPUT_PRODUCT!B1</f>
        <v/>
      </c>
      <c r="B38" s="58">
        <f>INPUT_PRODUCT!B2</f>
        <v/>
      </c>
      <c r="C38" s="62">
        <f>INPUT_PRODUCT!B6</f>
        <v/>
      </c>
      <c r="D38" s="62">
        <f>INPUT_PRODUCT!B5</f>
        <v/>
      </c>
      <c r="E38" s="62">
        <f>INPUT_PRODUCT!B7</f>
        <v/>
      </c>
      <c r="F38" s="62">
        <f>IF(PRODUCT_CALCULATION!B38="SI";PRODUCT_CALCULATION!C38;"")</f>
        <v/>
      </c>
      <c r="G38" s="63">
        <f>IF(PRODUCT_CALCULATION!B38="SI";PRODUCT_CALCULATION!E38;"")</f>
        <v/>
      </c>
      <c r="H38" s="63">
        <f>IF(PRODUCT_CALCULATION!B38="SI";PRODUCT_CALCULATION!F38;"")</f>
        <v/>
      </c>
      <c r="I38" s="62">
        <f>IF(PRODUCT_CALCULATION!B38="SI";PRODUCT_CALCULATION!G38;"")</f>
        <v/>
      </c>
      <c r="J38" s="0">
        <f>IF(PRODUCT_CALCULATION!B38="SI";PRODUCT_CALCULATION!S38;"")</f>
        <v/>
      </c>
      <c r="K38" s="0">
        <f>IF(PRODUCT_CALCULATION!B38="SI";PRODUCT_CALCULATION!K38;"")</f>
        <v/>
      </c>
      <c r="L38" s="0">
        <f>IF(PRODUCT_CALCULATION!B38="SI";CEILING(PRODUCT_CALCULATION!F38/PRODUCT_CALCULATION!K38;1);"")</f>
        <v/>
      </c>
      <c r="M38" s="0">
        <f>IF(PRODUCT_CALCULATION!B38="SI";INDEX(PRODUCT!A:A;MATCH(PRODUCT_CALCULATION!C38;PRODUCT!B:B;0));"")</f>
        <v/>
      </c>
      <c r="N38" s="0">
        <f>IF(PRODUCT_CALCULATION!B38="SI";PRODUCT_CALCULATION!Y38;"")</f>
        <v/>
      </c>
    </row>
    <row r="39" ht="15.75" customHeight="1" s="125">
      <c r="A39" s="62">
        <f>INPUT_PRODUCT!B1</f>
        <v/>
      </c>
      <c r="B39" s="58">
        <f>INPUT_PRODUCT!B2</f>
        <v/>
      </c>
      <c r="C39" s="62">
        <f>INPUT_PRODUCT!B6</f>
        <v/>
      </c>
      <c r="D39" s="62">
        <f>INPUT_PRODUCT!B5</f>
        <v/>
      </c>
      <c r="E39" s="62">
        <f>INPUT_PRODUCT!B7</f>
        <v/>
      </c>
      <c r="F39" s="62">
        <f>IF(PRODUCT_CALCULATION!B39="SI";PRODUCT_CALCULATION!C39;"")</f>
        <v/>
      </c>
      <c r="G39" s="63">
        <f>IF(PRODUCT_CALCULATION!B39="SI";PRODUCT_CALCULATION!E39;"")</f>
        <v/>
      </c>
      <c r="H39" s="63">
        <f>IF(PRODUCT_CALCULATION!B39="SI";PRODUCT_CALCULATION!F39;"")</f>
        <v/>
      </c>
      <c r="I39" s="62">
        <f>IF(PRODUCT_CALCULATION!B39="SI";PRODUCT_CALCULATION!G39;"")</f>
        <v/>
      </c>
      <c r="J39" s="0">
        <f>IF(PRODUCT_CALCULATION!B39="SI";PRODUCT_CALCULATION!S39;"")</f>
        <v/>
      </c>
      <c r="K39" s="0">
        <f>IF(PRODUCT_CALCULATION!B39="SI";PRODUCT_CALCULATION!K39;"")</f>
        <v/>
      </c>
      <c r="L39" s="0">
        <f>IF(PRODUCT_CALCULATION!B39="SI";CEILING(PRODUCT_CALCULATION!F39/PRODUCT_CALCULATION!K39;1);"")</f>
        <v/>
      </c>
      <c r="M39" s="0">
        <f>IF(PRODUCT_CALCULATION!B39="SI";INDEX(PRODUCT!A:A;MATCH(PRODUCT_CALCULATION!C39;PRODUCT!B:B;0));"")</f>
        <v/>
      </c>
      <c r="N39" s="0">
        <f>IF(PRODUCT_CALCULATION!B39="SI";PRODUCT_CALCULATION!Y39;"")</f>
        <v/>
      </c>
    </row>
    <row r="40" ht="15.75" customHeight="1" s="125">
      <c r="A40" s="62">
        <f>INPUT_PRODUCT!B1</f>
        <v/>
      </c>
      <c r="B40" s="58">
        <f>INPUT_PRODUCT!B2</f>
        <v/>
      </c>
      <c r="C40" s="62">
        <f>INPUT_PRODUCT!B6</f>
        <v/>
      </c>
      <c r="D40" s="62">
        <f>INPUT_PRODUCT!B5</f>
        <v/>
      </c>
      <c r="E40" s="62">
        <f>INPUT_PRODUCT!B7</f>
        <v/>
      </c>
      <c r="F40" s="62">
        <f>IF(PRODUCT_CALCULATION!B40="SI";PRODUCT_CALCULATION!C40;"")</f>
        <v/>
      </c>
      <c r="G40" s="63">
        <f>IF(PRODUCT_CALCULATION!B40="SI";PRODUCT_CALCULATION!E40;"")</f>
        <v/>
      </c>
      <c r="H40" s="63">
        <f>IF(PRODUCT_CALCULATION!B40="SI";PRODUCT_CALCULATION!F40;"")</f>
        <v/>
      </c>
      <c r="I40" s="62">
        <f>IF(PRODUCT_CALCULATION!B40="SI";PRODUCT_CALCULATION!G40;"")</f>
        <v/>
      </c>
      <c r="J40" s="0">
        <f>IF(PRODUCT_CALCULATION!B40="SI";PRODUCT_CALCULATION!S40;"")</f>
        <v/>
      </c>
      <c r="K40" s="0">
        <f>IF(PRODUCT_CALCULATION!B40="SI";PRODUCT_CALCULATION!K40;"")</f>
        <v/>
      </c>
      <c r="L40" s="0">
        <f>IF(PRODUCT_CALCULATION!B40="SI";CEILING(PRODUCT_CALCULATION!F40/PRODUCT_CALCULATION!K40;1);"")</f>
        <v/>
      </c>
      <c r="M40" s="0">
        <f>IF(PRODUCT_CALCULATION!B40="SI";INDEX(PRODUCT!A:A;MATCH(PRODUCT_CALCULATION!C40;PRODUCT!B:B;0));"")</f>
        <v/>
      </c>
      <c r="N40" s="0">
        <f>IF(PRODUCT_CALCULATION!B40="SI";PRODUCT_CALCULATION!Y40;"")</f>
        <v/>
      </c>
    </row>
    <row r="41" ht="15.75" customHeight="1" s="125">
      <c r="A41" s="62">
        <f>INPUT_PRODUCT!B1</f>
        <v/>
      </c>
      <c r="B41" s="58">
        <f>INPUT_PRODUCT!B2</f>
        <v/>
      </c>
      <c r="C41" s="62">
        <f>INPUT_PRODUCT!B6</f>
        <v/>
      </c>
      <c r="D41" s="62">
        <f>INPUT_PRODUCT!B5</f>
        <v/>
      </c>
      <c r="E41" s="62">
        <f>INPUT_PRODUCT!B7</f>
        <v/>
      </c>
      <c r="F41" s="62">
        <f>IF(PRODUCT_CALCULATION!B41="SI";PRODUCT_CALCULATION!C41;"")</f>
        <v/>
      </c>
      <c r="G41" s="63">
        <f>IF(PRODUCT_CALCULATION!B41="SI";PRODUCT_CALCULATION!E41;"")</f>
        <v/>
      </c>
      <c r="H41" s="63">
        <f>IF(PRODUCT_CALCULATION!B41="SI";PRODUCT_CALCULATION!F41;"")</f>
        <v/>
      </c>
      <c r="I41" s="62">
        <f>IF(PRODUCT_CALCULATION!B41="SI";PRODUCT_CALCULATION!G41;"")</f>
        <v/>
      </c>
      <c r="J41" s="0">
        <f>IF(PRODUCT_CALCULATION!B41="SI";PRODUCT_CALCULATION!S41;"")</f>
        <v/>
      </c>
      <c r="K41" s="0">
        <f>IF(PRODUCT_CALCULATION!B41="SI";PRODUCT_CALCULATION!K41;"")</f>
        <v/>
      </c>
      <c r="L41" s="0">
        <f>IF(PRODUCT_CALCULATION!B41="SI";CEILING(PRODUCT_CALCULATION!F41/PRODUCT_CALCULATION!K41;1);"")</f>
        <v/>
      </c>
      <c r="M41" s="0">
        <f>IF(PRODUCT_CALCULATION!B41="SI";INDEX(PRODUCT!A:A;MATCH(PRODUCT_CALCULATION!C41;PRODUCT!B:B;0));"")</f>
        <v/>
      </c>
      <c r="N41" s="0">
        <f>IF(PRODUCT_CALCULATION!B41="SI";PRODUCT_CALCULATION!Y41;"")</f>
        <v/>
      </c>
    </row>
    <row r="42" ht="15.75" customHeight="1" s="125">
      <c r="A42" s="62">
        <f>INPUT_PRODUCT!B1</f>
        <v/>
      </c>
      <c r="B42" s="58">
        <f>INPUT_PRODUCT!B2</f>
        <v/>
      </c>
      <c r="C42" s="62">
        <f>INPUT_PRODUCT!B6</f>
        <v/>
      </c>
      <c r="D42" s="62">
        <f>INPUT_PRODUCT!B5</f>
        <v/>
      </c>
      <c r="E42" s="62">
        <f>INPUT_PRODUCT!B7</f>
        <v/>
      </c>
      <c r="F42" s="62">
        <f>IF(PRODUCT_CALCULATION!B42="SI";PRODUCT_CALCULATION!C42;"")</f>
        <v/>
      </c>
      <c r="G42" s="63">
        <f>IF(PRODUCT_CALCULATION!B42="SI";PRODUCT_CALCULATION!E42;"")</f>
        <v/>
      </c>
      <c r="H42" s="63">
        <f>IF(PRODUCT_CALCULATION!B42="SI";PRODUCT_CALCULATION!F42;"")</f>
        <v/>
      </c>
      <c r="I42" s="62">
        <f>IF(PRODUCT_CALCULATION!B42="SI";PRODUCT_CALCULATION!G42;"")</f>
        <v/>
      </c>
      <c r="J42" s="0">
        <f>IF(PRODUCT_CALCULATION!B42="SI";PRODUCT_CALCULATION!S42;"")</f>
        <v/>
      </c>
      <c r="K42" s="0">
        <f>IF(PRODUCT_CALCULATION!B42="SI";PRODUCT_CALCULATION!K42;"")</f>
        <v/>
      </c>
      <c r="L42" s="0">
        <f>IF(PRODUCT_CALCULATION!B42="SI";CEILING(PRODUCT_CALCULATION!F42/PRODUCT_CALCULATION!K42;1);"")</f>
        <v/>
      </c>
      <c r="M42" s="0">
        <f>IF(PRODUCT_CALCULATION!B42="SI";INDEX(PRODUCT!A:A;MATCH(PRODUCT_CALCULATION!C42;PRODUCT!B:B;0));"")</f>
        <v/>
      </c>
      <c r="N42" s="0">
        <f>IF(PRODUCT_CALCULATION!B42="SI";PRODUCT_CALCULATION!Y42;"")</f>
        <v/>
      </c>
    </row>
    <row r="43" ht="15.75" customHeight="1" s="125">
      <c r="A43" s="62">
        <f>INPUT_PRODUCT!B1</f>
        <v/>
      </c>
      <c r="B43" s="58">
        <f>INPUT_PRODUCT!B2</f>
        <v/>
      </c>
      <c r="C43" s="62">
        <f>INPUT_PRODUCT!B6</f>
        <v/>
      </c>
      <c r="D43" s="62">
        <f>INPUT_PRODUCT!B5</f>
        <v/>
      </c>
      <c r="E43" s="62">
        <f>INPUT_PRODUCT!B7</f>
        <v/>
      </c>
      <c r="F43" s="62">
        <f>IF(PRODUCT_CALCULATION!B43="SI";PRODUCT_CALCULATION!C43;"")</f>
        <v/>
      </c>
      <c r="G43" s="63">
        <f>IF(PRODUCT_CALCULATION!B43="SI";PRODUCT_CALCULATION!E43;"")</f>
        <v/>
      </c>
      <c r="H43" s="63">
        <f>IF(PRODUCT_CALCULATION!B43="SI";PRODUCT_CALCULATION!F43;"")</f>
        <v/>
      </c>
      <c r="I43" s="62">
        <f>IF(PRODUCT_CALCULATION!B43="SI";PRODUCT_CALCULATION!G43;"")</f>
        <v/>
      </c>
      <c r="J43" s="0">
        <f>IF(PRODUCT_CALCULATION!B43="SI";PRODUCT_CALCULATION!S43;"")</f>
        <v/>
      </c>
      <c r="K43" s="0">
        <f>IF(PRODUCT_CALCULATION!B43="SI";PRODUCT_CALCULATION!K43;"")</f>
        <v/>
      </c>
      <c r="L43" s="0">
        <f>IF(PRODUCT_CALCULATION!B43="SI";CEILING(PRODUCT_CALCULATION!F43/PRODUCT_CALCULATION!K43;1);"")</f>
        <v/>
      </c>
      <c r="M43" s="0">
        <f>IF(PRODUCT_CALCULATION!B43="SI";INDEX(PRODUCT!A:A;MATCH(PRODUCT_CALCULATION!C43;PRODUCT!B:B;0));"")</f>
        <v/>
      </c>
      <c r="N43" s="0">
        <f>IF(PRODUCT_CALCULATION!B43="SI";PRODUCT_CALCULATION!Y43;"")</f>
        <v/>
      </c>
    </row>
    <row r="44" ht="15.75" customHeight="1" s="125">
      <c r="A44" s="62">
        <f>INPUT_PRODUCT!B1</f>
        <v/>
      </c>
      <c r="B44" s="58">
        <f>INPUT_PRODUCT!B2</f>
        <v/>
      </c>
      <c r="C44" s="62">
        <f>INPUT_PRODUCT!B6</f>
        <v/>
      </c>
      <c r="D44" s="62">
        <f>INPUT_PRODUCT!B5</f>
        <v/>
      </c>
      <c r="E44" s="62">
        <f>INPUT_PRODUCT!B7</f>
        <v/>
      </c>
      <c r="F44" s="62">
        <f>IF(PRODUCT_CALCULATION!B44="SI";PRODUCT_CALCULATION!C44;"")</f>
        <v/>
      </c>
      <c r="G44" s="63">
        <f>IF(PRODUCT_CALCULATION!B44="SI";PRODUCT_CALCULATION!E44;"")</f>
        <v/>
      </c>
      <c r="H44" s="63">
        <f>IF(PRODUCT_CALCULATION!B44="SI";PRODUCT_CALCULATION!F44;"")</f>
        <v/>
      </c>
      <c r="I44" s="62">
        <f>IF(PRODUCT_CALCULATION!B44="SI";PRODUCT_CALCULATION!G44;"")</f>
        <v/>
      </c>
      <c r="J44" s="0">
        <f>IF(PRODUCT_CALCULATION!B44="SI";PRODUCT_CALCULATION!S44;"")</f>
        <v/>
      </c>
      <c r="K44" s="0">
        <f>IF(PRODUCT_CALCULATION!B44="SI";PRODUCT_CALCULATION!K44;"")</f>
        <v/>
      </c>
      <c r="L44" s="0">
        <f>IF(PRODUCT_CALCULATION!B44="SI";CEILING(PRODUCT_CALCULATION!F44/PRODUCT_CALCULATION!K44;1);"")</f>
        <v/>
      </c>
      <c r="M44" s="0">
        <f>IF(PRODUCT_CALCULATION!B44="SI";INDEX(PRODUCT!A:A;MATCH(PRODUCT_CALCULATION!C44;PRODUCT!B:B;0));"")</f>
        <v/>
      </c>
      <c r="N44" s="0">
        <f>IF(PRODUCT_CALCULATION!B44="SI";PRODUCT_CALCULATION!Y44;"")</f>
        <v/>
      </c>
    </row>
    <row r="45" ht="15.75" customHeight="1" s="125">
      <c r="A45" s="62">
        <f>INPUT_PRODUCT!B1</f>
        <v/>
      </c>
      <c r="B45" s="58">
        <f>INPUT_PRODUCT!B2</f>
        <v/>
      </c>
      <c r="C45" s="62">
        <f>INPUT_PRODUCT!B6</f>
        <v/>
      </c>
      <c r="D45" s="62">
        <f>INPUT_PRODUCT!B5</f>
        <v/>
      </c>
      <c r="E45" s="62">
        <f>INPUT_PRODUCT!B7</f>
        <v/>
      </c>
      <c r="F45" s="62">
        <f>IF(PRODUCT_CALCULATION!B45="SI";PRODUCT_CALCULATION!C45;"")</f>
        <v/>
      </c>
      <c r="G45" s="63">
        <f>IF(PRODUCT_CALCULATION!B45="SI";PRODUCT_CALCULATION!E45;"")</f>
        <v/>
      </c>
      <c r="H45" s="63">
        <f>IF(PRODUCT_CALCULATION!B45="SI";PRODUCT_CALCULATION!F45;"")</f>
        <v/>
      </c>
      <c r="I45" s="62">
        <f>IF(PRODUCT_CALCULATION!B45="SI";PRODUCT_CALCULATION!G45;"")</f>
        <v/>
      </c>
      <c r="J45" s="0">
        <f>IF(PRODUCT_CALCULATION!B45="SI";PRODUCT_CALCULATION!S45;"")</f>
        <v/>
      </c>
      <c r="K45" s="0">
        <f>IF(PRODUCT_CALCULATION!B45="SI";PRODUCT_CALCULATION!K45;"")</f>
        <v/>
      </c>
      <c r="L45" s="0">
        <f>IF(PRODUCT_CALCULATION!B45="SI";CEILING(PRODUCT_CALCULATION!F45/PRODUCT_CALCULATION!K45;1);"")</f>
        <v/>
      </c>
      <c r="M45" s="0">
        <f>IF(PRODUCT_CALCULATION!B45="SI";INDEX(PRODUCT!A:A;MATCH(PRODUCT_CALCULATION!C45;PRODUCT!B:B;0));"")</f>
        <v/>
      </c>
      <c r="N45" s="0">
        <f>IF(PRODUCT_CALCULATION!B45="SI";PRODUCT_CALCULATION!Y45;"")</f>
        <v/>
      </c>
    </row>
    <row r="46" ht="15.75" customHeight="1" s="125">
      <c r="A46" s="62">
        <f>INPUT_PRODUCT!B1</f>
        <v/>
      </c>
      <c r="B46" s="58">
        <f>INPUT_PRODUCT!B2</f>
        <v/>
      </c>
      <c r="C46" s="62">
        <f>INPUT_PRODUCT!B6</f>
        <v/>
      </c>
      <c r="D46" s="62">
        <f>INPUT_PRODUCT!B5</f>
        <v/>
      </c>
      <c r="E46" s="62">
        <f>INPUT_PRODUCT!B7</f>
        <v/>
      </c>
      <c r="F46" s="62">
        <f>IF(PRODUCT_CALCULATION!B46="SI";PRODUCT_CALCULATION!C46;"")</f>
        <v/>
      </c>
      <c r="G46" s="63">
        <f>IF(PRODUCT_CALCULATION!B46="SI";PRODUCT_CALCULATION!E46;"")</f>
        <v/>
      </c>
      <c r="H46" s="63">
        <f>IF(PRODUCT_CALCULATION!B46="SI";PRODUCT_CALCULATION!F46;"")</f>
        <v/>
      </c>
      <c r="I46" s="62">
        <f>IF(PRODUCT_CALCULATION!B46="SI";PRODUCT_CALCULATION!G46;"")</f>
        <v/>
      </c>
      <c r="J46" s="0">
        <f>IF(PRODUCT_CALCULATION!B46="SI";PRODUCT_CALCULATION!S46;"")</f>
        <v/>
      </c>
      <c r="K46" s="0">
        <f>IF(PRODUCT_CALCULATION!B46="SI";PRODUCT_CALCULATION!K46;"")</f>
        <v/>
      </c>
      <c r="L46" s="0">
        <f>IF(PRODUCT_CALCULATION!B46="SI";CEILING(PRODUCT_CALCULATION!F46/PRODUCT_CALCULATION!K46;1);"")</f>
        <v/>
      </c>
      <c r="M46" s="0">
        <f>IF(PRODUCT_CALCULATION!B46="SI";INDEX(PRODUCT!A:A;MATCH(PRODUCT_CALCULATION!C46;PRODUCT!B:B;0));"")</f>
        <v/>
      </c>
      <c r="N46" s="0">
        <f>IF(PRODUCT_CALCULATION!B46="SI";PRODUCT_CALCULATION!Y46;"")</f>
        <v/>
      </c>
    </row>
    <row r="47" ht="15.75" customHeight="1" s="125">
      <c r="A47" s="62">
        <f>INPUT_PRODUCT!B1</f>
        <v/>
      </c>
      <c r="B47" s="58">
        <f>INPUT_PRODUCT!B2</f>
        <v/>
      </c>
      <c r="C47" s="62">
        <f>INPUT_PRODUCT!B6</f>
        <v/>
      </c>
      <c r="D47" s="62">
        <f>INPUT_PRODUCT!B5</f>
        <v/>
      </c>
      <c r="E47" s="62">
        <f>INPUT_PRODUCT!B7</f>
        <v/>
      </c>
      <c r="F47" s="62">
        <f>IF(PRODUCT_CALCULATION!B47="SI";PRODUCT_CALCULATION!C47;"")</f>
        <v/>
      </c>
      <c r="G47" s="63">
        <f>IF(PRODUCT_CALCULATION!B47="SI";PRODUCT_CALCULATION!E47;"")</f>
        <v/>
      </c>
      <c r="H47" s="63">
        <f>IF(PRODUCT_CALCULATION!B47="SI";PRODUCT_CALCULATION!F47;"")</f>
        <v/>
      </c>
      <c r="I47" s="62">
        <f>IF(PRODUCT_CALCULATION!B47="SI";PRODUCT_CALCULATION!G47;"")</f>
        <v/>
      </c>
      <c r="J47" s="0">
        <f>IF(PRODUCT_CALCULATION!B47="SI";PRODUCT_CALCULATION!S47;"")</f>
        <v/>
      </c>
      <c r="K47" s="0">
        <f>IF(PRODUCT_CALCULATION!B47="SI";PRODUCT_CALCULATION!K47;"")</f>
        <v/>
      </c>
      <c r="L47" s="0">
        <f>IF(PRODUCT_CALCULATION!B47="SI";CEILING(PRODUCT_CALCULATION!F47/PRODUCT_CALCULATION!K47;1);"")</f>
        <v/>
      </c>
      <c r="M47" s="0">
        <f>IF(PRODUCT_CALCULATION!B47="SI";INDEX(PRODUCT!A:A;MATCH(PRODUCT_CALCULATION!C47;PRODUCT!B:B;0));"")</f>
        <v/>
      </c>
      <c r="N47" s="0">
        <f>IF(PRODUCT_CALCULATION!B47="SI";PRODUCT_CALCULATION!Y47;"")</f>
        <v/>
      </c>
    </row>
    <row r="48" ht="15.75" customHeight="1" s="125">
      <c r="A48" s="62">
        <f>INPUT_PRODUCT!B1</f>
        <v/>
      </c>
      <c r="B48" s="58">
        <f>INPUT_PRODUCT!B2</f>
        <v/>
      </c>
      <c r="C48" s="62">
        <f>INPUT_PRODUCT!B6</f>
        <v/>
      </c>
      <c r="D48" s="62">
        <f>INPUT_PRODUCT!B5</f>
        <v/>
      </c>
      <c r="E48" s="62">
        <f>INPUT_PRODUCT!B7</f>
        <v/>
      </c>
      <c r="F48" s="62">
        <f>IF(PRODUCT_CALCULATION!B48="SI";PRODUCT_CALCULATION!C48;"")</f>
        <v/>
      </c>
      <c r="G48" s="63">
        <f>IF(PRODUCT_CALCULATION!B48="SI";PRODUCT_CALCULATION!E48;"")</f>
        <v/>
      </c>
      <c r="H48" s="63">
        <f>IF(PRODUCT_CALCULATION!B48="SI";PRODUCT_CALCULATION!F48;"")</f>
        <v/>
      </c>
      <c r="I48" s="62">
        <f>IF(PRODUCT_CALCULATION!B48="SI";PRODUCT_CALCULATION!G48;"")</f>
        <v/>
      </c>
      <c r="J48" s="0">
        <f>IF(PRODUCT_CALCULATION!B48="SI";PRODUCT_CALCULATION!S48;"")</f>
        <v/>
      </c>
      <c r="K48" s="0">
        <f>IF(PRODUCT_CALCULATION!B48="SI";PRODUCT_CALCULATION!K48;"")</f>
        <v/>
      </c>
      <c r="L48" s="0">
        <f>IF(PRODUCT_CALCULATION!B48="SI";CEILING(PRODUCT_CALCULATION!F48/PRODUCT_CALCULATION!K48;1);"")</f>
        <v/>
      </c>
      <c r="M48" s="0">
        <f>IF(PRODUCT_CALCULATION!B48="SI";INDEX(PRODUCT!A:A;MATCH(PRODUCT_CALCULATION!C48;PRODUCT!B:B;0));"")</f>
        <v/>
      </c>
      <c r="N48" s="0">
        <f>IF(PRODUCT_CALCULATION!B48="SI";PRODUCT_CALCULATION!Y48;"")</f>
        <v/>
      </c>
    </row>
    <row r="49" ht="15.75" customHeight="1" s="125">
      <c r="A49" s="62">
        <f>INPUT_PRODUCT!B1</f>
        <v/>
      </c>
      <c r="B49" s="58">
        <f>INPUT_PRODUCT!B2</f>
        <v/>
      </c>
      <c r="C49" s="62">
        <f>INPUT_PRODUCT!B6</f>
        <v/>
      </c>
      <c r="D49" s="62">
        <f>INPUT_PRODUCT!B5</f>
        <v/>
      </c>
      <c r="E49" s="62">
        <f>INPUT_PRODUCT!B7</f>
        <v/>
      </c>
      <c r="F49" s="62">
        <f>IF(PRODUCT_CALCULATION!B49="SI";PRODUCT_CALCULATION!C49;"")</f>
        <v/>
      </c>
      <c r="G49" s="63">
        <f>IF(PRODUCT_CALCULATION!B49="SI";PRODUCT_CALCULATION!E49;"")</f>
        <v/>
      </c>
      <c r="H49" s="63">
        <f>IF(PRODUCT_CALCULATION!B49="SI";PRODUCT_CALCULATION!F49;"")</f>
        <v/>
      </c>
      <c r="I49" s="62">
        <f>IF(PRODUCT_CALCULATION!B49="SI";PRODUCT_CALCULATION!G49;"")</f>
        <v/>
      </c>
      <c r="J49" s="0">
        <f>IF(PRODUCT_CALCULATION!B49="SI";PRODUCT_CALCULATION!S49;"")</f>
        <v/>
      </c>
      <c r="K49" s="0">
        <f>IF(PRODUCT_CALCULATION!B49="SI";PRODUCT_CALCULATION!K49;"")</f>
        <v/>
      </c>
      <c r="L49" s="0">
        <f>IF(PRODUCT_CALCULATION!B49="SI";CEILING(PRODUCT_CALCULATION!F49/PRODUCT_CALCULATION!K49;1);"")</f>
        <v/>
      </c>
      <c r="M49" s="0">
        <f>IF(PRODUCT_CALCULATION!B49="SI";INDEX(PRODUCT!A:A;MATCH(PRODUCT_CALCULATION!C49;PRODUCT!B:B;0));"")</f>
        <v/>
      </c>
      <c r="N49" s="0">
        <f>IF(PRODUCT_CALCULATION!B49="SI";PRODUCT_CALCULATION!Y49;"")</f>
        <v/>
      </c>
    </row>
    <row r="50" ht="15.75" customHeight="1" s="125">
      <c r="A50" s="62">
        <f>INPUT_PRODUCT!B1</f>
        <v/>
      </c>
      <c r="B50" s="58">
        <f>INPUT_PRODUCT!B2</f>
        <v/>
      </c>
      <c r="C50" s="62">
        <f>INPUT_PRODUCT!B6</f>
        <v/>
      </c>
      <c r="D50" s="62">
        <f>INPUT_PRODUCT!B5</f>
        <v/>
      </c>
      <c r="E50" s="62">
        <f>INPUT_PRODUCT!B7</f>
        <v/>
      </c>
      <c r="F50" s="62">
        <f>IF(PRODUCT_CALCULATION!B50="SI";PRODUCT_CALCULATION!C50;"")</f>
        <v/>
      </c>
      <c r="G50" s="63">
        <f>IF(PRODUCT_CALCULATION!B50="SI";PRODUCT_CALCULATION!E50;"")</f>
        <v/>
      </c>
      <c r="H50" s="63">
        <f>IF(PRODUCT_CALCULATION!B50="SI";PRODUCT_CALCULATION!F50;"")</f>
        <v/>
      </c>
      <c r="I50" s="62">
        <f>IF(PRODUCT_CALCULATION!B50="SI";PRODUCT_CALCULATION!G50;"")</f>
        <v/>
      </c>
      <c r="J50" s="0">
        <f>IF(PRODUCT_CALCULATION!B50="SI";PRODUCT_CALCULATION!S50;"")</f>
        <v/>
      </c>
      <c r="K50" s="0">
        <f>IF(PRODUCT_CALCULATION!B50="SI";PRODUCT_CALCULATION!K50;"")</f>
        <v/>
      </c>
      <c r="L50" s="0">
        <f>IF(PRODUCT_CALCULATION!B50="SI";CEILING(PRODUCT_CALCULATION!F50/PRODUCT_CALCULATION!K50;1);"")</f>
        <v/>
      </c>
      <c r="M50" s="0">
        <f>IF(PRODUCT_CALCULATION!B50="SI";INDEX(PRODUCT!A:A;MATCH(PRODUCT_CALCULATION!C50;PRODUCT!B:B;0));"")</f>
        <v/>
      </c>
      <c r="N50" s="0">
        <f>IF(PRODUCT_CALCULATION!B50="SI";PRODUCT_CALCULATION!Y50;"")</f>
        <v/>
      </c>
    </row>
    <row r="51" ht="15.75" customHeight="1" s="125">
      <c r="A51" s="62">
        <f>INPUT_PRODUCT!B1</f>
        <v/>
      </c>
      <c r="B51" s="58">
        <f>INPUT_PRODUCT!B2</f>
        <v/>
      </c>
      <c r="C51" s="62">
        <f>INPUT_PRODUCT!B6</f>
        <v/>
      </c>
      <c r="D51" s="62">
        <f>INPUT_PRODUCT!B5</f>
        <v/>
      </c>
      <c r="E51" s="62">
        <f>INPUT_PRODUCT!B7</f>
        <v/>
      </c>
      <c r="F51" s="62">
        <f>IF(PRODUCT_CALCULATION!B51="SI";PRODUCT_CALCULATION!C51;"")</f>
        <v/>
      </c>
      <c r="G51" s="63">
        <f>IF(PRODUCT_CALCULATION!B51="SI";PRODUCT_CALCULATION!E51;"")</f>
        <v/>
      </c>
      <c r="H51" s="63">
        <f>IF(PRODUCT_CALCULATION!B51="SI";PRODUCT_CALCULATION!F51;"")</f>
        <v/>
      </c>
      <c r="I51" s="62">
        <f>IF(PRODUCT_CALCULATION!B51="SI";PRODUCT_CALCULATION!G51;"")</f>
        <v/>
      </c>
      <c r="J51" s="0">
        <f>IF(PRODUCT_CALCULATION!B51="SI";PRODUCT_CALCULATION!S51;"")</f>
        <v/>
      </c>
      <c r="K51" s="0">
        <f>IF(PRODUCT_CALCULATION!B51="SI";PRODUCT_CALCULATION!K51;"")</f>
        <v/>
      </c>
      <c r="L51" s="0">
        <f>IF(PRODUCT_CALCULATION!B51="SI";CEILING(PRODUCT_CALCULATION!F51/PRODUCT_CALCULATION!K51;1);"")</f>
        <v/>
      </c>
      <c r="M51" s="0">
        <f>IF(PRODUCT_CALCULATION!B51="SI";INDEX(PRODUCT!A:A;MATCH(PRODUCT_CALCULATION!C51;PRODUCT!B:B;0));"")</f>
        <v/>
      </c>
      <c r="N51" s="0">
        <f>IF(PRODUCT_CALCULATION!B51="SI";PRODUCT_CALCULATION!Y51;"")</f>
        <v/>
      </c>
    </row>
    <row r="52" ht="15.75" customHeight="1" s="125">
      <c r="A52" s="62">
        <f>INPUT_PRODUCT!B1</f>
        <v/>
      </c>
      <c r="B52" s="58">
        <f>INPUT_PRODUCT!B2</f>
        <v/>
      </c>
      <c r="C52" s="62">
        <f>INPUT_PRODUCT!B6</f>
        <v/>
      </c>
      <c r="D52" s="62">
        <f>INPUT_PRODUCT!B5</f>
        <v/>
      </c>
      <c r="E52" s="62">
        <f>INPUT_PRODUCT!B7</f>
        <v/>
      </c>
      <c r="F52" s="62">
        <f>IF(PRODUCT_CALCULATION!B52="SI";PRODUCT_CALCULATION!C52;"")</f>
        <v/>
      </c>
      <c r="G52" s="63">
        <f>IF(PRODUCT_CALCULATION!B52="SI";PRODUCT_CALCULATION!E52;"")</f>
        <v/>
      </c>
      <c r="H52" s="63">
        <f>IF(PRODUCT_CALCULATION!B52="SI";PRODUCT_CALCULATION!F52;"")</f>
        <v/>
      </c>
      <c r="I52" s="62">
        <f>IF(PRODUCT_CALCULATION!B52="SI";PRODUCT_CALCULATION!G52;"")</f>
        <v/>
      </c>
      <c r="J52" s="0">
        <f>IF(PRODUCT_CALCULATION!B52="SI";PRODUCT_CALCULATION!S52;"")</f>
        <v/>
      </c>
      <c r="K52" s="0">
        <f>IF(PRODUCT_CALCULATION!B52="SI";PRODUCT_CALCULATION!K52;"")</f>
        <v/>
      </c>
      <c r="L52" s="0">
        <f>IF(PRODUCT_CALCULATION!B52="SI";CEILING(PRODUCT_CALCULATION!F52/PRODUCT_CALCULATION!K52;1);"")</f>
        <v/>
      </c>
      <c r="M52" s="0">
        <f>IF(PRODUCT_CALCULATION!B52="SI";INDEX(PRODUCT!A:A;MATCH(PRODUCT_CALCULATION!C52;PRODUCT!B:B;0));"")</f>
        <v/>
      </c>
      <c r="N52" s="0">
        <f>IF(PRODUCT_CALCULATION!B52="SI";PRODUCT_CALCULATION!Y52;"")</f>
        <v/>
      </c>
    </row>
    <row r="53" ht="15.75" customHeight="1" s="125">
      <c r="A53" s="62">
        <f>INPUT_PRODUCT!B1</f>
        <v/>
      </c>
      <c r="B53" s="58">
        <f>INPUT_PRODUCT!B2</f>
        <v/>
      </c>
      <c r="C53" s="62">
        <f>INPUT_PRODUCT!B6</f>
        <v/>
      </c>
      <c r="D53" s="62">
        <f>INPUT_PRODUCT!B5</f>
        <v/>
      </c>
      <c r="E53" s="62">
        <f>INPUT_PRODUCT!B7</f>
        <v/>
      </c>
      <c r="F53" s="62">
        <f>IF(PRODUCT_CALCULATION!B53="SI";PRODUCT_CALCULATION!C53;"")</f>
        <v/>
      </c>
      <c r="G53" s="63">
        <f>IF(PRODUCT_CALCULATION!B53="SI";PRODUCT_CALCULATION!E53;"")</f>
        <v/>
      </c>
      <c r="H53" s="63">
        <f>IF(PRODUCT_CALCULATION!B53="SI";PRODUCT_CALCULATION!F53;"")</f>
        <v/>
      </c>
      <c r="I53" s="62">
        <f>IF(PRODUCT_CALCULATION!B53="SI";PRODUCT_CALCULATION!G53;"")</f>
        <v/>
      </c>
      <c r="J53" s="0">
        <f>IF(PRODUCT_CALCULATION!B53="SI";PRODUCT_CALCULATION!S53;"")</f>
        <v/>
      </c>
      <c r="K53" s="0">
        <f>IF(PRODUCT_CALCULATION!B53="SI";PRODUCT_CALCULATION!K53;"")</f>
        <v/>
      </c>
      <c r="L53" s="0">
        <f>IF(PRODUCT_CALCULATION!B53="SI";CEILING(PRODUCT_CALCULATION!F53/PRODUCT_CALCULATION!K53;1);"")</f>
        <v/>
      </c>
      <c r="M53" s="0">
        <f>IF(PRODUCT_CALCULATION!B53="SI";INDEX(PRODUCT!A:A;MATCH(PRODUCT_CALCULATION!C53;PRODUCT!B:B;0));"")</f>
        <v/>
      </c>
      <c r="N53" s="0">
        <f>IF(PRODUCT_CALCULATION!B53="SI";PRODUCT_CALCULATION!Y53;"")</f>
        <v/>
      </c>
    </row>
    <row r="54" ht="15.75" customHeight="1" s="125">
      <c r="A54" s="62">
        <f>INPUT_PRODUCT!B1</f>
        <v/>
      </c>
      <c r="B54" s="58">
        <f>INPUT_PRODUCT!B2</f>
        <v/>
      </c>
      <c r="C54" s="62">
        <f>INPUT_PRODUCT!B6</f>
        <v/>
      </c>
      <c r="D54" s="62">
        <f>INPUT_PRODUCT!B5</f>
        <v/>
      </c>
      <c r="E54" s="62">
        <f>INPUT_PRODUCT!B7</f>
        <v/>
      </c>
      <c r="F54" s="62">
        <f>IF(PRODUCT_CALCULATION!B54="SI";PRODUCT_CALCULATION!C54;"")</f>
        <v/>
      </c>
      <c r="G54" s="63">
        <f>IF(PRODUCT_CALCULATION!B54="SI";PRODUCT_CALCULATION!E54;"")</f>
        <v/>
      </c>
      <c r="H54" s="63">
        <f>IF(PRODUCT_CALCULATION!B54="SI";PRODUCT_CALCULATION!F54;"")</f>
        <v/>
      </c>
      <c r="I54" s="62">
        <f>IF(PRODUCT_CALCULATION!B54="SI";PRODUCT_CALCULATION!G54;"")</f>
        <v/>
      </c>
      <c r="J54" s="0">
        <f>IF(PRODUCT_CALCULATION!B54="SI";PRODUCT_CALCULATION!S54;"")</f>
        <v/>
      </c>
      <c r="K54" s="0">
        <f>IF(PRODUCT_CALCULATION!B54="SI";PRODUCT_CALCULATION!K54;"")</f>
        <v/>
      </c>
      <c r="L54" s="0">
        <f>IF(PRODUCT_CALCULATION!B54="SI";CEILING(PRODUCT_CALCULATION!F54/PRODUCT_CALCULATION!K54;1);"")</f>
        <v/>
      </c>
      <c r="M54" s="0">
        <f>IF(PRODUCT_CALCULATION!B54="SI";INDEX(PRODUCT!A:A;MATCH(PRODUCT_CALCULATION!C54;PRODUCT!B:B;0));"")</f>
        <v/>
      </c>
      <c r="N54" s="0">
        <f>IF(PRODUCT_CALCULATION!B54="SI";PRODUCT_CALCULATION!Y54;"")</f>
        <v/>
      </c>
    </row>
    <row r="55" ht="15.75" customHeight="1" s="125">
      <c r="A55" s="62">
        <f>INPUT_PRODUCT!B1</f>
        <v/>
      </c>
      <c r="B55" s="58">
        <f>INPUT_PRODUCT!B2</f>
        <v/>
      </c>
      <c r="C55" s="62">
        <f>INPUT_PRODUCT!B6</f>
        <v/>
      </c>
      <c r="D55" s="62">
        <f>INPUT_PRODUCT!B5</f>
        <v/>
      </c>
      <c r="E55" s="62">
        <f>INPUT_PRODUCT!B7</f>
        <v/>
      </c>
      <c r="F55" s="62">
        <f>IF(PRODUCT_CALCULATION!B55="SI";PRODUCT_CALCULATION!C55;"")</f>
        <v/>
      </c>
      <c r="G55" s="63">
        <f>IF(PRODUCT_CALCULATION!B55="SI";PRODUCT_CALCULATION!E55;"")</f>
        <v/>
      </c>
      <c r="H55" s="63">
        <f>IF(PRODUCT_CALCULATION!B55="SI";PRODUCT_CALCULATION!F55;"")</f>
        <v/>
      </c>
      <c r="I55" s="62">
        <f>IF(PRODUCT_CALCULATION!B55="SI";PRODUCT_CALCULATION!G55;"")</f>
        <v/>
      </c>
      <c r="J55" s="0">
        <f>IF(PRODUCT_CALCULATION!B55="SI";PRODUCT_CALCULATION!S55;"")</f>
        <v/>
      </c>
      <c r="K55" s="0">
        <f>IF(PRODUCT_CALCULATION!B55="SI";PRODUCT_CALCULATION!K55;"")</f>
        <v/>
      </c>
      <c r="L55" s="0">
        <f>IF(PRODUCT_CALCULATION!B55="SI";CEILING(PRODUCT_CALCULATION!F55/PRODUCT_CALCULATION!K55;1);"")</f>
        <v/>
      </c>
      <c r="M55" s="0">
        <f>IF(PRODUCT_CALCULATION!B55="SI";INDEX(PRODUCT!A:A;MATCH(PRODUCT_CALCULATION!C55;PRODUCT!B:B;0));"")</f>
        <v/>
      </c>
      <c r="N55" s="0">
        <f>IF(PRODUCT_CALCULATION!B55="SI";PRODUCT_CALCULATION!Y55;"")</f>
        <v/>
      </c>
    </row>
    <row r="56" ht="15.75" customHeight="1" s="125">
      <c r="A56" s="62">
        <f>INPUT_PRODUCT!B1</f>
        <v/>
      </c>
      <c r="B56" s="58">
        <f>INPUT_PRODUCT!B2</f>
        <v/>
      </c>
      <c r="C56" s="62">
        <f>INPUT_PRODUCT!B6</f>
        <v/>
      </c>
      <c r="D56" s="62">
        <f>INPUT_PRODUCT!B5</f>
        <v/>
      </c>
      <c r="E56" s="62">
        <f>INPUT_PRODUCT!B7</f>
        <v/>
      </c>
      <c r="F56" s="62">
        <f>IF(PRODUCT_CALCULATION!B56="SI";PRODUCT_CALCULATION!C56;"")</f>
        <v/>
      </c>
      <c r="G56" s="63">
        <f>IF(PRODUCT_CALCULATION!B56="SI";PRODUCT_CALCULATION!E56;"")</f>
        <v/>
      </c>
      <c r="H56" s="63">
        <f>IF(PRODUCT_CALCULATION!B56="SI";PRODUCT_CALCULATION!F56;"")</f>
        <v/>
      </c>
      <c r="I56" s="62">
        <f>IF(PRODUCT_CALCULATION!B56="SI";PRODUCT_CALCULATION!G56;"")</f>
        <v/>
      </c>
      <c r="J56" s="0">
        <f>IF(PRODUCT_CALCULATION!B56="SI";PRODUCT_CALCULATION!S56;"")</f>
        <v/>
      </c>
      <c r="K56" s="0">
        <f>IF(PRODUCT_CALCULATION!B56="SI";PRODUCT_CALCULATION!K56;"")</f>
        <v/>
      </c>
      <c r="L56" s="0">
        <f>IF(PRODUCT_CALCULATION!B56="SI";CEILING(PRODUCT_CALCULATION!F56/PRODUCT_CALCULATION!K56;1);"")</f>
        <v/>
      </c>
      <c r="M56" s="0">
        <f>IF(PRODUCT_CALCULATION!B56="SI";INDEX(PRODUCT!A:A;MATCH(PRODUCT_CALCULATION!C56;PRODUCT!B:B;0));"")</f>
        <v/>
      </c>
      <c r="N56" s="0">
        <f>IF(PRODUCT_CALCULATION!B56="SI";PRODUCT_CALCULATION!Y56;"")</f>
        <v/>
      </c>
    </row>
    <row r="57" ht="15.75" customHeight="1" s="125">
      <c r="A57" s="62">
        <f>INPUT_PRODUCT!B1</f>
        <v/>
      </c>
      <c r="B57" s="58">
        <f>INPUT_PRODUCT!B2</f>
        <v/>
      </c>
      <c r="C57" s="62">
        <f>INPUT_PRODUCT!B6</f>
        <v/>
      </c>
      <c r="D57" s="62">
        <f>INPUT_PRODUCT!B5</f>
        <v/>
      </c>
      <c r="E57" s="62">
        <f>INPUT_PRODUCT!B7</f>
        <v/>
      </c>
      <c r="F57" s="62">
        <f>IF(PRODUCT_CALCULATION!B57="SI";PRODUCT_CALCULATION!C57;"")</f>
        <v/>
      </c>
      <c r="G57" s="63">
        <f>IF(PRODUCT_CALCULATION!B57="SI";PRODUCT_CALCULATION!E57;"")</f>
        <v/>
      </c>
      <c r="H57" s="63">
        <f>IF(PRODUCT_CALCULATION!B57="SI";PRODUCT_CALCULATION!F57;"")</f>
        <v/>
      </c>
      <c r="I57" s="62">
        <f>IF(PRODUCT_CALCULATION!B57="SI";PRODUCT_CALCULATION!G57;"")</f>
        <v/>
      </c>
      <c r="J57" s="0">
        <f>IF(PRODUCT_CALCULATION!B57="SI";PRODUCT_CALCULATION!S57;"")</f>
        <v/>
      </c>
      <c r="K57" s="0">
        <f>IF(PRODUCT_CALCULATION!B57="SI";PRODUCT_CALCULATION!K57;"")</f>
        <v/>
      </c>
      <c r="L57" s="0">
        <f>IF(PRODUCT_CALCULATION!B57="SI";CEILING(PRODUCT_CALCULATION!F57/PRODUCT_CALCULATION!K57;1);"")</f>
        <v/>
      </c>
      <c r="M57" s="0">
        <f>IF(PRODUCT_CALCULATION!B57="SI";INDEX(PRODUCT!A:A;MATCH(PRODUCT_CALCULATION!C57;PRODUCT!B:B;0));"")</f>
        <v/>
      </c>
      <c r="N57" s="0">
        <f>IF(PRODUCT_CALCULATION!B57="SI";PRODUCT_CALCULATION!Y57;"")</f>
        <v/>
      </c>
    </row>
    <row r="58" ht="15.75" customHeight="1" s="125">
      <c r="A58" s="62">
        <f>INPUT_PRODUCT!B1</f>
        <v/>
      </c>
      <c r="B58" s="58">
        <f>INPUT_PRODUCT!B2</f>
        <v/>
      </c>
      <c r="C58" s="62">
        <f>INPUT_PRODUCT!B6</f>
        <v/>
      </c>
      <c r="D58" s="62">
        <f>INPUT_PRODUCT!B5</f>
        <v/>
      </c>
      <c r="E58" s="62">
        <f>INPUT_PRODUCT!B7</f>
        <v/>
      </c>
      <c r="F58" s="62">
        <f>IF(PRODUCT_CALCULATION!B58="SI";PRODUCT_CALCULATION!C58;"")</f>
        <v/>
      </c>
      <c r="G58" s="63">
        <f>IF(PRODUCT_CALCULATION!B58="SI";PRODUCT_CALCULATION!E58;"")</f>
        <v/>
      </c>
      <c r="H58" s="63">
        <f>IF(PRODUCT_CALCULATION!B58="SI";PRODUCT_CALCULATION!F58;"")</f>
        <v/>
      </c>
      <c r="I58" s="62">
        <f>IF(PRODUCT_CALCULATION!B58="SI";PRODUCT_CALCULATION!G58;"")</f>
        <v/>
      </c>
      <c r="J58" s="0">
        <f>IF(PRODUCT_CALCULATION!B58="SI";PRODUCT_CALCULATION!S58;"")</f>
        <v/>
      </c>
      <c r="K58" s="0">
        <f>IF(PRODUCT_CALCULATION!B58="SI";PRODUCT_CALCULATION!K58;"")</f>
        <v/>
      </c>
      <c r="L58" s="0">
        <f>IF(PRODUCT_CALCULATION!B58="SI";CEILING(PRODUCT_CALCULATION!F58/PRODUCT_CALCULATION!K58;1);"")</f>
        <v/>
      </c>
      <c r="M58" s="0">
        <f>IF(PRODUCT_CALCULATION!B58="SI";INDEX(PRODUCT!A:A;MATCH(PRODUCT_CALCULATION!C58;PRODUCT!B:B;0));"")</f>
        <v/>
      </c>
      <c r="N58" s="0">
        <f>IF(PRODUCT_CALCULATION!B58="SI";PRODUCT_CALCULATION!Y58;"")</f>
        <v/>
      </c>
    </row>
    <row r="59" ht="15.75" customHeight="1" s="125">
      <c r="A59" s="62">
        <f>INPUT_PRODUCT!B1</f>
        <v/>
      </c>
      <c r="B59" s="58">
        <f>INPUT_PRODUCT!B2</f>
        <v/>
      </c>
      <c r="C59" s="62">
        <f>INPUT_PRODUCT!B6</f>
        <v/>
      </c>
      <c r="D59" s="62">
        <f>INPUT_PRODUCT!B5</f>
        <v/>
      </c>
      <c r="E59" s="62">
        <f>INPUT_PRODUCT!B7</f>
        <v/>
      </c>
      <c r="F59" s="62">
        <f>IF(PRODUCT_CALCULATION!B59="SI";PRODUCT_CALCULATION!C59;"")</f>
        <v/>
      </c>
      <c r="G59" s="63">
        <f>IF(PRODUCT_CALCULATION!B59="SI";PRODUCT_CALCULATION!E59;"")</f>
        <v/>
      </c>
      <c r="H59" s="63">
        <f>IF(PRODUCT_CALCULATION!B59="SI";PRODUCT_CALCULATION!F59;"")</f>
        <v/>
      </c>
      <c r="I59" s="62">
        <f>IF(PRODUCT_CALCULATION!B59="SI";PRODUCT_CALCULATION!G59;"")</f>
        <v/>
      </c>
      <c r="J59" s="0">
        <f>IF(PRODUCT_CALCULATION!B59="SI";PRODUCT_CALCULATION!S59;"")</f>
        <v/>
      </c>
      <c r="K59" s="0">
        <f>IF(PRODUCT_CALCULATION!B59="SI";PRODUCT_CALCULATION!K59;"")</f>
        <v/>
      </c>
      <c r="L59" s="0">
        <f>IF(PRODUCT_CALCULATION!B59="SI";CEILING(PRODUCT_CALCULATION!F59/PRODUCT_CALCULATION!K59;1);"")</f>
        <v/>
      </c>
      <c r="M59" s="0">
        <f>IF(PRODUCT_CALCULATION!B59="SI";INDEX(PRODUCT!A:A;MATCH(PRODUCT_CALCULATION!C59;PRODUCT!B:B;0));"")</f>
        <v/>
      </c>
      <c r="N59" s="0">
        <f>IF(PRODUCT_CALCULATION!B59="SI";PRODUCT_CALCULATION!Y59;"")</f>
        <v/>
      </c>
    </row>
    <row r="60" ht="15.75" customHeight="1" s="125">
      <c r="A60" s="62">
        <f>INPUT_PRODUCT!B1</f>
        <v/>
      </c>
      <c r="B60" s="58">
        <f>INPUT_PRODUCT!B2</f>
        <v/>
      </c>
      <c r="C60" s="62">
        <f>INPUT_PRODUCT!B6</f>
        <v/>
      </c>
      <c r="D60" s="62">
        <f>INPUT_PRODUCT!B5</f>
        <v/>
      </c>
      <c r="E60" s="62">
        <f>INPUT_PRODUCT!B7</f>
        <v/>
      </c>
      <c r="F60" s="62">
        <f>IF(PRODUCT_CALCULATION!B60="SI";PRODUCT_CALCULATION!C60;"")</f>
        <v/>
      </c>
      <c r="G60" s="63">
        <f>IF(PRODUCT_CALCULATION!B60="SI";PRODUCT_CALCULATION!E60;"")</f>
        <v/>
      </c>
      <c r="H60" s="63">
        <f>IF(PRODUCT_CALCULATION!B60="SI";PRODUCT_CALCULATION!F60;"")</f>
        <v/>
      </c>
      <c r="I60" s="62">
        <f>IF(PRODUCT_CALCULATION!B60="SI";PRODUCT_CALCULATION!G60;"")</f>
        <v/>
      </c>
      <c r="J60" s="0">
        <f>IF(PRODUCT_CALCULATION!B60="SI";PRODUCT_CALCULATION!S60;"")</f>
        <v/>
      </c>
      <c r="K60" s="0">
        <f>IF(PRODUCT_CALCULATION!B60="SI";PRODUCT_CALCULATION!K60;"")</f>
        <v/>
      </c>
      <c r="L60" s="0">
        <f>IF(PRODUCT_CALCULATION!B60="SI";CEILING(PRODUCT_CALCULATION!F60/PRODUCT_CALCULATION!K60;1);"")</f>
        <v/>
      </c>
      <c r="M60" s="0">
        <f>IF(PRODUCT_CALCULATION!B60="SI";INDEX(PRODUCT!A:A;MATCH(PRODUCT_CALCULATION!C60;PRODUCT!B:B;0));"")</f>
        <v/>
      </c>
      <c r="N60" s="0">
        <f>IF(PRODUCT_CALCULATION!B60="SI";PRODUCT_CALCULATION!Y60;"")</f>
        <v/>
      </c>
    </row>
    <row r="61" ht="15.75" customHeight="1" s="125">
      <c r="A61" s="62">
        <f>INPUT_PRODUCT!B1</f>
        <v/>
      </c>
      <c r="B61" s="58">
        <f>INPUT_PRODUCT!B2</f>
        <v/>
      </c>
      <c r="C61" s="62">
        <f>INPUT_PRODUCT!B6</f>
        <v/>
      </c>
      <c r="D61" s="62">
        <f>INPUT_PRODUCT!B5</f>
        <v/>
      </c>
      <c r="E61" s="62">
        <f>INPUT_PRODUCT!B7</f>
        <v/>
      </c>
      <c r="F61" s="62">
        <f>IF(PRODUCT_CALCULATION!B61="SI";PRODUCT_CALCULATION!C61;"")</f>
        <v/>
      </c>
      <c r="G61" s="63">
        <f>IF(PRODUCT_CALCULATION!B61="SI";PRODUCT_CALCULATION!E61;"")</f>
        <v/>
      </c>
      <c r="H61" s="63">
        <f>IF(PRODUCT_CALCULATION!B61="SI";PRODUCT_CALCULATION!F61;"")</f>
        <v/>
      </c>
      <c r="I61" s="62">
        <f>IF(PRODUCT_CALCULATION!B61="SI";PRODUCT_CALCULATION!G61;"")</f>
        <v/>
      </c>
      <c r="J61" s="0">
        <f>IF(PRODUCT_CALCULATION!B61="SI";PRODUCT_CALCULATION!S61;"")</f>
        <v/>
      </c>
      <c r="K61" s="0">
        <f>IF(PRODUCT_CALCULATION!B61="SI";PRODUCT_CALCULATION!K61;"")</f>
        <v/>
      </c>
      <c r="L61" s="0">
        <f>IF(PRODUCT_CALCULATION!B61="SI";CEILING(PRODUCT_CALCULATION!F61/PRODUCT_CALCULATION!K61;1);"")</f>
        <v/>
      </c>
      <c r="M61" s="0">
        <f>IF(PRODUCT_CALCULATION!B61="SI";INDEX(PRODUCT!A:A;MATCH(PRODUCT_CALCULATION!C61;PRODUCT!B:B;0));"")</f>
        <v/>
      </c>
      <c r="N61" s="0">
        <f>IF(PRODUCT_CALCULATION!B61="SI";PRODUCT_CALCULATION!Y61;"")</f>
        <v/>
      </c>
    </row>
    <row r="62" ht="15.75" customHeight="1" s="125">
      <c r="A62" s="62">
        <f>INPUT_PRODUCT!B1</f>
        <v/>
      </c>
      <c r="B62" s="58">
        <f>INPUT_PRODUCT!B2</f>
        <v/>
      </c>
      <c r="C62" s="62">
        <f>INPUT_PRODUCT!B6</f>
        <v/>
      </c>
      <c r="D62" s="62">
        <f>INPUT_PRODUCT!B5</f>
        <v/>
      </c>
      <c r="E62" s="62">
        <f>INPUT_PRODUCT!B7</f>
        <v/>
      </c>
      <c r="F62" s="62">
        <f>IF(PRODUCT_CALCULATION!B62="SI";PRODUCT_CALCULATION!C62;"")</f>
        <v/>
      </c>
      <c r="G62" s="63">
        <f>IF(PRODUCT_CALCULATION!B62="SI";PRODUCT_CALCULATION!E62;"")</f>
        <v/>
      </c>
      <c r="H62" s="63">
        <f>IF(PRODUCT_CALCULATION!B62="SI";PRODUCT_CALCULATION!F62;"")</f>
        <v/>
      </c>
      <c r="I62" s="62">
        <f>IF(PRODUCT_CALCULATION!B62="SI";PRODUCT_CALCULATION!G62;"")</f>
        <v/>
      </c>
      <c r="J62" s="0">
        <f>IF(PRODUCT_CALCULATION!B62="SI";PRODUCT_CALCULATION!S62;"")</f>
        <v/>
      </c>
      <c r="K62" s="0">
        <f>IF(PRODUCT_CALCULATION!B62="SI";PRODUCT_CALCULATION!K62;"")</f>
        <v/>
      </c>
      <c r="L62" s="0">
        <f>IF(PRODUCT_CALCULATION!B62="SI";CEILING(PRODUCT_CALCULATION!F62/PRODUCT_CALCULATION!K62;1);"")</f>
        <v/>
      </c>
      <c r="M62" s="0">
        <f>IF(PRODUCT_CALCULATION!B62="SI";INDEX(PRODUCT!A:A;MATCH(PRODUCT_CALCULATION!C62;PRODUCT!B:B;0));"")</f>
        <v/>
      </c>
      <c r="N62" s="0">
        <f>IF(PRODUCT_CALCULATION!B62="SI";PRODUCT_CALCULATION!Y62;"")</f>
        <v/>
      </c>
    </row>
    <row r="63" ht="15.75" customHeight="1" s="125">
      <c r="A63" s="62">
        <f>INPUT_PRODUCT!B1</f>
        <v/>
      </c>
      <c r="B63" s="58">
        <f>INPUT_PRODUCT!B2</f>
        <v/>
      </c>
      <c r="C63" s="62">
        <f>INPUT_PRODUCT!B6</f>
        <v/>
      </c>
      <c r="D63" s="62">
        <f>INPUT_PRODUCT!B5</f>
        <v/>
      </c>
      <c r="E63" s="62">
        <f>INPUT_PRODUCT!B7</f>
        <v/>
      </c>
      <c r="F63" s="62">
        <f>IF(PRODUCT_CALCULATION!B63="SI";PRODUCT_CALCULATION!C63;"")</f>
        <v/>
      </c>
      <c r="G63" s="63">
        <f>IF(PRODUCT_CALCULATION!B63="SI";PRODUCT_CALCULATION!E63;"")</f>
        <v/>
      </c>
      <c r="H63" s="63">
        <f>IF(PRODUCT_CALCULATION!B63="SI";PRODUCT_CALCULATION!F63;"")</f>
        <v/>
      </c>
      <c r="I63" s="62">
        <f>IF(PRODUCT_CALCULATION!B63="SI";PRODUCT_CALCULATION!G63;"")</f>
        <v/>
      </c>
      <c r="J63" s="0">
        <f>IF(PRODUCT_CALCULATION!B63="SI";PRODUCT_CALCULATION!S63;"")</f>
        <v/>
      </c>
      <c r="K63" s="0">
        <f>IF(PRODUCT_CALCULATION!B63="SI";PRODUCT_CALCULATION!K63;"")</f>
        <v/>
      </c>
      <c r="L63" s="0">
        <f>IF(PRODUCT_CALCULATION!B63="SI";CEILING(PRODUCT_CALCULATION!F63/PRODUCT_CALCULATION!K63;1);"")</f>
        <v/>
      </c>
      <c r="M63" s="0">
        <f>IF(PRODUCT_CALCULATION!B63="SI";INDEX(PRODUCT!A:A;MATCH(PRODUCT_CALCULATION!C63;PRODUCT!B:B;0));"")</f>
        <v/>
      </c>
      <c r="N63" s="0">
        <f>IF(PRODUCT_CALCULATION!B63="SI";PRODUCT_CALCULATION!Y63;"")</f>
        <v/>
      </c>
    </row>
    <row r="64" ht="15.75" customHeight="1" s="125">
      <c r="A64" s="62">
        <f>INPUT_PRODUCT!B1</f>
        <v/>
      </c>
      <c r="B64" s="58">
        <f>INPUT_PRODUCT!B2</f>
        <v/>
      </c>
      <c r="C64" s="62">
        <f>INPUT_PRODUCT!B6</f>
        <v/>
      </c>
      <c r="D64" s="62">
        <f>INPUT_PRODUCT!B5</f>
        <v/>
      </c>
      <c r="E64" s="62">
        <f>INPUT_PRODUCT!B7</f>
        <v/>
      </c>
      <c r="F64" s="62">
        <f>IF(PRODUCT_CALCULATION!B64="SI";PRODUCT_CALCULATION!C64;"")</f>
        <v/>
      </c>
      <c r="G64" s="63">
        <f>IF(PRODUCT_CALCULATION!B64="SI";PRODUCT_CALCULATION!E64;"")</f>
        <v/>
      </c>
      <c r="H64" s="63">
        <f>IF(PRODUCT_CALCULATION!B64="SI";PRODUCT_CALCULATION!F64;"")</f>
        <v/>
      </c>
      <c r="I64" s="62">
        <f>IF(PRODUCT_CALCULATION!B64="SI";PRODUCT_CALCULATION!G64;"")</f>
        <v/>
      </c>
      <c r="J64" s="0">
        <f>IF(PRODUCT_CALCULATION!B64="SI";PRODUCT_CALCULATION!S64;"")</f>
        <v/>
      </c>
      <c r="K64" s="0">
        <f>IF(PRODUCT_CALCULATION!B64="SI";PRODUCT_CALCULATION!K64;"")</f>
        <v/>
      </c>
      <c r="L64" s="0">
        <f>IF(PRODUCT_CALCULATION!B64="SI";CEILING(PRODUCT_CALCULATION!F64/PRODUCT_CALCULATION!K64;1);"")</f>
        <v/>
      </c>
      <c r="M64" s="0">
        <f>IF(PRODUCT_CALCULATION!B64="SI";INDEX(PRODUCT!A:A;MATCH(PRODUCT_CALCULATION!C64;PRODUCT!B:B;0));"")</f>
        <v/>
      </c>
      <c r="N64" s="0">
        <f>IF(PRODUCT_CALCULATION!B64="SI";PRODUCT_CALCULATION!Y64;"")</f>
        <v/>
      </c>
    </row>
    <row r="65" ht="15.75" customHeight="1" s="125">
      <c r="A65" s="62">
        <f>INPUT_PRODUCT!B1</f>
        <v/>
      </c>
      <c r="B65" s="58">
        <f>INPUT_PRODUCT!B2</f>
        <v/>
      </c>
      <c r="C65" s="62">
        <f>INPUT_PRODUCT!B6</f>
        <v/>
      </c>
      <c r="D65" s="62">
        <f>INPUT_PRODUCT!B5</f>
        <v/>
      </c>
      <c r="E65" s="62">
        <f>INPUT_PRODUCT!B7</f>
        <v/>
      </c>
      <c r="F65" s="62">
        <f>IF(PRODUCT_CALCULATION!B65="SI";PRODUCT_CALCULATION!C65;"")</f>
        <v/>
      </c>
      <c r="G65" s="63">
        <f>IF(PRODUCT_CALCULATION!B65="SI";PRODUCT_CALCULATION!E65;"")</f>
        <v/>
      </c>
      <c r="H65" s="63">
        <f>IF(PRODUCT_CALCULATION!B65="SI";PRODUCT_CALCULATION!F65;"")</f>
        <v/>
      </c>
      <c r="I65" s="62">
        <f>IF(PRODUCT_CALCULATION!B65="SI";PRODUCT_CALCULATION!G65;"")</f>
        <v/>
      </c>
      <c r="J65" s="0">
        <f>IF(PRODUCT_CALCULATION!B65="SI";PRODUCT_CALCULATION!S65;"")</f>
        <v/>
      </c>
      <c r="K65" s="0">
        <f>IF(PRODUCT_CALCULATION!B65="SI";PRODUCT_CALCULATION!K65;"")</f>
        <v/>
      </c>
      <c r="L65" s="0">
        <f>IF(PRODUCT_CALCULATION!B65="SI";CEILING(PRODUCT_CALCULATION!F65/PRODUCT_CALCULATION!K65;1);"")</f>
        <v/>
      </c>
      <c r="M65" s="0">
        <f>IF(PRODUCT_CALCULATION!B65="SI";INDEX(PRODUCT!A:A;MATCH(PRODUCT_CALCULATION!C65;PRODUCT!B:B;0));"")</f>
        <v/>
      </c>
      <c r="N65" s="0">
        <f>IF(PRODUCT_CALCULATION!B65="SI";PRODUCT_CALCULATION!Y65;"")</f>
        <v/>
      </c>
    </row>
    <row r="66" ht="15.75" customHeight="1" s="125">
      <c r="A66" s="62">
        <f>INPUT_PRODUCT!B1</f>
        <v/>
      </c>
      <c r="B66" s="58">
        <f>INPUT_PRODUCT!B2</f>
        <v/>
      </c>
      <c r="C66" s="62">
        <f>INPUT_PRODUCT!B6</f>
        <v/>
      </c>
      <c r="D66" s="62">
        <f>INPUT_PRODUCT!B5</f>
        <v/>
      </c>
      <c r="E66" s="62">
        <f>INPUT_PRODUCT!B7</f>
        <v/>
      </c>
      <c r="F66" s="62">
        <f>IF(PRODUCT_CALCULATION!B66="SI";PRODUCT_CALCULATION!C66;"")</f>
        <v/>
      </c>
      <c r="G66" s="63">
        <f>IF(PRODUCT_CALCULATION!B66="SI";PRODUCT_CALCULATION!E66;"")</f>
        <v/>
      </c>
      <c r="H66" s="63">
        <f>IF(PRODUCT_CALCULATION!B66="SI";PRODUCT_CALCULATION!F66;"")</f>
        <v/>
      </c>
      <c r="I66" s="62">
        <f>IF(PRODUCT_CALCULATION!B66="SI";PRODUCT_CALCULATION!G66;"")</f>
        <v/>
      </c>
      <c r="J66" s="0">
        <f>IF(PRODUCT_CALCULATION!B66="SI";PRODUCT_CALCULATION!S66;"")</f>
        <v/>
      </c>
      <c r="K66" s="0">
        <f>IF(PRODUCT_CALCULATION!B66="SI";PRODUCT_CALCULATION!K66;"")</f>
        <v/>
      </c>
      <c r="L66" s="0">
        <f>IF(PRODUCT_CALCULATION!B66="SI";CEILING(PRODUCT_CALCULATION!F66/PRODUCT_CALCULATION!K66;1);"")</f>
        <v/>
      </c>
      <c r="M66" s="0">
        <f>IF(PRODUCT_CALCULATION!B66="SI";INDEX(PRODUCT!A:A;MATCH(PRODUCT_CALCULATION!C66;PRODUCT!B:B;0));"")</f>
        <v/>
      </c>
      <c r="N66" s="0">
        <f>IF(PRODUCT_CALCULATION!B66="SI";PRODUCT_CALCULATION!Y66;"")</f>
        <v/>
      </c>
    </row>
    <row r="67" ht="15.75" customHeight="1" s="125">
      <c r="A67" s="62">
        <f>INPUT_PRODUCT!B1</f>
        <v/>
      </c>
      <c r="B67" s="58">
        <f>INPUT_PRODUCT!B2</f>
        <v/>
      </c>
      <c r="C67" s="62">
        <f>INPUT_PRODUCT!B6</f>
        <v/>
      </c>
      <c r="D67" s="62">
        <f>INPUT_PRODUCT!B5</f>
        <v/>
      </c>
      <c r="E67" s="62">
        <f>INPUT_PRODUCT!B7</f>
        <v/>
      </c>
      <c r="F67" s="62">
        <f>IF(PRODUCT_CALCULATION!B67="SI";PRODUCT_CALCULATION!C67;"")</f>
        <v/>
      </c>
      <c r="G67" s="63">
        <f>IF(PRODUCT_CALCULATION!B67="SI";PRODUCT_CALCULATION!E67;"")</f>
        <v/>
      </c>
      <c r="H67" s="63">
        <f>IF(PRODUCT_CALCULATION!B67="SI";PRODUCT_CALCULATION!F67;"")</f>
        <v/>
      </c>
      <c r="I67" s="62">
        <f>IF(PRODUCT_CALCULATION!B67="SI";PRODUCT_CALCULATION!G67;"")</f>
        <v/>
      </c>
      <c r="J67" s="0">
        <f>IF(PRODUCT_CALCULATION!B67="SI";PRODUCT_CALCULATION!S67;"")</f>
        <v/>
      </c>
      <c r="K67" s="0">
        <f>IF(PRODUCT_CALCULATION!B67="SI";PRODUCT_CALCULATION!K67;"")</f>
        <v/>
      </c>
      <c r="L67" s="0">
        <f>IF(PRODUCT_CALCULATION!B67="SI";CEILING(PRODUCT_CALCULATION!F67/PRODUCT_CALCULATION!K67;1);"")</f>
        <v/>
      </c>
      <c r="M67" s="0">
        <f>IF(PRODUCT_CALCULATION!B67="SI";INDEX(PRODUCT!A:A;MATCH(PRODUCT_CALCULATION!C67;PRODUCT!B:B;0));"")</f>
        <v/>
      </c>
      <c r="N67" s="0">
        <f>IF(PRODUCT_CALCULATION!B67="SI";PRODUCT_CALCULATION!Y67;"")</f>
        <v/>
      </c>
    </row>
    <row r="68" ht="15.75" customHeight="1" s="125">
      <c r="A68" s="62">
        <f>INPUT_PRODUCT!B1</f>
        <v/>
      </c>
      <c r="B68" s="58">
        <f>INPUT_PRODUCT!B2</f>
        <v/>
      </c>
      <c r="C68" s="62">
        <f>INPUT_PRODUCT!B6</f>
        <v/>
      </c>
      <c r="D68" s="62">
        <f>INPUT_PRODUCT!B5</f>
        <v/>
      </c>
      <c r="E68" s="62">
        <f>INPUT_PRODUCT!B7</f>
        <v/>
      </c>
      <c r="F68" s="62">
        <f>IF(PRODUCT_CALCULATION!B68="SI";PRODUCT_CALCULATION!C68;"")</f>
        <v/>
      </c>
      <c r="G68" s="63">
        <f>IF(PRODUCT_CALCULATION!B68="SI";PRODUCT_CALCULATION!E68;"")</f>
        <v/>
      </c>
      <c r="H68" s="63">
        <f>IF(PRODUCT_CALCULATION!B68="SI";PRODUCT_CALCULATION!F68;"")</f>
        <v/>
      </c>
      <c r="I68" s="62">
        <f>IF(PRODUCT_CALCULATION!B68="SI";PRODUCT_CALCULATION!G68;"")</f>
        <v/>
      </c>
      <c r="J68" s="0">
        <f>IF(PRODUCT_CALCULATION!B68="SI";PRODUCT_CALCULATION!S68;"")</f>
        <v/>
      </c>
      <c r="K68" s="0">
        <f>IF(PRODUCT_CALCULATION!B68="SI";PRODUCT_CALCULATION!K68;"")</f>
        <v/>
      </c>
      <c r="L68" s="0">
        <f>IF(PRODUCT_CALCULATION!B68="SI";CEILING(PRODUCT_CALCULATION!F68/PRODUCT_CALCULATION!K68;1);"")</f>
        <v/>
      </c>
      <c r="M68" s="0">
        <f>IF(PRODUCT_CALCULATION!B68="SI";INDEX(PRODUCT!A:A;MATCH(PRODUCT_CALCULATION!C68;PRODUCT!B:B;0));"")</f>
        <v/>
      </c>
      <c r="N68" s="0">
        <f>IF(PRODUCT_CALCULATION!B68="SI";PRODUCT_CALCULATION!Y68;"")</f>
        <v/>
      </c>
    </row>
    <row r="69" ht="15.75" customHeight="1" s="125">
      <c r="A69" s="62">
        <f>INPUT_PRODUCT!B1</f>
        <v/>
      </c>
      <c r="B69" s="58">
        <f>INPUT_PRODUCT!B2</f>
        <v/>
      </c>
      <c r="C69" s="62">
        <f>INPUT_PRODUCT!B6</f>
        <v/>
      </c>
      <c r="D69" s="62">
        <f>INPUT_PRODUCT!B5</f>
        <v/>
      </c>
      <c r="E69" s="62">
        <f>INPUT_PRODUCT!B7</f>
        <v/>
      </c>
      <c r="F69" s="62">
        <f>IF(PRODUCT_CALCULATION!B69="SI";PRODUCT_CALCULATION!C69;"")</f>
        <v/>
      </c>
      <c r="G69" s="63">
        <f>IF(PRODUCT_CALCULATION!B69="SI";PRODUCT_CALCULATION!E69;"")</f>
        <v/>
      </c>
      <c r="H69" s="63">
        <f>IF(PRODUCT_CALCULATION!B69="SI";PRODUCT_CALCULATION!F69;"")</f>
        <v/>
      </c>
      <c r="I69" s="62">
        <f>IF(PRODUCT_CALCULATION!B69="SI";PRODUCT_CALCULATION!G69;"")</f>
        <v/>
      </c>
      <c r="J69" s="0">
        <f>IF(PRODUCT_CALCULATION!B69="SI";PRODUCT_CALCULATION!S69;"")</f>
        <v/>
      </c>
      <c r="K69" s="0">
        <f>IF(PRODUCT_CALCULATION!B69="SI";PRODUCT_CALCULATION!K69;"")</f>
        <v/>
      </c>
      <c r="L69" s="0">
        <f>IF(PRODUCT_CALCULATION!B69="SI";CEILING(PRODUCT_CALCULATION!F69/PRODUCT_CALCULATION!K69;1);"")</f>
        <v/>
      </c>
      <c r="M69" s="0">
        <f>IF(PRODUCT_CALCULATION!B69="SI";INDEX(PRODUCT!A:A;MATCH(PRODUCT_CALCULATION!C69;PRODUCT!B:B;0));"")</f>
        <v/>
      </c>
      <c r="N69" s="0">
        <f>IF(PRODUCT_CALCULATION!B69="SI";PRODUCT_CALCULATION!Y69;"")</f>
        <v/>
      </c>
    </row>
    <row r="70" ht="15.75" customHeight="1" s="125">
      <c r="A70" s="62">
        <f>INPUT_PRODUCT!B1</f>
        <v/>
      </c>
      <c r="B70" s="58">
        <f>INPUT_PRODUCT!B2</f>
        <v/>
      </c>
      <c r="C70" s="62">
        <f>INPUT_PRODUCT!B6</f>
        <v/>
      </c>
      <c r="D70" s="62">
        <f>INPUT_PRODUCT!B5</f>
        <v/>
      </c>
      <c r="E70" s="62">
        <f>INPUT_PRODUCT!B7</f>
        <v/>
      </c>
      <c r="F70" s="62">
        <f>IF(PRODUCT_CALCULATION!B70="SI";PRODUCT_CALCULATION!C70;"")</f>
        <v/>
      </c>
      <c r="G70" s="63">
        <f>IF(PRODUCT_CALCULATION!B70="SI";PRODUCT_CALCULATION!E70;"")</f>
        <v/>
      </c>
      <c r="H70" s="63">
        <f>IF(PRODUCT_CALCULATION!B70="SI";PRODUCT_CALCULATION!F70;"")</f>
        <v/>
      </c>
      <c r="I70" s="62">
        <f>IF(PRODUCT_CALCULATION!B70="SI";PRODUCT_CALCULATION!G70;"")</f>
        <v/>
      </c>
      <c r="J70" s="0">
        <f>IF(PRODUCT_CALCULATION!B70="SI";PRODUCT_CALCULATION!S70;"")</f>
        <v/>
      </c>
      <c r="K70" s="0">
        <f>IF(PRODUCT_CALCULATION!B70="SI";PRODUCT_CALCULATION!K70;"")</f>
        <v/>
      </c>
      <c r="L70" s="0">
        <f>IF(PRODUCT_CALCULATION!B70="SI";CEILING(PRODUCT_CALCULATION!F70/PRODUCT_CALCULATION!K70;1);"")</f>
        <v/>
      </c>
      <c r="M70" s="0">
        <f>IF(PRODUCT_CALCULATION!B70="SI";INDEX(PRODUCT!A:A;MATCH(PRODUCT_CALCULATION!C70;PRODUCT!B:B;0));"")</f>
        <v/>
      </c>
      <c r="N70" s="0">
        <f>IF(PRODUCT_CALCULATION!B70="SI";PRODUCT_CALCULATION!Y70;"")</f>
        <v/>
      </c>
    </row>
    <row r="71" ht="15.75" customHeight="1" s="125">
      <c r="A71" s="62">
        <f>INPUT_PRODUCT!B1</f>
        <v/>
      </c>
      <c r="B71" s="58">
        <f>INPUT_PRODUCT!B2</f>
        <v/>
      </c>
      <c r="C71" s="62">
        <f>INPUT_PRODUCT!B6</f>
        <v/>
      </c>
      <c r="D71" s="62">
        <f>INPUT_PRODUCT!B5</f>
        <v/>
      </c>
      <c r="E71" s="62">
        <f>INPUT_PRODUCT!B7</f>
        <v/>
      </c>
      <c r="F71" s="62">
        <f>IF(PRODUCT_CALCULATION!B71="SI";PRODUCT_CALCULATION!C71;"")</f>
        <v/>
      </c>
      <c r="G71" s="63">
        <f>IF(PRODUCT_CALCULATION!B71="SI";PRODUCT_CALCULATION!E71;"")</f>
        <v/>
      </c>
      <c r="H71" s="63">
        <f>IF(PRODUCT_CALCULATION!B71="SI";PRODUCT_CALCULATION!F71;"")</f>
        <v/>
      </c>
      <c r="I71" s="62">
        <f>IF(PRODUCT_CALCULATION!B71="SI";PRODUCT_CALCULATION!G71;"")</f>
        <v/>
      </c>
      <c r="J71" s="0">
        <f>IF(PRODUCT_CALCULATION!B71="SI";PRODUCT_CALCULATION!S71;"")</f>
        <v/>
      </c>
      <c r="K71" s="0">
        <f>IF(PRODUCT_CALCULATION!B71="SI";PRODUCT_CALCULATION!K71;"")</f>
        <v/>
      </c>
      <c r="L71" s="0">
        <f>IF(PRODUCT_CALCULATION!B71="SI";CEILING(PRODUCT_CALCULATION!F71/PRODUCT_CALCULATION!K71;1);"")</f>
        <v/>
      </c>
      <c r="M71" s="0">
        <f>IF(PRODUCT_CALCULATION!B71="SI";INDEX(PRODUCT!A:A;MATCH(PRODUCT_CALCULATION!C71;PRODUCT!B:B;0));"")</f>
        <v/>
      </c>
      <c r="N71" s="0">
        <f>IF(PRODUCT_CALCULATION!B71="SI";PRODUCT_CALCULATION!Y71;"")</f>
        <v/>
      </c>
    </row>
    <row r="72" ht="15.75" customHeight="1" s="125">
      <c r="A72" s="62">
        <f>INPUT_PRODUCT!B1</f>
        <v/>
      </c>
      <c r="B72" s="58">
        <f>INPUT_PRODUCT!B2</f>
        <v/>
      </c>
      <c r="C72" s="62">
        <f>INPUT_PRODUCT!B6</f>
        <v/>
      </c>
      <c r="D72" s="62">
        <f>INPUT_PRODUCT!B5</f>
        <v/>
      </c>
      <c r="E72" s="62">
        <f>INPUT_PRODUCT!B7</f>
        <v/>
      </c>
      <c r="F72" s="62">
        <f>IF(PRODUCT_CALCULATION!B72="SI";PRODUCT_CALCULATION!C72;"")</f>
        <v/>
      </c>
      <c r="G72" s="63">
        <f>IF(PRODUCT_CALCULATION!B72="SI";PRODUCT_CALCULATION!E72;"")</f>
        <v/>
      </c>
      <c r="H72" s="63">
        <f>IF(PRODUCT_CALCULATION!B72="SI";PRODUCT_CALCULATION!F72;"")</f>
        <v/>
      </c>
      <c r="I72" s="62">
        <f>IF(PRODUCT_CALCULATION!B72="SI";PRODUCT_CALCULATION!G72;"")</f>
        <v/>
      </c>
      <c r="J72" s="0">
        <f>IF(PRODUCT_CALCULATION!B72="SI";PRODUCT_CALCULATION!S72;"")</f>
        <v/>
      </c>
      <c r="K72" s="0">
        <f>IF(PRODUCT_CALCULATION!B72="SI";PRODUCT_CALCULATION!K72;"")</f>
        <v/>
      </c>
      <c r="L72" s="0">
        <f>IF(PRODUCT_CALCULATION!B72="SI";CEILING(PRODUCT_CALCULATION!F72/PRODUCT_CALCULATION!K72;1);"")</f>
        <v/>
      </c>
      <c r="M72" s="0">
        <f>IF(PRODUCT_CALCULATION!B72="SI";INDEX(PRODUCT!A:A;MATCH(PRODUCT_CALCULATION!C72;PRODUCT!B:B;0));"")</f>
        <v/>
      </c>
      <c r="N72" s="0">
        <f>IF(PRODUCT_CALCULATION!B72="SI";PRODUCT_CALCULATION!Y72;"")</f>
        <v/>
      </c>
    </row>
    <row r="73" ht="15.75" customHeight="1" s="125">
      <c r="A73" s="62">
        <f>INPUT_PRODUCT!B1</f>
        <v/>
      </c>
      <c r="B73" s="58">
        <f>INPUT_PRODUCT!B2</f>
        <v/>
      </c>
      <c r="C73" s="62">
        <f>INPUT_PRODUCT!B6</f>
        <v/>
      </c>
      <c r="D73" s="62">
        <f>INPUT_PRODUCT!B5</f>
        <v/>
      </c>
      <c r="E73" s="62">
        <f>INPUT_PRODUCT!B7</f>
        <v/>
      </c>
      <c r="F73" s="62">
        <f>IF(PRODUCT_CALCULATION!B73="SI";PRODUCT_CALCULATION!C73;"")</f>
        <v/>
      </c>
      <c r="G73" s="63">
        <f>IF(PRODUCT_CALCULATION!B73="SI";PRODUCT_CALCULATION!E73;"")</f>
        <v/>
      </c>
      <c r="H73" s="63">
        <f>IF(PRODUCT_CALCULATION!B73="SI";PRODUCT_CALCULATION!F73;"")</f>
        <v/>
      </c>
      <c r="I73" s="62">
        <f>IF(PRODUCT_CALCULATION!B73="SI";PRODUCT_CALCULATION!G73;"")</f>
        <v/>
      </c>
      <c r="J73" s="0">
        <f>IF(PRODUCT_CALCULATION!B73="SI";PRODUCT_CALCULATION!S73;"")</f>
        <v/>
      </c>
      <c r="K73" s="0">
        <f>IF(PRODUCT_CALCULATION!B73="SI";PRODUCT_CALCULATION!K73;"")</f>
        <v/>
      </c>
      <c r="L73" s="0">
        <f>IF(PRODUCT_CALCULATION!B73="SI";CEILING(PRODUCT_CALCULATION!F73/PRODUCT_CALCULATION!K73;1);"")</f>
        <v/>
      </c>
      <c r="M73" s="0">
        <f>IF(PRODUCT_CALCULATION!B73="SI";INDEX(PRODUCT!A:A;MATCH(PRODUCT_CALCULATION!C73;PRODUCT!B:B;0));"")</f>
        <v/>
      </c>
      <c r="N73" s="0">
        <f>IF(PRODUCT_CALCULATION!B73="SI";PRODUCT_CALCULATION!Y73;"")</f>
        <v/>
      </c>
    </row>
    <row r="74" ht="15.75" customHeight="1" s="125">
      <c r="A74" s="62">
        <f>INPUT_PRODUCT!B1</f>
        <v/>
      </c>
      <c r="B74" s="58">
        <f>INPUT_PRODUCT!B2</f>
        <v/>
      </c>
      <c r="C74" s="62">
        <f>INPUT_PRODUCT!B6</f>
        <v/>
      </c>
      <c r="D74" s="62">
        <f>INPUT_PRODUCT!B5</f>
        <v/>
      </c>
      <c r="E74" s="62">
        <f>INPUT_PRODUCT!B7</f>
        <v/>
      </c>
      <c r="F74" s="62">
        <f>IF(PRODUCT_CALCULATION!B74="SI";PRODUCT_CALCULATION!C74;"")</f>
        <v/>
      </c>
      <c r="G74" s="63">
        <f>IF(PRODUCT_CALCULATION!B74="SI";PRODUCT_CALCULATION!E74;"")</f>
        <v/>
      </c>
      <c r="H74" s="63">
        <f>IF(PRODUCT_CALCULATION!B74="SI";PRODUCT_CALCULATION!F74;"")</f>
        <v/>
      </c>
      <c r="I74" s="62">
        <f>IF(PRODUCT_CALCULATION!B74="SI";PRODUCT_CALCULATION!G74;"")</f>
        <v/>
      </c>
      <c r="J74" s="0">
        <f>IF(PRODUCT_CALCULATION!B74="SI";PRODUCT_CALCULATION!S74;"")</f>
        <v/>
      </c>
      <c r="K74" s="0">
        <f>IF(PRODUCT_CALCULATION!B74="SI";PRODUCT_CALCULATION!K74;"")</f>
        <v/>
      </c>
      <c r="L74" s="0">
        <f>IF(PRODUCT_CALCULATION!B74="SI";CEILING(PRODUCT_CALCULATION!F74/PRODUCT_CALCULATION!K74;1);"")</f>
        <v/>
      </c>
      <c r="M74" s="0">
        <f>IF(PRODUCT_CALCULATION!B74="SI";INDEX(PRODUCT!A:A;MATCH(PRODUCT_CALCULATION!C74;PRODUCT!B:B;0));"")</f>
        <v/>
      </c>
      <c r="N74" s="0">
        <f>IF(PRODUCT_CALCULATION!B74="SI";PRODUCT_CALCULATION!Y74;"")</f>
        <v/>
      </c>
    </row>
    <row r="75" ht="15.75" customHeight="1" s="125">
      <c r="A75" s="62">
        <f>INPUT_PRODUCT!B1</f>
        <v/>
      </c>
      <c r="B75" s="58">
        <f>INPUT_PRODUCT!B2</f>
        <v/>
      </c>
      <c r="C75" s="62">
        <f>INPUT_PRODUCT!B6</f>
        <v/>
      </c>
      <c r="D75" s="62">
        <f>INPUT_PRODUCT!B5</f>
        <v/>
      </c>
      <c r="E75" s="62">
        <f>INPUT_PRODUCT!B7</f>
        <v/>
      </c>
      <c r="F75" s="62">
        <f>IF(PRODUCT_CALCULATION!B75="SI";PRODUCT_CALCULATION!C75;"")</f>
        <v/>
      </c>
      <c r="G75" s="63">
        <f>IF(PRODUCT_CALCULATION!B75="SI";PRODUCT_CALCULATION!E75;"")</f>
        <v/>
      </c>
      <c r="H75" s="63">
        <f>IF(PRODUCT_CALCULATION!B75="SI";PRODUCT_CALCULATION!F75;"")</f>
        <v/>
      </c>
      <c r="I75" s="62">
        <f>IF(PRODUCT_CALCULATION!B75="SI";PRODUCT_CALCULATION!G75;"")</f>
        <v/>
      </c>
      <c r="J75" s="0">
        <f>IF(PRODUCT_CALCULATION!B75="SI";PRODUCT_CALCULATION!S75;"")</f>
        <v/>
      </c>
      <c r="K75" s="0">
        <f>IF(PRODUCT_CALCULATION!B75="SI";PRODUCT_CALCULATION!K75;"")</f>
        <v/>
      </c>
      <c r="L75" s="0">
        <f>IF(PRODUCT_CALCULATION!B75="SI";CEILING(PRODUCT_CALCULATION!F75/PRODUCT_CALCULATION!K75;1);"")</f>
        <v/>
      </c>
      <c r="M75" s="0">
        <f>IF(PRODUCT_CALCULATION!B75="SI";INDEX(PRODUCT!A:A;MATCH(PRODUCT_CALCULATION!C75;PRODUCT!B:B;0));"")</f>
        <v/>
      </c>
      <c r="N75" s="0">
        <f>IF(PRODUCT_CALCULATION!B75="SI";PRODUCT_CALCULATION!Y75;"")</f>
        <v/>
      </c>
    </row>
    <row r="76" ht="15.75" customHeight="1" s="125">
      <c r="A76" s="62">
        <f>INPUT_PRODUCT!B1</f>
        <v/>
      </c>
      <c r="B76" s="58">
        <f>INPUT_PRODUCT!B2</f>
        <v/>
      </c>
      <c r="C76" s="62">
        <f>INPUT_PRODUCT!B6</f>
        <v/>
      </c>
      <c r="D76" s="62">
        <f>INPUT_PRODUCT!B5</f>
        <v/>
      </c>
      <c r="E76" s="62">
        <f>INPUT_PRODUCT!B7</f>
        <v/>
      </c>
      <c r="F76" s="62">
        <f>IF(PRODUCT_CALCULATION!B76="SI";PRODUCT_CALCULATION!C76;"")</f>
        <v/>
      </c>
      <c r="G76" s="63">
        <f>IF(PRODUCT_CALCULATION!B76="SI";PRODUCT_CALCULATION!E76;"")</f>
        <v/>
      </c>
      <c r="H76" s="63">
        <f>IF(PRODUCT_CALCULATION!B76="SI";PRODUCT_CALCULATION!F76;"")</f>
        <v/>
      </c>
      <c r="I76" s="62">
        <f>IF(PRODUCT_CALCULATION!B76="SI";PRODUCT_CALCULATION!G76;"")</f>
        <v/>
      </c>
      <c r="J76" s="0">
        <f>IF(PRODUCT_CALCULATION!B76="SI";PRODUCT_CALCULATION!S76;"")</f>
        <v/>
      </c>
      <c r="K76" s="0">
        <f>IF(PRODUCT_CALCULATION!B76="SI";PRODUCT_CALCULATION!K76;"")</f>
        <v/>
      </c>
      <c r="L76" s="0">
        <f>IF(PRODUCT_CALCULATION!B76="SI";CEILING(PRODUCT_CALCULATION!F76/PRODUCT_CALCULATION!K76;1);"")</f>
        <v/>
      </c>
      <c r="M76" s="0">
        <f>IF(PRODUCT_CALCULATION!B76="SI";INDEX(PRODUCT!A:A;MATCH(PRODUCT_CALCULATION!C76;PRODUCT!B:B;0));"")</f>
        <v/>
      </c>
      <c r="N76" s="0">
        <f>IF(PRODUCT_CALCULATION!B76="SI";PRODUCT_CALCULATION!Y76;"")</f>
        <v/>
      </c>
    </row>
    <row r="77" ht="15.75" customHeight="1" s="125">
      <c r="A77" s="62">
        <f>INPUT_PRODUCT!B1</f>
        <v/>
      </c>
      <c r="B77" s="58">
        <f>INPUT_PRODUCT!B2</f>
        <v/>
      </c>
      <c r="C77" s="62">
        <f>INPUT_PRODUCT!B6</f>
        <v/>
      </c>
      <c r="D77" s="62">
        <f>INPUT_PRODUCT!B5</f>
        <v/>
      </c>
      <c r="E77" s="62">
        <f>INPUT_PRODUCT!B7</f>
        <v/>
      </c>
      <c r="F77" s="62">
        <f>IF(PRODUCT_CALCULATION!B77="SI";PRODUCT_CALCULATION!C77;"")</f>
        <v/>
      </c>
      <c r="G77" s="63">
        <f>IF(PRODUCT_CALCULATION!B77="SI";PRODUCT_CALCULATION!E77;"")</f>
        <v/>
      </c>
      <c r="H77" s="63">
        <f>IF(PRODUCT_CALCULATION!B77="SI";PRODUCT_CALCULATION!F77;"")</f>
        <v/>
      </c>
      <c r="I77" s="62">
        <f>IF(PRODUCT_CALCULATION!B77="SI";PRODUCT_CALCULATION!G77;"")</f>
        <v/>
      </c>
      <c r="J77" s="0">
        <f>IF(PRODUCT_CALCULATION!B77="SI";PRODUCT_CALCULATION!S77;"")</f>
        <v/>
      </c>
      <c r="K77" s="0">
        <f>IF(PRODUCT_CALCULATION!B77="SI";PRODUCT_CALCULATION!K77;"")</f>
        <v/>
      </c>
      <c r="L77" s="0">
        <f>IF(PRODUCT_CALCULATION!B77="SI";CEILING(PRODUCT_CALCULATION!F77/PRODUCT_CALCULATION!K77;1);"")</f>
        <v/>
      </c>
      <c r="M77" s="0">
        <f>IF(PRODUCT_CALCULATION!B77="SI";INDEX(PRODUCT!A:A;MATCH(PRODUCT_CALCULATION!C77;PRODUCT!B:B;0));"")</f>
        <v/>
      </c>
      <c r="N77" s="0">
        <f>IF(PRODUCT_CALCULATION!B77="SI";PRODUCT_CALCULATION!Y77;"")</f>
        <v/>
      </c>
    </row>
    <row r="78" ht="15.75" customHeight="1" s="125">
      <c r="A78" s="62">
        <f>INPUT_PRODUCT!B1</f>
        <v/>
      </c>
      <c r="B78" s="58">
        <f>INPUT_PRODUCT!B2</f>
        <v/>
      </c>
      <c r="C78" s="62">
        <f>INPUT_PRODUCT!B6</f>
        <v/>
      </c>
      <c r="D78" s="62">
        <f>INPUT_PRODUCT!B5</f>
        <v/>
      </c>
      <c r="E78" s="62">
        <f>INPUT_PRODUCT!B7</f>
        <v/>
      </c>
      <c r="F78" s="62">
        <f>IF(PRODUCT_CALCULATION!B78="SI";PRODUCT_CALCULATION!C78;"")</f>
        <v/>
      </c>
      <c r="G78" s="63">
        <f>IF(PRODUCT_CALCULATION!B78="SI";PRODUCT_CALCULATION!E78;"")</f>
        <v/>
      </c>
      <c r="H78" s="63">
        <f>IF(PRODUCT_CALCULATION!B78="SI";PRODUCT_CALCULATION!F78;"")</f>
        <v/>
      </c>
      <c r="I78" s="62">
        <f>IF(PRODUCT_CALCULATION!B78="SI";PRODUCT_CALCULATION!G78;"")</f>
        <v/>
      </c>
      <c r="J78" s="0">
        <f>IF(PRODUCT_CALCULATION!B78="SI";PRODUCT_CALCULATION!S78;"")</f>
        <v/>
      </c>
      <c r="K78" s="0">
        <f>IF(PRODUCT_CALCULATION!B78="SI";PRODUCT_CALCULATION!K78;"")</f>
        <v/>
      </c>
      <c r="L78" s="0">
        <f>IF(PRODUCT_CALCULATION!B78="SI";CEILING(PRODUCT_CALCULATION!F78/PRODUCT_CALCULATION!K78;1);"")</f>
        <v/>
      </c>
      <c r="M78" s="0">
        <f>IF(PRODUCT_CALCULATION!B78="SI";INDEX(PRODUCT!A:A;MATCH(PRODUCT_CALCULATION!C78;PRODUCT!B:B;0));"")</f>
        <v/>
      </c>
      <c r="N78" s="0">
        <f>IF(PRODUCT_CALCULATION!B78="SI";PRODUCT_CALCULATION!Y78;"")</f>
        <v/>
      </c>
    </row>
    <row r="79" ht="15.75" customHeight="1" s="125">
      <c r="A79" s="62">
        <f>INPUT_PRODUCT!B1</f>
        <v/>
      </c>
      <c r="B79" s="58">
        <f>INPUT_PRODUCT!B2</f>
        <v/>
      </c>
      <c r="C79" s="62">
        <f>INPUT_PRODUCT!B6</f>
        <v/>
      </c>
      <c r="D79" s="62">
        <f>INPUT_PRODUCT!B5</f>
        <v/>
      </c>
      <c r="E79" s="62">
        <f>INPUT_PRODUCT!B7</f>
        <v/>
      </c>
      <c r="F79" s="62">
        <f>IF(PRODUCT_CALCULATION!B79="SI";PRODUCT_CALCULATION!C79;"")</f>
        <v/>
      </c>
      <c r="G79" s="63">
        <f>IF(PRODUCT_CALCULATION!B79="SI";PRODUCT_CALCULATION!E79;"")</f>
        <v/>
      </c>
      <c r="H79" s="63">
        <f>IF(PRODUCT_CALCULATION!B79="SI";PRODUCT_CALCULATION!F79;"")</f>
        <v/>
      </c>
      <c r="I79" s="62">
        <f>IF(PRODUCT_CALCULATION!B79="SI";PRODUCT_CALCULATION!G79;"")</f>
        <v/>
      </c>
      <c r="J79" s="0">
        <f>IF(PRODUCT_CALCULATION!B79="SI";PRODUCT_CALCULATION!S79;"")</f>
        <v/>
      </c>
      <c r="K79" s="0">
        <f>IF(PRODUCT_CALCULATION!B79="SI";PRODUCT_CALCULATION!K79;"")</f>
        <v/>
      </c>
      <c r="L79" s="0">
        <f>IF(PRODUCT_CALCULATION!B79="SI";CEILING(PRODUCT_CALCULATION!F79/PRODUCT_CALCULATION!K79;1);"")</f>
        <v/>
      </c>
      <c r="M79" s="0">
        <f>IF(PRODUCT_CALCULATION!B79="SI";INDEX(PRODUCT!A:A;MATCH(PRODUCT_CALCULATION!C79;PRODUCT!B:B;0));"")</f>
        <v/>
      </c>
      <c r="N79" s="0">
        <f>IF(PRODUCT_CALCULATION!B79="SI";PRODUCT_CALCULATION!Y79;"")</f>
        <v/>
      </c>
    </row>
    <row r="80" ht="15.75" customHeight="1" s="125">
      <c r="A80" s="62">
        <f>INPUT_PRODUCT!B1</f>
        <v/>
      </c>
      <c r="B80" s="58">
        <f>INPUT_PRODUCT!B2</f>
        <v/>
      </c>
      <c r="C80" s="62">
        <f>INPUT_PRODUCT!B6</f>
        <v/>
      </c>
      <c r="D80" s="62">
        <f>INPUT_PRODUCT!B5</f>
        <v/>
      </c>
      <c r="E80" s="62">
        <f>INPUT_PRODUCT!B7</f>
        <v/>
      </c>
      <c r="F80" s="62">
        <f>IF(PRODUCT_CALCULATION!B80="SI";PRODUCT_CALCULATION!C80;"")</f>
        <v/>
      </c>
      <c r="G80" s="63">
        <f>IF(PRODUCT_CALCULATION!B80="SI";PRODUCT_CALCULATION!E80;"")</f>
        <v/>
      </c>
      <c r="H80" s="63">
        <f>IF(PRODUCT_CALCULATION!B80="SI";PRODUCT_CALCULATION!F80;"")</f>
        <v/>
      </c>
      <c r="I80" s="62">
        <f>IF(PRODUCT_CALCULATION!B80="SI";PRODUCT_CALCULATION!G80;"")</f>
        <v/>
      </c>
      <c r="J80" s="0">
        <f>IF(PRODUCT_CALCULATION!B80="SI";PRODUCT_CALCULATION!S80;"")</f>
        <v/>
      </c>
      <c r="K80" s="0">
        <f>IF(PRODUCT_CALCULATION!B80="SI";PRODUCT_CALCULATION!K80;"")</f>
        <v/>
      </c>
      <c r="L80" s="0">
        <f>IF(PRODUCT_CALCULATION!B80="SI";CEILING(PRODUCT_CALCULATION!F80/PRODUCT_CALCULATION!K80;1);"")</f>
        <v/>
      </c>
      <c r="M80" s="0">
        <f>IF(PRODUCT_CALCULATION!B80="SI";INDEX(PRODUCT!A:A;MATCH(PRODUCT_CALCULATION!C80;PRODUCT!B:B;0));"")</f>
        <v/>
      </c>
      <c r="N80" s="0">
        <f>IF(PRODUCT_CALCULATION!B80="SI";PRODUCT_CALCULATION!Y80;"")</f>
        <v/>
      </c>
    </row>
    <row r="81" ht="15.75" customHeight="1" s="125">
      <c r="A81" s="62">
        <f>INPUT_PRODUCT!B1</f>
        <v/>
      </c>
      <c r="B81" s="58">
        <f>INPUT_PRODUCT!B2</f>
        <v/>
      </c>
      <c r="C81" s="62">
        <f>INPUT_PRODUCT!B6</f>
        <v/>
      </c>
      <c r="D81" s="62">
        <f>INPUT_PRODUCT!B5</f>
        <v/>
      </c>
      <c r="E81" s="62">
        <f>INPUT_PRODUCT!B7</f>
        <v/>
      </c>
      <c r="F81" s="62">
        <f>IF(PRODUCT_CALCULATION!B81="SI";PRODUCT_CALCULATION!C81;"")</f>
        <v/>
      </c>
      <c r="G81" s="63">
        <f>IF(PRODUCT_CALCULATION!B81="SI";PRODUCT_CALCULATION!E81;"")</f>
        <v/>
      </c>
      <c r="H81" s="63">
        <f>IF(PRODUCT_CALCULATION!B81="SI";PRODUCT_CALCULATION!F81;"")</f>
        <v/>
      </c>
      <c r="I81" s="62">
        <f>IF(PRODUCT_CALCULATION!B81="SI";PRODUCT_CALCULATION!G81;"")</f>
        <v/>
      </c>
      <c r="J81" s="0">
        <f>IF(PRODUCT_CALCULATION!B81="SI";PRODUCT_CALCULATION!S81;"")</f>
        <v/>
      </c>
      <c r="K81" s="0">
        <f>IF(PRODUCT_CALCULATION!B81="SI";PRODUCT_CALCULATION!K81;"")</f>
        <v/>
      </c>
      <c r="L81" s="0">
        <f>IF(PRODUCT_CALCULATION!B81="SI";CEILING(PRODUCT_CALCULATION!F81/PRODUCT_CALCULATION!K81;1);"")</f>
        <v/>
      </c>
      <c r="M81" s="0">
        <f>IF(PRODUCT_CALCULATION!B81="SI";INDEX(PRODUCT!A:A;MATCH(PRODUCT_CALCULATION!C81;PRODUCT!B:B;0));"")</f>
        <v/>
      </c>
      <c r="N81" s="0">
        <f>IF(PRODUCT_CALCULATION!B81="SI";PRODUCT_CALCULATION!Y81;"")</f>
        <v/>
      </c>
    </row>
    <row r="82" ht="15.75" customHeight="1" s="125">
      <c r="A82" s="62">
        <f>INPUT_PRODUCT!B1</f>
        <v/>
      </c>
      <c r="B82" s="58">
        <f>INPUT_PRODUCT!B2</f>
        <v/>
      </c>
      <c r="C82" s="62">
        <f>INPUT_PRODUCT!B6</f>
        <v/>
      </c>
      <c r="D82" s="62">
        <f>INPUT_PRODUCT!B5</f>
        <v/>
      </c>
      <c r="E82" s="62">
        <f>INPUT_PRODUCT!B7</f>
        <v/>
      </c>
      <c r="F82" s="62">
        <f>IF(PRODUCT_CALCULATION!B82="SI";PRODUCT_CALCULATION!C82;"")</f>
        <v/>
      </c>
      <c r="G82" s="63">
        <f>IF(PRODUCT_CALCULATION!B82="SI";PRODUCT_CALCULATION!E82;"")</f>
        <v/>
      </c>
      <c r="H82" s="63">
        <f>IF(PRODUCT_CALCULATION!B82="SI";PRODUCT_CALCULATION!F82;"")</f>
        <v/>
      </c>
      <c r="I82" s="62">
        <f>IF(PRODUCT_CALCULATION!B82="SI";PRODUCT_CALCULATION!G82;"")</f>
        <v/>
      </c>
      <c r="J82" s="0">
        <f>IF(PRODUCT_CALCULATION!B82="SI";PRODUCT_CALCULATION!S82;"")</f>
        <v/>
      </c>
      <c r="K82" s="0">
        <f>IF(PRODUCT_CALCULATION!B82="SI";PRODUCT_CALCULATION!K82;"")</f>
        <v/>
      </c>
      <c r="L82" s="0">
        <f>IF(PRODUCT_CALCULATION!B82="SI";CEILING(PRODUCT_CALCULATION!F82/PRODUCT_CALCULATION!K82;1);"")</f>
        <v/>
      </c>
      <c r="M82" s="0">
        <f>IF(PRODUCT_CALCULATION!B82="SI";INDEX(PRODUCT!A:A;MATCH(PRODUCT_CALCULATION!C82;PRODUCT!B:B;0));"")</f>
        <v/>
      </c>
      <c r="N82" s="0">
        <f>IF(PRODUCT_CALCULATION!B82="SI";PRODUCT_CALCULATION!Y82;"")</f>
        <v/>
      </c>
    </row>
    <row r="83" ht="15.75" customHeight="1" s="125">
      <c r="A83" s="62">
        <f>INPUT_PRODUCT!B1</f>
        <v/>
      </c>
      <c r="B83" s="58">
        <f>INPUT_PRODUCT!B2</f>
        <v/>
      </c>
      <c r="C83" s="62">
        <f>INPUT_PRODUCT!B6</f>
        <v/>
      </c>
      <c r="D83" s="62">
        <f>INPUT_PRODUCT!B5</f>
        <v/>
      </c>
      <c r="E83" s="62">
        <f>INPUT_PRODUCT!B7</f>
        <v/>
      </c>
      <c r="F83" s="62">
        <f>IF(PRODUCT_CALCULATION!B83="SI";PRODUCT_CALCULATION!C83;"")</f>
        <v/>
      </c>
      <c r="G83" s="63">
        <f>IF(PRODUCT_CALCULATION!B83="SI";PRODUCT_CALCULATION!E83;"")</f>
        <v/>
      </c>
      <c r="H83" s="63">
        <f>IF(PRODUCT_CALCULATION!B83="SI";PRODUCT_CALCULATION!F83;"")</f>
        <v/>
      </c>
      <c r="I83" s="62">
        <f>IF(PRODUCT_CALCULATION!B83="SI";PRODUCT_CALCULATION!G83;"")</f>
        <v/>
      </c>
      <c r="J83" s="0">
        <f>IF(PRODUCT_CALCULATION!B83="SI";PRODUCT_CALCULATION!S83;"")</f>
        <v/>
      </c>
      <c r="K83" s="0">
        <f>IF(PRODUCT_CALCULATION!B83="SI";PRODUCT_CALCULATION!K83;"")</f>
        <v/>
      </c>
      <c r="L83" s="0">
        <f>IF(PRODUCT_CALCULATION!B83="SI";CEILING(PRODUCT_CALCULATION!F83/PRODUCT_CALCULATION!K83;1);"")</f>
        <v/>
      </c>
      <c r="M83" s="0">
        <f>IF(PRODUCT_CALCULATION!B83="SI";INDEX(PRODUCT!A:A;MATCH(PRODUCT_CALCULATION!C83;PRODUCT!B:B;0));"")</f>
        <v/>
      </c>
      <c r="N83" s="0">
        <f>IF(PRODUCT_CALCULATION!B83="SI";PRODUCT_CALCULATION!Y83;"")</f>
        <v/>
      </c>
    </row>
    <row r="84" ht="15.75" customHeight="1" s="125">
      <c r="A84" s="62">
        <f>INPUT_PRODUCT!B1</f>
        <v/>
      </c>
      <c r="B84" s="58">
        <f>INPUT_PRODUCT!B2</f>
        <v/>
      </c>
      <c r="C84" s="62">
        <f>INPUT_PRODUCT!B6</f>
        <v/>
      </c>
      <c r="D84" s="62">
        <f>INPUT_PRODUCT!B5</f>
        <v/>
      </c>
      <c r="E84" s="62">
        <f>INPUT_PRODUCT!B7</f>
        <v/>
      </c>
      <c r="F84" s="62">
        <f>IF(PRODUCT_CALCULATION!B84="SI";PRODUCT_CALCULATION!C84;"")</f>
        <v/>
      </c>
      <c r="G84" s="63">
        <f>IF(PRODUCT_CALCULATION!B84="SI";PRODUCT_CALCULATION!E84;"")</f>
        <v/>
      </c>
      <c r="H84" s="63">
        <f>IF(PRODUCT_CALCULATION!B84="SI";PRODUCT_CALCULATION!F84;"")</f>
        <v/>
      </c>
      <c r="I84" s="62">
        <f>IF(PRODUCT_CALCULATION!B84="SI";PRODUCT_CALCULATION!G84;"")</f>
        <v/>
      </c>
      <c r="J84" s="0">
        <f>IF(PRODUCT_CALCULATION!B84="SI";PRODUCT_CALCULATION!S84;"")</f>
        <v/>
      </c>
      <c r="K84" s="0">
        <f>IF(PRODUCT_CALCULATION!B84="SI";PRODUCT_CALCULATION!K84;"")</f>
        <v/>
      </c>
      <c r="L84" s="0">
        <f>IF(PRODUCT_CALCULATION!B84="SI";CEILING(PRODUCT_CALCULATION!F84/PRODUCT_CALCULATION!K84;1);"")</f>
        <v/>
      </c>
      <c r="M84" s="0">
        <f>IF(PRODUCT_CALCULATION!B84="SI";INDEX(PRODUCT!A:A;MATCH(PRODUCT_CALCULATION!C84;PRODUCT!B:B;0));"")</f>
        <v/>
      </c>
      <c r="N84" s="0">
        <f>IF(PRODUCT_CALCULATION!B84="SI";PRODUCT_CALCULATION!Y84;"")</f>
        <v/>
      </c>
    </row>
    <row r="85" ht="15.75" customHeight="1" s="125">
      <c r="A85" s="62">
        <f>INPUT_PRODUCT!B1</f>
        <v/>
      </c>
      <c r="B85" s="58">
        <f>INPUT_PRODUCT!B2</f>
        <v/>
      </c>
      <c r="C85" s="62">
        <f>INPUT_PRODUCT!B6</f>
        <v/>
      </c>
      <c r="D85" s="62">
        <f>INPUT_PRODUCT!B5</f>
        <v/>
      </c>
      <c r="E85" s="62">
        <f>INPUT_PRODUCT!B7</f>
        <v/>
      </c>
      <c r="F85" s="62">
        <f>IF(PRODUCT_CALCULATION!B85="SI";PRODUCT_CALCULATION!C85;"")</f>
        <v/>
      </c>
      <c r="G85" s="63">
        <f>IF(PRODUCT_CALCULATION!B85="SI";PRODUCT_CALCULATION!E85;"")</f>
        <v/>
      </c>
      <c r="H85" s="63">
        <f>IF(PRODUCT_CALCULATION!B85="SI";PRODUCT_CALCULATION!F85;"")</f>
        <v/>
      </c>
      <c r="I85" s="62">
        <f>IF(PRODUCT_CALCULATION!B85="SI";PRODUCT_CALCULATION!G85;"")</f>
        <v/>
      </c>
      <c r="J85" s="0">
        <f>IF(PRODUCT_CALCULATION!B85="SI";PRODUCT_CALCULATION!S85;"")</f>
        <v/>
      </c>
      <c r="K85" s="0">
        <f>IF(PRODUCT_CALCULATION!B85="SI";PRODUCT_CALCULATION!K85;"")</f>
        <v/>
      </c>
      <c r="L85" s="0">
        <f>IF(PRODUCT_CALCULATION!B85="SI";CEILING(PRODUCT_CALCULATION!F85/PRODUCT_CALCULATION!K85;1);"")</f>
        <v/>
      </c>
      <c r="M85" s="0">
        <f>IF(PRODUCT_CALCULATION!B85="SI";INDEX(PRODUCT!A:A;MATCH(PRODUCT_CALCULATION!C85;PRODUCT!B:B;0));"")</f>
        <v/>
      </c>
      <c r="N85" s="0">
        <f>IF(PRODUCT_CALCULATION!B85="SI";PRODUCT_CALCULATION!Y85;"")</f>
        <v/>
      </c>
    </row>
    <row r="86" ht="15.75" customHeight="1" s="125">
      <c r="A86" s="62">
        <f>INPUT_PRODUCT!B1</f>
        <v/>
      </c>
      <c r="B86" s="58">
        <f>INPUT_PRODUCT!B2</f>
        <v/>
      </c>
      <c r="C86" s="62">
        <f>INPUT_PRODUCT!B6</f>
        <v/>
      </c>
      <c r="D86" s="62">
        <f>INPUT_PRODUCT!B5</f>
        <v/>
      </c>
      <c r="E86" s="62">
        <f>INPUT_PRODUCT!B7</f>
        <v/>
      </c>
      <c r="F86" s="62">
        <f>IF(PRODUCT_CALCULATION!B86="SI";PRODUCT_CALCULATION!C86;"")</f>
        <v/>
      </c>
      <c r="G86" s="63">
        <f>IF(PRODUCT_CALCULATION!B86="SI";PRODUCT_CALCULATION!E86;"")</f>
        <v/>
      </c>
      <c r="H86" s="63">
        <f>IF(PRODUCT_CALCULATION!B86="SI";PRODUCT_CALCULATION!F86;"")</f>
        <v/>
      </c>
      <c r="I86" s="62">
        <f>IF(PRODUCT_CALCULATION!B86="SI";PRODUCT_CALCULATION!G86;"")</f>
        <v/>
      </c>
      <c r="J86" s="0">
        <f>IF(PRODUCT_CALCULATION!B86="SI";PRODUCT_CALCULATION!S86;"")</f>
        <v/>
      </c>
      <c r="K86" s="0">
        <f>IF(PRODUCT_CALCULATION!B86="SI";PRODUCT_CALCULATION!K86;"")</f>
        <v/>
      </c>
      <c r="L86" s="0">
        <f>IF(PRODUCT_CALCULATION!B86="SI";CEILING(PRODUCT_CALCULATION!F86/PRODUCT_CALCULATION!K86;1);"")</f>
        <v/>
      </c>
      <c r="M86" s="0">
        <f>IF(PRODUCT_CALCULATION!B86="SI";INDEX(PRODUCT!A:A;MATCH(PRODUCT_CALCULATION!C86;PRODUCT!B:B;0));"")</f>
        <v/>
      </c>
      <c r="N86" s="0">
        <f>IF(PRODUCT_CALCULATION!B86="SI";PRODUCT_CALCULATION!Y86;"")</f>
        <v/>
      </c>
    </row>
    <row r="87" ht="15.75" customHeight="1" s="125">
      <c r="A87" s="62">
        <f>INPUT_PRODUCT!B1</f>
        <v/>
      </c>
      <c r="B87" s="58">
        <f>INPUT_PRODUCT!B2</f>
        <v/>
      </c>
      <c r="C87" s="62">
        <f>INPUT_PRODUCT!B6</f>
        <v/>
      </c>
      <c r="D87" s="62">
        <f>INPUT_PRODUCT!B5</f>
        <v/>
      </c>
      <c r="E87" s="62">
        <f>INPUT_PRODUCT!B7</f>
        <v/>
      </c>
      <c r="F87" s="62">
        <f>IF(PRODUCT_CALCULATION!B87="SI";PRODUCT_CALCULATION!C87;"")</f>
        <v/>
      </c>
      <c r="G87" s="63">
        <f>IF(PRODUCT_CALCULATION!B87="SI";PRODUCT_CALCULATION!E87;"")</f>
        <v/>
      </c>
      <c r="H87" s="63">
        <f>IF(PRODUCT_CALCULATION!B87="SI";PRODUCT_CALCULATION!F87;"")</f>
        <v/>
      </c>
      <c r="I87" s="62">
        <f>IF(PRODUCT_CALCULATION!B87="SI";PRODUCT_CALCULATION!G87;"")</f>
        <v/>
      </c>
      <c r="J87" s="0">
        <f>IF(PRODUCT_CALCULATION!B87="SI";PRODUCT_CALCULATION!S87;"")</f>
        <v/>
      </c>
      <c r="K87" s="0">
        <f>IF(PRODUCT_CALCULATION!B87="SI";PRODUCT_CALCULATION!K87;"")</f>
        <v/>
      </c>
      <c r="L87" s="0">
        <f>IF(PRODUCT_CALCULATION!B87="SI";CEILING(PRODUCT_CALCULATION!F87/PRODUCT_CALCULATION!K87;1);"")</f>
        <v/>
      </c>
      <c r="M87" s="0">
        <f>IF(PRODUCT_CALCULATION!B87="SI";INDEX(PRODUCT!A:A;MATCH(PRODUCT_CALCULATION!C87;PRODUCT!B:B;0));"")</f>
        <v/>
      </c>
      <c r="N87" s="0">
        <f>IF(PRODUCT_CALCULATION!B87="SI";PRODUCT_CALCULATION!Y87;"")</f>
        <v/>
      </c>
    </row>
    <row r="88" ht="15.75" customHeight="1" s="125">
      <c r="A88" s="62">
        <f>INPUT_PRODUCT!B1</f>
        <v/>
      </c>
      <c r="B88" s="58">
        <f>INPUT_PRODUCT!B2</f>
        <v/>
      </c>
      <c r="C88" s="62">
        <f>INPUT_PRODUCT!B6</f>
        <v/>
      </c>
      <c r="D88" s="62">
        <f>INPUT_PRODUCT!B5</f>
        <v/>
      </c>
      <c r="E88" s="62">
        <f>INPUT_PRODUCT!B7</f>
        <v/>
      </c>
      <c r="F88" s="62">
        <f>IF(PRODUCT_CALCULATION!B88="SI";PRODUCT_CALCULATION!C88;"")</f>
        <v/>
      </c>
      <c r="G88" s="63">
        <f>IF(PRODUCT_CALCULATION!B88="SI";PRODUCT_CALCULATION!E88;"")</f>
        <v/>
      </c>
      <c r="H88" s="63">
        <f>IF(PRODUCT_CALCULATION!B88="SI";PRODUCT_CALCULATION!F88;"")</f>
        <v/>
      </c>
      <c r="I88" s="62">
        <f>IF(PRODUCT_CALCULATION!B88="SI";PRODUCT_CALCULATION!G88;"")</f>
        <v/>
      </c>
      <c r="J88" s="0">
        <f>IF(PRODUCT_CALCULATION!B88="SI";PRODUCT_CALCULATION!S88;"")</f>
        <v/>
      </c>
      <c r="K88" s="0">
        <f>IF(PRODUCT_CALCULATION!B88="SI";PRODUCT_CALCULATION!K88;"")</f>
        <v/>
      </c>
      <c r="L88" s="0">
        <f>IF(PRODUCT_CALCULATION!B88="SI";CEILING(PRODUCT_CALCULATION!F88/PRODUCT_CALCULATION!K88;1);"")</f>
        <v/>
      </c>
      <c r="M88" s="0">
        <f>IF(PRODUCT_CALCULATION!B88="SI";INDEX(PRODUCT!A:A;MATCH(PRODUCT_CALCULATION!C88;PRODUCT!B:B;0));"")</f>
        <v/>
      </c>
      <c r="N88" s="0">
        <f>IF(PRODUCT_CALCULATION!B88="SI";PRODUCT_CALCULATION!Y88;"")</f>
        <v/>
      </c>
    </row>
    <row r="89" ht="15.75" customHeight="1" s="125">
      <c r="A89" s="62">
        <f>INPUT_PRODUCT!B1</f>
        <v/>
      </c>
      <c r="B89" s="58">
        <f>INPUT_PRODUCT!B2</f>
        <v/>
      </c>
      <c r="C89" s="62">
        <f>INPUT_PRODUCT!B6</f>
        <v/>
      </c>
      <c r="D89" s="62">
        <f>INPUT_PRODUCT!B5</f>
        <v/>
      </c>
      <c r="E89" s="62">
        <f>INPUT_PRODUCT!B7</f>
        <v/>
      </c>
      <c r="F89" s="62">
        <f>IF(PRODUCT_CALCULATION!B89="SI";PRODUCT_CALCULATION!C89;"")</f>
        <v/>
      </c>
      <c r="G89" s="63">
        <f>IF(PRODUCT_CALCULATION!B89="SI";PRODUCT_CALCULATION!E89;"")</f>
        <v/>
      </c>
      <c r="H89" s="63">
        <f>IF(PRODUCT_CALCULATION!B89="SI";PRODUCT_CALCULATION!F89;"")</f>
        <v/>
      </c>
      <c r="I89" s="62">
        <f>IF(PRODUCT_CALCULATION!B89="SI";PRODUCT_CALCULATION!G89;"")</f>
        <v/>
      </c>
      <c r="J89" s="0">
        <f>IF(PRODUCT_CALCULATION!B89="SI";PRODUCT_CALCULATION!S89;"")</f>
        <v/>
      </c>
      <c r="K89" s="0">
        <f>IF(PRODUCT_CALCULATION!B89="SI";PRODUCT_CALCULATION!K89;"")</f>
        <v/>
      </c>
      <c r="L89" s="0">
        <f>IF(PRODUCT_CALCULATION!B89="SI";CEILING(PRODUCT_CALCULATION!F89/PRODUCT_CALCULATION!K89;1);"")</f>
        <v/>
      </c>
      <c r="M89" s="0">
        <f>IF(PRODUCT_CALCULATION!B89="SI";INDEX(PRODUCT!A:A;MATCH(PRODUCT_CALCULATION!C89;PRODUCT!B:B;0));"")</f>
        <v/>
      </c>
      <c r="N89" s="0">
        <f>IF(PRODUCT_CALCULATION!B89="SI";PRODUCT_CALCULATION!Y89;"")</f>
        <v/>
      </c>
    </row>
    <row r="90" ht="15.75" customHeight="1" s="125">
      <c r="A90" s="62">
        <f>INPUT_PRODUCT!B1</f>
        <v/>
      </c>
      <c r="B90" s="58">
        <f>INPUT_PRODUCT!B2</f>
        <v/>
      </c>
      <c r="C90" s="62">
        <f>INPUT_PRODUCT!B6</f>
        <v/>
      </c>
      <c r="D90" s="62">
        <f>INPUT_PRODUCT!B5</f>
        <v/>
      </c>
      <c r="E90" s="62">
        <f>INPUT_PRODUCT!B7</f>
        <v/>
      </c>
      <c r="F90" s="62">
        <f>IF(PRODUCT_CALCULATION!B90="SI";PRODUCT_CALCULATION!C90;"")</f>
        <v/>
      </c>
      <c r="G90" s="63">
        <f>IF(PRODUCT_CALCULATION!B90="SI";PRODUCT_CALCULATION!E90;"")</f>
        <v/>
      </c>
      <c r="H90" s="63">
        <f>IF(PRODUCT_CALCULATION!B90="SI";PRODUCT_CALCULATION!F90;"")</f>
        <v/>
      </c>
      <c r="I90" s="62">
        <f>IF(PRODUCT_CALCULATION!B90="SI";PRODUCT_CALCULATION!G90;"")</f>
        <v/>
      </c>
      <c r="J90" s="0">
        <f>IF(PRODUCT_CALCULATION!B90="SI";PRODUCT_CALCULATION!S90;"")</f>
        <v/>
      </c>
      <c r="K90" s="0">
        <f>IF(PRODUCT_CALCULATION!B90="SI";PRODUCT_CALCULATION!K90;"")</f>
        <v/>
      </c>
      <c r="L90" s="0">
        <f>IF(PRODUCT_CALCULATION!B90="SI";CEILING(PRODUCT_CALCULATION!F90/PRODUCT_CALCULATION!K90;1);"")</f>
        <v/>
      </c>
      <c r="M90" s="0">
        <f>IF(PRODUCT_CALCULATION!B90="SI";INDEX(PRODUCT!A:A;MATCH(PRODUCT_CALCULATION!C90;PRODUCT!B:B;0));"")</f>
        <v/>
      </c>
      <c r="N90" s="0">
        <f>IF(PRODUCT_CALCULATION!B90="SI";PRODUCT_CALCULATION!Y90;"")</f>
        <v/>
      </c>
    </row>
    <row r="91" ht="15.75" customHeight="1" s="125">
      <c r="A91" s="62">
        <f>INPUT_PRODUCT!B1</f>
        <v/>
      </c>
      <c r="B91" s="58">
        <f>INPUT_PRODUCT!B2</f>
        <v/>
      </c>
      <c r="C91" s="62">
        <f>INPUT_PRODUCT!B6</f>
        <v/>
      </c>
      <c r="D91" s="62">
        <f>INPUT_PRODUCT!B5</f>
        <v/>
      </c>
      <c r="E91" s="62">
        <f>INPUT_PRODUCT!B7</f>
        <v/>
      </c>
      <c r="F91" s="62">
        <f>IF(PRODUCT_CALCULATION!B91="SI";PRODUCT_CALCULATION!C91;"")</f>
        <v/>
      </c>
      <c r="G91" s="63">
        <f>IF(PRODUCT_CALCULATION!B91="SI";PRODUCT_CALCULATION!E91;"")</f>
        <v/>
      </c>
      <c r="H91" s="63">
        <f>IF(PRODUCT_CALCULATION!B91="SI";PRODUCT_CALCULATION!F91;"")</f>
        <v/>
      </c>
      <c r="I91" s="62">
        <f>IF(PRODUCT_CALCULATION!B91="SI";PRODUCT_CALCULATION!G91;"")</f>
        <v/>
      </c>
      <c r="J91" s="0">
        <f>IF(PRODUCT_CALCULATION!B91="SI";PRODUCT_CALCULATION!S91;"")</f>
        <v/>
      </c>
      <c r="K91" s="0">
        <f>IF(PRODUCT_CALCULATION!B91="SI";PRODUCT_CALCULATION!K91;"")</f>
        <v/>
      </c>
      <c r="L91" s="0">
        <f>IF(PRODUCT_CALCULATION!B91="SI";CEILING(PRODUCT_CALCULATION!F91/PRODUCT_CALCULATION!K91;1);"")</f>
        <v/>
      </c>
      <c r="M91" s="0">
        <f>IF(PRODUCT_CALCULATION!B91="SI";INDEX(PRODUCT!A:A;MATCH(PRODUCT_CALCULATION!C91;PRODUCT!B:B;0));"")</f>
        <v/>
      </c>
      <c r="N91" s="0">
        <f>IF(PRODUCT_CALCULATION!B91="SI";PRODUCT_CALCULATION!Y91;"")</f>
        <v/>
      </c>
    </row>
    <row r="92" ht="15.75" customHeight="1" s="125">
      <c r="A92" s="62">
        <f>INPUT_PRODUCT!B1</f>
        <v/>
      </c>
      <c r="B92" s="58">
        <f>INPUT_PRODUCT!B2</f>
        <v/>
      </c>
      <c r="C92" s="62">
        <f>INPUT_PRODUCT!B6</f>
        <v/>
      </c>
      <c r="D92" s="62">
        <f>INPUT_PRODUCT!B5</f>
        <v/>
      </c>
      <c r="E92" s="62">
        <f>INPUT_PRODUCT!B7</f>
        <v/>
      </c>
      <c r="F92" s="62">
        <f>IF(PRODUCT_CALCULATION!B92="SI";PRODUCT_CALCULATION!C92;"")</f>
        <v/>
      </c>
      <c r="G92" s="63">
        <f>IF(PRODUCT_CALCULATION!B92="SI";PRODUCT_CALCULATION!E92;"")</f>
        <v/>
      </c>
      <c r="H92" s="63">
        <f>IF(PRODUCT_CALCULATION!B92="SI";PRODUCT_CALCULATION!F92;"")</f>
        <v/>
      </c>
      <c r="I92" s="62">
        <f>IF(PRODUCT_CALCULATION!B92="SI";PRODUCT_CALCULATION!G92;"")</f>
        <v/>
      </c>
      <c r="J92" s="0">
        <f>IF(PRODUCT_CALCULATION!B92="SI";PRODUCT_CALCULATION!S92;"")</f>
        <v/>
      </c>
      <c r="K92" s="0">
        <f>IF(PRODUCT_CALCULATION!B92="SI";PRODUCT_CALCULATION!K92;"")</f>
        <v/>
      </c>
      <c r="L92" s="0">
        <f>IF(PRODUCT_CALCULATION!B92="SI";CEILING(PRODUCT_CALCULATION!F92/PRODUCT_CALCULATION!K92;1);"")</f>
        <v/>
      </c>
      <c r="M92" s="0">
        <f>IF(PRODUCT_CALCULATION!B92="SI";INDEX(PRODUCT!A:A;MATCH(PRODUCT_CALCULATION!C92;PRODUCT!B:B;0));"")</f>
        <v/>
      </c>
      <c r="N92" s="0">
        <f>IF(PRODUCT_CALCULATION!B92="SI";PRODUCT_CALCULATION!Y92;"")</f>
        <v/>
      </c>
    </row>
    <row r="93" ht="15.75" customHeight="1" s="125">
      <c r="A93" s="62">
        <f>INPUT_PRODUCT!B1</f>
        <v/>
      </c>
      <c r="B93" s="58">
        <f>INPUT_PRODUCT!B2</f>
        <v/>
      </c>
      <c r="C93" s="62">
        <f>INPUT_PRODUCT!B6</f>
        <v/>
      </c>
      <c r="D93" s="62">
        <f>INPUT_PRODUCT!B5</f>
        <v/>
      </c>
      <c r="E93" s="62">
        <f>INPUT_PRODUCT!B7</f>
        <v/>
      </c>
      <c r="F93" s="62">
        <f>IF(PRODUCT_CALCULATION!B93="SI";PRODUCT_CALCULATION!C93;"")</f>
        <v/>
      </c>
      <c r="G93" s="63">
        <f>IF(PRODUCT_CALCULATION!B93="SI";PRODUCT_CALCULATION!E93;"")</f>
        <v/>
      </c>
      <c r="H93" s="63">
        <f>IF(PRODUCT_CALCULATION!B93="SI";PRODUCT_CALCULATION!F93;"")</f>
        <v/>
      </c>
      <c r="I93" s="62">
        <f>IF(PRODUCT_CALCULATION!B93="SI";PRODUCT_CALCULATION!G93;"")</f>
        <v/>
      </c>
      <c r="J93" s="0">
        <f>IF(PRODUCT_CALCULATION!B93="SI";PRODUCT_CALCULATION!S93;"")</f>
        <v/>
      </c>
      <c r="K93" s="0">
        <f>IF(PRODUCT_CALCULATION!B93="SI";PRODUCT_CALCULATION!K93;"")</f>
        <v/>
      </c>
      <c r="L93" s="0">
        <f>IF(PRODUCT_CALCULATION!B93="SI";CEILING(PRODUCT_CALCULATION!F93/PRODUCT_CALCULATION!K93;1);"")</f>
        <v/>
      </c>
      <c r="M93" s="0">
        <f>IF(PRODUCT_CALCULATION!B93="SI";INDEX(PRODUCT!A:A;MATCH(PRODUCT_CALCULATION!C93;PRODUCT!B:B;0));"")</f>
        <v/>
      </c>
      <c r="N93" s="0">
        <f>IF(PRODUCT_CALCULATION!B93="SI";PRODUCT_CALCULATION!Y93;"")</f>
        <v/>
      </c>
    </row>
    <row r="94" ht="15.75" customHeight="1" s="125">
      <c r="A94" s="62">
        <f>INPUT_PRODUCT!B1</f>
        <v/>
      </c>
      <c r="B94" s="58">
        <f>INPUT_PRODUCT!B2</f>
        <v/>
      </c>
      <c r="C94" s="62">
        <f>INPUT_PRODUCT!B6</f>
        <v/>
      </c>
      <c r="D94" s="62">
        <f>INPUT_PRODUCT!B5</f>
        <v/>
      </c>
      <c r="E94" s="62">
        <f>INPUT_PRODUCT!B7</f>
        <v/>
      </c>
      <c r="F94" s="62">
        <f>IF(PRODUCT_CALCULATION!B94="SI";PRODUCT_CALCULATION!C94;"")</f>
        <v/>
      </c>
      <c r="G94" s="63">
        <f>IF(PRODUCT_CALCULATION!B94="SI";PRODUCT_CALCULATION!E94;"")</f>
        <v/>
      </c>
      <c r="H94" s="63">
        <f>IF(PRODUCT_CALCULATION!B94="SI";PRODUCT_CALCULATION!F94;"")</f>
        <v/>
      </c>
      <c r="I94" s="62">
        <f>IF(PRODUCT_CALCULATION!B94="SI";PRODUCT_CALCULATION!G94;"")</f>
        <v/>
      </c>
      <c r="J94" s="0">
        <f>IF(PRODUCT_CALCULATION!B94="SI";PRODUCT_CALCULATION!S94;"")</f>
        <v/>
      </c>
      <c r="K94" s="0">
        <f>IF(PRODUCT_CALCULATION!B94="SI";PRODUCT_CALCULATION!K94;"")</f>
        <v/>
      </c>
      <c r="L94" s="0">
        <f>IF(PRODUCT_CALCULATION!B94="SI";CEILING(PRODUCT_CALCULATION!F94/PRODUCT_CALCULATION!K94;1);"")</f>
        <v/>
      </c>
      <c r="M94" s="0">
        <f>IF(PRODUCT_CALCULATION!B94="SI";INDEX(PRODUCT!A:A;MATCH(PRODUCT_CALCULATION!C94;PRODUCT!B:B;0));"")</f>
        <v/>
      </c>
      <c r="N94" s="0">
        <f>IF(PRODUCT_CALCULATION!B94="SI";PRODUCT_CALCULATION!Y94;"")</f>
        <v/>
      </c>
    </row>
    <row r="95" ht="15.75" customHeight="1" s="125">
      <c r="A95" s="62">
        <f>INPUT_PRODUCT!B1</f>
        <v/>
      </c>
      <c r="B95" s="58">
        <f>INPUT_PRODUCT!B2</f>
        <v/>
      </c>
      <c r="C95" s="62">
        <f>INPUT_PRODUCT!B6</f>
        <v/>
      </c>
      <c r="D95" s="62">
        <f>INPUT_PRODUCT!B5</f>
        <v/>
      </c>
      <c r="E95" s="62">
        <f>INPUT_PRODUCT!B7</f>
        <v/>
      </c>
      <c r="F95" s="62">
        <f>IF(PRODUCT_CALCULATION!B95="SI";PRODUCT_CALCULATION!C95;"")</f>
        <v/>
      </c>
      <c r="G95" s="63">
        <f>IF(PRODUCT_CALCULATION!B95="SI";PRODUCT_CALCULATION!E95;"")</f>
        <v/>
      </c>
      <c r="H95" s="63">
        <f>IF(PRODUCT_CALCULATION!B95="SI";PRODUCT_CALCULATION!F95;"")</f>
        <v/>
      </c>
      <c r="I95" s="62">
        <f>IF(PRODUCT_CALCULATION!B95="SI";PRODUCT_CALCULATION!G95;"")</f>
        <v/>
      </c>
      <c r="J95" s="0">
        <f>IF(PRODUCT_CALCULATION!B95="SI";PRODUCT_CALCULATION!S95;"")</f>
        <v/>
      </c>
      <c r="K95" s="0">
        <f>IF(PRODUCT_CALCULATION!B95="SI";PRODUCT_CALCULATION!K95;"")</f>
        <v/>
      </c>
      <c r="L95" s="0">
        <f>IF(PRODUCT_CALCULATION!B95="SI";CEILING(PRODUCT_CALCULATION!F95/PRODUCT_CALCULATION!K95;1);"")</f>
        <v/>
      </c>
      <c r="M95" s="0">
        <f>IF(PRODUCT_CALCULATION!B95="SI";INDEX(PRODUCT!A:A;MATCH(PRODUCT_CALCULATION!C95;PRODUCT!B:B;0));"")</f>
        <v/>
      </c>
      <c r="N95" s="0">
        <f>IF(PRODUCT_CALCULATION!B95="SI";PRODUCT_CALCULATION!Y95;"")</f>
        <v/>
      </c>
    </row>
    <row r="96" ht="15.75" customHeight="1" s="125">
      <c r="A96" s="62">
        <f>INPUT_PRODUCT!B1</f>
        <v/>
      </c>
      <c r="B96" s="58">
        <f>INPUT_PRODUCT!B2</f>
        <v/>
      </c>
      <c r="C96" s="62">
        <f>INPUT_PRODUCT!B6</f>
        <v/>
      </c>
      <c r="D96" s="62">
        <f>INPUT_PRODUCT!B5</f>
        <v/>
      </c>
      <c r="E96" s="62">
        <f>INPUT_PRODUCT!B7</f>
        <v/>
      </c>
      <c r="F96" s="62">
        <f>IF(PRODUCT_CALCULATION!B96="SI";PRODUCT_CALCULATION!C96;"")</f>
        <v/>
      </c>
      <c r="G96" s="63">
        <f>IF(PRODUCT_CALCULATION!B96="SI";PRODUCT_CALCULATION!E96;"")</f>
        <v/>
      </c>
      <c r="H96" s="63">
        <f>IF(PRODUCT_CALCULATION!B96="SI";PRODUCT_CALCULATION!F96;"")</f>
        <v/>
      </c>
      <c r="I96" s="62">
        <f>IF(PRODUCT_CALCULATION!B96="SI";PRODUCT_CALCULATION!G96;"")</f>
        <v/>
      </c>
      <c r="J96" s="0">
        <f>IF(PRODUCT_CALCULATION!B96="SI";PRODUCT_CALCULATION!S96;"")</f>
        <v/>
      </c>
      <c r="K96" s="0">
        <f>IF(PRODUCT_CALCULATION!B96="SI";PRODUCT_CALCULATION!K96;"")</f>
        <v/>
      </c>
      <c r="L96" s="0">
        <f>IF(PRODUCT_CALCULATION!B96="SI";CEILING(PRODUCT_CALCULATION!F96/PRODUCT_CALCULATION!K96;1);"")</f>
        <v/>
      </c>
      <c r="M96" s="0">
        <f>IF(PRODUCT_CALCULATION!B96="SI";INDEX(PRODUCT!A:A;MATCH(PRODUCT_CALCULATION!C96;PRODUCT!B:B;0));"")</f>
        <v/>
      </c>
      <c r="N96" s="0">
        <f>IF(PRODUCT_CALCULATION!B96="SI";PRODUCT_CALCULATION!Y96;"")</f>
        <v/>
      </c>
    </row>
    <row r="97" ht="15.75" customHeight="1" s="125">
      <c r="A97" s="62">
        <f>INPUT_PRODUCT!B1</f>
        <v/>
      </c>
      <c r="B97" s="58">
        <f>INPUT_PRODUCT!B2</f>
        <v/>
      </c>
      <c r="C97" s="62">
        <f>INPUT_PRODUCT!B6</f>
        <v/>
      </c>
      <c r="D97" s="62">
        <f>INPUT_PRODUCT!B5</f>
        <v/>
      </c>
      <c r="E97" s="62">
        <f>INPUT_PRODUCT!B7</f>
        <v/>
      </c>
      <c r="F97" s="62">
        <f>IF(PRODUCT_CALCULATION!B97="SI";PRODUCT_CALCULATION!C97;"")</f>
        <v/>
      </c>
      <c r="G97" s="63">
        <f>IF(PRODUCT_CALCULATION!B97="SI";PRODUCT_CALCULATION!E97;"")</f>
        <v/>
      </c>
      <c r="H97" s="63">
        <f>IF(PRODUCT_CALCULATION!B97="SI";PRODUCT_CALCULATION!F97;"")</f>
        <v/>
      </c>
      <c r="I97" s="62">
        <f>IF(PRODUCT_CALCULATION!B97="SI";PRODUCT_CALCULATION!G97;"")</f>
        <v/>
      </c>
      <c r="J97" s="0">
        <f>IF(PRODUCT_CALCULATION!B97="SI";PRODUCT_CALCULATION!S97;"")</f>
        <v/>
      </c>
      <c r="K97" s="0">
        <f>IF(PRODUCT_CALCULATION!B97="SI";PRODUCT_CALCULATION!K97;"")</f>
        <v/>
      </c>
      <c r="L97" s="0">
        <f>IF(PRODUCT_CALCULATION!B97="SI";CEILING(PRODUCT_CALCULATION!F97/PRODUCT_CALCULATION!K97;1);"")</f>
        <v/>
      </c>
      <c r="M97" s="0">
        <f>IF(PRODUCT_CALCULATION!B97="SI";INDEX(PRODUCT!A:A;MATCH(PRODUCT_CALCULATION!C97;PRODUCT!B:B;0));"")</f>
        <v/>
      </c>
      <c r="N97" s="0">
        <f>IF(PRODUCT_CALCULATION!B97="SI";PRODUCT_CALCULATION!Y97;"")</f>
        <v/>
      </c>
    </row>
    <row r="98" ht="15.75" customHeight="1" s="125">
      <c r="A98" s="62">
        <f>INPUT_PRODUCT!B1</f>
        <v/>
      </c>
      <c r="B98" s="58">
        <f>INPUT_PRODUCT!B2</f>
        <v/>
      </c>
      <c r="C98" s="62">
        <f>INPUT_PRODUCT!B6</f>
        <v/>
      </c>
      <c r="D98" s="62">
        <f>INPUT_PRODUCT!B5</f>
        <v/>
      </c>
      <c r="E98" s="62">
        <f>INPUT_PRODUCT!B7</f>
        <v/>
      </c>
      <c r="F98" s="62">
        <f>IF(PRODUCT_CALCULATION!B98="SI";PRODUCT_CALCULATION!C98;"")</f>
        <v/>
      </c>
      <c r="G98" s="63">
        <f>IF(PRODUCT_CALCULATION!B98="SI";PRODUCT_CALCULATION!E98;"")</f>
        <v/>
      </c>
      <c r="H98" s="63">
        <f>IF(PRODUCT_CALCULATION!B98="SI";PRODUCT_CALCULATION!F98;"")</f>
        <v/>
      </c>
      <c r="I98" s="62">
        <f>IF(PRODUCT_CALCULATION!B98="SI";PRODUCT_CALCULATION!G98;"")</f>
        <v/>
      </c>
      <c r="J98" s="0">
        <f>IF(PRODUCT_CALCULATION!B98="SI";PRODUCT_CALCULATION!S98;"")</f>
        <v/>
      </c>
      <c r="K98" s="0">
        <f>IF(PRODUCT_CALCULATION!B98="SI";PRODUCT_CALCULATION!K98;"")</f>
        <v/>
      </c>
      <c r="L98" s="0">
        <f>IF(PRODUCT_CALCULATION!B98="SI";CEILING(PRODUCT_CALCULATION!F98/PRODUCT_CALCULATION!K98;1);"")</f>
        <v/>
      </c>
      <c r="M98" s="0">
        <f>IF(PRODUCT_CALCULATION!B98="SI";INDEX(PRODUCT!A:A;MATCH(PRODUCT_CALCULATION!C98;PRODUCT!B:B;0));"")</f>
        <v/>
      </c>
      <c r="N98" s="0">
        <f>IF(PRODUCT_CALCULATION!B98="SI";PRODUCT_CALCULATION!Y98;"")</f>
        <v/>
      </c>
    </row>
    <row r="99" ht="15.75" customHeight="1" s="125">
      <c r="A99" s="62">
        <f>INPUT_PRODUCT!B1</f>
        <v/>
      </c>
      <c r="B99" s="58">
        <f>INPUT_PRODUCT!B2</f>
        <v/>
      </c>
      <c r="C99" s="62">
        <f>INPUT_PRODUCT!B6</f>
        <v/>
      </c>
      <c r="D99" s="62">
        <f>INPUT_PRODUCT!B5</f>
        <v/>
      </c>
      <c r="E99" s="62">
        <f>INPUT_PRODUCT!B7</f>
        <v/>
      </c>
      <c r="F99" s="62">
        <f>IF(PRODUCT_CALCULATION!B99="SI";PRODUCT_CALCULATION!C99;"")</f>
        <v/>
      </c>
      <c r="G99" s="63">
        <f>IF(PRODUCT_CALCULATION!B99="SI";PRODUCT_CALCULATION!E99;"")</f>
        <v/>
      </c>
      <c r="H99" s="63">
        <f>IF(PRODUCT_CALCULATION!B99="SI";PRODUCT_CALCULATION!F99;"")</f>
        <v/>
      </c>
      <c r="I99" s="62">
        <f>IF(PRODUCT_CALCULATION!B99="SI";PRODUCT_CALCULATION!G99;"")</f>
        <v/>
      </c>
      <c r="J99" s="0">
        <f>IF(PRODUCT_CALCULATION!B99="SI";PRODUCT_CALCULATION!S99;"")</f>
        <v/>
      </c>
      <c r="K99" s="0">
        <f>IF(PRODUCT_CALCULATION!B99="SI";PRODUCT_CALCULATION!K99;"")</f>
        <v/>
      </c>
      <c r="L99" s="0">
        <f>IF(PRODUCT_CALCULATION!B99="SI";CEILING(PRODUCT_CALCULATION!F99/PRODUCT_CALCULATION!K99;1);"")</f>
        <v/>
      </c>
      <c r="M99" s="0">
        <f>IF(PRODUCT_CALCULATION!B99="SI";INDEX(PRODUCT!A:A;MATCH(PRODUCT_CALCULATION!C99;PRODUCT!B:B;0));"")</f>
        <v/>
      </c>
      <c r="N99" s="0">
        <f>IF(PRODUCT_CALCULATION!B99="SI";PRODUCT_CALCULATION!Y99;"")</f>
        <v/>
      </c>
    </row>
    <row r="100" ht="15.75" customHeight="1" s="125">
      <c r="A100" s="62" t="n"/>
      <c r="B100" s="58" t="n"/>
      <c r="C100" s="62" t="n"/>
      <c r="D100" s="62" t="n"/>
      <c r="E100" s="62" t="n"/>
      <c r="F100" s="62" t="n"/>
      <c r="G100" s="63" t="n"/>
      <c r="H100" s="63" t="n"/>
      <c r="I100" s="62" t="n"/>
    </row>
    <row r="101" ht="15.75" customHeight="1" s="125">
      <c r="A101" s="62" t="n"/>
      <c r="B101" s="58" t="n"/>
      <c r="C101" s="62" t="n"/>
      <c r="D101" s="62" t="n"/>
      <c r="E101" s="62" t="n"/>
      <c r="F101" s="62" t="n"/>
      <c r="G101" s="63" t="n"/>
      <c r="H101" s="63" t="n"/>
      <c r="I101" s="62" t="n"/>
    </row>
    <row r="102" ht="15.75" customHeight="1" s="125">
      <c r="A102" s="62" t="n"/>
      <c r="B102" s="58" t="n"/>
      <c r="C102" s="62" t="n"/>
      <c r="D102" s="62" t="n"/>
      <c r="E102" s="62" t="n"/>
      <c r="F102" s="62" t="n"/>
      <c r="G102" s="63" t="n"/>
      <c r="H102" s="63" t="n"/>
      <c r="I102" s="62" t="n"/>
    </row>
    <row r="103" ht="15.75" customHeight="1" s="125">
      <c r="A103" s="62" t="n"/>
      <c r="B103" s="58" t="n"/>
      <c r="C103" s="62" t="n"/>
      <c r="D103" s="62" t="n"/>
      <c r="E103" s="62" t="n"/>
      <c r="F103" s="62" t="n"/>
      <c r="G103" s="63" t="n"/>
      <c r="H103" s="63" t="n"/>
      <c r="I103" s="62" t="n"/>
    </row>
    <row r="104" ht="15.75" customHeight="1" s="125">
      <c r="A104" s="62" t="n"/>
      <c r="B104" s="58" t="n"/>
      <c r="C104" s="62" t="n"/>
      <c r="D104" s="62" t="n"/>
      <c r="E104" s="62" t="n"/>
      <c r="F104" s="62" t="n"/>
      <c r="G104" s="63" t="n"/>
      <c r="H104" s="63" t="n"/>
      <c r="I104" s="62" t="n"/>
    </row>
    <row r="105" ht="15.75" customHeight="1" s="125">
      <c r="A105" s="62" t="n"/>
      <c r="B105" s="58" t="n"/>
      <c r="C105" s="62" t="n"/>
      <c r="D105" s="62" t="n"/>
      <c r="E105" s="62" t="n"/>
      <c r="F105" s="62" t="n"/>
      <c r="G105" s="63" t="n"/>
      <c r="H105" s="63" t="n"/>
      <c r="I105" s="62" t="n"/>
    </row>
    <row r="106" ht="15.75" customHeight="1" s="125">
      <c r="A106" s="62" t="n"/>
      <c r="B106" s="58" t="n"/>
      <c r="C106" s="62" t="n"/>
      <c r="D106" s="62" t="n"/>
      <c r="E106" s="62" t="n"/>
      <c r="F106" s="62" t="n"/>
      <c r="G106" s="63" t="n"/>
      <c r="H106" s="63" t="n"/>
      <c r="I106" s="62" t="n"/>
    </row>
    <row r="107" ht="15.75" customHeight="1" s="125">
      <c r="A107" s="62" t="n"/>
      <c r="B107" s="58" t="n"/>
      <c r="C107" s="62" t="n"/>
      <c r="D107" s="62" t="n"/>
      <c r="E107" s="62" t="n"/>
      <c r="F107" s="62" t="n"/>
      <c r="G107" s="63" t="n"/>
      <c r="H107" s="63" t="n"/>
      <c r="I107" s="62" t="n"/>
    </row>
    <row r="108" ht="15.75" customHeight="1" s="125">
      <c r="A108" s="62" t="n"/>
      <c r="B108" s="58" t="n"/>
      <c r="C108" s="62" t="n"/>
      <c r="D108" s="62" t="n"/>
      <c r="E108" s="62" t="n"/>
      <c r="F108" s="62" t="n"/>
      <c r="G108" s="63" t="n"/>
      <c r="H108" s="63" t="n"/>
      <c r="I108" s="62" t="n"/>
    </row>
    <row r="109" ht="15.75" customHeight="1" s="125">
      <c r="A109" s="62" t="n"/>
      <c r="B109" s="58" t="n"/>
      <c r="C109" s="62" t="n"/>
      <c r="D109" s="62" t="n"/>
      <c r="E109" s="62" t="n"/>
      <c r="F109" s="62" t="n"/>
      <c r="G109" s="63" t="n"/>
      <c r="H109" s="63" t="n"/>
      <c r="I109" s="62" t="n"/>
    </row>
    <row r="110" ht="15.75" customHeight="1" s="125">
      <c r="A110" s="62" t="n"/>
      <c r="B110" s="58" t="n"/>
      <c r="C110" s="62" t="n"/>
      <c r="D110" s="62" t="n"/>
      <c r="E110" s="62" t="n"/>
      <c r="F110" s="62" t="n"/>
      <c r="G110" s="63" t="n"/>
      <c r="H110" s="63" t="n"/>
      <c r="I110" s="62" t="n"/>
    </row>
    <row r="111" ht="15.75" customHeight="1" s="125">
      <c r="A111" s="62" t="n"/>
      <c r="B111" s="58" t="n"/>
      <c r="C111" s="62" t="n"/>
      <c r="D111" s="62" t="n"/>
      <c r="E111" s="62" t="n"/>
      <c r="F111" s="62" t="n"/>
      <c r="G111" s="63" t="n"/>
      <c r="H111" s="63" t="n"/>
      <c r="I111" s="62" t="n"/>
    </row>
    <row r="112" ht="15.75" customHeight="1" s="125">
      <c r="A112" s="62" t="n"/>
      <c r="B112" s="58" t="n"/>
      <c r="C112" s="62" t="n"/>
      <c r="D112" s="62" t="n"/>
      <c r="E112" s="62" t="n"/>
      <c r="F112" s="62" t="n"/>
      <c r="G112" s="63" t="n"/>
      <c r="H112" s="63" t="n"/>
      <c r="I112" s="62" t="n"/>
    </row>
    <row r="113" ht="15.75" customHeight="1" s="125">
      <c r="A113" s="62" t="n"/>
      <c r="B113" s="58" t="n"/>
      <c r="C113" s="62" t="n"/>
      <c r="D113" s="62" t="n"/>
      <c r="E113" s="62" t="n"/>
      <c r="F113" s="62" t="n"/>
      <c r="G113" s="63" t="n"/>
      <c r="H113" s="63" t="n"/>
      <c r="I113" s="62" t="n"/>
    </row>
    <row r="114" ht="15.75" customHeight="1" s="125">
      <c r="A114" s="62" t="n"/>
      <c r="B114" s="58" t="n"/>
      <c r="C114" s="62" t="n"/>
      <c r="D114" s="62" t="n"/>
      <c r="E114" s="62" t="n"/>
      <c r="F114" s="62" t="n"/>
      <c r="G114" s="63" t="n"/>
      <c r="H114" s="63" t="n"/>
      <c r="I114" s="62" t="n"/>
    </row>
    <row r="115" ht="15.75" customHeight="1" s="125">
      <c r="A115" s="62" t="n"/>
      <c r="B115" s="58" t="n"/>
      <c r="C115" s="62" t="n"/>
      <c r="D115" s="62" t="n"/>
      <c r="E115" s="62" t="n"/>
      <c r="F115" s="62" t="n"/>
      <c r="G115" s="63" t="n"/>
      <c r="H115" s="63" t="n"/>
      <c r="I115" s="62" t="n"/>
    </row>
    <row r="116" ht="15.75" customHeight="1" s="125">
      <c r="A116" s="62" t="n"/>
      <c r="B116" s="58" t="n"/>
      <c r="C116" s="62" t="n"/>
      <c r="D116" s="62" t="n"/>
      <c r="E116" s="62" t="n"/>
      <c r="F116" s="62" t="n"/>
      <c r="G116" s="63" t="n"/>
      <c r="H116" s="63" t="n"/>
      <c r="I116" s="62" t="n"/>
    </row>
    <row r="117" ht="15.75" customHeight="1" s="125">
      <c r="A117" s="62" t="n"/>
      <c r="B117" s="58" t="n"/>
      <c r="C117" s="62" t="n"/>
      <c r="D117" s="62" t="n"/>
      <c r="E117" s="62" t="n"/>
      <c r="F117" s="62" t="n"/>
      <c r="G117" s="63" t="n"/>
      <c r="H117" s="63" t="n"/>
      <c r="I117" s="62" t="n"/>
    </row>
    <row r="118" ht="15.75" customHeight="1" s="125">
      <c r="A118" s="62" t="n"/>
      <c r="B118" s="58" t="n"/>
      <c r="C118" s="62" t="n"/>
      <c r="D118" s="62" t="n"/>
      <c r="E118" s="62" t="n"/>
      <c r="F118" s="62" t="n"/>
      <c r="G118" s="63" t="n"/>
      <c r="H118" s="63" t="n"/>
      <c r="I118" s="62" t="n"/>
    </row>
    <row r="119" ht="15.75" customHeight="1" s="125">
      <c r="A119" s="62" t="n"/>
      <c r="B119" s="58" t="n"/>
      <c r="C119" s="62" t="n"/>
      <c r="D119" s="62" t="n"/>
      <c r="E119" s="62" t="n"/>
      <c r="F119" s="62" t="n"/>
      <c r="G119" s="63" t="n"/>
      <c r="H119" s="63" t="n"/>
      <c r="I119" s="62" t="n"/>
    </row>
    <row r="120" ht="15.75" customHeight="1" s="125">
      <c r="A120" s="62" t="n"/>
      <c r="B120" s="58" t="n"/>
      <c r="C120" s="62" t="n"/>
      <c r="D120" s="62" t="n"/>
      <c r="E120" s="62" t="n"/>
      <c r="F120" s="62" t="n"/>
      <c r="G120" s="63" t="n"/>
      <c r="H120" s="63" t="n"/>
      <c r="I120" s="62" t="n"/>
    </row>
    <row r="121" ht="15.75" customHeight="1" s="125">
      <c r="A121" s="62" t="n"/>
      <c r="B121" s="58" t="n"/>
      <c r="C121" s="62" t="n"/>
      <c r="D121" s="62" t="n"/>
      <c r="E121" s="62" t="n"/>
      <c r="F121" s="62" t="n"/>
      <c r="G121" s="63" t="n"/>
      <c r="H121" s="63" t="n"/>
      <c r="I121" s="62" t="n"/>
    </row>
    <row r="122" ht="15.75" customHeight="1" s="125">
      <c r="A122" s="62" t="n"/>
      <c r="B122" s="58" t="n"/>
      <c r="C122" s="62" t="n"/>
      <c r="D122" s="62" t="n"/>
      <c r="E122" s="62" t="n"/>
      <c r="F122" s="62" t="n"/>
      <c r="G122" s="63" t="n"/>
      <c r="H122" s="63" t="n"/>
      <c r="I122" s="62" t="n"/>
    </row>
    <row r="123" ht="15.75" customHeight="1" s="125">
      <c r="A123" s="62" t="n"/>
      <c r="B123" s="58" t="n"/>
      <c r="C123" s="62" t="n"/>
      <c r="D123" s="62" t="n"/>
      <c r="E123" s="62" t="n"/>
      <c r="F123" s="62" t="n"/>
      <c r="G123" s="63" t="n"/>
      <c r="H123" s="63" t="n"/>
      <c r="I123" s="62" t="n"/>
    </row>
    <row r="124" ht="15.75" customHeight="1" s="125">
      <c r="A124" s="62" t="n"/>
      <c r="B124" s="58" t="n"/>
      <c r="C124" s="62" t="n"/>
      <c r="D124" s="62" t="n"/>
      <c r="E124" s="62" t="n"/>
      <c r="F124" s="62" t="n"/>
      <c r="G124" s="63" t="n"/>
      <c r="H124" s="63" t="n"/>
      <c r="I124" s="62" t="n"/>
    </row>
    <row r="125" ht="15.75" customHeight="1" s="125">
      <c r="A125" s="62" t="n"/>
      <c r="B125" s="58" t="n"/>
      <c r="C125" s="62" t="n"/>
      <c r="D125" s="62" t="n"/>
      <c r="E125" s="62" t="n"/>
      <c r="F125" s="62" t="n"/>
      <c r="G125" s="63" t="n"/>
      <c r="H125" s="63" t="n"/>
      <c r="I125" s="62" t="n"/>
    </row>
    <row r="126" ht="15.75" customHeight="1" s="125">
      <c r="A126" s="62" t="n"/>
      <c r="B126" s="58" t="n"/>
      <c r="C126" s="62" t="n"/>
      <c r="D126" s="62" t="n"/>
      <c r="E126" s="62" t="n"/>
      <c r="F126" s="62" t="n"/>
      <c r="G126" s="63" t="n"/>
      <c r="H126" s="63" t="n"/>
      <c r="I126" s="62" t="n"/>
    </row>
    <row r="127" ht="15.75" customHeight="1" s="125">
      <c r="A127" s="62" t="n"/>
      <c r="B127" s="58" t="n"/>
      <c r="C127" s="62" t="n"/>
      <c r="D127" s="62" t="n"/>
      <c r="E127" s="62" t="n"/>
      <c r="F127" s="62" t="n"/>
      <c r="G127" s="63" t="n"/>
      <c r="H127" s="63" t="n"/>
      <c r="I127" s="62" t="n"/>
    </row>
    <row r="128" ht="15.75" customHeight="1" s="125">
      <c r="A128" s="62" t="n"/>
      <c r="B128" s="58" t="n"/>
      <c r="C128" s="62" t="n"/>
      <c r="D128" s="62" t="n"/>
      <c r="E128" s="62" t="n"/>
      <c r="F128" s="62" t="n"/>
      <c r="G128" s="63" t="n"/>
      <c r="H128" s="63" t="n"/>
      <c r="I128" s="62" t="n"/>
    </row>
    <row r="129" ht="15.75" customHeight="1" s="125">
      <c r="A129" s="62" t="n"/>
      <c r="B129" s="58" t="n"/>
      <c r="C129" s="62" t="n"/>
      <c r="D129" s="62" t="n"/>
      <c r="E129" s="62" t="n"/>
      <c r="F129" s="62" t="n"/>
      <c r="G129" s="63" t="n"/>
      <c r="H129" s="63" t="n"/>
      <c r="I129" s="62" t="n"/>
    </row>
    <row r="130" ht="15.75" customHeight="1" s="125">
      <c r="A130" s="62" t="n"/>
      <c r="B130" s="58" t="n"/>
      <c r="C130" s="62" t="n"/>
      <c r="D130" s="62" t="n"/>
      <c r="E130" s="62" t="n"/>
      <c r="F130" s="62" t="n"/>
      <c r="G130" s="63" t="n"/>
      <c r="H130" s="63" t="n"/>
      <c r="I130" s="62" t="n"/>
    </row>
    <row r="131" ht="15.75" customHeight="1" s="125">
      <c r="A131" s="62" t="n"/>
      <c r="B131" s="58" t="n"/>
      <c r="C131" s="62" t="n"/>
      <c r="D131" s="62" t="n"/>
      <c r="E131" s="62" t="n"/>
      <c r="F131" s="62" t="n"/>
      <c r="G131" s="63" t="n"/>
      <c r="H131" s="63" t="n"/>
      <c r="I131" s="62" t="n"/>
    </row>
    <row r="132" ht="15.75" customHeight="1" s="125">
      <c r="A132" s="62" t="n"/>
      <c r="B132" s="58" t="n"/>
      <c r="C132" s="62" t="n"/>
      <c r="D132" s="62" t="n"/>
      <c r="E132" s="62" t="n"/>
      <c r="F132" s="62" t="n"/>
      <c r="G132" s="63" t="n"/>
      <c r="H132" s="63" t="n"/>
      <c r="I132" s="62" t="n"/>
    </row>
    <row r="133" ht="15.75" customHeight="1" s="125">
      <c r="A133" s="62" t="n"/>
      <c r="B133" s="58" t="n"/>
      <c r="C133" s="62" t="n"/>
      <c r="D133" s="62" t="n"/>
      <c r="E133" s="62" t="n"/>
      <c r="F133" s="62" t="n"/>
      <c r="G133" s="63" t="n"/>
      <c r="H133" s="63" t="n"/>
      <c r="I133" s="62" t="n"/>
    </row>
    <row r="134" ht="15.75" customHeight="1" s="125">
      <c r="A134" s="62" t="n"/>
      <c r="B134" s="58" t="n"/>
      <c r="C134" s="62" t="n"/>
      <c r="D134" s="62" t="n"/>
      <c r="E134" s="62" t="n"/>
      <c r="F134" s="62" t="n"/>
      <c r="G134" s="63" t="n"/>
      <c r="H134" s="63" t="n"/>
      <c r="I134" s="62" t="n"/>
    </row>
    <row r="135" ht="15.75" customHeight="1" s="125">
      <c r="A135" s="62" t="n"/>
      <c r="B135" s="58" t="n"/>
      <c r="C135" s="62" t="n"/>
      <c r="D135" s="62" t="n"/>
      <c r="E135" s="62" t="n"/>
      <c r="F135" s="62" t="n"/>
      <c r="G135" s="63" t="n"/>
      <c r="H135" s="63" t="n"/>
      <c r="I135" s="62" t="n"/>
    </row>
    <row r="136" ht="15.75" customHeight="1" s="125">
      <c r="A136" s="62" t="n"/>
      <c r="B136" s="58" t="n"/>
      <c r="C136" s="62" t="n"/>
      <c r="D136" s="62" t="n"/>
      <c r="E136" s="62" t="n"/>
      <c r="F136" s="62" t="n"/>
      <c r="G136" s="63" t="n"/>
      <c r="H136" s="63" t="n"/>
      <c r="I136" s="62" t="n"/>
    </row>
    <row r="137" ht="15.75" customHeight="1" s="125">
      <c r="A137" s="62" t="n"/>
      <c r="B137" s="58" t="n"/>
      <c r="C137" s="62" t="n"/>
      <c r="D137" s="62" t="n"/>
      <c r="E137" s="62" t="n"/>
      <c r="F137" s="62" t="n"/>
      <c r="G137" s="63" t="n"/>
      <c r="H137" s="63" t="n"/>
      <c r="I137" s="62" t="n"/>
    </row>
    <row r="138" ht="15.75" customHeight="1" s="125">
      <c r="A138" s="62" t="n"/>
      <c r="B138" s="58" t="n"/>
      <c r="C138" s="62" t="n"/>
      <c r="D138" s="62" t="n"/>
      <c r="E138" s="62" t="n"/>
      <c r="F138" s="62" t="n"/>
      <c r="G138" s="63" t="n"/>
      <c r="H138" s="63" t="n"/>
      <c r="I138" s="62" t="n"/>
    </row>
    <row r="139" ht="15.75" customHeight="1" s="125">
      <c r="A139" s="62" t="n"/>
      <c r="B139" s="58" t="n"/>
      <c r="C139" s="62" t="n"/>
      <c r="D139" s="62" t="n"/>
      <c r="E139" s="62" t="n"/>
      <c r="F139" s="62" t="n"/>
      <c r="G139" s="63" t="n"/>
      <c r="H139" s="63" t="n"/>
      <c r="I139" s="62" t="n"/>
    </row>
    <row r="140" ht="15.75" customHeight="1" s="125">
      <c r="A140" s="62" t="n"/>
      <c r="B140" s="58" t="n"/>
      <c r="C140" s="62" t="n"/>
      <c r="D140" s="62" t="n"/>
      <c r="E140" s="62" t="n"/>
      <c r="F140" s="62" t="n"/>
      <c r="G140" s="63" t="n"/>
      <c r="H140" s="63" t="n"/>
      <c r="I140" s="62" t="n"/>
    </row>
    <row r="141" ht="15.75" customHeight="1" s="125">
      <c r="A141" s="62" t="n"/>
      <c r="B141" s="58" t="n"/>
      <c r="C141" s="62" t="n"/>
      <c r="D141" s="62" t="n"/>
      <c r="E141" s="62" t="n"/>
      <c r="F141" s="62" t="n"/>
      <c r="G141" s="63" t="n"/>
      <c r="H141" s="63" t="n"/>
      <c r="I141" s="62" t="n"/>
    </row>
    <row r="142" ht="15.75" customHeight="1" s="125">
      <c r="A142" s="62" t="n"/>
      <c r="B142" s="58" t="n"/>
      <c r="C142" s="62" t="n"/>
      <c r="D142" s="62" t="n"/>
      <c r="E142" s="62" t="n"/>
      <c r="F142" s="62" t="n"/>
      <c r="G142" s="63" t="n"/>
      <c r="H142" s="63" t="n"/>
      <c r="I142" s="62" t="n"/>
    </row>
    <row r="143" ht="15.75" customHeight="1" s="125">
      <c r="A143" s="62" t="n"/>
      <c r="B143" s="58" t="n"/>
      <c r="C143" s="62" t="n"/>
      <c r="D143" s="62" t="n"/>
      <c r="E143" s="62" t="n"/>
      <c r="F143" s="62" t="n"/>
      <c r="G143" s="63" t="n"/>
      <c r="H143" s="63" t="n"/>
      <c r="I143" s="62" t="n"/>
    </row>
    <row r="144" ht="15.75" customHeight="1" s="125">
      <c r="A144" s="62" t="n"/>
      <c r="B144" s="58" t="n"/>
      <c r="C144" s="62" t="n"/>
      <c r="D144" s="62" t="n"/>
      <c r="E144" s="62" t="n"/>
      <c r="F144" s="62" t="n"/>
      <c r="G144" s="63" t="n"/>
      <c r="H144" s="63" t="n"/>
      <c r="I144" s="62" t="n"/>
    </row>
    <row r="145" ht="15.75" customHeight="1" s="125">
      <c r="A145" s="62" t="n"/>
      <c r="B145" s="58" t="n"/>
      <c r="C145" s="62" t="n"/>
      <c r="D145" s="62" t="n"/>
      <c r="E145" s="62" t="n"/>
      <c r="F145" s="62" t="n"/>
      <c r="G145" s="63" t="n"/>
      <c r="H145" s="63" t="n"/>
      <c r="I145" s="62" t="n"/>
    </row>
    <row r="146" ht="15.75" customHeight="1" s="125">
      <c r="A146" s="62" t="n"/>
      <c r="B146" s="58" t="n"/>
      <c r="C146" s="62" t="n"/>
      <c r="D146" s="62" t="n"/>
      <c r="E146" s="62" t="n"/>
      <c r="F146" s="62" t="n"/>
      <c r="G146" s="63" t="n"/>
      <c r="H146" s="63" t="n"/>
      <c r="I146" s="62" t="n"/>
    </row>
    <row r="147" ht="15.75" customHeight="1" s="125">
      <c r="A147" s="62" t="n"/>
      <c r="B147" s="58" t="n"/>
      <c r="C147" s="62" t="n"/>
      <c r="D147" s="62" t="n"/>
      <c r="E147" s="62" t="n"/>
      <c r="F147" s="62" t="n"/>
      <c r="G147" s="63" t="n"/>
      <c r="H147" s="63" t="n"/>
      <c r="I147" s="62" t="n"/>
    </row>
    <row r="148" ht="15.75" customHeight="1" s="125">
      <c r="A148" s="62" t="n"/>
      <c r="B148" s="58" t="n"/>
      <c r="C148" s="62" t="n"/>
      <c r="D148" s="62" t="n"/>
      <c r="E148" s="62" t="n"/>
      <c r="F148" s="62" t="n"/>
      <c r="G148" s="63" t="n"/>
      <c r="H148" s="63" t="n"/>
      <c r="I148" s="62" t="n"/>
    </row>
    <row r="149" ht="15.75" customHeight="1" s="125">
      <c r="A149" s="62" t="n"/>
      <c r="B149" s="58" t="n"/>
      <c r="C149" s="62" t="n"/>
      <c r="D149" s="62" t="n"/>
      <c r="E149" s="62" t="n"/>
      <c r="F149" s="62" t="n"/>
      <c r="G149" s="63" t="n"/>
      <c r="H149" s="63" t="n"/>
      <c r="I149" s="62" t="n"/>
    </row>
    <row r="150" ht="15.75" customHeight="1" s="125">
      <c r="A150" s="62" t="n"/>
      <c r="B150" s="58" t="n"/>
      <c r="C150" s="62" t="n"/>
      <c r="D150" s="62" t="n"/>
      <c r="E150" s="62" t="n"/>
      <c r="F150" s="62" t="n"/>
      <c r="G150" s="63" t="n"/>
      <c r="H150" s="63" t="n"/>
      <c r="I150" s="62" t="n"/>
    </row>
    <row r="151" ht="15.75" customHeight="1" s="125">
      <c r="A151" s="62" t="n"/>
      <c r="B151" s="58" t="n"/>
      <c r="C151" s="62" t="n"/>
      <c r="D151" s="62" t="n"/>
      <c r="E151" s="62" t="n"/>
      <c r="F151" s="62" t="n"/>
      <c r="G151" s="63" t="n"/>
      <c r="H151" s="63" t="n"/>
      <c r="I151" s="62" t="n"/>
    </row>
    <row r="152" ht="15.75" customHeight="1" s="125">
      <c r="A152" s="62" t="n"/>
      <c r="B152" s="58" t="n"/>
      <c r="C152" s="62" t="n"/>
      <c r="D152" s="62" t="n"/>
      <c r="E152" s="62" t="n"/>
      <c r="F152" s="62" t="n"/>
      <c r="G152" s="63" t="n"/>
      <c r="H152" s="63" t="n"/>
      <c r="I152" s="62" t="n"/>
    </row>
    <row r="153" ht="15.75" customHeight="1" s="125">
      <c r="A153" s="62" t="n"/>
      <c r="B153" s="58" t="n"/>
      <c r="C153" s="62" t="n"/>
      <c r="D153" s="62" t="n"/>
      <c r="E153" s="62" t="n"/>
      <c r="F153" s="62" t="n"/>
      <c r="G153" s="63" t="n"/>
      <c r="H153" s="63" t="n"/>
      <c r="I153" s="62" t="n"/>
    </row>
    <row r="154" ht="15.75" customHeight="1" s="125">
      <c r="A154" s="62" t="n"/>
      <c r="B154" s="58" t="n"/>
      <c r="C154" s="62" t="n"/>
      <c r="D154" s="62" t="n"/>
      <c r="E154" s="62" t="n"/>
      <c r="F154" s="62" t="n"/>
      <c r="G154" s="63" t="n"/>
      <c r="H154" s="63" t="n"/>
      <c r="I154" s="62" t="n"/>
    </row>
    <row r="155" ht="15.75" customHeight="1" s="125">
      <c r="A155" s="62" t="n"/>
      <c r="B155" s="58" t="n"/>
      <c r="C155" s="62" t="n"/>
      <c r="D155" s="62" t="n"/>
      <c r="E155" s="62" t="n"/>
      <c r="F155" s="62" t="n"/>
      <c r="G155" s="63" t="n"/>
      <c r="H155" s="63" t="n"/>
      <c r="I155" s="62" t="n"/>
    </row>
    <row r="156" ht="15.75" customHeight="1" s="125">
      <c r="A156" s="62" t="n"/>
      <c r="B156" s="58" t="n"/>
      <c r="C156" s="62" t="n"/>
      <c r="D156" s="62" t="n"/>
      <c r="E156" s="62" t="n"/>
      <c r="F156" s="62" t="n"/>
      <c r="G156" s="63" t="n"/>
      <c r="H156" s="63" t="n"/>
      <c r="I156" s="62" t="n"/>
    </row>
    <row r="157" ht="15.75" customHeight="1" s="125">
      <c r="A157" s="62" t="n"/>
      <c r="B157" s="58" t="n"/>
      <c r="C157" s="62" t="n"/>
      <c r="D157" s="62" t="n"/>
      <c r="E157" s="62" t="n"/>
      <c r="F157" s="62" t="n"/>
      <c r="G157" s="63" t="n"/>
      <c r="H157" s="63" t="n"/>
      <c r="I157" s="62" t="n"/>
    </row>
    <row r="158" ht="15.75" customHeight="1" s="125">
      <c r="A158" s="62" t="n"/>
      <c r="B158" s="58" t="n"/>
      <c r="C158" s="62" t="n"/>
      <c r="D158" s="62" t="n"/>
      <c r="E158" s="62" t="n"/>
      <c r="F158" s="62" t="n"/>
      <c r="G158" s="63" t="n"/>
      <c r="H158" s="63" t="n"/>
      <c r="I158" s="62" t="n"/>
    </row>
    <row r="159" ht="15.75" customHeight="1" s="125">
      <c r="A159" s="62" t="n"/>
      <c r="B159" s="58" t="n"/>
      <c r="C159" s="62" t="n"/>
      <c r="D159" s="62" t="n"/>
      <c r="E159" s="62" t="n"/>
      <c r="F159" s="62" t="n"/>
      <c r="G159" s="63" t="n"/>
      <c r="H159" s="63" t="n"/>
      <c r="I159" s="62" t="n"/>
    </row>
    <row r="160" ht="15.75" customHeight="1" s="125">
      <c r="A160" s="62" t="n"/>
      <c r="B160" s="58" t="n"/>
      <c r="C160" s="62" t="n"/>
      <c r="D160" s="62" t="n"/>
      <c r="E160" s="62" t="n"/>
      <c r="F160" s="62" t="n"/>
      <c r="G160" s="63" t="n"/>
      <c r="H160" s="63" t="n"/>
      <c r="I160" s="62" t="n"/>
    </row>
    <row r="161" ht="15.75" customHeight="1" s="125">
      <c r="A161" s="62" t="n"/>
      <c r="B161" s="58" t="n"/>
      <c r="C161" s="62" t="n"/>
      <c r="D161" s="62" t="n"/>
      <c r="E161" s="62" t="n"/>
      <c r="F161" s="62" t="n"/>
      <c r="G161" s="63" t="n"/>
      <c r="H161" s="63" t="n"/>
      <c r="I161" s="62" t="n"/>
    </row>
    <row r="162" ht="15.75" customHeight="1" s="125">
      <c r="A162" s="62" t="n"/>
      <c r="B162" s="58" t="n"/>
      <c r="C162" s="62" t="n"/>
      <c r="D162" s="62" t="n"/>
      <c r="E162" s="62" t="n"/>
      <c r="F162" s="62" t="n"/>
      <c r="G162" s="63" t="n"/>
      <c r="H162" s="63" t="n"/>
      <c r="I162" s="62" t="n"/>
    </row>
    <row r="163" ht="15.75" customHeight="1" s="125">
      <c r="A163" s="62" t="n"/>
      <c r="B163" s="58" t="n"/>
      <c r="C163" s="62" t="n"/>
      <c r="D163" s="62" t="n"/>
      <c r="E163" s="62" t="n"/>
      <c r="F163" s="62" t="n"/>
      <c r="G163" s="63" t="n"/>
      <c r="H163" s="63" t="n"/>
      <c r="I163" s="62" t="n"/>
    </row>
    <row r="164" ht="15.75" customHeight="1" s="125">
      <c r="A164" s="62" t="n"/>
      <c r="B164" s="58" t="n"/>
      <c r="C164" s="62" t="n"/>
      <c r="D164" s="62" t="n"/>
      <c r="E164" s="62" t="n"/>
      <c r="F164" s="62" t="n"/>
      <c r="G164" s="63" t="n"/>
      <c r="H164" s="63" t="n"/>
      <c r="I164" s="62" t="n"/>
    </row>
    <row r="165" ht="15.75" customHeight="1" s="125">
      <c r="A165" s="62" t="n"/>
      <c r="B165" s="58" t="n"/>
      <c r="C165" s="62" t="n"/>
      <c r="D165" s="62" t="n"/>
      <c r="E165" s="62" t="n"/>
      <c r="F165" s="62" t="n"/>
      <c r="G165" s="63" t="n"/>
      <c r="H165" s="63" t="n"/>
      <c r="I165" s="62" t="n"/>
    </row>
    <row r="166" ht="15.75" customHeight="1" s="125">
      <c r="A166" s="62" t="n"/>
      <c r="B166" s="58" t="n"/>
      <c r="C166" s="62" t="n"/>
      <c r="D166" s="62" t="n"/>
      <c r="E166" s="62" t="n"/>
      <c r="F166" s="62" t="n"/>
      <c r="G166" s="63" t="n"/>
      <c r="H166" s="63" t="n"/>
      <c r="I166" s="62" t="n"/>
    </row>
    <row r="167" ht="15.75" customHeight="1" s="125">
      <c r="A167" s="62" t="n"/>
      <c r="B167" s="58" t="n"/>
      <c r="C167" s="62" t="n"/>
      <c r="D167" s="62" t="n"/>
      <c r="E167" s="62" t="n"/>
      <c r="F167" s="62" t="n"/>
      <c r="G167" s="63" t="n"/>
      <c r="H167" s="63" t="n"/>
      <c r="I167" s="62" t="n"/>
    </row>
    <row r="168" ht="15.75" customHeight="1" s="125">
      <c r="A168" s="62" t="n"/>
      <c r="B168" s="58" t="n"/>
      <c r="C168" s="62" t="n"/>
      <c r="D168" s="62" t="n"/>
      <c r="E168" s="62" t="n"/>
      <c r="F168" s="62" t="n"/>
      <c r="G168" s="63" t="n"/>
      <c r="H168" s="63" t="n"/>
      <c r="I168" s="62" t="n"/>
    </row>
    <row r="169" ht="15.75" customHeight="1" s="125">
      <c r="A169" s="62" t="n"/>
      <c r="B169" s="58" t="n"/>
      <c r="C169" s="62" t="n"/>
      <c r="D169" s="62" t="n"/>
      <c r="E169" s="62" t="n"/>
      <c r="F169" s="62" t="n"/>
      <c r="G169" s="63" t="n"/>
      <c r="H169" s="63" t="n"/>
      <c r="I169" s="62" t="n"/>
    </row>
    <row r="170" ht="15.75" customHeight="1" s="125">
      <c r="A170" s="62" t="n"/>
      <c r="B170" s="58" t="n"/>
      <c r="C170" s="62" t="n"/>
      <c r="D170" s="62" t="n"/>
      <c r="E170" s="62" t="n"/>
      <c r="F170" s="62" t="n"/>
      <c r="G170" s="63" t="n"/>
      <c r="H170" s="63" t="n"/>
      <c r="I170" s="62" t="n"/>
    </row>
    <row r="171" ht="15.75" customHeight="1" s="125">
      <c r="A171" s="62" t="n"/>
      <c r="B171" s="58" t="n"/>
      <c r="C171" s="62" t="n"/>
      <c r="D171" s="62" t="n"/>
      <c r="E171" s="62" t="n"/>
      <c r="F171" s="62" t="n"/>
      <c r="G171" s="63" t="n"/>
      <c r="H171" s="63" t="n"/>
      <c r="I171" s="62" t="n"/>
    </row>
    <row r="172" ht="15.75" customHeight="1" s="125">
      <c r="A172" s="62" t="n"/>
      <c r="B172" s="58" t="n"/>
      <c r="C172" s="62" t="n"/>
      <c r="D172" s="62" t="n"/>
      <c r="E172" s="62" t="n"/>
      <c r="F172" s="62" t="n"/>
      <c r="G172" s="63" t="n"/>
      <c r="H172" s="63" t="n"/>
      <c r="I172" s="62" t="n"/>
    </row>
    <row r="173" ht="15.75" customHeight="1" s="125">
      <c r="A173" s="62" t="n"/>
      <c r="B173" s="58" t="n"/>
      <c r="C173" s="62" t="n"/>
      <c r="D173" s="62" t="n"/>
      <c r="E173" s="62" t="n"/>
      <c r="F173" s="62" t="n"/>
      <c r="G173" s="63" t="n"/>
      <c r="H173" s="63" t="n"/>
      <c r="I173" s="62" t="n"/>
    </row>
    <row r="174" ht="15.75" customHeight="1" s="125">
      <c r="A174" s="62" t="n"/>
      <c r="B174" s="58" t="n"/>
      <c r="C174" s="62" t="n"/>
      <c r="D174" s="62" t="n"/>
      <c r="E174" s="62" t="n"/>
      <c r="F174" s="62" t="n"/>
      <c r="G174" s="63" t="n"/>
      <c r="H174" s="63" t="n"/>
      <c r="I174" s="62" t="n"/>
    </row>
    <row r="175" ht="15.75" customHeight="1" s="125">
      <c r="A175" s="62" t="n"/>
      <c r="B175" s="58" t="n"/>
      <c r="C175" s="62" t="n"/>
      <c r="D175" s="62" t="n"/>
      <c r="E175" s="62" t="n"/>
      <c r="F175" s="62" t="n"/>
      <c r="G175" s="63" t="n"/>
      <c r="H175" s="63" t="n"/>
      <c r="I175" s="62" t="n"/>
    </row>
    <row r="176" ht="15.75" customHeight="1" s="125">
      <c r="A176" s="62" t="n"/>
      <c r="B176" s="58" t="n"/>
      <c r="C176" s="62" t="n"/>
      <c r="D176" s="62" t="n"/>
      <c r="E176" s="62" t="n"/>
      <c r="F176" s="62" t="n"/>
      <c r="G176" s="63" t="n"/>
      <c r="H176" s="63" t="n"/>
      <c r="I176" s="62" t="n"/>
    </row>
    <row r="177" ht="15.75" customHeight="1" s="125">
      <c r="A177" s="62" t="n"/>
      <c r="B177" s="58" t="n"/>
      <c r="C177" s="62" t="n"/>
      <c r="D177" s="62" t="n"/>
      <c r="E177" s="62" t="n"/>
      <c r="F177" s="62" t="n"/>
      <c r="G177" s="63" t="n"/>
      <c r="H177" s="63" t="n"/>
      <c r="I177" s="62" t="n"/>
    </row>
    <row r="178" ht="15.75" customHeight="1" s="125">
      <c r="A178" s="62" t="n"/>
      <c r="B178" s="58" t="n"/>
      <c r="C178" s="62" t="n"/>
      <c r="D178" s="62" t="n"/>
      <c r="E178" s="62" t="n"/>
      <c r="F178" s="62" t="n"/>
      <c r="G178" s="63" t="n"/>
      <c r="H178" s="63" t="n"/>
      <c r="I178" s="62" t="n"/>
    </row>
    <row r="179" ht="15.75" customHeight="1" s="125">
      <c r="A179" s="62" t="n"/>
      <c r="B179" s="58" t="n"/>
      <c r="C179" s="62" t="n"/>
      <c r="D179" s="62" t="n"/>
      <c r="E179" s="62" t="n"/>
      <c r="F179" s="62" t="n"/>
      <c r="G179" s="63" t="n"/>
      <c r="H179" s="63" t="n"/>
      <c r="I179" s="62" t="n"/>
    </row>
    <row r="180" ht="15.75" customHeight="1" s="125">
      <c r="A180" s="62" t="n"/>
      <c r="B180" s="58" t="n"/>
      <c r="C180" s="62" t="n"/>
      <c r="D180" s="62" t="n"/>
      <c r="E180" s="62" t="n"/>
      <c r="F180" s="62" t="n"/>
      <c r="G180" s="63" t="n"/>
      <c r="H180" s="63" t="n"/>
      <c r="I180" s="62" t="n"/>
    </row>
    <row r="181" ht="15.75" customHeight="1" s="125">
      <c r="A181" s="62" t="n"/>
      <c r="B181" s="58" t="n"/>
      <c r="C181" s="62" t="n"/>
      <c r="D181" s="62" t="n"/>
      <c r="E181" s="62" t="n"/>
      <c r="F181" s="62" t="n"/>
      <c r="G181" s="63" t="n"/>
      <c r="H181" s="63" t="n"/>
      <c r="I181" s="62" t="n"/>
    </row>
    <row r="182" ht="15.75" customHeight="1" s="125">
      <c r="A182" s="62" t="n"/>
      <c r="B182" s="58" t="n"/>
      <c r="C182" s="62" t="n"/>
      <c r="D182" s="62" t="n"/>
      <c r="E182" s="62" t="n"/>
      <c r="F182" s="62" t="n"/>
      <c r="G182" s="63" t="n"/>
      <c r="H182" s="63" t="n"/>
      <c r="I182" s="62" t="n"/>
    </row>
    <row r="183" ht="15.75" customHeight="1" s="125">
      <c r="A183" s="62" t="n"/>
      <c r="B183" s="58" t="n"/>
      <c r="C183" s="62" t="n"/>
      <c r="D183" s="62" t="n"/>
      <c r="E183" s="62" t="n"/>
      <c r="F183" s="62" t="n"/>
      <c r="G183" s="63" t="n"/>
      <c r="H183" s="63" t="n"/>
      <c r="I183" s="62" t="n"/>
    </row>
    <row r="184" ht="15.75" customHeight="1" s="125">
      <c r="A184" s="62" t="n"/>
      <c r="B184" s="58" t="n"/>
      <c r="C184" s="62" t="n"/>
      <c r="D184" s="62" t="n"/>
      <c r="E184" s="62" t="n"/>
      <c r="F184" s="62" t="n"/>
      <c r="G184" s="63" t="n"/>
      <c r="H184" s="63" t="n"/>
      <c r="I184" s="62" t="n"/>
    </row>
    <row r="185" ht="15.75" customHeight="1" s="125">
      <c r="A185" s="62" t="n"/>
      <c r="B185" s="58" t="n"/>
      <c r="C185" s="62" t="n"/>
      <c r="D185" s="62" t="n"/>
      <c r="E185" s="62" t="n"/>
      <c r="F185" s="62" t="n"/>
      <c r="G185" s="63" t="n"/>
      <c r="H185" s="63" t="n"/>
      <c r="I185" s="62" t="n"/>
    </row>
    <row r="186" ht="15.75" customHeight="1" s="125">
      <c r="A186" s="62" t="n"/>
      <c r="B186" s="58" t="n"/>
      <c r="C186" s="62" t="n"/>
      <c r="D186" s="62" t="n"/>
      <c r="E186" s="62" t="n"/>
      <c r="F186" s="62" t="n"/>
      <c r="G186" s="63" t="n"/>
      <c r="H186" s="63" t="n"/>
      <c r="I186" s="62" t="n"/>
    </row>
    <row r="187" ht="15.75" customHeight="1" s="125">
      <c r="A187" s="62" t="n"/>
      <c r="B187" s="58" t="n"/>
      <c r="C187" s="62" t="n"/>
      <c r="D187" s="62" t="n"/>
      <c r="E187" s="62" t="n"/>
      <c r="F187" s="62" t="n"/>
      <c r="G187" s="63" t="n"/>
      <c r="H187" s="63" t="n"/>
      <c r="I187" s="62" t="n"/>
    </row>
    <row r="188" ht="15.75" customHeight="1" s="125">
      <c r="A188" s="62" t="n"/>
      <c r="B188" s="58" t="n"/>
      <c r="C188" s="62" t="n"/>
      <c r="D188" s="62" t="n"/>
      <c r="E188" s="62" t="n"/>
      <c r="F188" s="62" t="n"/>
      <c r="G188" s="63" t="n"/>
      <c r="H188" s="63" t="n"/>
      <c r="I188" s="62" t="n"/>
    </row>
    <row r="189" ht="15.75" customHeight="1" s="125">
      <c r="A189" s="62" t="n"/>
      <c r="B189" s="58" t="n"/>
      <c r="C189" s="62" t="n"/>
      <c r="D189" s="62" t="n"/>
      <c r="E189" s="62" t="n"/>
      <c r="F189" s="62" t="n"/>
      <c r="G189" s="63" t="n"/>
      <c r="H189" s="63" t="n"/>
      <c r="I189" s="62" t="n"/>
    </row>
    <row r="190" ht="15.75" customHeight="1" s="125">
      <c r="A190" s="62" t="n"/>
      <c r="B190" s="58" t="n"/>
      <c r="C190" s="62" t="n"/>
      <c r="D190" s="62" t="n"/>
      <c r="E190" s="62" t="n"/>
      <c r="F190" s="62" t="n"/>
      <c r="G190" s="63" t="n"/>
      <c r="H190" s="63" t="n"/>
      <c r="I190" s="62" t="n"/>
    </row>
    <row r="191" ht="15.75" customHeight="1" s="125">
      <c r="A191" s="62" t="n"/>
      <c r="B191" s="58" t="n"/>
      <c r="C191" s="62" t="n"/>
      <c r="D191" s="62" t="n"/>
      <c r="E191" s="62" t="n"/>
      <c r="F191" s="62" t="n"/>
      <c r="G191" s="63" t="n"/>
      <c r="H191" s="63" t="n"/>
      <c r="I191" s="62" t="n"/>
    </row>
    <row r="192" ht="15.75" customHeight="1" s="125">
      <c r="A192" s="62" t="n"/>
      <c r="B192" s="58" t="n"/>
      <c r="C192" s="62" t="n"/>
      <c r="D192" s="62" t="n"/>
      <c r="E192" s="62" t="n"/>
      <c r="F192" s="62" t="n"/>
      <c r="G192" s="63" t="n"/>
      <c r="H192" s="63" t="n"/>
      <c r="I192" s="62" t="n"/>
    </row>
    <row r="193" ht="15.75" customHeight="1" s="125">
      <c r="A193" s="62" t="n"/>
      <c r="B193" s="58" t="n"/>
      <c r="C193" s="62" t="n"/>
      <c r="D193" s="62" t="n"/>
      <c r="E193" s="62" t="n"/>
      <c r="F193" s="62" t="n"/>
      <c r="G193" s="63" t="n"/>
      <c r="H193" s="63" t="n"/>
      <c r="I193" s="62" t="n"/>
    </row>
    <row r="194" ht="15.75" customHeight="1" s="125">
      <c r="A194" s="62" t="n"/>
      <c r="B194" s="58" t="n"/>
      <c r="C194" s="62" t="n"/>
      <c r="D194" s="62" t="n"/>
      <c r="E194" s="62" t="n"/>
      <c r="F194" s="62" t="n"/>
      <c r="G194" s="63" t="n"/>
      <c r="H194" s="63" t="n"/>
      <c r="I194" s="62" t="n"/>
    </row>
    <row r="195" ht="15.75" customHeight="1" s="125">
      <c r="A195" s="62" t="n"/>
      <c r="B195" s="58" t="n"/>
      <c r="C195" s="62" t="n"/>
      <c r="D195" s="62" t="n"/>
      <c r="E195" s="62" t="n"/>
      <c r="F195" s="62" t="n"/>
      <c r="G195" s="63" t="n"/>
      <c r="H195" s="63" t="n"/>
      <c r="I195" s="62" t="n"/>
    </row>
    <row r="196" ht="15.75" customHeight="1" s="125">
      <c r="A196" s="62" t="n"/>
      <c r="B196" s="58" t="n"/>
      <c r="C196" s="62" t="n"/>
      <c r="D196" s="62" t="n"/>
      <c r="E196" s="62" t="n"/>
      <c r="F196" s="62" t="n"/>
      <c r="G196" s="63" t="n"/>
      <c r="H196" s="63" t="n"/>
      <c r="I196" s="62" t="n"/>
    </row>
    <row r="197" ht="15.75" customHeight="1" s="125">
      <c r="A197" s="62" t="n"/>
      <c r="B197" s="58" t="n"/>
      <c r="C197" s="62" t="n"/>
      <c r="D197" s="62" t="n"/>
      <c r="E197" s="62" t="n"/>
      <c r="F197" s="62" t="n"/>
      <c r="G197" s="63" t="n"/>
      <c r="H197" s="63" t="n"/>
      <c r="I197" s="62" t="n"/>
    </row>
    <row r="198" ht="15.75" customHeight="1" s="125">
      <c r="A198" s="62" t="n"/>
      <c r="B198" s="58" t="n"/>
      <c r="C198" s="62" t="n"/>
      <c r="D198" s="62" t="n"/>
      <c r="E198" s="62" t="n"/>
      <c r="F198" s="62" t="n"/>
      <c r="G198" s="63" t="n"/>
      <c r="H198" s="63" t="n"/>
      <c r="I198" s="62" t="n"/>
    </row>
    <row r="199" ht="15.75" customHeight="1" s="125">
      <c r="A199" s="62" t="n"/>
      <c r="B199" s="58" t="n"/>
      <c r="C199" s="62" t="n"/>
      <c r="D199" s="62" t="n"/>
      <c r="E199" s="62" t="n"/>
      <c r="F199" s="62" t="n"/>
      <c r="G199" s="63" t="n"/>
      <c r="H199" s="63" t="n"/>
      <c r="I199" s="62" t="n"/>
    </row>
    <row r="200" ht="15.75" customHeight="1" s="125">
      <c r="A200" s="62" t="n"/>
      <c r="B200" s="58" t="n"/>
      <c r="C200" s="62" t="n"/>
      <c r="D200" s="62" t="n"/>
      <c r="E200" s="62" t="n"/>
      <c r="F200" s="62" t="n"/>
      <c r="G200" s="63" t="n"/>
      <c r="H200" s="63" t="n"/>
      <c r="I200" s="62" t="n"/>
    </row>
    <row r="201" ht="15.75" customHeight="1" s="125">
      <c r="A201" s="62" t="n"/>
      <c r="B201" s="58" t="n"/>
      <c r="C201" s="62" t="n"/>
      <c r="D201" s="62" t="n"/>
      <c r="E201" s="62" t="n"/>
      <c r="F201" s="62" t="n"/>
      <c r="G201" s="63" t="n"/>
      <c r="H201" s="63" t="n"/>
      <c r="I201" s="62" t="n"/>
    </row>
    <row r="202" ht="15.75" customHeight="1" s="125">
      <c r="A202" s="62" t="n"/>
      <c r="B202" s="58" t="n"/>
      <c r="C202" s="62" t="n"/>
      <c r="D202" s="62" t="n"/>
      <c r="E202" s="62" t="n"/>
      <c r="F202" s="62" t="n"/>
      <c r="G202" s="63" t="n"/>
      <c r="H202" s="63" t="n"/>
      <c r="I202" s="62" t="n"/>
    </row>
    <row r="203" ht="15.75" customHeight="1" s="125">
      <c r="A203" s="62" t="n"/>
      <c r="B203" s="58" t="n"/>
      <c r="C203" s="62" t="n"/>
      <c r="D203" s="62" t="n"/>
      <c r="E203" s="62" t="n"/>
      <c r="F203" s="62" t="n"/>
      <c r="G203" s="63" t="n"/>
      <c r="H203" s="63" t="n"/>
      <c r="I203" s="62" t="n"/>
    </row>
    <row r="204" ht="15.75" customHeight="1" s="125">
      <c r="A204" s="62" t="n"/>
      <c r="B204" s="58" t="n"/>
      <c r="C204" s="62" t="n"/>
      <c r="D204" s="62" t="n"/>
      <c r="E204" s="62" t="n"/>
      <c r="F204" s="62" t="n"/>
      <c r="G204" s="63" t="n"/>
      <c r="H204" s="63" t="n"/>
      <c r="I204" s="62" t="n"/>
    </row>
    <row r="205" ht="15.75" customHeight="1" s="125">
      <c r="A205" s="62" t="n"/>
      <c r="B205" s="58" t="n"/>
      <c r="C205" s="62" t="n"/>
      <c r="D205" s="62" t="n"/>
      <c r="E205" s="62" t="n"/>
      <c r="F205" s="62" t="n"/>
      <c r="G205" s="63" t="n"/>
      <c r="H205" s="63" t="n"/>
      <c r="I205" s="62" t="n"/>
    </row>
    <row r="206" ht="15.75" customHeight="1" s="125">
      <c r="A206" s="62" t="n"/>
      <c r="B206" s="58" t="n"/>
      <c r="C206" s="62" t="n"/>
      <c r="D206" s="62" t="n"/>
      <c r="E206" s="62" t="n"/>
      <c r="F206" s="62" t="n"/>
      <c r="G206" s="63" t="n"/>
      <c r="H206" s="63" t="n"/>
      <c r="I206" s="62" t="n"/>
    </row>
    <row r="207" ht="15.75" customHeight="1" s="125">
      <c r="A207" s="62" t="n"/>
      <c r="B207" s="58" t="n"/>
      <c r="C207" s="62" t="n"/>
      <c r="D207" s="62" t="n"/>
      <c r="E207" s="62" t="n"/>
      <c r="F207" s="62" t="n"/>
      <c r="G207" s="63" t="n"/>
      <c r="H207" s="63" t="n"/>
      <c r="I207" s="62" t="n"/>
    </row>
    <row r="208" ht="15.75" customHeight="1" s="125">
      <c r="A208" s="62" t="n"/>
      <c r="B208" s="58" t="n"/>
      <c r="C208" s="62" t="n"/>
      <c r="D208" s="62" t="n"/>
      <c r="E208" s="62" t="n"/>
      <c r="F208" s="62" t="n"/>
      <c r="G208" s="63" t="n"/>
      <c r="H208" s="63" t="n"/>
      <c r="I208" s="62" t="n"/>
    </row>
    <row r="209" ht="15.75" customHeight="1" s="125">
      <c r="A209" s="62" t="n"/>
      <c r="B209" s="58" t="n"/>
      <c r="C209" s="62" t="n"/>
      <c r="D209" s="62" t="n"/>
      <c r="E209" s="62" t="n"/>
      <c r="F209" s="62" t="n"/>
      <c r="G209" s="63" t="n"/>
      <c r="H209" s="63" t="n"/>
      <c r="I209" s="62" t="n"/>
    </row>
    <row r="210" ht="15.75" customHeight="1" s="125">
      <c r="A210" s="62" t="n"/>
      <c r="B210" s="58" t="n"/>
      <c r="C210" s="62" t="n"/>
      <c r="D210" s="62" t="n"/>
      <c r="E210" s="62" t="n"/>
      <c r="F210" s="62" t="n"/>
      <c r="G210" s="63" t="n"/>
      <c r="H210" s="63" t="n"/>
      <c r="I210" s="62" t="n"/>
    </row>
    <row r="211" ht="15.75" customHeight="1" s="125">
      <c r="A211" s="62" t="n"/>
      <c r="B211" s="58" t="n"/>
      <c r="C211" s="62" t="n"/>
      <c r="D211" s="62" t="n"/>
      <c r="E211" s="62" t="n"/>
      <c r="F211" s="62" t="n"/>
      <c r="G211" s="63" t="n"/>
      <c r="H211" s="63" t="n"/>
      <c r="I211" s="62" t="n"/>
    </row>
    <row r="212" ht="15.75" customHeight="1" s="125">
      <c r="A212" s="62" t="n"/>
      <c r="B212" s="58" t="n"/>
      <c r="C212" s="62" t="n"/>
      <c r="D212" s="62" t="n"/>
      <c r="E212" s="62" t="n"/>
      <c r="F212" s="62" t="n"/>
      <c r="G212" s="63" t="n"/>
      <c r="H212" s="63" t="n"/>
      <c r="I212" s="62" t="n"/>
    </row>
    <row r="213" ht="15.75" customHeight="1" s="125">
      <c r="A213" s="62" t="n"/>
      <c r="B213" s="58" t="n"/>
      <c r="C213" s="62" t="n"/>
      <c r="D213" s="62" t="n"/>
      <c r="E213" s="62" t="n"/>
      <c r="F213" s="62" t="n"/>
      <c r="G213" s="63" t="n"/>
      <c r="H213" s="63" t="n"/>
      <c r="I213" s="62" t="n"/>
    </row>
    <row r="214" ht="15.75" customHeight="1" s="125">
      <c r="A214" s="62" t="n"/>
      <c r="B214" s="58" t="n"/>
      <c r="C214" s="62" t="n"/>
      <c r="D214" s="62" t="n"/>
      <c r="E214" s="62" t="n"/>
      <c r="F214" s="62" t="n"/>
      <c r="G214" s="63" t="n"/>
      <c r="H214" s="63" t="n"/>
      <c r="I214" s="62" t="n"/>
    </row>
    <row r="215" ht="15.75" customHeight="1" s="125">
      <c r="A215" s="62" t="n"/>
      <c r="B215" s="58" t="n"/>
      <c r="C215" s="62" t="n"/>
      <c r="D215" s="62" t="n"/>
      <c r="E215" s="62" t="n"/>
      <c r="F215" s="62" t="n"/>
      <c r="G215" s="63" t="n"/>
      <c r="H215" s="63" t="n"/>
      <c r="I215" s="62" t="n"/>
    </row>
    <row r="216" ht="15.75" customHeight="1" s="125">
      <c r="A216" s="62" t="n"/>
      <c r="B216" s="58" t="n"/>
      <c r="C216" s="62" t="n"/>
      <c r="D216" s="62" t="n"/>
      <c r="E216" s="62" t="n"/>
      <c r="F216" s="62" t="n"/>
      <c r="G216" s="63" t="n"/>
      <c r="H216" s="63" t="n"/>
      <c r="I216" s="62" t="n"/>
    </row>
    <row r="217" ht="15.75" customHeight="1" s="125">
      <c r="A217" s="62" t="n"/>
      <c r="B217" s="58" t="n"/>
      <c r="C217" s="62" t="n"/>
      <c r="D217" s="62" t="n"/>
      <c r="E217" s="62" t="n"/>
      <c r="F217" s="62" t="n"/>
      <c r="G217" s="63" t="n"/>
      <c r="H217" s="63" t="n"/>
      <c r="I217" s="62" t="n"/>
    </row>
    <row r="218" ht="15.75" customHeight="1" s="125">
      <c r="A218" s="62" t="n"/>
      <c r="B218" s="58" t="n"/>
      <c r="C218" s="62" t="n"/>
      <c r="D218" s="62" t="n"/>
      <c r="E218" s="62" t="n"/>
      <c r="F218" s="62" t="n"/>
      <c r="G218" s="63" t="n"/>
      <c r="H218" s="63" t="n"/>
      <c r="I218" s="62" t="n"/>
    </row>
    <row r="219" ht="15.75" customHeight="1" s="125">
      <c r="A219" s="62" t="n"/>
      <c r="B219" s="58" t="n"/>
      <c r="C219" s="62" t="n"/>
      <c r="D219" s="62" t="n"/>
      <c r="E219" s="62" t="n"/>
      <c r="F219" s="62" t="n"/>
      <c r="G219" s="63" t="n"/>
      <c r="H219" s="63" t="n"/>
      <c r="I219" s="62" t="n"/>
    </row>
    <row r="220" ht="15.75" customHeight="1" s="125">
      <c r="A220" s="62" t="n"/>
      <c r="B220" s="58" t="n"/>
      <c r="C220" s="62" t="n"/>
      <c r="D220" s="62" t="n"/>
      <c r="E220" s="62" t="n"/>
      <c r="F220" s="62" t="n"/>
      <c r="G220" s="63" t="n"/>
      <c r="H220" s="63" t="n"/>
      <c r="I220" s="62" t="n"/>
    </row>
    <row r="221" ht="15.75" customHeight="1" s="125">
      <c r="A221" s="62" t="n"/>
      <c r="B221" s="58" t="n"/>
      <c r="C221" s="62" t="n"/>
      <c r="D221" s="62" t="n"/>
      <c r="E221" s="62" t="n"/>
      <c r="F221" s="62" t="n"/>
      <c r="G221" s="63" t="n"/>
      <c r="H221" s="63" t="n"/>
      <c r="I221" s="62" t="n"/>
    </row>
    <row r="222" ht="15.75" customHeight="1" s="125">
      <c r="A222" s="62" t="n"/>
      <c r="B222" s="58" t="n"/>
      <c r="C222" s="62" t="n"/>
      <c r="D222" s="62" t="n"/>
      <c r="E222" s="62" t="n"/>
      <c r="F222" s="62" t="n"/>
      <c r="G222" s="63" t="n"/>
      <c r="H222" s="63" t="n"/>
      <c r="I222" s="62" t="n"/>
    </row>
    <row r="223" ht="15.75" customHeight="1" s="125">
      <c r="A223" s="62" t="n"/>
      <c r="B223" s="58" t="n"/>
      <c r="C223" s="62" t="n"/>
      <c r="D223" s="62" t="n"/>
      <c r="E223" s="62" t="n"/>
      <c r="F223" s="62" t="n"/>
      <c r="G223" s="63" t="n"/>
      <c r="H223" s="63" t="n"/>
      <c r="I223" s="62" t="n"/>
    </row>
    <row r="224" ht="15.75" customHeight="1" s="125">
      <c r="A224" s="62" t="n"/>
      <c r="B224" s="58" t="n"/>
      <c r="C224" s="62" t="n"/>
      <c r="D224" s="62" t="n"/>
      <c r="E224" s="62" t="n"/>
      <c r="F224" s="62" t="n"/>
      <c r="G224" s="63" t="n"/>
      <c r="H224" s="63" t="n"/>
      <c r="I224" s="62" t="n"/>
    </row>
    <row r="225" ht="15.75" customHeight="1" s="125">
      <c r="A225" s="62" t="n"/>
      <c r="B225" s="58" t="n"/>
      <c r="C225" s="62" t="n"/>
      <c r="D225" s="62" t="n"/>
      <c r="E225" s="62" t="n"/>
      <c r="F225" s="62" t="n"/>
      <c r="G225" s="63" t="n"/>
      <c r="H225" s="63" t="n"/>
      <c r="I225" s="62" t="n"/>
    </row>
    <row r="226" ht="15.75" customHeight="1" s="125">
      <c r="A226" s="62" t="n"/>
      <c r="B226" s="58" t="n"/>
      <c r="C226" s="62" t="n"/>
      <c r="D226" s="62" t="n"/>
      <c r="E226" s="62" t="n"/>
      <c r="F226" s="62" t="n"/>
      <c r="G226" s="63" t="n"/>
      <c r="H226" s="63" t="n"/>
      <c r="I226" s="62" t="n"/>
    </row>
    <row r="227" ht="15.75" customHeight="1" s="125">
      <c r="A227" s="62" t="n"/>
      <c r="B227" s="58" t="n"/>
      <c r="C227" s="62" t="n"/>
      <c r="D227" s="62" t="n"/>
      <c r="E227" s="62" t="n"/>
      <c r="F227" s="62" t="n"/>
      <c r="G227" s="63" t="n"/>
      <c r="H227" s="63" t="n"/>
      <c r="I227" s="62" t="n"/>
    </row>
    <row r="228" ht="15.75" customHeight="1" s="125">
      <c r="A228" s="62" t="n"/>
      <c r="B228" s="58" t="n"/>
      <c r="C228" s="62" t="n"/>
      <c r="D228" s="62" t="n"/>
      <c r="E228" s="62" t="n"/>
      <c r="F228" s="62" t="n"/>
      <c r="G228" s="63" t="n"/>
      <c r="H228" s="63" t="n"/>
      <c r="I228" s="62" t="n"/>
    </row>
    <row r="229" ht="15.75" customHeight="1" s="125">
      <c r="A229" s="62" t="n"/>
      <c r="B229" s="58" t="n"/>
      <c r="C229" s="62" t="n"/>
      <c r="D229" s="62" t="n"/>
      <c r="E229" s="62" t="n"/>
      <c r="F229" s="62" t="n"/>
      <c r="G229" s="63" t="n"/>
      <c r="H229" s="63" t="n"/>
      <c r="I229" s="62" t="n"/>
    </row>
    <row r="230" ht="15.75" customHeight="1" s="125">
      <c r="A230" s="62" t="n"/>
      <c r="B230" s="58" t="n"/>
      <c r="C230" s="62" t="n"/>
      <c r="D230" s="62" t="n"/>
      <c r="E230" s="62" t="n"/>
      <c r="F230" s="62" t="n"/>
      <c r="G230" s="63" t="n"/>
      <c r="H230" s="63" t="n"/>
      <c r="I230" s="62" t="n"/>
    </row>
    <row r="231" ht="15.75" customHeight="1" s="125">
      <c r="A231" s="62" t="n"/>
      <c r="B231" s="58" t="n"/>
      <c r="C231" s="62" t="n"/>
      <c r="D231" s="62" t="n"/>
      <c r="E231" s="62" t="n"/>
      <c r="F231" s="62" t="n"/>
      <c r="G231" s="63" t="n"/>
      <c r="H231" s="63" t="n"/>
      <c r="I231" s="62" t="n"/>
    </row>
    <row r="232" ht="15.75" customHeight="1" s="125">
      <c r="A232" s="62" t="n"/>
      <c r="B232" s="58" t="n"/>
      <c r="C232" s="62" t="n"/>
      <c r="D232" s="62" t="n"/>
      <c r="E232" s="62" t="n"/>
      <c r="F232" s="62" t="n"/>
      <c r="G232" s="63" t="n"/>
      <c r="H232" s="63" t="n"/>
      <c r="I232" s="62" t="n"/>
    </row>
    <row r="233" ht="15.75" customHeight="1" s="125">
      <c r="A233" s="62" t="n"/>
      <c r="B233" s="58" t="n"/>
      <c r="C233" s="62" t="n"/>
      <c r="D233" s="62" t="n"/>
      <c r="E233" s="62" t="n"/>
      <c r="F233" s="62" t="n"/>
      <c r="G233" s="63" t="n"/>
      <c r="H233" s="63" t="n"/>
      <c r="I233" s="62" t="n"/>
    </row>
    <row r="234" ht="15.75" customHeight="1" s="125">
      <c r="A234" s="62" t="n"/>
      <c r="B234" s="58" t="n"/>
      <c r="C234" s="62" t="n"/>
      <c r="D234" s="62" t="n"/>
      <c r="E234" s="62" t="n"/>
      <c r="F234" s="62" t="n"/>
      <c r="G234" s="63" t="n"/>
      <c r="H234" s="63" t="n"/>
      <c r="I234" s="62" t="n"/>
    </row>
    <row r="235" ht="15.75" customHeight="1" s="125">
      <c r="A235" s="62" t="n"/>
      <c r="B235" s="58" t="n"/>
      <c r="C235" s="62" t="n"/>
      <c r="D235" s="62" t="n"/>
      <c r="E235" s="62" t="n"/>
      <c r="F235" s="62" t="n"/>
      <c r="G235" s="63" t="n"/>
      <c r="H235" s="63" t="n"/>
      <c r="I235" s="62" t="n"/>
    </row>
    <row r="236" ht="15.75" customHeight="1" s="125">
      <c r="A236" s="62" t="n"/>
      <c r="B236" s="58" t="n"/>
      <c r="C236" s="62" t="n"/>
      <c r="D236" s="62" t="n"/>
      <c r="E236" s="62" t="n"/>
      <c r="F236" s="62" t="n"/>
      <c r="G236" s="63" t="n"/>
      <c r="H236" s="63" t="n"/>
      <c r="I236" s="62" t="n"/>
    </row>
    <row r="237" ht="15.75" customHeight="1" s="125">
      <c r="A237" s="62" t="n"/>
      <c r="B237" s="58" t="n"/>
      <c r="C237" s="62" t="n"/>
      <c r="D237" s="62" t="n"/>
      <c r="E237" s="62" t="n"/>
      <c r="F237" s="62" t="n"/>
      <c r="G237" s="63" t="n"/>
      <c r="H237" s="63" t="n"/>
      <c r="I237" s="62" t="n"/>
    </row>
    <row r="238" ht="15.75" customHeight="1" s="125">
      <c r="A238" s="62" t="n"/>
      <c r="B238" s="58" t="n"/>
      <c r="C238" s="62" t="n"/>
      <c r="D238" s="62" t="n"/>
      <c r="E238" s="62" t="n"/>
      <c r="F238" s="62" t="n"/>
      <c r="G238" s="63" t="n"/>
      <c r="H238" s="63" t="n"/>
      <c r="I238" s="62" t="n"/>
    </row>
    <row r="239" ht="15.75" customHeight="1" s="125">
      <c r="A239" s="62" t="n"/>
      <c r="B239" s="58" t="n"/>
      <c r="C239" s="62" t="n"/>
      <c r="D239" s="62" t="n"/>
      <c r="E239" s="62" t="n"/>
      <c r="F239" s="62" t="n"/>
      <c r="G239" s="63" t="n"/>
      <c r="H239" s="63" t="n"/>
      <c r="I239" s="62" t="n"/>
    </row>
    <row r="240" ht="15.75" customHeight="1" s="125">
      <c r="A240" s="62" t="n"/>
      <c r="B240" s="58" t="n"/>
      <c r="C240" s="62" t="n"/>
      <c r="D240" s="62" t="n"/>
      <c r="E240" s="62" t="n"/>
      <c r="F240" s="62" t="n"/>
      <c r="G240" s="63" t="n"/>
      <c r="H240" s="63" t="n"/>
      <c r="I240" s="62" t="n"/>
    </row>
    <row r="241" ht="15.75" customHeight="1" s="125">
      <c r="A241" s="62" t="n"/>
      <c r="B241" s="58" t="n"/>
      <c r="C241" s="62" t="n"/>
      <c r="D241" s="62" t="n"/>
      <c r="E241" s="62" t="n"/>
      <c r="F241" s="62" t="n"/>
      <c r="G241" s="63" t="n"/>
      <c r="H241" s="63" t="n"/>
      <c r="I241" s="62" t="n"/>
    </row>
    <row r="242" ht="15.75" customHeight="1" s="125">
      <c r="A242" s="62" t="n"/>
      <c r="B242" s="58" t="n"/>
      <c r="C242" s="62" t="n"/>
      <c r="D242" s="62" t="n"/>
      <c r="E242" s="62" t="n"/>
      <c r="F242" s="62" t="n"/>
      <c r="G242" s="63" t="n"/>
      <c r="H242" s="63" t="n"/>
      <c r="I242" s="62" t="n"/>
    </row>
    <row r="243" ht="15.75" customHeight="1" s="125">
      <c r="A243" s="62" t="n"/>
      <c r="B243" s="58" t="n"/>
      <c r="C243" s="62" t="n"/>
      <c r="D243" s="62" t="n"/>
      <c r="E243" s="62" t="n"/>
      <c r="F243" s="62" t="n"/>
      <c r="G243" s="63" t="n"/>
      <c r="H243" s="63" t="n"/>
      <c r="I243" s="62" t="n"/>
    </row>
    <row r="244" ht="15.75" customHeight="1" s="125">
      <c r="A244" s="62" t="n"/>
      <c r="B244" s="58" t="n"/>
      <c r="C244" s="62" t="n"/>
      <c r="D244" s="62" t="n"/>
      <c r="E244" s="62" t="n"/>
      <c r="F244" s="62" t="n"/>
      <c r="G244" s="63" t="n"/>
      <c r="H244" s="63" t="n"/>
      <c r="I244" s="62" t="n"/>
    </row>
    <row r="245" ht="15.75" customHeight="1" s="125">
      <c r="A245" s="62" t="n"/>
      <c r="B245" s="58" t="n"/>
      <c r="C245" s="62" t="n"/>
      <c r="D245" s="62" t="n"/>
      <c r="E245" s="62" t="n"/>
      <c r="F245" s="62" t="n"/>
      <c r="G245" s="63" t="n"/>
      <c r="H245" s="63" t="n"/>
      <c r="I245" s="62" t="n"/>
    </row>
    <row r="246" ht="15.75" customHeight="1" s="125">
      <c r="A246" s="62" t="n"/>
      <c r="B246" s="58" t="n"/>
      <c r="C246" s="62" t="n"/>
      <c r="D246" s="62" t="n"/>
      <c r="E246" s="62" t="n"/>
      <c r="F246" s="62" t="n"/>
      <c r="G246" s="63" t="n"/>
      <c r="H246" s="63" t="n"/>
      <c r="I246" s="62" t="n"/>
    </row>
    <row r="247" ht="15.75" customHeight="1" s="125">
      <c r="A247" s="62" t="n"/>
      <c r="B247" s="58" t="n"/>
      <c r="C247" s="62" t="n"/>
      <c r="D247" s="62" t="n"/>
      <c r="E247" s="62" t="n"/>
      <c r="F247" s="62" t="n"/>
      <c r="G247" s="63" t="n"/>
      <c r="H247" s="63" t="n"/>
      <c r="I247" s="62" t="n"/>
    </row>
    <row r="248" ht="15.75" customHeight="1" s="125">
      <c r="A248" s="62" t="n"/>
      <c r="B248" s="58" t="n"/>
      <c r="C248" s="62" t="n"/>
      <c r="D248" s="62" t="n"/>
      <c r="E248" s="62" t="n"/>
      <c r="F248" s="62" t="n"/>
      <c r="G248" s="63" t="n"/>
      <c r="H248" s="63" t="n"/>
      <c r="I248" s="62" t="n"/>
    </row>
    <row r="249" ht="15.75" customHeight="1" s="125">
      <c r="A249" s="62" t="n"/>
      <c r="B249" s="58" t="n"/>
      <c r="C249" s="62" t="n"/>
      <c r="D249" s="62" t="n"/>
      <c r="E249" s="62" t="n"/>
      <c r="F249" s="62" t="n"/>
      <c r="G249" s="63" t="n"/>
      <c r="H249" s="63" t="n"/>
      <c r="I249" s="62" t="n"/>
    </row>
    <row r="250" ht="15.75" customHeight="1" s="125">
      <c r="A250" s="62" t="n"/>
      <c r="B250" s="58" t="n"/>
      <c r="C250" s="62" t="n"/>
      <c r="D250" s="62" t="n"/>
      <c r="E250" s="62" t="n"/>
      <c r="F250" s="62" t="n"/>
      <c r="G250" s="63" t="n"/>
      <c r="H250" s="63" t="n"/>
      <c r="I250" s="62" t="n"/>
    </row>
    <row r="251" ht="15.75" customHeight="1" s="125">
      <c r="A251" s="62" t="n"/>
      <c r="B251" s="58" t="n"/>
      <c r="C251" s="62" t="n"/>
      <c r="D251" s="62" t="n"/>
      <c r="E251" s="62" t="n"/>
      <c r="F251" s="62" t="n"/>
      <c r="G251" s="63" t="n"/>
      <c r="H251" s="63" t="n"/>
      <c r="I251" s="62" t="n"/>
    </row>
    <row r="252" ht="15.75" customHeight="1" s="125">
      <c r="A252" s="62" t="n"/>
      <c r="B252" s="58" t="n"/>
      <c r="C252" s="62" t="n"/>
      <c r="D252" s="62" t="n"/>
      <c r="E252" s="62" t="n"/>
      <c r="F252" s="62" t="n"/>
      <c r="G252" s="63" t="n"/>
      <c r="H252" s="63" t="n"/>
      <c r="I252" s="62" t="n"/>
    </row>
    <row r="253" ht="15.75" customHeight="1" s="125">
      <c r="A253" s="62" t="n"/>
      <c r="B253" s="58" t="n"/>
      <c r="C253" s="62" t="n"/>
      <c r="D253" s="62" t="n"/>
      <c r="E253" s="62" t="n"/>
      <c r="F253" s="62" t="n"/>
      <c r="G253" s="63" t="n"/>
      <c r="H253" s="63" t="n"/>
      <c r="I253" s="62" t="n"/>
    </row>
    <row r="254" ht="15.75" customHeight="1" s="125">
      <c r="A254" s="62" t="n"/>
      <c r="B254" s="58" t="n"/>
      <c r="C254" s="62" t="n"/>
      <c r="D254" s="62" t="n"/>
      <c r="E254" s="62" t="n"/>
      <c r="F254" s="62" t="n"/>
      <c r="G254" s="63" t="n"/>
      <c r="H254" s="63" t="n"/>
      <c r="I254" s="62" t="n"/>
    </row>
    <row r="255" ht="15.75" customHeight="1" s="125">
      <c r="A255" s="62" t="n"/>
      <c r="B255" s="58" t="n"/>
      <c r="C255" s="62" t="n"/>
      <c r="D255" s="62" t="n"/>
      <c r="E255" s="62" t="n"/>
      <c r="F255" s="62" t="n"/>
      <c r="G255" s="63" t="n"/>
      <c r="H255" s="63" t="n"/>
      <c r="I255" s="62" t="n"/>
    </row>
    <row r="256" ht="15.75" customHeight="1" s="125">
      <c r="A256" s="62" t="n"/>
      <c r="B256" s="58" t="n"/>
      <c r="C256" s="62" t="n"/>
      <c r="D256" s="62" t="n"/>
      <c r="E256" s="62" t="n"/>
      <c r="F256" s="62" t="n"/>
      <c r="G256" s="63" t="n"/>
      <c r="H256" s="63" t="n"/>
      <c r="I256" s="62" t="n"/>
    </row>
    <row r="257" ht="15.75" customHeight="1" s="125">
      <c r="A257" s="62" t="n"/>
      <c r="B257" s="58" t="n"/>
      <c r="C257" s="62" t="n"/>
      <c r="D257" s="62" t="n"/>
      <c r="E257" s="62" t="n"/>
      <c r="F257" s="62" t="n"/>
      <c r="G257" s="63" t="n"/>
      <c r="H257" s="63" t="n"/>
      <c r="I257" s="62" t="n"/>
    </row>
    <row r="258" ht="15.75" customHeight="1" s="125">
      <c r="A258" s="62" t="n"/>
      <c r="B258" s="58" t="n"/>
      <c r="C258" s="62" t="n"/>
      <c r="D258" s="62" t="n"/>
      <c r="E258" s="62" t="n"/>
      <c r="F258" s="62" t="n"/>
      <c r="G258" s="63" t="n"/>
      <c r="H258" s="63" t="n"/>
      <c r="I258" s="62" t="n"/>
    </row>
    <row r="259" ht="15.75" customHeight="1" s="125">
      <c r="A259" s="62" t="n"/>
      <c r="B259" s="58" t="n"/>
      <c r="C259" s="62" t="n"/>
      <c r="D259" s="62" t="n"/>
      <c r="E259" s="62" t="n"/>
      <c r="F259" s="62" t="n"/>
      <c r="G259" s="63" t="n"/>
      <c r="H259" s="63" t="n"/>
      <c r="I259" s="62" t="n"/>
    </row>
    <row r="260" ht="15.75" customHeight="1" s="125">
      <c r="A260" s="62" t="n"/>
      <c r="B260" s="58" t="n"/>
      <c r="C260" s="62" t="n"/>
      <c r="D260" s="62" t="n"/>
      <c r="E260" s="62" t="n"/>
      <c r="F260" s="62" t="n"/>
      <c r="G260" s="63" t="n"/>
      <c r="H260" s="63" t="n"/>
      <c r="I260" s="62" t="n"/>
    </row>
    <row r="261" ht="15.75" customHeight="1" s="125">
      <c r="A261" s="62" t="n"/>
      <c r="B261" s="58" t="n"/>
      <c r="C261" s="62" t="n"/>
      <c r="D261" s="62" t="n"/>
      <c r="E261" s="62" t="n"/>
      <c r="F261" s="62" t="n"/>
      <c r="G261" s="63" t="n"/>
      <c r="H261" s="63" t="n"/>
      <c r="I261" s="62" t="n"/>
    </row>
    <row r="262" ht="15.75" customHeight="1" s="125">
      <c r="A262" s="62" t="n"/>
      <c r="B262" s="58" t="n"/>
      <c r="C262" s="62" t="n"/>
      <c r="D262" s="62" t="n"/>
      <c r="E262" s="62" t="n"/>
      <c r="F262" s="62" t="n"/>
      <c r="G262" s="63" t="n"/>
      <c r="H262" s="63" t="n"/>
      <c r="I262" s="62" t="n"/>
    </row>
    <row r="263" ht="15.75" customHeight="1" s="125">
      <c r="A263" s="62" t="n"/>
      <c r="B263" s="58" t="n"/>
      <c r="C263" s="62" t="n"/>
      <c r="D263" s="62" t="n"/>
      <c r="E263" s="62" t="n"/>
      <c r="F263" s="62" t="n"/>
      <c r="G263" s="63" t="n"/>
      <c r="H263" s="63" t="n"/>
      <c r="I263" s="62" t="n"/>
    </row>
    <row r="264" ht="15.75" customHeight="1" s="125">
      <c r="A264" s="62" t="n"/>
      <c r="B264" s="58" t="n"/>
      <c r="C264" s="62" t="n"/>
      <c r="D264" s="62" t="n"/>
      <c r="E264" s="62" t="n"/>
      <c r="F264" s="62" t="n"/>
      <c r="G264" s="63" t="n"/>
      <c r="H264" s="63" t="n"/>
      <c r="I264" s="62" t="n"/>
    </row>
    <row r="265" ht="15.75" customHeight="1" s="125">
      <c r="A265" s="62" t="n"/>
      <c r="B265" s="58" t="n"/>
      <c r="C265" s="62" t="n"/>
      <c r="D265" s="62" t="n"/>
      <c r="E265" s="62" t="n"/>
      <c r="F265" s="62" t="n"/>
      <c r="G265" s="63" t="n"/>
      <c r="H265" s="63" t="n"/>
      <c r="I265" s="62" t="n"/>
    </row>
    <row r="266" ht="15.75" customHeight="1" s="125">
      <c r="A266" s="62" t="n"/>
      <c r="B266" s="58" t="n"/>
      <c r="C266" s="62" t="n"/>
      <c r="D266" s="62" t="n"/>
      <c r="E266" s="62" t="n"/>
      <c r="F266" s="62" t="n"/>
      <c r="G266" s="63" t="n"/>
      <c r="H266" s="63" t="n"/>
      <c r="I266" s="62" t="n"/>
    </row>
    <row r="267" ht="15.75" customHeight="1" s="125">
      <c r="A267" s="62" t="n"/>
      <c r="B267" s="58" t="n"/>
      <c r="C267" s="62" t="n"/>
      <c r="D267" s="62" t="n"/>
      <c r="E267" s="62" t="n"/>
      <c r="F267" s="62" t="n"/>
      <c r="G267" s="63" t="n"/>
      <c r="H267" s="63" t="n"/>
      <c r="I267" s="62" t="n"/>
    </row>
    <row r="268" ht="15.75" customHeight="1" s="125">
      <c r="A268" s="62" t="n"/>
      <c r="B268" s="58" t="n"/>
      <c r="C268" s="62" t="n"/>
      <c r="D268" s="62" t="n"/>
      <c r="E268" s="62" t="n"/>
      <c r="F268" s="62" t="n"/>
      <c r="G268" s="63" t="n"/>
      <c r="H268" s="63" t="n"/>
      <c r="I268" s="62" t="n"/>
    </row>
    <row r="269" ht="15.75" customHeight="1" s="125">
      <c r="A269" s="62" t="n"/>
      <c r="B269" s="58" t="n"/>
      <c r="C269" s="62" t="n"/>
      <c r="D269" s="62" t="n"/>
      <c r="E269" s="62" t="n"/>
      <c r="F269" s="62" t="n"/>
      <c r="G269" s="63" t="n"/>
      <c r="H269" s="63" t="n"/>
      <c r="I269" s="62" t="n"/>
    </row>
    <row r="270" ht="15.75" customHeight="1" s="125">
      <c r="A270" s="62" t="n"/>
      <c r="B270" s="58" t="n"/>
      <c r="C270" s="62" t="n"/>
      <c r="D270" s="62" t="n"/>
      <c r="E270" s="62" t="n"/>
      <c r="F270" s="62" t="n"/>
      <c r="G270" s="63" t="n"/>
      <c r="H270" s="63" t="n"/>
      <c r="I270" s="62" t="n"/>
    </row>
    <row r="271" ht="15.75" customHeight="1" s="125">
      <c r="A271" s="62" t="n"/>
      <c r="B271" s="58" t="n"/>
      <c r="C271" s="62" t="n"/>
      <c r="D271" s="62" t="n"/>
      <c r="E271" s="62" t="n"/>
      <c r="F271" s="62" t="n"/>
      <c r="G271" s="63" t="n"/>
      <c r="H271" s="63" t="n"/>
      <c r="I271" s="62" t="n"/>
    </row>
    <row r="272" ht="15.75" customHeight="1" s="125">
      <c r="A272" s="62" t="n"/>
      <c r="B272" s="58" t="n"/>
      <c r="C272" s="62" t="n"/>
      <c r="D272" s="62" t="n"/>
      <c r="E272" s="62" t="n"/>
      <c r="F272" s="62" t="n"/>
      <c r="G272" s="63" t="n"/>
      <c r="H272" s="63" t="n"/>
      <c r="I272" s="62" t="n"/>
    </row>
    <row r="273" ht="15.75" customHeight="1" s="125">
      <c r="A273" s="62" t="n"/>
      <c r="B273" s="58" t="n"/>
      <c r="C273" s="62" t="n"/>
      <c r="D273" s="62" t="n"/>
      <c r="E273" s="62" t="n"/>
      <c r="F273" s="62" t="n"/>
      <c r="G273" s="63" t="n"/>
      <c r="H273" s="63" t="n"/>
      <c r="I273" s="62" t="n"/>
    </row>
    <row r="274" ht="15.75" customHeight="1" s="125">
      <c r="A274" s="62" t="n"/>
      <c r="B274" s="58" t="n"/>
      <c r="C274" s="62" t="n"/>
      <c r="D274" s="62" t="n"/>
      <c r="E274" s="62" t="n"/>
      <c r="F274" s="62" t="n"/>
      <c r="G274" s="63" t="n"/>
      <c r="H274" s="63" t="n"/>
      <c r="I274" s="62" t="n"/>
    </row>
    <row r="275" ht="15.75" customHeight="1" s="125">
      <c r="A275" s="62" t="n"/>
      <c r="B275" s="58" t="n"/>
      <c r="C275" s="62" t="n"/>
      <c r="D275" s="62" t="n"/>
      <c r="E275" s="62" t="n"/>
      <c r="F275" s="62" t="n"/>
      <c r="G275" s="63" t="n"/>
      <c r="H275" s="63" t="n"/>
      <c r="I275" s="62" t="n"/>
    </row>
    <row r="276" ht="15.75" customHeight="1" s="125">
      <c r="A276" s="62" t="n"/>
      <c r="B276" s="58" t="n"/>
      <c r="C276" s="62" t="n"/>
      <c r="D276" s="62" t="n"/>
      <c r="E276" s="62" t="n"/>
      <c r="F276" s="62" t="n"/>
      <c r="G276" s="63" t="n"/>
      <c r="H276" s="63" t="n"/>
      <c r="I276" s="62" t="n"/>
    </row>
    <row r="277" ht="15.75" customHeight="1" s="125">
      <c r="A277" s="62" t="n"/>
      <c r="B277" s="58" t="n"/>
      <c r="C277" s="62" t="n"/>
      <c r="D277" s="62" t="n"/>
      <c r="E277" s="62" t="n"/>
      <c r="F277" s="62" t="n"/>
      <c r="G277" s="63" t="n"/>
      <c r="H277" s="63" t="n"/>
      <c r="I277" s="62" t="n"/>
    </row>
    <row r="278" ht="15.75" customHeight="1" s="125">
      <c r="A278" s="62" t="n"/>
      <c r="B278" s="58" t="n"/>
      <c r="C278" s="62" t="n"/>
      <c r="D278" s="62" t="n"/>
      <c r="E278" s="62" t="n"/>
      <c r="F278" s="62" t="n"/>
      <c r="G278" s="63" t="n"/>
      <c r="H278" s="63" t="n"/>
      <c r="I278" s="62" t="n"/>
    </row>
    <row r="279" ht="15.75" customHeight="1" s="125">
      <c r="A279" s="62" t="n"/>
      <c r="B279" s="58" t="n"/>
      <c r="C279" s="62" t="n"/>
      <c r="D279" s="62" t="n"/>
      <c r="E279" s="62" t="n"/>
      <c r="F279" s="62" t="n"/>
      <c r="G279" s="63" t="n"/>
      <c r="H279" s="63" t="n"/>
      <c r="I279" s="62" t="n"/>
    </row>
    <row r="280" ht="15.75" customHeight="1" s="125">
      <c r="A280" s="62" t="n"/>
      <c r="B280" s="58" t="n"/>
      <c r="C280" s="62" t="n"/>
      <c r="D280" s="62" t="n"/>
      <c r="E280" s="62" t="n"/>
      <c r="F280" s="62" t="n"/>
      <c r="G280" s="63" t="n"/>
      <c r="H280" s="63" t="n"/>
      <c r="I280" s="62" t="n"/>
    </row>
    <row r="281" ht="15.75" customHeight="1" s="125">
      <c r="A281" s="62" t="n"/>
      <c r="B281" s="58" t="n"/>
      <c r="C281" s="62" t="n"/>
      <c r="D281" s="62" t="n"/>
      <c r="E281" s="62" t="n"/>
      <c r="F281" s="62" t="n"/>
      <c r="G281" s="63" t="n"/>
      <c r="H281" s="63" t="n"/>
      <c r="I281" s="62" t="n"/>
    </row>
    <row r="282" ht="15.75" customHeight="1" s="125">
      <c r="A282" s="62" t="n"/>
      <c r="B282" s="58" t="n"/>
      <c r="C282" s="62" t="n"/>
      <c r="D282" s="62" t="n"/>
      <c r="E282" s="62" t="n"/>
      <c r="F282" s="62" t="n"/>
      <c r="G282" s="63" t="n"/>
      <c r="H282" s="63" t="n"/>
      <c r="I282" s="62" t="n"/>
    </row>
    <row r="283" ht="15.75" customHeight="1" s="125">
      <c r="A283" s="62" t="n"/>
      <c r="B283" s="58" t="n"/>
      <c r="C283" s="62" t="n"/>
      <c r="D283" s="62" t="n"/>
      <c r="E283" s="62" t="n"/>
      <c r="F283" s="62" t="n"/>
      <c r="G283" s="63" t="n"/>
      <c r="H283" s="63" t="n"/>
      <c r="I283" s="62" t="n"/>
    </row>
    <row r="284" ht="15.75" customHeight="1" s="125">
      <c r="A284" s="62" t="n"/>
      <c r="B284" s="58" t="n"/>
      <c r="C284" s="62" t="n"/>
      <c r="D284" s="62" t="n"/>
      <c r="E284" s="62" t="n"/>
      <c r="F284" s="62" t="n"/>
      <c r="G284" s="63" t="n"/>
      <c r="H284" s="63" t="n"/>
      <c r="I284" s="62" t="n"/>
    </row>
    <row r="285" ht="15.75" customHeight="1" s="125">
      <c r="A285" s="62" t="n"/>
      <c r="B285" s="58" t="n"/>
      <c r="C285" s="62" t="n"/>
      <c r="D285" s="62" t="n"/>
      <c r="E285" s="62" t="n"/>
      <c r="F285" s="62" t="n"/>
      <c r="G285" s="63" t="n"/>
      <c r="H285" s="63" t="n"/>
      <c r="I285" s="62" t="n"/>
    </row>
    <row r="286" ht="15.75" customHeight="1" s="125">
      <c r="A286" s="62" t="n"/>
      <c r="B286" s="58" t="n"/>
      <c r="C286" s="62" t="n"/>
      <c r="D286" s="62" t="n"/>
      <c r="E286" s="62" t="n"/>
      <c r="F286" s="62" t="n"/>
      <c r="G286" s="63" t="n"/>
      <c r="H286" s="63" t="n"/>
      <c r="I286" s="62" t="n"/>
    </row>
    <row r="287" ht="15.75" customHeight="1" s="125">
      <c r="A287" s="62" t="n"/>
      <c r="B287" s="58" t="n"/>
      <c r="C287" s="62" t="n"/>
      <c r="D287" s="62" t="n"/>
      <c r="E287" s="62" t="n"/>
      <c r="F287" s="62" t="n"/>
      <c r="G287" s="63" t="n"/>
      <c r="H287" s="63" t="n"/>
      <c r="I287" s="62" t="n"/>
    </row>
    <row r="288" ht="15.75" customHeight="1" s="125">
      <c r="A288" s="62" t="n"/>
      <c r="B288" s="58" t="n"/>
      <c r="C288" s="62" t="n"/>
      <c r="D288" s="62" t="n"/>
      <c r="E288" s="62" t="n"/>
      <c r="F288" s="62" t="n"/>
      <c r="G288" s="63" t="n"/>
      <c r="H288" s="63" t="n"/>
      <c r="I288" s="62" t="n"/>
    </row>
    <row r="289" ht="15.75" customHeight="1" s="125">
      <c r="A289" s="62" t="n"/>
      <c r="B289" s="58" t="n"/>
      <c r="C289" s="62" t="n"/>
      <c r="D289" s="62" t="n"/>
      <c r="E289" s="62" t="n"/>
      <c r="F289" s="62" t="n"/>
      <c r="G289" s="63" t="n"/>
      <c r="H289" s="63" t="n"/>
      <c r="I289" s="62" t="n"/>
    </row>
    <row r="290" ht="15.75" customHeight="1" s="125">
      <c r="A290" s="62" t="n"/>
      <c r="B290" s="58" t="n"/>
      <c r="C290" s="62" t="n"/>
      <c r="D290" s="62" t="n"/>
      <c r="E290" s="62" t="n"/>
      <c r="F290" s="62" t="n"/>
      <c r="G290" s="63" t="n"/>
      <c r="H290" s="63" t="n"/>
      <c r="I290" s="62" t="n"/>
    </row>
    <row r="291" ht="15.75" customHeight="1" s="125">
      <c r="A291" s="62" t="n"/>
      <c r="B291" s="58" t="n"/>
      <c r="C291" s="62" t="n"/>
      <c r="D291" s="62" t="n"/>
      <c r="E291" s="62" t="n"/>
      <c r="F291" s="62" t="n"/>
      <c r="G291" s="63" t="n"/>
      <c r="H291" s="63" t="n"/>
      <c r="I291" s="62" t="n"/>
    </row>
    <row r="292" ht="15.75" customHeight="1" s="125">
      <c r="A292" s="62" t="n"/>
      <c r="B292" s="58" t="n"/>
      <c r="C292" s="62" t="n"/>
      <c r="D292" s="62" t="n"/>
      <c r="E292" s="62" t="n"/>
      <c r="F292" s="62" t="n"/>
      <c r="G292" s="63" t="n"/>
      <c r="H292" s="63" t="n"/>
      <c r="I292" s="62" t="n"/>
    </row>
    <row r="293" ht="15.75" customHeight="1" s="125">
      <c r="A293" s="62" t="n"/>
      <c r="B293" s="58" t="n"/>
      <c r="C293" s="62" t="n"/>
      <c r="D293" s="62" t="n"/>
      <c r="E293" s="62" t="n"/>
      <c r="F293" s="62" t="n"/>
      <c r="G293" s="63" t="n"/>
      <c r="H293" s="63" t="n"/>
      <c r="I293" s="62" t="n"/>
    </row>
    <row r="294" ht="15.75" customHeight="1" s="125">
      <c r="A294" s="62" t="n"/>
      <c r="B294" s="58" t="n"/>
      <c r="C294" s="62" t="n"/>
      <c r="D294" s="62" t="n"/>
      <c r="E294" s="62" t="n"/>
      <c r="F294" s="62" t="n"/>
      <c r="G294" s="63" t="n"/>
      <c r="H294" s="63" t="n"/>
      <c r="I294" s="62" t="n"/>
    </row>
    <row r="295" ht="15.75" customHeight="1" s="125">
      <c r="A295" s="62" t="n"/>
      <c r="B295" s="58" t="n"/>
      <c r="C295" s="62" t="n"/>
      <c r="D295" s="62" t="n"/>
      <c r="E295" s="62" t="n"/>
      <c r="F295" s="62" t="n"/>
      <c r="G295" s="63" t="n"/>
      <c r="H295" s="63" t="n"/>
      <c r="I295" s="62" t="n"/>
    </row>
    <row r="296" ht="15.75" customHeight="1" s="125">
      <c r="A296" s="62" t="n"/>
      <c r="B296" s="58" t="n"/>
      <c r="C296" s="62" t="n"/>
      <c r="D296" s="62" t="n"/>
      <c r="E296" s="62" t="n"/>
      <c r="F296" s="62" t="n"/>
      <c r="G296" s="63" t="n"/>
      <c r="H296" s="63" t="n"/>
      <c r="I296" s="62" t="n"/>
    </row>
    <row r="297" ht="15.75" customHeight="1" s="125">
      <c r="A297" s="62" t="n"/>
      <c r="B297" s="58" t="n"/>
      <c r="C297" s="62" t="n"/>
      <c r="D297" s="62" t="n"/>
      <c r="E297" s="62" t="n"/>
      <c r="F297" s="62" t="n"/>
      <c r="G297" s="63" t="n"/>
      <c r="H297" s="63" t="n"/>
      <c r="I297" s="62" t="n"/>
    </row>
    <row r="298" ht="15.75" customHeight="1" s="125">
      <c r="A298" s="62" t="n"/>
      <c r="B298" s="58" t="n"/>
      <c r="C298" s="62" t="n"/>
      <c r="D298" s="62" t="n"/>
      <c r="E298" s="62" t="n"/>
      <c r="F298" s="62" t="n"/>
      <c r="G298" s="63" t="n"/>
      <c r="H298" s="63" t="n"/>
      <c r="I298" s="62" t="n"/>
    </row>
    <row r="299" ht="15.75" customHeight="1" s="125">
      <c r="A299" s="62" t="n"/>
      <c r="B299" s="58" t="n"/>
      <c r="C299" s="62" t="n"/>
      <c r="D299" s="62" t="n"/>
      <c r="E299" s="62" t="n"/>
      <c r="F299" s="62" t="n"/>
      <c r="G299" s="63" t="n"/>
      <c r="H299" s="63" t="n"/>
      <c r="I299" s="62" t="n"/>
    </row>
    <row r="300" ht="15.75" customHeight="1" s="125">
      <c r="A300" s="62" t="n"/>
      <c r="B300" s="58" t="n"/>
      <c r="C300" s="62" t="n"/>
      <c r="D300" s="62" t="n"/>
      <c r="E300" s="62" t="n"/>
      <c r="F300" s="62" t="n"/>
      <c r="G300" s="63" t="n"/>
      <c r="H300" s="63" t="n"/>
      <c r="I300" s="62" t="n"/>
    </row>
    <row r="301" ht="15.75" customHeight="1" s="125">
      <c r="A301" s="62" t="n"/>
      <c r="B301" s="58" t="n"/>
      <c r="C301" s="62" t="n"/>
      <c r="D301" s="62" t="n"/>
      <c r="E301" s="62" t="n"/>
      <c r="F301" s="62" t="n"/>
      <c r="G301" s="63" t="n"/>
      <c r="H301" s="63" t="n"/>
      <c r="I301" s="62" t="n"/>
    </row>
    <row r="302" ht="15.75" customHeight="1" s="125">
      <c r="A302" s="62" t="n"/>
      <c r="B302" s="58" t="n"/>
      <c r="C302" s="62" t="n"/>
      <c r="D302" s="62" t="n"/>
      <c r="E302" s="62" t="n"/>
      <c r="F302" s="62" t="n"/>
      <c r="G302" s="63" t="n"/>
      <c r="H302" s="63" t="n"/>
      <c r="I302" s="62" t="n"/>
    </row>
    <row r="303" ht="15.75" customHeight="1" s="125">
      <c r="A303" s="62" t="n"/>
      <c r="B303" s="58" t="n"/>
      <c r="C303" s="62" t="n"/>
      <c r="D303" s="62" t="n"/>
      <c r="E303" s="62" t="n"/>
      <c r="F303" s="62" t="n"/>
      <c r="G303" s="63" t="n"/>
      <c r="H303" s="63" t="n"/>
      <c r="I303" s="62" t="n"/>
    </row>
    <row r="304" ht="15.75" customHeight="1" s="125">
      <c r="A304" s="62" t="n"/>
      <c r="B304" s="58" t="n"/>
      <c r="C304" s="62" t="n"/>
      <c r="D304" s="62" t="n"/>
      <c r="E304" s="62" t="n"/>
      <c r="F304" s="62" t="n"/>
      <c r="G304" s="63" t="n"/>
      <c r="H304" s="63" t="n"/>
      <c r="I304" s="62" t="n"/>
    </row>
    <row r="305" ht="15.75" customHeight="1" s="125">
      <c r="A305" s="62" t="n"/>
      <c r="B305" s="58" t="n"/>
      <c r="C305" s="62" t="n"/>
      <c r="D305" s="62" t="n"/>
      <c r="E305" s="62" t="n"/>
      <c r="F305" s="62" t="n"/>
      <c r="G305" s="63" t="n"/>
      <c r="H305" s="63" t="n"/>
      <c r="I305" s="62" t="n"/>
    </row>
    <row r="306" ht="15.75" customHeight="1" s="125">
      <c r="A306" s="62" t="n"/>
      <c r="B306" s="58" t="n"/>
      <c r="C306" s="62" t="n"/>
      <c r="D306" s="62" t="n"/>
      <c r="E306" s="62" t="n"/>
      <c r="F306" s="62" t="n"/>
      <c r="G306" s="63" t="n"/>
      <c r="H306" s="63" t="n"/>
      <c r="I306" s="62" t="n"/>
    </row>
    <row r="307" ht="15.75" customHeight="1" s="125">
      <c r="A307" s="62" t="n"/>
      <c r="B307" s="58" t="n"/>
      <c r="C307" s="62" t="n"/>
      <c r="D307" s="62" t="n"/>
      <c r="E307" s="62" t="n"/>
      <c r="F307" s="62" t="n"/>
      <c r="G307" s="63" t="n"/>
      <c r="H307" s="63" t="n"/>
      <c r="I307" s="62" t="n"/>
    </row>
    <row r="308" ht="15.75" customHeight="1" s="125">
      <c r="A308" s="62" t="n"/>
      <c r="B308" s="58" t="n"/>
      <c r="C308" s="62" t="n"/>
      <c r="D308" s="62" t="n"/>
      <c r="E308" s="62" t="n"/>
      <c r="F308" s="62" t="n"/>
      <c r="G308" s="63" t="n"/>
      <c r="H308" s="63" t="n"/>
      <c r="I308" s="62" t="n"/>
    </row>
    <row r="309" ht="15.75" customHeight="1" s="125">
      <c r="A309" s="62" t="n"/>
      <c r="B309" s="58" t="n"/>
      <c r="C309" s="62" t="n"/>
      <c r="D309" s="62" t="n"/>
      <c r="E309" s="62" t="n"/>
      <c r="F309" s="62" t="n"/>
      <c r="G309" s="63" t="n"/>
      <c r="H309" s="63" t="n"/>
      <c r="I309" s="62" t="n"/>
    </row>
    <row r="310" ht="15.75" customHeight="1" s="125">
      <c r="A310" s="62" t="n"/>
      <c r="B310" s="58" t="n"/>
      <c r="C310" s="62" t="n"/>
      <c r="D310" s="62" t="n"/>
      <c r="E310" s="62" t="n"/>
      <c r="F310" s="62" t="n"/>
      <c r="G310" s="63" t="n"/>
      <c r="H310" s="63" t="n"/>
      <c r="I310" s="62" t="n"/>
    </row>
    <row r="311" ht="15.75" customHeight="1" s="125">
      <c r="A311" s="62" t="n"/>
      <c r="B311" s="58" t="n"/>
      <c r="C311" s="62" t="n"/>
      <c r="D311" s="62" t="n"/>
      <c r="E311" s="62" t="n"/>
      <c r="F311" s="62" t="n"/>
      <c r="G311" s="63" t="n"/>
      <c r="H311" s="63" t="n"/>
      <c r="I311" s="62" t="n"/>
    </row>
    <row r="312" ht="15.75" customHeight="1" s="125">
      <c r="A312" s="62" t="n"/>
      <c r="B312" s="58" t="n"/>
      <c r="C312" s="62" t="n"/>
      <c r="D312" s="62" t="n"/>
      <c r="E312" s="62" t="n"/>
      <c r="F312" s="62" t="n"/>
      <c r="G312" s="63" t="n"/>
      <c r="H312" s="63" t="n"/>
      <c r="I312" s="62" t="n"/>
    </row>
    <row r="313" ht="15.75" customHeight="1" s="125">
      <c r="A313" s="62" t="n"/>
      <c r="B313" s="58" t="n"/>
      <c r="C313" s="62" t="n"/>
      <c r="D313" s="62" t="n"/>
      <c r="E313" s="62" t="n"/>
      <c r="F313" s="62" t="n"/>
      <c r="G313" s="63" t="n"/>
      <c r="H313" s="63" t="n"/>
      <c r="I313" s="62" t="n"/>
    </row>
    <row r="314" ht="15.75" customHeight="1" s="125">
      <c r="A314" s="62" t="n"/>
      <c r="B314" s="58" t="n"/>
      <c r="C314" s="62" t="n"/>
      <c r="D314" s="62" t="n"/>
      <c r="E314" s="62" t="n"/>
      <c r="F314" s="62" t="n"/>
      <c r="G314" s="63" t="n"/>
      <c r="H314" s="63" t="n"/>
      <c r="I314" s="62" t="n"/>
    </row>
    <row r="315" ht="15.75" customHeight="1" s="125">
      <c r="A315" s="62" t="n"/>
      <c r="B315" s="58" t="n"/>
      <c r="C315" s="62" t="n"/>
      <c r="D315" s="62" t="n"/>
      <c r="E315" s="62" t="n"/>
      <c r="F315" s="62" t="n"/>
      <c r="G315" s="63" t="n"/>
      <c r="H315" s="63" t="n"/>
      <c r="I315" s="62" t="n"/>
    </row>
    <row r="316" ht="15.75" customHeight="1" s="125">
      <c r="A316" s="62" t="n"/>
      <c r="B316" s="58" t="n"/>
      <c r="C316" s="62" t="n"/>
      <c r="D316" s="62" t="n"/>
      <c r="E316" s="62" t="n"/>
      <c r="F316" s="62" t="n"/>
      <c r="G316" s="63" t="n"/>
      <c r="H316" s="63" t="n"/>
      <c r="I316" s="62" t="n"/>
    </row>
    <row r="317" ht="15.75" customHeight="1" s="125">
      <c r="A317" s="62" t="n"/>
      <c r="B317" s="58" t="n"/>
      <c r="C317" s="62" t="n"/>
      <c r="D317" s="62" t="n"/>
      <c r="E317" s="62" t="n"/>
      <c r="F317" s="62" t="n"/>
      <c r="G317" s="63" t="n"/>
      <c r="H317" s="63" t="n"/>
      <c r="I317" s="62" t="n"/>
    </row>
    <row r="318" ht="15.75" customHeight="1" s="125">
      <c r="A318" s="62" t="n"/>
      <c r="B318" s="58" t="n"/>
      <c r="C318" s="62" t="n"/>
      <c r="D318" s="62" t="n"/>
      <c r="E318" s="62" t="n"/>
      <c r="F318" s="62" t="n"/>
      <c r="G318" s="63" t="n"/>
      <c r="H318" s="63" t="n"/>
      <c r="I318" s="62" t="n"/>
    </row>
    <row r="319" ht="15.75" customHeight="1" s="125">
      <c r="A319" s="62" t="n"/>
      <c r="B319" s="58" t="n"/>
      <c r="C319" s="62" t="n"/>
      <c r="D319" s="62" t="n"/>
      <c r="E319" s="62" t="n"/>
      <c r="F319" s="62" t="n"/>
      <c r="G319" s="63" t="n"/>
      <c r="H319" s="63" t="n"/>
      <c r="I319" s="62" t="n"/>
    </row>
    <row r="320" ht="15.75" customHeight="1" s="125">
      <c r="A320" s="62" t="n"/>
      <c r="B320" s="58" t="n"/>
      <c r="C320" s="62" t="n"/>
      <c r="D320" s="62" t="n"/>
      <c r="E320" s="62" t="n"/>
      <c r="F320" s="62" t="n"/>
      <c r="G320" s="63" t="n"/>
      <c r="H320" s="63" t="n"/>
      <c r="I320" s="62" t="n"/>
    </row>
    <row r="321" ht="15.75" customHeight="1" s="125">
      <c r="A321" s="62" t="n"/>
      <c r="B321" s="58" t="n"/>
      <c r="C321" s="62" t="n"/>
      <c r="D321" s="62" t="n"/>
      <c r="E321" s="62" t="n"/>
      <c r="F321" s="62" t="n"/>
      <c r="G321" s="63" t="n"/>
      <c r="H321" s="63" t="n"/>
      <c r="I321" s="62" t="n"/>
    </row>
    <row r="322" ht="15.75" customHeight="1" s="125">
      <c r="A322" s="62" t="n"/>
      <c r="B322" s="58" t="n"/>
      <c r="C322" s="62" t="n"/>
      <c r="D322" s="62" t="n"/>
      <c r="E322" s="62" t="n"/>
      <c r="F322" s="62" t="n"/>
      <c r="G322" s="63" t="n"/>
      <c r="H322" s="63" t="n"/>
      <c r="I322" s="62" t="n"/>
    </row>
    <row r="323" ht="15.75" customHeight="1" s="125">
      <c r="A323" s="62" t="n"/>
      <c r="B323" s="58" t="n"/>
      <c r="C323" s="62" t="n"/>
      <c r="D323" s="62" t="n"/>
      <c r="E323" s="62" t="n"/>
      <c r="F323" s="62" t="n"/>
      <c r="G323" s="63" t="n"/>
      <c r="H323" s="63" t="n"/>
      <c r="I323" s="62" t="n"/>
    </row>
    <row r="324" ht="15.75" customHeight="1" s="125">
      <c r="A324" s="62" t="n"/>
      <c r="B324" s="58" t="n"/>
      <c r="C324" s="62" t="n"/>
      <c r="D324" s="62" t="n"/>
      <c r="E324" s="62" t="n"/>
      <c r="F324" s="62" t="n"/>
      <c r="G324" s="63" t="n"/>
      <c r="H324" s="63" t="n"/>
      <c r="I324" s="62" t="n"/>
    </row>
    <row r="325" ht="15.75" customHeight="1" s="125">
      <c r="A325" s="62" t="n"/>
      <c r="B325" s="58" t="n"/>
      <c r="C325" s="62" t="n"/>
      <c r="D325" s="62" t="n"/>
      <c r="E325" s="62" t="n"/>
      <c r="F325" s="62" t="n"/>
      <c r="G325" s="63" t="n"/>
      <c r="H325" s="63" t="n"/>
      <c r="I325" s="62" t="n"/>
    </row>
    <row r="326" ht="15.75" customHeight="1" s="125">
      <c r="A326" s="62" t="n"/>
      <c r="B326" s="58" t="n"/>
      <c r="C326" s="62" t="n"/>
      <c r="D326" s="62" t="n"/>
      <c r="E326" s="62" t="n"/>
      <c r="F326" s="62" t="n"/>
      <c r="G326" s="63" t="n"/>
      <c r="H326" s="63" t="n"/>
      <c r="I326" s="62" t="n"/>
    </row>
    <row r="327" ht="15.75" customHeight="1" s="125">
      <c r="A327" s="62" t="n"/>
      <c r="B327" s="58" t="n"/>
      <c r="C327" s="62" t="n"/>
      <c r="D327" s="62" t="n"/>
      <c r="E327" s="62" t="n"/>
      <c r="F327" s="62" t="n"/>
      <c r="G327" s="63" t="n"/>
      <c r="H327" s="63" t="n"/>
      <c r="I327" s="62" t="n"/>
    </row>
    <row r="328" ht="15.75" customHeight="1" s="125">
      <c r="A328" s="62" t="n"/>
      <c r="B328" s="58" t="n"/>
      <c r="C328" s="62" t="n"/>
      <c r="D328" s="62" t="n"/>
      <c r="E328" s="62" t="n"/>
      <c r="F328" s="62" t="n"/>
      <c r="G328" s="63" t="n"/>
      <c r="H328" s="63" t="n"/>
      <c r="I328" s="62" t="n"/>
    </row>
    <row r="329" ht="15.75" customHeight="1" s="125">
      <c r="A329" s="62" t="n"/>
      <c r="B329" s="58" t="n"/>
      <c r="C329" s="62" t="n"/>
      <c r="D329" s="62" t="n"/>
      <c r="E329" s="62" t="n"/>
      <c r="F329" s="62" t="n"/>
      <c r="G329" s="63" t="n"/>
      <c r="H329" s="63" t="n"/>
      <c r="I329" s="62" t="n"/>
    </row>
    <row r="330" ht="15.75" customHeight="1" s="125">
      <c r="A330" s="62" t="n"/>
      <c r="B330" s="58" t="n"/>
      <c r="C330" s="62" t="n"/>
      <c r="D330" s="62" t="n"/>
      <c r="E330" s="62" t="n"/>
      <c r="F330" s="62" t="n"/>
      <c r="G330" s="63" t="n"/>
      <c r="H330" s="63" t="n"/>
      <c r="I330" s="62" t="n"/>
    </row>
    <row r="331" ht="15.75" customHeight="1" s="125">
      <c r="A331" s="62" t="n"/>
      <c r="B331" s="58" t="n"/>
      <c r="C331" s="62" t="n"/>
      <c r="D331" s="62" t="n"/>
      <c r="E331" s="62" t="n"/>
      <c r="F331" s="62" t="n"/>
      <c r="G331" s="63" t="n"/>
      <c r="H331" s="63" t="n"/>
      <c r="I331" s="62" t="n"/>
    </row>
    <row r="332" ht="15.75" customHeight="1" s="125">
      <c r="A332" s="62" t="n"/>
      <c r="B332" s="58" t="n"/>
      <c r="C332" s="62" t="n"/>
      <c r="D332" s="62" t="n"/>
      <c r="E332" s="62" t="n"/>
      <c r="F332" s="62" t="n"/>
      <c r="G332" s="63" t="n"/>
      <c r="H332" s="63" t="n"/>
      <c r="I332" s="62" t="n"/>
    </row>
    <row r="333" ht="15.75" customHeight="1" s="125">
      <c r="A333" s="62" t="n"/>
      <c r="B333" s="58" t="n"/>
      <c r="C333" s="62" t="n"/>
      <c r="D333" s="62" t="n"/>
      <c r="E333" s="62" t="n"/>
      <c r="F333" s="62" t="n"/>
      <c r="G333" s="63" t="n"/>
      <c r="H333" s="63" t="n"/>
      <c r="I333" s="62" t="n"/>
    </row>
    <row r="334" ht="15.75" customHeight="1" s="125">
      <c r="A334" s="62" t="n"/>
      <c r="B334" s="58" t="n"/>
      <c r="C334" s="62" t="n"/>
      <c r="D334" s="62" t="n"/>
      <c r="E334" s="62" t="n"/>
      <c r="F334" s="62" t="n"/>
      <c r="G334" s="63" t="n"/>
      <c r="H334" s="63" t="n"/>
      <c r="I334" s="62" t="n"/>
    </row>
    <row r="335" ht="15.75" customHeight="1" s="125">
      <c r="A335" s="62" t="n"/>
      <c r="B335" s="58" t="n"/>
      <c r="C335" s="62" t="n"/>
      <c r="D335" s="62" t="n"/>
      <c r="E335" s="62" t="n"/>
      <c r="F335" s="62" t="n"/>
      <c r="G335" s="63" t="n"/>
      <c r="H335" s="63" t="n"/>
      <c r="I335" s="62" t="n"/>
    </row>
    <row r="336" ht="15.75" customHeight="1" s="125">
      <c r="A336" s="62" t="n"/>
      <c r="B336" s="58" t="n"/>
      <c r="C336" s="62" t="n"/>
      <c r="D336" s="62" t="n"/>
      <c r="E336" s="62" t="n"/>
      <c r="F336" s="62" t="n"/>
      <c r="G336" s="63" t="n"/>
      <c r="H336" s="63" t="n"/>
      <c r="I336" s="62" t="n"/>
    </row>
    <row r="337" ht="15.75" customHeight="1" s="125">
      <c r="A337" s="62" t="n"/>
      <c r="B337" s="58" t="n"/>
      <c r="C337" s="62" t="n"/>
      <c r="D337" s="62" t="n"/>
      <c r="E337" s="62" t="n"/>
      <c r="F337" s="62" t="n"/>
      <c r="G337" s="63" t="n"/>
      <c r="H337" s="63" t="n"/>
      <c r="I337" s="62" t="n"/>
    </row>
    <row r="338" ht="15.75" customHeight="1" s="125">
      <c r="A338" s="62" t="n"/>
      <c r="B338" s="58" t="n"/>
      <c r="C338" s="62" t="n"/>
      <c r="D338" s="62" t="n"/>
      <c r="E338" s="62" t="n"/>
      <c r="F338" s="62" t="n"/>
      <c r="G338" s="63" t="n"/>
      <c r="H338" s="63" t="n"/>
      <c r="I338" s="62" t="n"/>
    </row>
    <row r="339" ht="15.75" customHeight="1" s="125">
      <c r="A339" s="62" t="n"/>
      <c r="B339" s="58" t="n"/>
      <c r="C339" s="62" t="n"/>
      <c r="D339" s="62" t="n"/>
      <c r="E339" s="62" t="n"/>
      <c r="F339" s="62" t="n"/>
      <c r="G339" s="63" t="n"/>
      <c r="H339" s="63" t="n"/>
      <c r="I339" s="62" t="n"/>
    </row>
    <row r="340" ht="15.75" customHeight="1" s="125">
      <c r="A340" s="62" t="n"/>
      <c r="B340" s="58" t="n"/>
      <c r="C340" s="62" t="n"/>
      <c r="D340" s="62" t="n"/>
      <c r="E340" s="62" t="n"/>
      <c r="F340" s="62" t="n"/>
      <c r="G340" s="63" t="n"/>
      <c r="H340" s="63" t="n"/>
      <c r="I340" s="62" t="n"/>
    </row>
    <row r="341" ht="15.75" customHeight="1" s="125">
      <c r="A341" s="62" t="n"/>
      <c r="B341" s="58" t="n"/>
      <c r="C341" s="62" t="n"/>
      <c r="D341" s="62" t="n"/>
      <c r="E341" s="62" t="n"/>
      <c r="F341" s="62" t="n"/>
      <c r="G341" s="63" t="n"/>
      <c r="H341" s="63" t="n"/>
      <c r="I341" s="62" t="n"/>
    </row>
    <row r="342" ht="15.75" customHeight="1" s="125">
      <c r="A342" s="62" t="n"/>
      <c r="B342" s="58" t="n"/>
      <c r="C342" s="62" t="n"/>
      <c r="D342" s="62" t="n"/>
      <c r="E342" s="62" t="n"/>
      <c r="F342" s="62" t="n"/>
      <c r="G342" s="63" t="n"/>
      <c r="H342" s="63" t="n"/>
      <c r="I342" s="62" t="n"/>
    </row>
    <row r="343" ht="15.75" customHeight="1" s="125">
      <c r="A343" s="62" t="n"/>
      <c r="B343" s="58" t="n"/>
      <c r="C343" s="62" t="n"/>
      <c r="D343" s="62" t="n"/>
      <c r="E343" s="62" t="n"/>
      <c r="F343" s="62" t="n"/>
      <c r="G343" s="63" t="n"/>
      <c r="H343" s="63" t="n"/>
      <c r="I343" s="62" t="n"/>
    </row>
    <row r="344" ht="15.75" customHeight="1" s="125">
      <c r="A344" s="62" t="n"/>
      <c r="B344" s="58" t="n"/>
      <c r="C344" s="62" t="n"/>
      <c r="D344" s="62" t="n"/>
      <c r="E344" s="62" t="n"/>
      <c r="F344" s="62" t="n"/>
      <c r="G344" s="63" t="n"/>
      <c r="H344" s="63" t="n"/>
      <c r="I344" s="62" t="n"/>
    </row>
    <row r="345" ht="15.75" customHeight="1" s="125">
      <c r="A345" s="62" t="n"/>
      <c r="B345" s="58" t="n"/>
      <c r="C345" s="62" t="n"/>
      <c r="D345" s="62" t="n"/>
      <c r="E345" s="62" t="n"/>
      <c r="F345" s="62" t="n"/>
      <c r="G345" s="63" t="n"/>
      <c r="H345" s="63" t="n"/>
      <c r="I345" s="62" t="n"/>
    </row>
    <row r="346" ht="15.75" customHeight="1" s="125">
      <c r="A346" s="62" t="n"/>
      <c r="B346" s="58" t="n"/>
      <c r="C346" s="62" t="n"/>
      <c r="D346" s="62" t="n"/>
      <c r="E346" s="62" t="n"/>
      <c r="F346" s="62" t="n"/>
      <c r="G346" s="63" t="n"/>
      <c r="H346" s="63" t="n"/>
      <c r="I346" s="62" t="n"/>
    </row>
    <row r="347" ht="15.75" customHeight="1" s="125">
      <c r="A347" s="62" t="n"/>
      <c r="B347" s="58" t="n"/>
      <c r="C347" s="62" t="n"/>
      <c r="D347" s="62" t="n"/>
      <c r="E347" s="62" t="n"/>
      <c r="F347" s="62" t="n"/>
      <c r="G347" s="63" t="n"/>
      <c r="H347" s="63" t="n"/>
      <c r="I347" s="62" t="n"/>
    </row>
    <row r="348" ht="15.75" customHeight="1" s="125">
      <c r="A348" s="62" t="n"/>
      <c r="B348" s="58" t="n"/>
      <c r="C348" s="62" t="n"/>
      <c r="D348" s="62" t="n"/>
      <c r="E348" s="62" t="n"/>
      <c r="F348" s="62" t="n"/>
      <c r="G348" s="63" t="n"/>
      <c r="H348" s="63" t="n"/>
      <c r="I348" s="62" t="n"/>
    </row>
    <row r="349" ht="15.75" customHeight="1" s="125">
      <c r="A349" s="62" t="n"/>
      <c r="B349" s="58" t="n"/>
      <c r="C349" s="62" t="n"/>
      <c r="D349" s="62" t="n"/>
      <c r="E349" s="62" t="n"/>
      <c r="F349" s="62" t="n"/>
      <c r="G349" s="63" t="n"/>
      <c r="H349" s="63" t="n"/>
      <c r="I349" s="62" t="n"/>
    </row>
    <row r="350" ht="15.75" customHeight="1" s="125">
      <c r="A350" s="62" t="n"/>
      <c r="B350" s="58" t="n"/>
      <c r="C350" s="62" t="n"/>
      <c r="D350" s="62" t="n"/>
      <c r="E350" s="62" t="n"/>
      <c r="F350" s="62" t="n"/>
      <c r="G350" s="63" t="n"/>
      <c r="H350" s="63" t="n"/>
      <c r="I350" s="62" t="n"/>
    </row>
    <row r="351" ht="15.75" customHeight="1" s="125">
      <c r="A351" s="62" t="n"/>
      <c r="B351" s="58" t="n"/>
      <c r="C351" s="62" t="n"/>
      <c r="D351" s="62" t="n"/>
      <c r="E351" s="62" t="n"/>
      <c r="F351" s="62" t="n"/>
      <c r="G351" s="63" t="n"/>
      <c r="H351" s="63" t="n"/>
      <c r="I351" s="62" t="n"/>
    </row>
    <row r="352" ht="15.75" customHeight="1" s="125">
      <c r="A352" s="62" t="n"/>
      <c r="B352" s="58" t="n"/>
      <c r="C352" s="62" t="n"/>
      <c r="D352" s="62" t="n"/>
      <c r="E352" s="62" t="n"/>
      <c r="F352" s="62" t="n"/>
      <c r="G352" s="63" t="n"/>
      <c r="H352" s="63" t="n"/>
      <c r="I352" s="62" t="n"/>
    </row>
    <row r="353" ht="15.75" customHeight="1" s="125">
      <c r="A353" s="62" t="n"/>
      <c r="B353" s="58" t="n"/>
      <c r="C353" s="62" t="n"/>
      <c r="D353" s="62" t="n"/>
      <c r="E353" s="62" t="n"/>
      <c r="F353" s="62" t="n"/>
      <c r="G353" s="63" t="n"/>
      <c r="H353" s="63" t="n"/>
      <c r="I353" s="62" t="n"/>
    </row>
    <row r="354" ht="15.75" customHeight="1" s="125">
      <c r="A354" s="62" t="n"/>
      <c r="B354" s="58" t="n"/>
      <c r="C354" s="62" t="n"/>
      <c r="D354" s="62" t="n"/>
      <c r="E354" s="62" t="n"/>
      <c r="F354" s="62" t="n"/>
      <c r="G354" s="63" t="n"/>
      <c r="H354" s="63" t="n"/>
      <c r="I354" s="62" t="n"/>
    </row>
    <row r="355" ht="15.75" customHeight="1" s="125">
      <c r="A355" s="62" t="n"/>
      <c r="B355" s="58" t="n"/>
      <c r="C355" s="62" t="n"/>
      <c r="D355" s="62" t="n"/>
      <c r="E355" s="62" t="n"/>
      <c r="F355" s="62" t="n"/>
      <c r="G355" s="63" t="n"/>
      <c r="H355" s="63" t="n"/>
      <c r="I355" s="62" t="n"/>
    </row>
    <row r="356" ht="15.75" customHeight="1" s="125">
      <c r="A356" s="62" t="n"/>
      <c r="B356" s="58" t="n"/>
      <c r="C356" s="62" t="n"/>
      <c r="D356" s="62" t="n"/>
      <c r="E356" s="62" t="n"/>
      <c r="F356" s="62" t="n"/>
      <c r="G356" s="63" t="n"/>
      <c r="H356" s="63" t="n"/>
      <c r="I356" s="62" t="n"/>
    </row>
    <row r="357" ht="15.75" customHeight="1" s="125">
      <c r="A357" s="62" t="n"/>
      <c r="B357" s="58" t="n"/>
      <c r="C357" s="62" t="n"/>
      <c r="D357" s="62" t="n"/>
      <c r="E357" s="62" t="n"/>
      <c r="F357" s="62" t="n"/>
      <c r="G357" s="63" t="n"/>
      <c r="H357" s="63" t="n"/>
      <c r="I357" s="62" t="n"/>
    </row>
    <row r="358" ht="15.75" customHeight="1" s="125">
      <c r="A358" s="62" t="n"/>
      <c r="B358" s="58" t="n"/>
      <c r="C358" s="62" t="n"/>
      <c r="D358" s="62" t="n"/>
      <c r="E358" s="62" t="n"/>
      <c r="F358" s="62" t="n"/>
      <c r="G358" s="63" t="n"/>
      <c r="H358" s="63" t="n"/>
      <c r="I358" s="62" t="n"/>
    </row>
    <row r="359" ht="15.75" customHeight="1" s="125">
      <c r="A359" s="62" t="n"/>
      <c r="B359" s="58" t="n"/>
      <c r="C359" s="62" t="n"/>
      <c r="D359" s="62" t="n"/>
      <c r="E359" s="62" t="n"/>
      <c r="F359" s="62" t="n"/>
      <c r="G359" s="63" t="n"/>
      <c r="H359" s="63" t="n"/>
      <c r="I359" s="62" t="n"/>
    </row>
    <row r="360" ht="15.75" customHeight="1" s="125">
      <c r="A360" s="62" t="n"/>
      <c r="B360" s="58" t="n"/>
      <c r="C360" s="62" t="n"/>
      <c r="D360" s="62" t="n"/>
      <c r="E360" s="62" t="n"/>
      <c r="F360" s="62" t="n"/>
      <c r="G360" s="63" t="n"/>
      <c r="H360" s="63" t="n"/>
      <c r="I360" s="62" t="n"/>
    </row>
    <row r="361" ht="15.75" customHeight="1" s="125">
      <c r="A361" s="62" t="n"/>
      <c r="B361" s="58" t="n"/>
      <c r="C361" s="62" t="n"/>
      <c r="D361" s="62" t="n"/>
      <c r="E361" s="62" t="n"/>
      <c r="F361" s="62" t="n"/>
      <c r="G361" s="63" t="n"/>
      <c r="H361" s="63" t="n"/>
      <c r="I361" s="62" t="n"/>
    </row>
    <row r="362" ht="15.75" customHeight="1" s="125">
      <c r="A362" s="62" t="n"/>
      <c r="B362" s="58" t="n"/>
      <c r="C362" s="62" t="n"/>
      <c r="D362" s="62" t="n"/>
      <c r="E362" s="62" t="n"/>
      <c r="F362" s="62" t="n"/>
      <c r="G362" s="63" t="n"/>
      <c r="H362" s="63" t="n"/>
      <c r="I362" s="62" t="n"/>
    </row>
    <row r="363" ht="15.75" customHeight="1" s="125">
      <c r="A363" s="62" t="n"/>
      <c r="B363" s="58" t="n"/>
      <c r="C363" s="62" t="n"/>
      <c r="D363" s="62" t="n"/>
      <c r="E363" s="62" t="n"/>
      <c r="F363" s="62" t="n"/>
      <c r="G363" s="63" t="n"/>
      <c r="H363" s="63" t="n"/>
      <c r="I363" s="62" t="n"/>
    </row>
    <row r="364" ht="15.75" customHeight="1" s="125">
      <c r="A364" s="62" t="n"/>
      <c r="B364" s="58" t="n"/>
      <c r="C364" s="62" t="n"/>
      <c r="D364" s="62" t="n"/>
      <c r="E364" s="62" t="n"/>
      <c r="F364" s="62" t="n"/>
      <c r="G364" s="63" t="n"/>
      <c r="H364" s="63" t="n"/>
      <c r="I364" s="62" t="n"/>
    </row>
    <row r="365" ht="15.75" customHeight="1" s="125">
      <c r="A365" s="62" t="n"/>
      <c r="B365" s="58" t="n"/>
      <c r="C365" s="62" t="n"/>
      <c r="D365" s="62" t="n"/>
      <c r="E365" s="62" t="n"/>
      <c r="F365" s="62" t="n"/>
      <c r="G365" s="63" t="n"/>
      <c r="H365" s="63" t="n"/>
      <c r="I365" s="62" t="n"/>
    </row>
    <row r="366" ht="15.75" customHeight="1" s="125">
      <c r="A366" s="62" t="n"/>
      <c r="B366" s="58" t="n"/>
      <c r="C366" s="62" t="n"/>
      <c r="D366" s="62" t="n"/>
      <c r="E366" s="62" t="n"/>
      <c r="F366" s="62" t="n"/>
      <c r="G366" s="63" t="n"/>
      <c r="H366" s="63" t="n"/>
      <c r="I366" s="62" t="n"/>
    </row>
    <row r="367" ht="15.75" customHeight="1" s="125">
      <c r="A367" s="62" t="n"/>
      <c r="B367" s="58" t="n"/>
      <c r="C367" s="62" t="n"/>
      <c r="D367" s="62" t="n"/>
      <c r="E367" s="62" t="n"/>
      <c r="F367" s="62" t="n"/>
      <c r="G367" s="63" t="n"/>
      <c r="H367" s="63" t="n"/>
      <c r="I367" s="62" t="n"/>
    </row>
    <row r="368" ht="15.75" customHeight="1" s="125">
      <c r="A368" s="62" t="n"/>
      <c r="B368" s="58" t="n"/>
      <c r="C368" s="62" t="n"/>
      <c r="D368" s="62" t="n"/>
      <c r="E368" s="62" t="n"/>
      <c r="F368" s="62" t="n"/>
      <c r="G368" s="63" t="n"/>
      <c r="H368" s="63" t="n"/>
      <c r="I368" s="62" t="n"/>
    </row>
    <row r="369" ht="15.75" customHeight="1" s="125">
      <c r="A369" s="62" t="n"/>
      <c r="B369" s="58" t="n"/>
      <c r="C369" s="62" t="n"/>
      <c r="D369" s="62" t="n"/>
      <c r="E369" s="62" t="n"/>
      <c r="F369" s="62" t="n"/>
      <c r="G369" s="63" t="n"/>
      <c r="H369" s="63" t="n"/>
      <c r="I369" s="62" t="n"/>
    </row>
    <row r="370" ht="15.75" customHeight="1" s="125">
      <c r="A370" s="62" t="n"/>
      <c r="B370" s="58" t="n"/>
      <c r="C370" s="62" t="n"/>
      <c r="D370" s="62" t="n"/>
      <c r="E370" s="62" t="n"/>
      <c r="F370" s="62" t="n"/>
      <c r="G370" s="63" t="n"/>
      <c r="H370" s="63" t="n"/>
      <c r="I370" s="62" t="n"/>
    </row>
    <row r="371" ht="15.75" customHeight="1" s="125">
      <c r="A371" s="62" t="n"/>
      <c r="B371" s="58" t="n"/>
      <c r="C371" s="62" t="n"/>
      <c r="D371" s="62" t="n"/>
      <c r="E371" s="62" t="n"/>
      <c r="F371" s="62" t="n"/>
      <c r="G371" s="63" t="n"/>
      <c r="H371" s="63" t="n"/>
      <c r="I371" s="62" t="n"/>
    </row>
    <row r="372" ht="15.75" customHeight="1" s="125">
      <c r="A372" s="62" t="n"/>
      <c r="B372" s="58" t="n"/>
      <c r="C372" s="62" t="n"/>
      <c r="D372" s="62" t="n"/>
      <c r="E372" s="62" t="n"/>
      <c r="F372" s="62" t="n"/>
      <c r="G372" s="63" t="n"/>
      <c r="H372" s="63" t="n"/>
      <c r="I372" s="62" t="n"/>
    </row>
    <row r="373" ht="15.75" customHeight="1" s="125">
      <c r="A373" s="62" t="n"/>
      <c r="B373" s="58" t="n"/>
      <c r="C373" s="62" t="n"/>
      <c r="D373" s="62" t="n"/>
      <c r="E373" s="62" t="n"/>
      <c r="F373" s="62" t="n"/>
      <c r="G373" s="63" t="n"/>
      <c r="H373" s="63" t="n"/>
      <c r="I373" s="62" t="n"/>
    </row>
    <row r="374" ht="15.75" customHeight="1" s="125">
      <c r="A374" s="62" t="n"/>
      <c r="B374" s="58" t="n"/>
      <c r="C374" s="62" t="n"/>
      <c r="D374" s="62" t="n"/>
      <c r="E374" s="62" t="n"/>
      <c r="F374" s="62" t="n"/>
      <c r="G374" s="63" t="n"/>
      <c r="H374" s="63" t="n"/>
      <c r="I374" s="62" t="n"/>
    </row>
    <row r="375" ht="15.75" customHeight="1" s="125">
      <c r="A375" s="62" t="n"/>
      <c r="B375" s="58" t="n"/>
      <c r="C375" s="62" t="n"/>
      <c r="D375" s="62" t="n"/>
      <c r="E375" s="62" t="n"/>
      <c r="F375" s="62" t="n"/>
      <c r="G375" s="63" t="n"/>
      <c r="H375" s="63" t="n"/>
      <c r="I375" s="62" t="n"/>
    </row>
    <row r="376" ht="15.75" customHeight="1" s="125">
      <c r="A376" s="62" t="n"/>
      <c r="B376" s="58" t="n"/>
      <c r="C376" s="62" t="n"/>
      <c r="D376" s="62" t="n"/>
      <c r="E376" s="62" t="n"/>
      <c r="F376" s="62" t="n"/>
      <c r="G376" s="63" t="n"/>
      <c r="H376" s="63" t="n"/>
      <c r="I376" s="62" t="n"/>
    </row>
    <row r="377" ht="15.75" customHeight="1" s="125">
      <c r="A377" s="62" t="n"/>
      <c r="B377" s="58" t="n"/>
      <c r="C377" s="62" t="n"/>
      <c r="D377" s="62" t="n"/>
      <c r="E377" s="62" t="n"/>
      <c r="F377" s="62" t="n"/>
      <c r="G377" s="63" t="n"/>
      <c r="H377" s="63" t="n"/>
      <c r="I377" s="62" t="n"/>
    </row>
    <row r="378" ht="15.75" customHeight="1" s="125">
      <c r="A378" s="62" t="n"/>
      <c r="B378" s="58" t="n"/>
      <c r="C378" s="62" t="n"/>
      <c r="D378" s="62" t="n"/>
      <c r="E378" s="62" t="n"/>
      <c r="F378" s="62" t="n"/>
      <c r="G378" s="63" t="n"/>
      <c r="H378" s="63" t="n"/>
      <c r="I378" s="62" t="n"/>
    </row>
    <row r="379" ht="15.75" customHeight="1" s="125">
      <c r="A379" s="62" t="n"/>
      <c r="B379" s="58" t="n"/>
      <c r="C379" s="62" t="n"/>
      <c r="D379" s="62" t="n"/>
      <c r="E379" s="62" t="n"/>
      <c r="F379" s="62" t="n"/>
      <c r="G379" s="63" t="n"/>
      <c r="H379" s="63" t="n"/>
      <c r="I379" s="62" t="n"/>
    </row>
    <row r="380" ht="15.75" customHeight="1" s="125">
      <c r="A380" s="62" t="n"/>
      <c r="B380" s="58" t="n"/>
      <c r="C380" s="62" t="n"/>
      <c r="D380" s="62" t="n"/>
      <c r="E380" s="62" t="n"/>
      <c r="F380" s="62" t="n"/>
      <c r="G380" s="63" t="n"/>
      <c r="H380" s="63" t="n"/>
      <c r="I380" s="62" t="n"/>
    </row>
    <row r="381" ht="15.75" customHeight="1" s="125">
      <c r="A381" s="62" t="n"/>
      <c r="B381" s="58" t="n"/>
      <c r="C381" s="62" t="n"/>
      <c r="D381" s="62" t="n"/>
      <c r="E381" s="62" t="n"/>
      <c r="F381" s="62" t="n"/>
      <c r="G381" s="63" t="n"/>
      <c r="H381" s="63" t="n"/>
      <c r="I381" s="62" t="n"/>
    </row>
    <row r="382" ht="15.75" customHeight="1" s="125">
      <c r="A382" s="62" t="n"/>
      <c r="B382" s="58" t="n"/>
      <c r="C382" s="62" t="n"/>
      <c r="D382" s="62" t="n"/>
      <c r="E382" s="62" t="n"/>
      <c r="F382" s="62" t="n"/>
      <c r="G382" s="63" t="n"/>
      <c r="H382" s="63" t="n"/>
      <c r="I382" s="62" t="n"/>
    </row>
    <row r="383" ht="15.75" customHeight="1" s="125">
      <c r="A383" s="62" t="n"/>
      <c r="B383" s="58" t="n"/>
      <c r="C383" s="62" t="n"/>
      <c r="D383" s="62" t="n"/>
      <c r="E383" s="62" t="n"/>
      <c r="F383" s="62" t="n"/>
      <c r="G383" s="63" t="n"/>
      <c r="H383" s="63" t="n"/>
      <c r="I383" s="62" t="n"/>
    </row>
    <row r="384" ht="15.75" customHeight="1" s="125">
      <c r="A384" s="62" t="n"/>
      <c r="B384" s="58" t="n"/>
      <c r="C384" s="62" t="n"/>
      <c r="D384" s="62" t="n"/>
      <c r="E384" s="62" t="n"/>
      <c r="F384" s="62" t="n"/>
      <c r="G384" s="63" t="n"/>
      <c r="H384" s="63" t="n"/>
      <c r="I384" s="62" t="n"/>
    </row>
    <row r="385" ht="15.75" customHeight="1" s="125">
      <c r="A385" s="62" t="n"/>
      <c r="B385" s="58" t="n"/>
      <c r="C385" s="62" t="n"/>
      <c r="D385" s="62" t="n"/>
      <c r="E385" s="62" t="n"/>
      <c r="F385" s="62" t="n"/>
      <c r="G385" s="63" t="n"/>
      <c r="H385" s="63" t="n"/>
      <c r="I385" s="62" t="n"/>
    </row>
    <row r="386" ht="15.75" customHeight="1" s="125">
      <c r="A386" s="62" t="n"/>
      <c r="B386" s="58" t="n"/>
      <c r="C386" s="62" t="n"/>
      <c r="D386" s="62" t="n"/>
      <c r="E386" s="62" t="n"/>
      <c r="F386" s="62" t="n"/>
      <c r="G386" s="63" t="n"/>
      <c r="H386" s="63" t="n"/>
      <c r="I386" s="62" t="n"/>
    </row>
    <row r="387" ht="15.75" customHeight="1" s="125">
      <c r="A387" s="62" t="n"/>
      <c r="B387" s="58" t="n"/>
      <c r="C387" s="62" t="n"/>
      <c r="D387" s="62" t="n"/>
      <c r="E387" s="62" t="n"/>
      <c r="F387" s="62" t="n"/>
      <c r="G387" s="63" t="n"/>
      <c r="H387" s="63" t="n"/>
      <c r="I387" s="62" t="n"/>
    </row>
    <row r="388" ht="15.75" customHeight="1" s="125">
      <c r="A388" s="62" t="n"/>
      <c r="B388" s="58" t="n"/>
      <c r="C388" s="62" t="n"/>
      <c r="D388" s="62" t="n"/>
      <c r="E388" s="62" t="n"/>
      <c r="F388" s="62" t="n"/>
      <c r="G388" s="63" t="n"/>
      <c r="H388" s="63" t="n"/>
      <c r="I388" s="62" t="n"/>
    </row>
    <row r="389" ht="15.75" customHeight="1" s="125">
      <c r="A389" s="62" t="n"/>
      <c r="B389" s="58" t="n"/>
      <c r="C389" s="62" t="n"/>
      <c r="D389" s="62" t="n"/>
      <c r="E389" s="62" t="n"/>
      <c r="F389" s="62" t="n"/>
      <c r="G389" s="63" t="n"/>
      <c r="H389" s="63" t="n"/>
      <c r="I389" s="62" t="n"/>
    </row>
    <row r="390" ht="15.75" customHeight="1" s="125">
      <c r="A390" s="62" t="n"/>
      <c r="B390" s="58" t="n"/>
      <c r="C390" s="62" t="n"/>
      <c r="D390" s="62" t="n"/>
      <c r="E390" s="62" t="n"/>
      <c r="F390" s="62" t="n"/>
      <c r="G390" s="63" t="n"/>
      <c r="H390" s="63" t="n"/>
      <c r="I390" s="62" t="n"/>
    </row>
    <row r="391" ht="15.75" customHeight="1" s="125">
      <c r="A391" s="62" t="n"/>
      <c r="B391" s="58" t="n"/>
      <c r="C391" s="62" t="n"/>
      <c r="D391" s="62" t="n"/>
      <c r="E391" s="62" t="n"/>
      <c r="F391" s="62" t="n"/>
      <c r="G391" s="63" t="n"/>
      <c r="H391" s="63" t="n"/>
      <c r="I391" s="62" t="n"/>
    </row>
    <row r="392" ht="15.75" customHeight="1" s="125">
      <c r="A392" s="62" t="n"/>
      <c r="B392" s="58" t="n"/>
      <c r="C392" s="62" t="n"/>
      <c r="D392" s="62" t="n"/>
      <c r="E392" s="62" t="n"/>
      <c r="F392" s="62" t="n"/>
      <c r="G392" s="63" t="n"/>
      <c r="H392" s="63" t="n"/>
      <c r="I392" s="62" t="n"/>
    </row>
    <row r="393" ht="15.75" customHeight="1" s="125">
      <c r="A393" s="62" t="n"/>
      <c r="B393" s="58" t="n"/>
      <c r="C393" s="62" t="n"/>
      <c r="D393" s="62" t="n"/>
      <c r="E393" s="62" t="n"/>
      <c r="F393" s="62" t="n"/>
      <c r="G393" s="63" t="n"/>
      <c r="H393" s="63" t="n"/>
      <c r="I393" s="62" t="n"/>
    </row>
    <row r="394" ht="15.75" customHeight="1" s="125">
      <c r="A394" s="62" t="n"/>
      <c r="B394" s="58" t="n"/>
      <c r="C394" s="62" t="n"/>
      <c r="D394" s="62" t="n"/>
      <c r="E394" s="62" t="n"/>
      <c r="F394" s="62" t="n"/>
      <c r="G394" s="63" t="n"/>
      <c r="H394" s="63" t="n"/>
      <c r="I394" s="62" t="n"/>
    </row>
    <row r="395" ht="15.75" customHeight="1" s="125">
      <c r="A395" s="62" t="n"/>
      <c r="B395" s="58" t="n"/>
      <c r="C395" s="62" t="n"/>
      <c r="D395" s="62" t="n"/>
      <c r="E395" s="62" t="n"/>
      <c r="F395" s="62" t="n"/>
      <c r="G395" s="63" t="n"/>
      <c r="H395" s="63" t="n"/>
      <c r="I395" s="62" t="n"/>
    </row>
    <row r="396" ht="15.75" customHeight="1" s="125">
      <c r="A396" s="62" t="n"/>
      <c r="B396" s="58" t="n"/>
      <c r="C396" s="62" t="n"/>
      <c r="D396" s="62" t="n"/>
      <c r="E396" s="62" t="n"/>
      <c r="F396" s="62" t="n"/>
      <c r="G396" s="63" t="n"/>
      <c r="H396" s="63" t="n"/>
      <c r="I396" s="62" t="n"/>
    </row>
    <row r="397" ht="15.75" customHeight="1" s="125">
      <c r="A397" s="62" t="n"/>
      <c r="B397" s="58" t="n"/>
      <c r="C397" s="62" t="n"/>
      <c r="D397" s="62" t="n"/>
      <c r="E397" s="62" t="n"/>
      <c r="F397" s="62" t="n"/>
      <c r="G397" s="63" t="n"/>
      <c r="H397" s="63" t="n"/>
      <c r="I397" s="62" t="n"/>
    </row>
    <row r="398" ht="15.75" customHeight="1" s="125">
      <c r="A398" s="62" t="n"/>
      <c r="B398" s="58" t="n"/>
      <c r="C398" s="62" t="n"/>
      <c r="D398" s="62" t="n"/>
      <c r="E398" s="62" t="n"/>
      <c r="F398" s="62" t="n"/>
      <c r="G398" s="63" t="n"/>
      <c r="H398" s="63" t="n"/>
      <c r="I398" s="62" t="n"/>
    </row>
    <row r="399" ht="15.75" customHeight="1" s="125">
      <c r="A399" s="62" t="n"/>
      <c r="B399" s="58" t="n"/>
      <c r="C399" s="62" t="n"/>
      <c r="D399" s="62" t="n"/>
      <c r="E399" s="62" t="n"/>
      <c r="F399" s="62" t="n"/>
      <c r="G399" s="63" t="n"/>
      <c r="H399" s="63" t="n"/>
      <c r="I399" s="62" t="n"/>
    </row>
    <row r="400" ht="15.75" customHeight="1" s="125">
      <c r="A400" s="62" t="n"/>
      <c r="B400" s="58" t="n"/>
      <c r="C400" s="62" t="n"/>
      <c r="D400" s="62" t="n"/>
      <c r="E400" s="62" t="n"/>
      <c r="F400" s="62" t="n"/>
      <c r="G400" s="63" t="n"/>
      <c r="H400" s="63" t="n"/>
      <c r="I400" s="62" t="n"/>
    </row>
    <row r="401" ht="15.75" customHeight="1" s="125">
      <c r="A401" s="62" t="n"/>
      <c r="B401" s="58" t="n"/>
      <c r="C401" s="62" t="n"/>
      <c r="D401" s="62" t="n"/>
      <c r="E401" s="62" t="n"/>
      <c r="F401" s="62" t="n"/>
      <c r="G401" s="63" t="n"/>
      <c r="H401" s="63" t="n"/>
      <c r="I401" s="62" t="n"/>
    </row>
    <row r="402" ht="15.75" customHeight="1" s="125">
      <c r="A402" s="62" t="n"/>
      <c r="B402" s="58" t="n"/>
      <c r="C402" s="62" t="n"/>
      <c r="D402" s="62" t="n"/>
      <c r="E402" s="62" t="n"/>
      <c r="F402" s="62" t="n"/>
      <c r="G402" s="63" t="n"/>
      <c r="H402" s="63" t="n"/>
      <c r="I402" s="62" t="n"/>
    </row>
    <row r="403" ht="15.75" customHeight="1" s="125">
      <c r="A403" s="62" t="n"/>
      <c r="B403" s="58" t="n"/>
      <c r="C403" s="62" t="n"/>
      <c r="D403" s="62" t="n"/>
      <c r="E403" s="62" t="n"/>
      <c r="F403" s="62" t="n"/>
      <c r="G403" s="63" t="n"/>
      <c r="H403" s="63" t="n"/>
      <c r="I403" s="62" t="n"/>
    </row>
    <row r="404" ht="15.75" customHeight="1" s="125">
      <c r="A404" s="62" t="n"/>
      <c r="B404" s="58" t="n"/>
      <c r="C404" s="62" t="n"/>
      <c r="D404" s="62" t="n"/>
      <c r="E404" s="62" t="n"/>
      <c r="F404" s="62" t="n"/>
      <c r="G404" s="63" t="n"/>
      <c r="H404" s="63" t="n"/>
      <c r="I404" s="62" t="n"/>
    </row>
    <row r="405" ht="15.75" customHeight="1" s="125">
      <c r="A405" s="62" t="n"/>
      <c r="B405" s="58" t="n"/>
      <c r="C405" s="62" t="n"/>
      <c r="D405" s="62" t="n"/>
      <c r="E405" s="62" t="n"/>
      <c r="F405" s="62" t="n"/>
      <c r="G405" s="63" t="n"/>
      <c r="H405" s="63" t="n"/>
      <c r="I405" s="62" t="n"/>
    </row>
    <row r="406" ht="15.75" customHeight="1" s="125">
      <c r="A406" s="62" t="n"/>
      <c r="B406" s="58" t="n"/>
      <c r="C406" s="62" t="n"/>
      <c r="D406" s="62" t="n"/>
      <c r="E406" s="62" t="n"/>
      <c r="F406" s="62" t="n"/>
      <c r="G406" s="63" t="n"/>
      <c r="H406" s="63" t="n"/>
      <c r="I406" s="62" t="n"/>
    </row>
    <row r="407" ht="15.75" customHeight="1" s="125">
      <c r="A407" s="62" t="n"/>
      <c r="B407" s="58" t="n"/>
      <c r="C407" s="62" t="n"/>
      <c r="D407" s="62" t="n"/>
      <c r="E407" s="62" t="n"/>
      <c r="F407" s="62" t="n"/>
      <c r="G407" s="63" t="n"/>
      <c r="H407" s="63" t="n"/>
      <c r="I407" s="62" t="n"/>
    </row>
    <row r="408" ht="15.75" customHeight="1" s="125">
      <c r="A408" s="62" t="n"/>
      <c r="B408" s="58" t="n"/>
      <c r="C408" s="62" t="n"/>
      <c r="D408" s="62" t="n"/>
      <c r="E408" s="62" t="n"/>
      <c r="F408" s="62" t="n"/>
      <c r="G408" s="63" t="n"/>
      <c r="H408" s="63" t="n"/>
      <c r="I408" s="62" t="n"/>
    </row>
    <row r="409" ht="15.75" customHeight="1" s="125">
      <c r="A409" s="62" t="n"/>
      <c r="B409" s="58" t="n"/>
      <c r="C409" s="62" t="n"/>
      <c r="D409" s="62" t="n"/>
      <c r="E409" s="62" t="n"/>
      <c r="F409" s="62" t="n"/>
      <c r="G409" s="63" t="n"/>
      <c r="H409" s="63" t="n"/>
      <c r="I409" s="62" t="n"/>
    </row>
    <row r="410" ht="15.75" customHeight="1" s="125">
      <c r="A410" s="62" t="n"/>
      <c r="B410" s="58" t="n"/>
      <c r="C410" s="62" t="n"/>
      <c r="D410" s="62" t="n"/>
      <c r="E410" s="62" t="n"/>
      <c r="F410" s="62" t="n"/>
      <c r="G410" s="63" t="n"/>
      <c r="H410" s="63" t="n"/>
      <c r="I410" s="62" t="n"/>
    </row>
    <row r="411" ht="15.75" customHeight="1" s="125">
      <c r="A411" s="62" t="n"/>
      <c r="B411" s="58" t="n"/>
      <c r="C411" s="62" t="n"/>
      <c r="D411" s="62" t="n"/>
      <c r="E411" s="62" t="n"/>
      <c r="F411" s="62" t="n"/>
      <c r="G411" s="63" t="n"/>
      <c r="H411" s="63" t="n"/>
      <c r="I411" s="62" t="n"/>
    </row>
    <row r="412" ht="15.75" customHeight="1" s="125">
      <c r="A412" s="62" t="n"/>
      <c r="B412" s="58" t="n"/>
      <c r="C412" s="62" t="n"/>
      <c r="D412" s="62" t="n"/>
      <c r="E412" s="62" t="n"/>
      <c r="F412" s="62" t="n"/>
      <c r="G412" s="63" t="n"/>
      <c r="H412" s="63" t="n"/>
      <c r="I412" s="62" t="n"/>
    </row>
    <row r="413" ht="15.75" customHeight="1" s="125">
      <c r="A413" s="62" t="n"/>
      <c r="B413" s="58" t="n"/>
      <c r="C413" s="62" t="n"/>
      <c r="D413" s="62" t="n"/>
      <c r="E413" s="62" t="n"/>
      <c r="F413" s="62" t="n"/>
      <c r="G413" s="63" t="n"/>
      <c r="H413" s="63" t="n"/>
      <c r="I413" s="62" t="n"/>
    </row>
    <row r="414" ht="15.75" customHeight="1" s="125">
      <c r="A414" s="62" t="n"/>
      <c r="B414" s="58" t="n"/>
      <c r="C414" s="62" t="n"/>
      <c r="D414" s="62" t="n"/>
      <c r="E414" s="62" t="n"/>
      <c r="F414" s="62" t="n"/>
      <c r="G414" s="63" t="n"/>
      <c r="H414" s="63" t="n"/>
      <c r="I414" s="62" t="n"/>
    </row>
    <row r="415" ht="15.75" customHeight="1" s="125">
      <c r="A415" s="62" t="n"/>
      <c r="B415" s="58" t="n"/>
      <c r="C415" s="62" t="n"/>
      <c r="D415" s="62" t="n"/>
      <c r="E415" s="62" t="n"/>
      <c r="F415" s="62" t="n"/>
      <c r="G415" s="63" t="n"/>
      <c r="H415" s="63" t="n"/>
      <c r="I415" s="62" t="n"/>
    </row>
    <row r="416" ht="15.75" customHeight="1" s="125">
      <c r="A416" s="62" t="n"/>
      <c r="B416" s="58" t="n"/>
      <c r="C416" s="62" t="n"/>
      <c r="D416" s="62" t="n"/>
      <c r="E416" s="62" t="n"/>
      <c r="F416" s="62" t="n"/>
      <c r="G416" s="63" t="n"/>
      <c r="H416" s="63" t="n"/>
      <c r="I416" s="62" t="n"/>
    </row>
    <row r="417" ht="15.75" customHeight="1" s="125">
      <c r="A417" s="62" t="n"/>
      <c r="B417" s="58" t="n"/>
      <c r="C417" s="62" t="n"/>
      <c r="D417" s="62" t="n"/>
      <c r="E417" s="62" t="n"/>
      <c r="F417" s="62" t="n"/>
      <c r="G417" s="63" t="n"/>
      <c r="H417" s="63" t="n"/>
      <c r="I417" s="62" t="n"/>
    </row>
    <row r="418" ht="15.75" customHeight="1" s="125">
      <c r="A418" s="62" t="n"/>
      <c r="B418" s="58" t="n"/>
      <c r="C418" s="62" t="n"/>
      <c r="D418" s="62" t="n"/>
      <c r="E418" s="62" t="n"/>
      <c r="F418" s="62" t="n"/>
      <c r="G418" s="63" t="n"/>
      <c r="H418" s="63" t="n"/>
      <c r="I418" s="62" t="n"/>
    </row>
    <row r="419" ht="15.75" customHeight="1" s="125">
      <c r="A419" s="62" t="n"/>
      <c r="B419" s="58" t="n"/>
      <c r="C419" s="62" t="n"/>
      <c r="D419" s="62" t="n"/>
      <c r="E419" s="62" t="n"/>
      <c r="F419" s="62" t="n"/>
      <c r="G419" s="63" t="n"/>
      <c r="H419" s="63" t="n"/>
      <c r="I419" s="62" t="n"/>
    </row>
    <row r="420" ht="15.75" customHeight="1" s="125">
      <c r="A420" s="62" t="n"/>
      <c r="B420" s="58" t="n"/>
      <c r="C420" s="62" t="n"/>
      <c r="D420" s="62" t="n"/>
      <c r="E420" s="62" t="n"/>
      <c r="F420" s="62" t="n"/>
      <c r="G420" s="63" t="n"/>
      <c r="H420" s="63" t="n"/>
      <c r="I420" s="62" t="n"/>
    </row>
    <row r="421" ht="15.75" customHeight="1" s="125">
      <c r="A421" s="62" t="n"/>
      <c r="B421" s="58" t="n"/>
      <c r="C421" s="62" t="n"/>
      <c r="D421" s="62" t="n"/>
      <c r="E421" s="62" t="n"/>
      <c r="F421" s="62" t="n"/>
      <c r="G421" s="63" t="n"/>
      <c r="H421" s="63" t="n"/>
      <c r="I421" s="62" t="n"/>
    </row>
    <row r="422" ht="15.75" customHeight="1" s="125">
      <c r="A422" s="62" t="n"/>
      <c r="B422" s="58" t="n"/>
      <c r="C422" s="62" t="n"/>
      <c r="D422" s="62" t="n"/>
      <c r="E422" s="62" t="n"/>
      <c r="F422" s="62" t="n"/>
      <c r="G422" s="63" t="n"/>
      <c r="H422" s="63" t="n"/>
      <c r="I422" s="62" t="n"/>
    </row>
    <row r="423" ht="15.75" customHeight="1" s="125">
      <c r="A423" s="62" t="n"/>
      <c r="B423" s="58" t="n"/>
      <c r="C423" s="62" t="n"/>
      <c r="D423" s="62" t="n"/>
      <c r="E423" s="62" t="n"/>
      <c r="F423" s="62" t="n"/>
      <c r="G423" s="63" t="n"/>
      <c r="H423" s="63" t="n"/>
      <c r="I423" s="62" t="n"/>
    </row>
    <row r="424" ht="15.75" customHeight="1" s="125">
      <c r="A424" s="62" t="n"/>
      <c r="B424" s="58" t="n"/>
      <c r="C424" s="62" t="n"/>
      <c r="D424" s="62" t="n"/>
      <c r="E424" s="62" t="n"/>
      <c r="F424" s="62" t="n"/>
      <c r="G424" s="63" t="n"/>
      <c r="H424" s="63" t="n"/>
      <c r="I424" s="62" t="n"/>
    </row>
    <row r="425" ht="15.75" customHeight="1" s="125">
      <c r="A425" s="62" t="n"/>
      <c r="B425" s="58" t="n"/>
      <c r="C425" s="62" t="n"/>
      <c r="D425" s="62" t="n"/>
      <c r="E425" s="62" t="n"/>
      <c r="F425" s="62" t="n"/>
      <c r="G425" s="63" t="n"/>
      <c r="H425" s="63" t="n"/>
      <c r="I425" s="62" t="n"/>
    </row>
    <row r="426" ht="15.75" customHeight="1" s="125">
      <c r="A426" s="62" t="n"/>
      <c r="B426" s="58" t="n"/>
      <c r="C426" s="62" t="n"/>
      <c r="D426" s="62" t="n"/>
      <c r="E426" s="62" t="n"/>
      <c r="F426" s="62" t="n"/>
      <c r="G426" s="63" t="n"/>
      <c r="H426" s="63" t="n"/>
      <c r="I426" s="62" t="n"/>
    </row>
    <row r="427" ht="15.75" customHeight="1" s="125">
      <c r="A427" s="62" t="n"/>
      <c r="B427" s="58" t="n"/>
      <c r="C427" s="62" t="n"/>
      <c r="D427" s="62" t="n"/>
      <c r="E427" s="62" t="n"/>
      <c r="F427" s="62" t="n"/>
      <c r="G427" s="63" t="n"/>
      <c r="H427" s="63" t="n"/>
      <c r="I427" s="62" t="n"/>
    </row>
    <row r="428" ht="15.75" customHeight="1" s="125">
      <c r="A428" s="62" t="n"/>
      <c r="B428" s="58" t="n"/>
      <c r="C428" s="62" t="n"/>
      <c r="D428" s="62" t="n"/>
      <c r="E428" s="62" t="n"/>
      <c r="F428" s="62" t="n"/>
      <c r="G428" s="63" t="n"/>
      <c r="H428" s="63" t="n"/>
      <c r="I428" s="62" t="n"/>
    </row>
    <row r="429" ht="15.75" customHeight="1" s="125">
      <c r="A429" s="62" t="n"/>
      <c r="B429" s="58" t="n"/>
      <c r="C429" s="62" t="n"/>
      <c r="D429" s="62" t="n"/>
      <c r="E429" s="62" t="n"/>
      <c r="F429" s="62" t="n"/>
      <c r="G429" s="63" t="n"/>
      <c r="H429" s="63" t="n"/>
      <c r="I429" s="62" t="n"/>
    </row>
    <row r="430" ht="15.75" customHeight="1" s="125">
      <c r="A430" s="62" t="n"/>
      <c r="B430" s="58" t="n"/>
      <c r="C430" s="62" t="n"/>
      <c r="D430" s="62" t="n"/>
      <c r="E430" s="62" t="n"/>
      <c r="F430" s="62" t="n"/>
      <c r="G430" s="63" t="n"/>
      <c r="H430" s="63" t="n"/>
      <c r="I430" s="62" t="n"/>
    </row>
    <row r="431" ht="15.75" customHeight="1" s="125">
      <c r="A431" s="62" t="n"/>
      <c r="B431" s="58" t="n"/>
      <c r="C431" s="62" t="n"/>
      <c r="D431" s="62" t="n"/>
      <c r="E431" s="62" t="n"/>
      <c r="F431" s="62" t="n"/>
      <c r="G431" s="63" t="n"/>
      <c r="H431" s="63" t="n"/>
      <c r="I431" s="62" t="n"/>
    </row>
    <row r="432" ht="15.75" customHeight="1" s="125">
      <c r="A432" s="62" t="n"/>
      <c r="B432" s="58" t="n"/>
      <c r="C432" s="62" t="n"/>
      <c r="D432" s="62" t="n"/>
      <c r="E432" s="62" t="n"/>
      <c r="F432" s="62" t="n"/>
      <c r="G432" s="63" t="n"/>
      <c r="H432" s="63" t="n"/>
      <c r="I432" s="62" t="n"/>
    </row>
    <row r="433" ht="15.75" customHeight="1" s="125">
      <c r="A433" s="62" t="n"/>
      <c r="B433" s="58" t="n"/>
      <c r="C433" s="62" t="n"/>
      <c r="D433" s="62" t="n"/>
      <c r="E433" s="62" t="n"/>
      <c r="F433" s="62" t="n"/>
      <c r="G433" s="63" t="n"/>
      <c r="H433" s="63" t="n"/>
      <c r="I433" s="62" t="n"/>
    </row>
    <row r="434" ht="15.75" customHeight="1" s="125">
      <c r="A434" s="62" t="n"/>
      <c r="B434" s="58" t="n"/>
      <c r="C434" s="62" t="n"/>
      <c r="D434" s="62" t="n"/>
      <c r="E434" s="62" t="n"/>
      <c r="F434" s="62" t="n"/>
      <c r="G434" s="63" t="n"/>
      <c r="H434" s="63" t="n"/>
      <c r="I434" s="62" t="n"/>
    </row>
    <row r="435" ht="15.75" customHeight="1" s="125">
      <c r="A435" s="62" t="n"/>
      <c r="B435" s="58" t="n"/>
      <c r="C435" s="62" t="n"/>
      <c r="D435" s="62" t="n"/>
      <c r="E435" s="62" t="n"/>
      <c r="F435" s="62" t="n"/>
      <c r="G435" s="63" t="n"/>
      <c r="H435" s="63" t="n"/>
      <c r="I435" s="62" t="n"/>
    </row>
    <row r="436" ht="15.75" customHeight="1" s="125">
      <c r="A436" s="62" t="n"/>
      <c r="B436" s="58" t="n"/>
      <c r="C436" s="62" t="n"/>
      <c r="D436" s="62" t="n"/>
      <c r="E436" s="62" t="n"/>
      <c r="F436" s="62" t="n"/>
      <c r="G436" s="63" t="n"/>
      <c r="H436" s="63" t="n"/>
      <c r="I436" s="62" t="n"/>
    </row>
    <row r="437" ht="15.75" customHeight="1" s="125">
      <c r="A437" s="62" t="n"/>
      <c r="B437" s="58" t="n"/>
      <c r="C437" s="62" t="n"/>
      <c r="D437" s="62" t="n"/>
      <c r="E437" s="62" t="n"/>
      <c r="F437" s="62" t="n"/>
      <c r="G437" s="63" t="n"/>
      <c r="H437" s="63" t="n"/>
      <c r="I437" s="62" t="n"/>
    </row>
    <row r="438" ht="15.75" customHeight="1" s="125">
      <c r="A438" s="62" t="n"/>
      <c r="B438" s="58" t="n"/>
      <c r="C438" s="62" t="n"/>
      <c r="D438" s="62" t="n"/>
      <c r="E438" s="62" t="n"/>
      <c r="F438" s="62" t="n"/>
      <c r="G438" s="63" t="n"/>
      <c r="H438" s="63" t="n"/>
      <c r="I438" s="62" t="n"/>
    </row>
    <row r="439" ht="15.75" customHeight="1" s="125">
      <c r="A439" s="62" t="n"/>
      <c r="B439" s="58" t="n"/>
      <c r="C439" s="62" t="n"/>
      <c r="D439" s="62" t="n"/>
      <c r="E439" s="62" t="n"/>
      <c r="F439" s="62" t="n"/>
      <c r="G439" s="63" t="n"/>
      <c r="H439" s="63" t="n"/>
      <c r="I439" s="62" t="n"/>
    </row>
    <row r="440" ht="15.75" customHeight="1" s="125">
      <c r="A440" s="62" t="n"/>
      <c r="B440" s="58" t="n"/>
      <c r="C440" s="62" t="n"/>
      <c r="D440" s="62" t="n"/>
      <c r="E440" s="62" t="n"/>
      <c r="F440" s="62" t="n"/>
      <c r="G440" s="63" t="n"/>
      <c r="H440" s="63" t="n"/>
      <c r="I440" s="62" t="n"/>
    </row>
    <row r="441" ht="15.75" customHeight="1" s="125">
      <c r="A441" s="62" t="n"/>
      <c r="B441" s="58" t="n"/>
      <c r="C441" s="62" t="n"/>
      <c r="D441" s="62" t="n"/>
      <c r="E441" s="62" t="n"/>
      <c r="F441" s="62" t="n"/>
      <c r="G441" s="63" t="n"/>
      <c r="H441" s="63" t="n"/>
      <c r="I441" s="62" t="n"/>
    </row>
    <row r="442" ht="15.75" customHeight="1" s="125">
      <c r="A442" s="62" t="n"/>
      <c r="B442" s="58" t="n"/>
      <c r="C442" s="62" t="n"/>
      <c r="D442" s="62" t="n"/>
      <c r="E442" s="62" t="n"/>
      <c r="F442" s="62" t="n"/>
      <c r="G442" s="63" t="n"/>
      <c r="H442" s="63" t="n"/>
      <c r="I442" s="62" t="n"/>
    </row>
    <row r="443" ht="15.75" customHeight="1" s="125">
      <c r="A443" s="62" t="n"/>
      <c r="B443" s="58" t="n"/>
      <c r="C443" s="62" t="n"/>
      <c r="D443" s="62" t="n"/>
      <c r="E443" s="62" t="n"/>
      <c r="F443" s="62" t="n"/>
      <c r="G443" s="63" t="n"/>
      <c r="H443" s="63" t="n"/>
      <c r="I443" s="62" t="n"/>
    </row>
    <row r="444" ht="15.75" customHeight="1" s="125">
      <c r="A444" s="62" t="n"/>
      <c r="B444" s="58" t="n"/>
      <c r="C444" s="62" t="n"/>
      <c r="D444" s="62" t="n"/>
      <c r="E444" s="62" t="n"/>
      <c r="F444" s="62" t="n"/>
      <c r="G444" s="63" t="n"/>
      <c r="H444" s="63" t="n"/>
      <c r="I444" s="62" t="n"/>
    </row>
    <row r="445" ht="15.75" customHeight="1" s="125">
      <c r="A445" s="62" t="n"/>
      <c r="B445" s="58" t="n"/>
      <c r="C445" s="62" t="n"/>
      <c r="D445" s="62" t="n"/>
      <c r="E445" s="62" t="n"/>
      <c r="F445" s="62" t="n"/>
      <c r="G445" s="63" t="n"/>
      <c r="H445" s="63" t="n"/>
      <c r="I445" s="62" t="n"/>
    </row>
    <row r="446" ht="15.75" customHeight="1" s="125">
      <c r="A446" s="62" t="n"/>
      <c r="B446" s="58" t="n"/>
      <c r="C446" s="62" t="n"/>
      <c r="D446" s="62" t="n"/>
      <c r="E446" s="62" t="n"/>
      <c r="F446" s="62" t="n"/>
      <c r="G446" s="63" t="n"/>
      <c r="H446" s="63" t="n"/>
      <c r="I446" s="62" t="n"/>
    </row>
    <row r="447" ht="15.75" customHeight="1" s="125">
      <c r="A447" s="62" t="n"/>
      <c r="B447" s="58" t="n"/>
      <c r="C447" s="62" t="n"/>
      <c r="D447" s="62" t="n"/>
      <c r="E447" s="62" t="n"/>
      <c r="F447" s="62" t="n"/>
      <c r="G447" s="63" t="n"/>
      <c r="H447" s="63" t="n"/>
      <c r="I447" s="62" t="n"/>
    </row>
    <row r="448" ht="15.75" customHeight="1" s="125">
      <c r="A448" s="62" t="n"/>
      <c r="B448" s="58" t="n"/>
      <c r="C448" s="62" t="n"/>
      <c r="D448" s="62" t="n"/>
      <c r="E448" s="62" t="n"/>
      <c r="F448" s="62" t="n"/>
      <c r="G448" s="63" t="n"/>
      <c r="H448" s="63" t="n"/>
      <c r="I448" s="62" t="n"/>
    </row>
    <row r="449" ht="15.75" customHeight="1" s="125">
      <c r="A449" s="62" t="n"/>
      <c r="B449" s="58" t="n"/>
      <c r="C449" s="62" t="n"/>
      <c r="D449" s="62" t="n"/>
      <c r="E449" s="62" t="n"/>
      <c r="F449" s="62" t="n"/>
      <c r="G449" s="63" t="n"/>
      <c r="H449" s="63" t="n"/>
      <c r="I449" s="62" t="n"/>
    </row>
    <row r="450" ht="15.75" customHeight="1" s="125">
      <c r="A450" s="62" t="n"/>
      <c r="B450" s="58" t="n"/>
      <c r="C450" s="62" t="n"/>
      <c r="D450" s="62" t="n"/>
      <c r="E450" s="62" t="n"/>
      <c r="F450" s="62" t="n"/>
      <c r="G450" s="63" t="n"/>
      <c r="H450" s="63" t="n"/>
      <c r="I450" s="62" t="n"/>
    </row>
    <row r="451" ht="15.75" customHeight="1" s="125">
      <c r="A451" s="62" t="n"/>
      <c r="B451" s="58" t="n"/>
      <c r="C451" s="62" t="n"/>
      <c r="D451" s="62" t="n"/>
      <c r="E451" s="62" t="n"/>
      <c r="F451" s="62" t="n"/>
      <c r="G451" s="63" t="n"/>
      <c r="H451" s="63" t="n"/>
      <c r="I451" s="62" t="n"/>
    </row>
    <row r="452" ht="15.75" customHeight="1" s="125">
      <c r="A452" s="62" t="n"/>
      <c r="B452" s="58" t="n"/>
      <c r="C452" s="62" t="n"/>
      <c r="D452" s="62" t="n"/>
      <c r="E452" s="62" t="n"/>
      <c r="F452" s="62" t="n"/>
      <c r="G452" s="63" t="n"/>
      <c r="H452" s="63" t="n"/>
      <c r="I452" s="62" t="n"/>
    </row>
    <row r="453" ht="15.75" customHeight="1" s="125">
      <c r="A453" s="62" t="n"/>
      <c r="B453" s="58" t="n"/>
      <c r="C453" s="62" t="n"/>
      <c r="D453" s="62" t="n"/>
      <c r="E453" s="62" t="n"/>
      <c r="F453" s="62" t="n"/>
      <c r="G453" s="63" t="n"/>
      <c r="H453" s="63" t="n"/>
      <c r="I453" s="62" t="n"/>
    </row>
    <row r="454" ht="15.75" customHeight="1" s="125">
      <c r="A454" s="62" t="n"/>
      <c r="B454" s="58" t="n"/>
      <c r="C454" s="62" t="n"/>
      <c r="D454" s="62" t="n"/>
      <c r="E454" s="62" t="n"/>
      <c r="F454" s="62" t="n"/>
      <c r="G454" s="63" t="n"/>
      <c r="H454" s="63" t="n"/>
      <c r="I454" s="62" t="n"/>
    </row>
    <row r="455" ht="15.75" customHeight="1" s="125">
      <c r="A455" s="62" t="n"/>
      <c r="B455" s="58" t="n"/>
      <c r="C455" s="62" t="n"/>
      <c r="D455" s="62" t="n"/>
      <c r="E455" s="62" t="n"/>
      <c r="F455" s="62" t="n"/>
      <c r="G455" s="63" t="n"/>
      <c r="H455" s="63" t="n"/>
      <c r="I455" s="62" t="n"/>
    </row>
    <row r="456" ht="15.75" customHeight="1" s="125">
      <c r="A456" s="62" t="n"/>
      <c r="B456" s="58" t="n"/>
      <c r="C456" s="62" t="n"/>
      <c r="D456" s="62" t="n"/>
      <c r="E456" s="62" t="n"/>
      <c r="F456" s="62" t="n"/>
      <c r="G456" s="63" t="n"/>
      <c r="H456" s="63" t="n"/>
      <c r="I456" s="62" t="n"/>
    </row>
    <row r="457" ht="15.75" customHeight="1" s="125">
      <c r="A457" s="62" t="n"/>
      <c r="B457" s="58" t="n"/>
      <c r="C457" s="62" t="n"/>
      <c r="D457" s="62" t="n"/>
      <c r="E457" s="62" t="n"/>
      <c r="F457" s="62" t="n"/>
      <c r="G457" s="63" t="n"/>
      <c r="H457" s="63" t="n"/>
      <c r="I457" s="62" t="n"/>
    </row>
    <row r="458" ht="15.75" customHeight="1" s="125">
      <c r="A458" s="62" t="n"/>
      <c r="B458" s="58" t="n"/>
      <c r="C458" s="62" t="n"/>
      <c r="D458" s="62" t="n"/>
      <c r="E458" s="62" t="n"/>
      <c r="F458" s="62" t="n"/>
      <c r="G458" s="63" t="n"/>
      <c r="H458" s="63" t="n"/>
      <c r="I458" s="62" t="n"/>
    </row>
    <row r="459" ht="15.75" customHeight="1" s="125">
      <c r="A459" s="62" t="n"/>
      <c r="B459" s="58" t="n"/>
      <c r="C459" s="62" t="n"/>
      <c r="D459" s="62" t="n"/>
      <c r="E459" s="62" t="n"/>
      <c r="F459" s="62" t="n"/>
      <c r="G459" s="63" t="n"/>
      <c r="H459" s="63" t="n"/>
      <c r="I459" s="62" t="n"/>
    </row>
    <row r="460" ht="15.75" customHeight="1" s="125">
      <c r="A460" s="62" t="n"/>
      <c r="B460" s="58" t="n"/>
      <c r="C460" s="62" t="n"/>
      <c r="D460" s="62" t="n"/>
      <c r="E460" s="62" t="n"/>
      <c r="F460" s="62" t="n"/>
      <c r="G460" s="63" t="n"/>
      <c r="H460" s="63" t="n"/>
      <c r="I460" s="62" t="n"/>
    </row>
    <row r="461" ht="15.75" customHeight="1" s="125">
      <c r="A461" s="62" t="n"/>
      <c r="B461" s="58" t="n"/>
      <c r="C461" s="62" t="n"/>
      <c r="D461" s="62" t="n"/>
      <c r="E461" s="62" t="n"/>
      <c r="F461" s="62" t="n"/>
      <c r="G461" s="63" t="n"/>
      <c r="H461" s="63" t="n"/>
      <c r="I461" s="62" t="n"/>
    </row>
    <row r="462" ht="15.75" customHeight="1" s="125">
      <c r="A462" s="62" t="n"/>
      <c r="B462" s="58" t="n"/>
      <c r="C462" s="62" t="n"/>
      <c r="D462" s="62" t="n"/>
      <c r="E462" s="62" t="n"/>
      <c r="F462" s="62" t="n"/>
      <c r="G462" s="63" t="n"/>
      <c r="H462" s="63" t="n"/>
      <c r="I462" s="62" t="n"/>
    </row>
    <row r="463" ht="15.75" customHeight="1" s="125">
      <c r="A463" s="62" t="n"/>
      <c r="B463" s="58" t="n"/>
      <c r="C463" s="62" t="n"/>
      <c r="D463" s="62" t="n"/>
      <c r="E463" s="62" t="n"/>
      <c r="F463" s="62" t="n"/>
      <c r="G463" s="63" t="n"/>
      <c r="H463" s="63" t="n"/>
      <c r="I463" s="62" t="n"/>
    </row>
    <row r="464" ht="15.75" customHeight="1" s="125">
      <c r="A464" s="62" t="n"/>
      <c r="B464" s="58" t="n"/>
      <c r="C464" s="62" t="n"/>
      <c r="D464" s="62" t="n"/>
      <c r="E464" s="62" t="n"/>
      <c r="F464" s="62" t="n"/>
      <c r="G464" s="63" t="n"/>
      <c r="H464" s="63" t="n"/>
      <c r="I464" s="62" t="n"/>
    </row>
    <row r="465" ht="15.75" customHeight="1" s="125">
      <c r="A465" s="62" t="n"/>
      <c r="B465" s="58" t="n"/>
      <c r="C465" s="62" t="n"/>
      <c r="D465" s="62" t="n"/>
      <c r="E465" s="62" t="n"/>
      <c r="F465" s="62" t="n"/>
      <c r="G465" s="63" t="n"/>
      <c r="H465" s="63" t="n"/>
      <c r="I465" s="62" t="n"/>
    </row>
    <row r="466" ht="15.75" customHeight="1" s="125">
      <c r="A466" s="62" t="n"/>
      <c r="B466" s="58" t="n"/>
      <c r="C466" s="62" t="n"/>
      <c r="D466" s="62" t="n"/>
      <c r="E466" s="62" t="n"/>
      <c r="F466" s="62" t="n"/>
      <c r="G466" s="63" t="n"/>
      <c r="H466" s="63" t="n"/>
      <c r="I466" s="62" t="n"/>
    </row>
    <row r="467" ht="15.75" customHeight="1" s="125">
      <c r="A467" s="62" t="n"/>
      <c r="B467" s="58" t="n"/>
      <c r="C467" s="62" t="n"/>
      <c r="D467" s="62" t="n"/>
      <c r="E467" s="62" t="n"/>
      <c r="F467" s="62" t="n"/>
      <c r="G467" s="63" t="n"/>
      <c r="H467" s="63" t="n"/>
      <c r="I467" s="62" t="n"/>
    </row>
    <row r="468" ht="15.75" customHeight="1" s="125">
      <c r="A468" s="62" t="n"/>
      <c r="B468" s="58" t="n"/>
      <c r="C468" s="62" t="n"/>
      <c r="D468" s="62" t="n"/>
      <c r="E468" s="62" t="n"/>
      <c r="F468" s="62" t="n"/>
      <c r="G468" s="63" t="n"/>
      <c r="H468" s="63" t="n"/>
      <c r="I468" s="62" t="n"/>
    </row>
    <row r="469" ht="15.75" customHeight="1" s="125">
      <c r="A469" s="62" t="n"/>
      <c r="B469" s="58" t="n"/>
      <c r="C469" s="62" t="n"/>
      <c r="D469" s="62" t="n"/>
      <c r="E469" s="62" t="n"/>
      <c r="F469" s="62" t="n"/>
      <c r="G469" s="63" t="n"/>
      <c r="H469" s="63" t="n"/>
      <c r="I469" s="62" t="n"/>
    </row>
    <row r="470" ht="15.75" customHeight="1" s="125">
      <c r="A470" s="62" t="n"/>
      <c r="B470" s="58" t="n"/>
      <c r="C470" s="62" t="n"/>
      <c r="D470" s="62" t="n"/>
      <c r="E470" s="62" t="n"/>
      <c r="F470" s="62" t="n"/>
      <c r="G470" s="63" t="n"/>
      <c r="H470" s="63" t="n"/>
      <c r="I470" s="62" t="n"/>
    </row>
    <row r="471" ht="15.75" customHeight="1" s="125">
      <c r="A471" s="62" t="n"/>
      <c r="B471" s="58" t="n"/>
      <c r="C471" s="62" t="n"/>
      <c r="D471" s="62" t="n"/>
      <c r="E471" s="62" t="n"/>
      <c r="F471" s="62" t="n"/>
      <c r="G471" s="63" t="n"/>
      <c r="H471" s="63" t="n"/>
      <c r="I471" s="62" t="n"/>
    </row>
    <row r="472" ht="15.75" customHeight="1" s="125">
      <c r="A472" s="62" t="n"/>
      <c r="B472" s="58" t="n"/>
      <c r="C472" s="62" t="n"/>
      <c r="D472" s="62" t="n"/>
      <c r="E472" s="62" t="n"/>
      <c r="F472" s="62" t="n"/>
      <c r="G472" s="63" t="n"/>
      <c r="H472" s="63" t="n"/>
      <c r="I472" s="62" t="n"/>
    </row>
    <row r="473" ht="15.75" customHeight="1" s="125">
      <c r="A473" s="62" t="n"/>
      <c r="B473" s="58" t="n"/>
      <c r="C473" s="62" t="n"/>
      <c r="D473" s="62" t="n"/>
      <c r="E473" s="62" t="n"/>
      <c r="F473" s="62" t="n"/>
      <c r="G473" s="63" t="n"/>
      <c r="H473" s="63" t="n"/>
      <c r="I473" s="62" t="n"/>
    </row>
    <row r="474" ht="15.75" customHeight="1" s="125">
      <c r="A474" s="62" t="n"/>
      <c r="B474" s="58" t="n"/>
      <c r="C474" s="62" t="n"/>
      <c r="D474" s="62" t="n"/>
      <c r="E474" s="62" t="n"/>
      <c r="F474" s="62" t="n"/>
      <c r="G474" s="63" t="n"/>
      <c r="H474" s="63" t="n"/>
      <c r="I474" s="62" t="n"/>
    </row>
    <row r="475" ht="15.75" customHeight="1" s="125">
      <c r="A475" s="62" t="n"/>
      <c r="B475" s="58" t="n"/>
      <c r="C475" s="62" t="n"/>
      <c r="D475" s="62" t="n"/>
      <c r="E475" s="62" t="n"/>
      <c r="F475" s="62" t="n"/>
      <c r="G475" s="63" t="n"/>
      <c r="H475" s="63" t="n"/>
      <c r="I475" s="62" t="n"/>
    </row>
    <row r="476" ht="15.75" customHeight="1" s="125">
      <c r="A476" s="62" t="n"/>
      <c r="B476" s="58" t="n"/>
      <c r="C476" s="62" t="n"/>
      <c r="D476" s="62" t="n"/>
      <c r="E476" s="62" t="n"/>
      <c r="F476" s="62" t="n"/>
      <c r="G476" s="63" t="n"/>
      <c r="H476" s="63" t="n"/>
      <c r="I476" s="62" t="n"/>
    </row>
    <row r="477" ht="15.75" customHeight="1" s="125">
      <c r="A477" s="62" t="n"/>
      <c r="B477" s="58" t="n"/>
      <c r="C477" s="62" t="n"/>
      <c r="D477" s="62" t="n"/>
      <c r="E477" s="62" t="n"/>
      <c r="F477" s="62" t="n"/>
      <c r="G477" s="63" t="n"/>
      <c r="H477" s="63" t="n"/>
      <c r="I477" s="62" t="n"/>
    </row>
    <row r="478" ht="15.75" customHeight="1" s="125">
      <c r="A478" s="62" t="n"/>
      <c r="B478" s="58" t="n"/>
      <c r="C478" s="62" t="n"/>
      <c r="D478" s="62" t="n"/>
      <c r="E478" s="62" t="n"/>
      <c r="F478" s="62" t="n"/>
      <c r="G478" s="63" t="n"/>
      <c r="H478" s="63" t="n"/>
      <c r="I478" s="62" t="n"/>
    </row>
    <row r="479" ht="15.75" customHeight="1" s="125">
      <c r="A479" s="62" t="n"/>
      <c r="B479" s="58" t="n"/>
      <c r="C479" s="62" t="n"/>
      <c r="D479" s="62" t="n"/>
      <c r="E479" s="62" t="n"/>
      <c r="F479" s="62" t="n"/>
      <c r="G479" s="63" t="n"/>
      <c r="H479" s="63" t="n"/>
      <c r="I479" s="62" t="n"/>
    </row>
    <row r="480" ht="15.75" customHeight="1" s="125">
      <c r="A480" s="62" t="n"/>
      <c r="B480" s="58" t="n"/>
      <c r="C480" s="62" t="n"/>
      <c r="D480" s="62" t="n"/>
      <c r="E480" s="62" t="n"/>
      <c r="F480" s="62" t="n"/>
      <c r="G480" s="63" t="n"/>
      <c r="H480" s="63" t="n"/>
      <c r="I480" s="62" t="n"/>
    </row>
    <row r="481" ht="15.75" customHeight="1" s="125">
      <c r="A481" s="62" t="n"/>
      <c r="B481" s="58" t="n"/>
      <c r="C481" s="62" t="n"/>
      <c r="D481" s="62" t="n"/>
      <c r="E481" s="62" t="n"/>
      <c r="F481" s="62" t="n"/>
      <c r="G481" s="63" t="n"/>
      <c r="H481" s="63" t="n"/>
      <c r="I481" s="62" t="n"/>
    </row>
    <row r="482" ht="15.75" customHeight="1" s="125">
      <c r="A482" s="62" t="n"/>
      <c r="B482" s="58" t="n"/>
      <c r="C482" s="62" t="n"/>
      <c r="D482" s="62" t="n"/>
      <c r="E482" s="62" t="n"/>
      <c r="F482" s="62" t="n"/>
      <c r="G482" s="63" t="n"/>
      <c r="H482" s="63" t="n"/>
      <c r="I482" s="62" t="n"/>
    </row>
    <row r="483" ht="15.75" customHeight="1" s="125">
      <c r="A483" s="62" t="n"/>
      <c r="B483" s="58" t="n"/>
      <c r="C483" s="62" t="n"/>
      <c r="D483" s="62" t="n"/>
      <c r="E483" s="62" t="n"/>
      <c r="F483" s="62" t="n"/>
      <c r="G483" s="63" t="n"/>
      <c r="H483" s="63" t="n"/>
      <c r="I483" s="62" t="n"/>
    </row>
    <row r="484" ht="15.75" customHeight="1" s="125">
      <c r="A484" s="62" t="n"/>
      <c r="B484" s="58" t="n"/>
      <c r="C484" s="62" t="n"/>
      <c r="D484" s="62" t="n"/>
      <c r="E484" s="62" t="n"/>
      <c r="F484" s="62" t="n"/>
      <c r="G484" s="63" t="n"/>
      <c r="H484" s="63" t="n"/>
      <c r="I484" s="62" t="n"/>
    </row>
    <row r="485" ht="15.75" customHeight="1" s="125">
      <c r="A485" s="62" t="n"/>
      <c r="B485" s="58" t="n"/>
      <c r="C485" s="62" t="n"/>
      <c r="D485" s="62" t="n"/>
      <c r="E485" s="62" t="n"/>
      <c r="F485" s="62" t="n"/>
      <c r="G485" s="63" t="n"/>
      <c r="H485" s="63" t="n"/>
      <c r="I485" s="62" t="n"/>
    </row>
    <row r="486" ht="15.75" customHeight="1" s="125">
      <c r="A486" s="62" t="n"/>
      <c r="B486" s="58" t="n"/>
      <c r="C486" s="62" t="n"/>
      <c r="D486" s="62" t="n"/>
      <c r="E486" s="62" t="n"/>
      <c r="F486" s="62" t="n"/>
      <c r="G486" s="63" t="n"/>
      <c r="H486" s="63" t="n"/>
      <c r="I486" s="62" t="n"/>
    </row>
    <row r="487" ht="15.75" customHeight="1" s="125">
      <c r="A487" s="62" t="n"/>
      <c r="B487" s="58" t="n"/>
      <c r="C487" s="62" t="n"/>
      <c r="D487" s="62" t="n"/>
      <c r="E487" s="62" t="n"/>
      <c r="F487" s="62" t="n"/>
      <c r="G487" s="63" t="n"/>
      <c r="H487" s="63" t="n"/>
      <c r="I487" s="62" t="n"/>
    </row>
    <row r="488" ht="15.75" customHeight="1" s="125">
      <c r="A488" s="62" t="n"/>
      <c r="B488" s="58" t="n"/>
      <c r="C488" s="62" t="n"/>
      <c r="D488" s="62" t="n"/>
      <c r="E488" s="62" t="n"/>
      <c r="F488" s="62" t="n"/>
      <c r="G488" s="63" t="n"/>
      <c r="H488" s="63" t="n"/>
      <c r="I488" s="62" t="n"/>
    </row>
    <row r="489" ht="15.75" customHeight="1" s="125">
      <c r="A489" s="62" t="n"/>
      <c r="B489" s="58" t="n"/>
      <c r="C489" s="62" t="n"/>
      <c r="D489" s="62" t="n"/>
      <c r="E489" s="62" t="n"/>
      <c r="F489" s="62" t="n"/>
      <c r="G489" s="63" t="n"/>
      <c r="H489" s="63" t="n"/>
      <c r="I489" s="62" t="n"/>
    </row>
    <row r="490" ht="15.75" customHeight="1" s="125">
      <c r="A490" s="62" t="n"/>
      <c r="B490" s="58" t="n"/>
      <c r="C490" s="62" t="n"/>
      <c r="D490" s="62" t="n"/>
      <c r="E490" s="62" t="n"/>
      <c r="F490" s="62" t="n"/>
      <c r="G490" s="63" t="n"/>
      <c r="H490" s="63" t="n"/>
      <c r="I490" s="62" t="n"/>
    </row>
    <row r="491" ht="15.75" customHeight="1" s="125">
      <c r="A491" s="62" t="n"/>
      <c r="B491" s="58" t="n"/>
      <c r="C491" s="62" t="n"/>
      <c r="D491" s="62" t="n"/>
      <c r="E491" s="62" t="n"/>
      <c r="F491" s="62" t="n"/>
      <c r="G491" s="63" t="n"/>
      <c r="H491" s="63" t="n"/>
      <c r="I491" s="62" t="n"/>
    </row>
    <row r="492" ht="15.75" customHeight="1" s="125">
      <c r="A492" s="62" t="n"/>
      <c r="B492" s="58" t="n"/>
      <c r="C492" s="62" t="n"/>
      <c r="D492" s="62" t="n"/>
      <c r="E492" s="62" t="n"/>
      <c r="F492" s="62" t="n"/>
      <c r="G492" s="63" t="n"/>
      <c r="H492" s="63" t="n"/>
      <c r="I492" s="62" t="n"/>
    </row>
    <row r="493" ht="15.75" customHeight="1" s="125">
      <c r="A493" s="62" t="n"/>
      <c r="B493" s="58" t="n"/>
      <c r="C493" s="62" t="n"/>
      <c r="D493" s="62" t="n"/>
      <c r="E493" s="62" t="n"/>
      <c r="F493" s="62" t="n"/>
      <c r="G493" s="63" t="n"/>
      <c r="H493" s="63" t="n"/>
      <c r="I493" s="62" t="n"/>
    </row>
    <row r="494" ht="15.75" customHeight="1" s="125">
      <c r="A494" s="62" t="n"/>
      <c r="B494" s="58" t="n"/>
      <c r="C494" s="62" t="n"/>
      <c r="D494" s="62" t="n"/>
      <c r="E494" s="62" t="n"/>
      <c r="F494" s="62" t="n"/>
      <c r="G494" s="63" t="n"/>
      <c r="H494" s="63" t="n"/>
      <c r="I494" s="62" t="n"/>
    </row>
    <row r="495" ht="15.75" customHeight="1" s="125">
      <c r="A495" s="62" t="n"/>
      <c r="B495" s="58" t="n"/>
      <c r="C495" s="62" t="n"/>
      <c r="D495" s="62" t="n"/>
      <c r="E495" s="62" t="n"/>
      <c r="F495" s="62" t="n"/>
      <c r="G495" s="63" t="n"/>
      <c r="H495" s="63" t="n"/>
      <c r="I495" s="62" t="n"/>
    </row>
    <row r="496" ht="15.75" customHeight="1" s="125">
      <c r="A496" s="62" t="n"/>
      <c r="B496" s="58" t="n"/>
      <c r="C496" s="62" t="n"/>
      <c r="D496" s="62" t="n"/>
      <c r="E496" s="62" t="n"/>
      <c r="F496" s="62" t="n"/>
      <c r="G496" s="63" t="n"/>
      <c r="H496" s="63" t="n"/>
      <c r="I496" s="62" t="n"/>
    </row>
    <row r="497" ht="15.75" customHeight="1" s="125">
      <c r="A497" s="62" t="n"/>
      <c r="B497" s="58" t="n"/>
      <c r="C497" s="62" t="n"/>
      <c r="D497" s="62" t="n"/>
      <c r="E497" s="62" t="n"/>
      <c r="F497" s="62" t="n"/>
      <c r="G497" s="63" t="n"/>
      <c r="H497" s="63" t="n"/>
      <c r="I497" s="62" t="n"/>
    </row>
    <row r="498" ht="15.75" customHeight="1" s="125">
      <c r="A498" s="62" t="n"/>
      <c r="B498" s="58" t="n"/>
      <c r="C498" s="62" t="n"/>
      <c r="D498" s="62" t="n"/>
      <c r="E498" s="62" t="n"/>
      <c r="F498" s="62" t="n"/>
      <c r="G498" s="63" t="n"/>
      <c r="H498" s="63" t="n"/>
      <c r="I498" s="62" t="n"/>
    </row>
    <row r="499" ht="15.75" customHeight="1" s="125">
      <c r="A499" s="62" t="n"/>
      <c r="B499" s="58" t="n"/>
      <c r="C499" s="62" t="n"/>
      <c r="D499" s="62" t="n"/>
      <c r="E499" s="62" t="n"/>
      <c r="F499" s="62" t="n"/>
      <c r="G499" s="63" t="n"/>
      <c r="H499" s="63" t="n"/>
      <c r="I499" s="62" t="n"/>
    </row>
    <row r="500" ht="15.75" customHeight="1" s="125">
      <c r="A500" s="62" t="n"/>
      <c r="B500" s="58" t="n"/>
      <c r="C500" s="62" t="n"/>
      <c r="D500" s="62" t="n"/>
      <c r="E500" s="62" t="n"/>
      <c r="F500" s="62" t="n"/>
      <c r="G500" s="63" t="n"/>
      <c r="H500" s="63" t="n"/>
      <c r="I500" s="62" t="n"/>
    </row>
    <row r="501" ht="15.75" customHeight="1" s="125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5.75" customHeight="1" s="125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5.75" customHeight="1" s="125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5.75" customHeight="1" s="125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5.75" customHeight="1" s="12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5.75" customHeight="1" s="125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5.75" customHeight="1" s="125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5.75" customHeight="1" s="125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5.75" customHeight="1" s="125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5.75" customHeight="1" s="125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5.75" customHeight="1" s="125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5.75" customHeight="1" s="125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5.75" customHeight="1" s="125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5.75" customHeight="1" s="125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5.75" customHeight="1" s="12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5.75" customHeight="1" s="125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5.75" customHeight="1" s="125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5.75" customHeight="1" s="125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5.75" customHeight="1" s="125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5.75" customHeight="1" s="125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5.75" customHeight="1" s="125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5.75" customHeight="1" s="125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5.75" customHeight="1" s="125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5.75" customHeight="1" s="125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.75" customHeight="1" s="1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5.75" customHeight="1" s="125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5.75" customHeight="1" s="125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5.75" customHeight="1" s="125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5.75" customHeight="1" s="125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5.75" customHeight="1" s="125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5.75" customHeight="1" s="125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5.75" customHeight="1" s="125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5.75" customHeight="1" s="125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5.75" customHeight="1" s="125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5.75" customHeight="1" s="12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5.75" customHeight="1" s="125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5.75" customHeight="1" s="125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5.75" customHeight="1" s="125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5.75" customHeight="1" s="125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5.75" customHeight="1" s="125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5.75" customHeight="1" s="125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5.75" customHeight="1" s="125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5.75" customHeight="1" s="125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5.75" customHeight="1" s="125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5.75" customHeight="1" s="12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5.75" customHeight="1" s="125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5.75" customHeight="1" s="125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5.75" customHeight="1" s="125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5.75" customHeight="1" s="125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5.75" customHeight="1" s="125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5.75" customHeight="1" s="125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5.75" customHeight="1" s="125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5.75" customHeight="1" s="125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5.75" customHeight="1" s="125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5.75" customHeight="1" s="12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5.75" customHeight="1" s="125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5.75" customHeight="1" s="125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5.75" customHeight="1" s="125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5.75" customHeight="1" s="125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5.75" customHeight="1" s="125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5.75" customHeight="1" s="125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5.75" customHeight="1" s="125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5.75" customHeight="1" s="125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5.75" customHeight="1" s="125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5.75" customHeight="1" s="12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5.75" customHeight="1" s="125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5.75" customHeight="1" s="125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5.75" customHeight="1" s="125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5.75" customHeight="1" s="125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5.75" customHeight="1" s="125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5.75" customHeight="1" s="125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5.75" customHeight="1" s="125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5.75" customHeight="1" s="125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5.75" customHeight="1" s="125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5.75" customHeight="1" s="12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5.75" customHeight="1" s="125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5.75" customHeight="1" s="125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5.75" customHeight="1" s="125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5.75" customHeight="1" s="125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5.75" customHeight="1" s="125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5.75" customHeight="1" s="125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5.75" customHeight="1" s="125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5.75" customHeight="1" s="125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5.75" customHeight="1" s="125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5.75" customHeight="1" s="12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5.75" customHeight="1" s="125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5.75" customHeight="1" s="125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5.75" customHeight="1" s="125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5.75" customHeight="1" s="125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5.75" customHeight="1" s="125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5.75" customHeight="1" s="125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5.75" customHeight="1" s="125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5.75" customHeight="1" s="125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5.75" customHeight="1" s="125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5.75" customHeight="1" s="12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5.75" customHeight="1" s="125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5.75" customHeight="1" s="125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5.75" customHeight="1" s="125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5.75" customHeight="1" s="125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5.75" customHeight="1" s="125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5.75" customHeight="1" s="125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5.75" customHeight="1" s="125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5.75" customHeight="1" s="125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5.75" customHeight="1" s="125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5.75" customHeight="1" s="12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5.75" customHeight="1" s="125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5.75" customHeight="1" s="125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.75" customHeight="1" s="125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5.75" customHeight="1" s="125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5.75" customHeight="1" s="125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5.75" customHeight="1" s="125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5.75" customHeight="1" s="125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5.75" customHeight="1" s="125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5.75" customHeight="1" s="125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5.75" customHeight="1" s="12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5.75" customHeight="1" s="125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5.75" customHeight="1" s="125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5.75" customHeight="1" s="125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5.75" customHeight="1" s="125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5.75" customHeight="1" s="125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5.75" customHeight="1" s="125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5.75" customHeight="1" s="125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5.75" customHeight="1" s="125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5.75" customHeight="1" s="125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5.75" customHeight="1" s="1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5.75" customHeight="1" s="125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5.75" customHeight="1" s="125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5.75" customHeight="1" s="125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5.75" customHeight="1" s="125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5.75" customHeight="1" s="125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5.75" customHeight="1" s="125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5.75" customHeight="1" s="125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5.75" customHeight="1" s="125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5.75" customHeight="1" s="125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5.75" customHeight="1" s="12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5.75" customHeight="1" s="125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5.75" customHeight="1" s="125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5.75" customHeight="1" s="125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5.75" customHeight="1" s="125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5.75" customHeight="1" s="125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5.75" customHeight="1" s="125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5.75" customHeight="1" s="125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5.75" customHeight="1" s="125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5.75" customHeight="1" s="125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5.75" customHeight="1" s="12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5.75" customHeight="1" s="125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5.75" customHeight="1" s="125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5.75" customHeight="1" s="125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5.75" customHeight="1" s="125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5.75" customHeight="1" s="125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5.75" customHeight="1" s="125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5.75" customHeight="1" s="125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5.75" customHeight="1" s="125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5.75" customHeight="1" s="125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5.75" customHeight="1" s="12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5.75" customHeight="1" s="125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5.75" customHeight="1" s="125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5.75" customHeight="1" s="125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5.75" customHeight="1" s="125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5.75" customHeight="1" s="125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5.75" customHeight="1" s="125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5.75" customHeight="1" s="125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.75" customHeight="1" s="125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5.75" customHeight="1" s="125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5.75" customHeight="1" s="12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5.75" customHeight="1" s="125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5.75" customHeight="1" s="125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5.75" customHeight="1" s="125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5.75" customHeight="1" s="125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5.75" customHeight="1" s="125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5.75" customHeight="1" s="125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5.75" customHeight="1" s="125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5.75" customHeight="1" s="125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5.75" customHeight="1" s="125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5.75" customHeight="1" s="12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5.75" customHeight="1" s="125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5.75" customHeight="1" s="125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5.75" customHeight="1" s="125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5.75" customHeight="1" s="125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5.75" customHeight="1" s="125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5.75" customHeight="1" s="125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5.75" customHeight="1" s="125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5.75" customHeight="1" s="125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5.75" customHeight="1" s="125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5.75" customHeight="1" s="12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5.75" customHeight="1" s="125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5.75" customHeight="1" s="125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5.75" customHeight="1" s="125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5.75" customHeight="1" s="125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5.75" customHeight="1" s="125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5.75" customHeight="1" s="125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5.75" customHeight="1" s="125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5.75" customHeight="1" s="125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5.75" customHeight="1" s="125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5.75" customHeight="1" s="12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5.75" customHeight="1" s="125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5.75" customHeight="1" s="125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5.75" customHeight="1" s="125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5.75" customHeight="1" s="125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5.75" customHeight="1" s="125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5.75" customHeight="1" s="125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5.75" customHeight="1" s="125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5.75" customHeight="1" s="125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5.75" customHeight="1" s="125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5.75" customHeight="1" s="12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5.75" customHeight="1" s="125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5.75" customHeight="1" s="125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5.75" customHeight="1" s="125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5.75" customHeight="1" s="125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5.75" customHeight="1" s="125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5.75" customHeight="1" s="125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5.75" customHeight="1" s="125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5.75" customHeight="1" s="125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5.75" customHeight="1" s="125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5.75" customHeight="1" s="12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5.75" customHeight="1" s="125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5.75" customHeight="1" s="125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5.75" customHeight="1" s="125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5.75" customHeight="1" s="125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5.75" customHeight="1" s="125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5.75" customHeight="1" s="125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5.75" customHeight="1" s="125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5.75" customHeight="1" s="125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5.75" customHeight="1" s="125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5.75" customHeight="1" s="1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5.75" customHeight="1" s="125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5.75" customHeight="1" s="125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5.75" customHeight="1" s="125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5.75" customHeight="1" s="125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5.75" customHeight="1" s="125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.75" customHeight="1" s="125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5.75" customHeight="1" s="125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5.75" customHeight="1" s="125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5.75" customHeight="1" s="125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5.75" customHeight="1" s="12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5.75" customHeight="1" s="125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5.75" customHeight="1" s="125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5.75" customHeight="1" s="125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5.75" customHeight="1" s="125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5.75" customHeight="1" s="125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5.75" customHeight="1" s="125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5.75" customHeight="1" s="125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5.75" customHeight="1" s="125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5.75" customHeight="1" s="125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5.75" customHeight="1" s="12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5.75" customHeight="1" s="125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5.75" customHeight="1" s="125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5.75" customHeight="1" s="125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5.75" customHeight="1" s="125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5.75" customHeight="1" s="125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5.75" customHeight="1" s="125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5.75" customHeight="1" s="125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5.75" customHeight="1" s="125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5.75" customHeight="1" s="125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5.75" customHeight="1" s="12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5.75" customHeight="1" s="125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5.75" customHeight="1" s="125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5.75" customHeight="1" s="125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5.75" customHeight="1" s="125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5.75" customHeight="1" s="125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5.75" customHeight="1" s="125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5.75" customHeight="1" s="125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5.75" customHeight="1" s="125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5.75" customHeight="1" s="125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5.75" customHeight="1" s="12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5.75" customHeight="1" s="125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5.75" customHeight="1" s="125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5.75" customHeight="1" s="125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5.75" customHeight="1" s="125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5.75" customHeight="1" s="125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5.75" customHeight="1" s="125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5.75" customHeight="1" s="125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5.75" customHeight="1" s="125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5.75" customHeight="1" s="125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5.75" customHeight="1" s="12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5.75" customHeight="1" s="125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5.75" customHeight="1" s="125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5.75" customHeight="1" s="125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5.75" customHeight="1" s="125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5.75" customHeight="1" s="125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.75" customHeight="1" s="125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5.75" customHeight="1" s="125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5.75" customHeight="1" s="125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5.75" customHeight="1" s="125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5.75" customHeight="1" s="12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5.75" customHeight="1" s="125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5.75" customHeight="1" s="125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5.75" customHeight="1" s="125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5.75" customHeight="1" s="125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5.75" customHeight="1" s="125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5.75" customHeight="1" s="125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5.75" customHeight="1" s="125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5.75" customHeight="1" s="125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5.75" customHeight="1" s="125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5.75" customHeight="1" s="12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5.75" customHeight="1" s="125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5.75" customHeight="1" s="125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5.75" customHeight="1" s="125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5.75" customHeight="1" s="125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5.75" customHeight="1" s="125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5.75" customHeight="1" s="125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5.75" customHeight="1" s="125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5.75" customHeight="1" s="125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5.75" customHeight="1" s="125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5.75" customHeight="1" s="12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5.75" customHeight="1" s="125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5.75" customHeight="1" s="125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5.75" customHeight="1" s="125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5.75" customHeight="1" s="125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5.75" customHeight="1" s="125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5.75" customHeight="1" s="125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5.75" customHeight="1" s="125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5.75" customHeight="1" s="125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5.75" customHeight="1" s="125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5.75" customHeight="1" s="12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5.75" customHeight="1" s="125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5.75" customHeight="1" s="125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5.75" customHeight="1" s="125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5.75" customHeight="1" s="125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5.75" customHeight="1" s="125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5.75" customHeight="1" s="125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5.75" customHeight="1" s="125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5.75" customHeight="1" s="125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5.75" customHeight="1" s="125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5.75" customHeight="1" s="1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5.75" customHeight="1" s="125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5.75" customHeight="1" s="125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5.75" customHeight="1" s="125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.75" customHeight="1" s="125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5.75" customHeight="1" s="125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5.75" customHeight="1" s="125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5.75" customHeight="1" s="125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5.75" customHeight="1" s="125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5.75" customHeight="1" s="125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5.75" customHeight="1" s="12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5.75" customHeight="1" s="125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5.75" customHeight="1" s="125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5.75" customHeight="1" s="125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5.75" customHeight="1" s="125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5.75" customHeight="1" s="125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5.75" customHeight="1" s="125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5.75" customHeight="1" s="125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5.75" customHeight="1" s="125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5.75" customHeight="1" s="125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5.75" customHeight="1" s="12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5.75" customHeight="1" s="125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5.75" customHeight="1" s="125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5.75" customHeight="1" s="125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5.75" customHeight="1" s="125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5.75" customHeight="1" s="125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5.75" customHeight="1" s="125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5.75" customHeight="1" s="125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5.75" customHeight="1" s="125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5.75" customHeight="1" s="125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5.75" customHeight="1" s="12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5.75" customHeight="1" s="125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5.75" customHeight="1" s="125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5.75" customHeight="1" s="125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5.75" customHeight="1" s="125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5.75" customHeight="1" s="125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5.75" customHeight="1" s="125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5.75" customHeight="1" s="125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5.75" customHeight="1" s="125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5.75" customHeight="1" s="125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5.75" customHeight="1" s="12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5.75" customHeight="1" s="125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5.75" customHeight="1" s="125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5.75" customHeight="1" s="125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5.75" customHeight="1" s="125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5.75" customHeight="1" s="125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5.75" customHeight="1" s="125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5.75" customHeight="1" s="125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5.75" customHeight="1" s="125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5.75" customHeight="1" s="125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5.75" customHeight="1" s="12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5.75" customHeight="1" s="125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5.75" customHeight="1" s="125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5.75" customHeight="1" s="125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5.75" customHeight="1" s="125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5.75" customHeight="1" s="125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5.75" customHeight="1" s="125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5.75" customHeight="1" s="125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5.75" customHeight="1" s="125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5.75" customHeight="1" s="125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5.75" customHeight="1" s="12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5.75" customHeight="1" s="125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5.75" customHeight="1" s="125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5.75" customHeight="1" s="125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5.75" customHeight="1" s="125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5.75" customHeight="1" s="125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5.75" customHeight="1" s="125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5.75" customHeight="1" s="125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5.75" customHeight="1" s="125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5.75" customHeight="1" s="125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5.75" customHeight="1" s="12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5.75" customHeight="1" s="125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5.75" customHeight="1" s="125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5.75" customHeight="1" s="125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5.75" customHeight="1" s="125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5.75" customHeight="1" s="125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5.75" customHeight="1" s="125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5.75" customHeight="1" s="125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5.75" customHeight="1" s="125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5.75" customHeight="1" s="125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5.75" customHeight="1" s="12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5.75" customHeight="1" s="125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5.75" customHeight="1" s="125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5.75" customHeight="1" s="125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5.75" customHeight="1" s="125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5.75" customHeight="1" s="125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5.75" customHeight="1" s="125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5.75" customHeight="1" s="125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5.75" customHeight="1" s="125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5.75" customHeight="1" s="125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5.75" customHeight="1" s="12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5.75" customHeight="1" s="125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5.75" customHeight="1" s="125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5.75" customHeight="1" s="125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5.75" customHeight="1" s="125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5.75" customHeight="1" s="125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5.75" customHeight="1" s="125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5.75" customHeight="1" s="125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5.75" customHeight="1" s="125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5.75" customHeight="1" s="125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5.75" customHeight="1" s="1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5.75" customHeight="1" s="125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5.75" customHeight="1" s="125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5.75" customHeight="1" s="125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5.75" customHeight="1" s="125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5.75" customHeight="1" s="125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5.75" customHeight="1" s="125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5.75" customHeight="1" s="125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5.75" customHeight="1" s="125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5.75" customHeight="1" s="125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5.75" customHeight="1" s="12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5.75" customHeight="1" s="125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5.75" customHeight="1" s="125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5.75" customHeight="1" s="125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5.75" customHeight="1" s="125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5.75" customHeight="1" s="125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5.75" customHeight="1" s="125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.75" customHeight="1" s="125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5.75" customHeight="1" s="125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5.75" customHeight="1" s="125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5.75" customHeight="1" s="12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5.75" customHeight="1" s="125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5.75" customHeight="1" s="125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5.75" customHeight="1" s="125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5.75" customHeight="1" s="125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5.75" customHeight="1" s="125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5.75" customHeight="1" s="125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5.75" customHeight="1" s="125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5.75" customHeight="1" s="125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5.75" customHeight="1" s="125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5.75" customHeight="1" s="12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5.75" customHeight="1" s="125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5.75" customHeight="1" s="125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5.75" customHeight="1" s="125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5.75" customHeight="1" s="125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5.75" customHeight="1" s="125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5.75" customHeight="1" s="125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5.75" customHeight="1" s="125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5.75" customHeight="1" s="125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5.75" customHeight="1" s="125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5.75" customHeight="1" s="12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5.75" customHeight="1" s="125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5.75" customHeight="1" s="125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5.75" customHeight="1" s="125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5.75" customHeight="1" s="125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5.75" customHeight="1" s="125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5.75" customHeight="1" s="125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5.75" customHeight="1" s="125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5.75" customHeight="1" s="125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5.75" customHeight="1" s="125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5.75" customHeight="1" s="12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5.75" customHeight="1" s="125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5.75" customHeight="1" s="125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5.75" customHeight="1" s="125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5.75" customHeight="1" s="125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5.75" customHeight="1" s="125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5.75" customHeight="1" s="125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5.75" customHeight="1" s="125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5.75" customHeight="1" s="125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5.75" customHeight="1" s="125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5.75" customHeight="1" s="12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5.75" customHeight="1" s="125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5.75" customHeight="1" s="125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5.75" customHeight="1" s="125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5.75" customHeight="1" s="125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5.75" customHeight="1" s="125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.75" customHeight="1" s="125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5.75" customHeight="1" s="125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5.75" customHeight="1" s="125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5.75" customHeight="1" s="125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5.75" customHeight="1" s="12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5.75" customHeight="1" s="125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5.75" customHeight="1" s="125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5.75" customHeight="1" s="125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5.75" customHeight="1" s="125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5.75" customHeight="1" s="125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2" topLeftCell="A13" activePane="bottomLeft" state="frozen"/>
      <selection pane="bottomLeft" activeCell="B14" sqref="B14"/>
    </sheetView>
  </sheetViews>
  <sheetFormatPr baseColWidth="8" defaultColWidth="12.63" defaultRowHeight="15" customHeight="1"/>
  <cols>
    <col width="21" customWidth="1" style="125" min="1" max="1"/>
    <col width="30.25" customWidth="1" style="125" min="2" max="2"/>
    <col width="17.25" customWidth="1" style="125" min="3" max="3"/>
    <col width="12.25" customWidth="1" style="125" min="4" max="4"/>
    <col width="12.88" customWidth="1" style="125" min="5" max="5"/>
    <col width="7.38" customWidth="1" style="125" min="6" max="6"/>
  </cols>
  <sheetData>
    <row r="1" ht="15.75" customHeight="1" s="125">
      <c r="A1" s="143" t="inlineStr">
        <is>
          <t>COTIZACIÓN ARIAS GROUP</t>
        </is>
      </c>
    </row>
    <row r="2" ht="15.75" customHeight="1" s="125">
      <c r="A2" s="2" t="n"/>
      <c r="B2" s="2" t="n"/>
      <c r="C2" s="2" t="n"/>
      <c r="D2" s="2" t="n"/>
      <c r="E2" s="2" t="n"/>
      <c r="F2" s="2" t="n"/>
    </row>
    <row r="3" ht="15.75" customHeight="1" s="125">
      <c r="A3" s="1" t="inlineStr">
        <is>
          <t>Cliente</t>
        </is>
      </c>
      <c r="B3" s="14">
        <f>INPUT_SYSTEM!B1</f>
        <v/>
      </c>
      <c r="C3" s="2" t="n"/>
      <c r="D3" s="2" t="n"/>
      <c r="E3" s="2" t="n"/>
      <c r="F3" s="2" t="n"/>
    </row>
    <row r="4" ht="15.75" customHeight="1" s="125">
      <c r="A4" s="1" t="inlineStr">
        <is>
          <t>Proyecto</t>
        </is>
      </c>
      <c r="B4" s="14">
        <f>INPUT_SYSTEM!B2</f>
        <v/>
      </c>
      <c r="C4" s="2" t="n"/>
      <c r="D4" s="2" t="n"/>
      <c r="E4" s="2" t="n"/>
      <c r="F4" s="2" t="n"/>
    </row>
    <row r="5" ht="15.75" customHeight="1" s="125">
      <c r="A5" s="1" t="inlineStr">
        <is>
          <t>SRL</t>
        </is>
      </c>
      <c r="B5" s="14">
        <f>INPUT_SYSTEM!B3</f>
        <v/>
      </c>
      <c r="C5" s="2" t="n"/>
      <c r="D5" s="2" t="n"/>
      <c r="E5" s="2" t="n"/>
      <c r="F5" s="2" t="n"/>
    </row>
    <row r="6" ht="15.75" customHeight="1" s="125">
      <c r="A6" s="1" t="inlineStr">
        <is>
          <t>Fecha</t>
        </is>
      </c>
      <c r="B6" s="122">
        <f>INPUT_SYSTEM!B5</f>
        <v/>
      </c>
      <c r="C6" s="2" t="n"/>
      <c r="D6" s="2" t="n"/>
      <c r="E6" s="2" t="n"/>
      <c r="F6" s="2" t="n"/>
    </row>
    <row r="7" ht="15.75" customHeight="1" s="125">
      <c r="A7" s="1" t="inlineStr">
        <is>
          <t>Cotización</t>
        </is>
      </c>
      <c r="B7" s="14">
        <f>INPUT_SYSTEM!B6</f>
        <v/>
      </c>
      <c r="C7" s="2" t="n"/>
      <c r="D7" s="2" t="n"/>
      <c r="E7" s="2" t="n"/>
      <c r="F7" s="2" t="n"/>
    </row>
    <row r="8" ht="15.75" customHeight="1" s="125">
      <c r="A8" s="1" t="inlineStr">
        <is>
          <t>Incoterm</t>
        </is>
      </c>
      <c r="B8" s="14">
        <f>INPUT_SYSTEM!B7</f>
        <v/>
      </c>
      <c r="C8" s="2" t="n"/>
      <c r="D8" s="2" t="n"/>
      <c r="E8" s="2" t="n"/>
      <c r="F8" s="2" t="n"/>
    </row>
    <row r="9" ht="15.75" customHeight="1" s="125">
      <c r="A9" s="1" t="inlineStr">
        <is>
          <t>Condiciones</t>
        </is>
      </c>
      <c r="B9" s="14">
        <f>INPUT_SYSTEM!B8</f>
        <v/>
      </c>
      <c r="C9" s="2" t="n"/>
      <c r="D9" s="2" t="n"/>
      <c r="E9" s="2" t="n"/>
      <c r="F9" s="2" t="n"/>
    </row>
    <row r="10" ht="15.75" customHeight="1" s="125">
      <c r="A10" s="1" t="inlineStr">
        <is>
          <t>Validez</t>
        </is>
      </c>
      <c r="B10" s="14">
        <f>INPUT_SYSTEM!B9</f>
        <v/>
      </c>
      <c r="C10" s="2" t="n"/>
      <c r="D10" s="2" t="n"/>
      <c r="E10" s="123" t="inlineStr">
        <is>
          <t>TOTAL</t>
        </is>
      </c>
      <c r="F10" s="124">
        <f>SUM(F13:F500)+F11</f>
        <v/>
      </c>
    </row>
    <row r="11" ht="15.75" customHeight="1" s="125">
      <c r="A11" s="8" t="inlineStr">
        <is>
          <t>Logística</t>
        </is>
      </c>
      <c r="B11" s="8">
        <f>IF(ISNUMBER(SEARCH("CIF",INPUT_SYSTEM!B7)),"Transporte CIF (28%)",IF(ISNUMBER(SEARCH("FOB",INPUT_SYSTEM!B7)),"Transporte FOB (8%)",IF(ISNUMBER(SEARCH("EXW",INPUT_SYSTEM!B7)),"Sin logística (EXW)","")))</f>
        <v/>
      </c>
      <c r="C11" s="2" t="n"/>
      <c r="D11" s="2" t="n"/>
      <c r="E11" s="8" t="inlineStr">
        <is>
          <t>Logística</t>
        </is>
      </c>
      <c r="F11" s="8">
        <f>IF(ISNUMBER(SEARCH("CIF",INPUT_SYSTEM!B7)),SUM(F13:F500)*CONFIG!B11,IF(ISNUMBER(SEARCH("FOB",INPUT_SYSTEM!B7)),SUM(F13:F500)*CONFIG!B10,IF(ISNUMBER(SEARCH("EXW",INPUT_SYSTEM!B7)),SUM(F13:F500)*CONFIG!B5,0)))</f>
        <v/>
      </c>
    </row>
    <row r="12" ht="15.75" customHeight="1" s="125">
      <c r="A12" s="1" t="inlineStr">
        <is>
          <t>Grupo</t>
        </is>
      </c>
      <c r="B12" s="1" t="inlineStr">
        <is>
          <t>Descripción</t>
        </is>
      </c>
      <c r="C12" s="1" t="inlineStr">
        <is>
          <t>Cantidad Suministro</t>
        </is>
      </c>
      <c r="D12" s="1" t="inlineStr">
        <is>
          <t>UDS_POR_PALE / FORMATO_LOGISTICO</t>
        </is>
      </c>
      <c r="E12" s="1" t="inlineStr">
        <is>
          <t>Precio Unitario</t>
        </is>
      </c>
      <c r="F12" s="1" t="inlineStr">
        <is>
          <t>Subtotal</t>
        </is>
      </c>
    </row>
    <row r="13" ht="15.75" customHeight="1" s="125">
      <c r="A13" s="62">
        <f>IF(SYSTEM_CALCULATION!U2="SI",SYSTEM_CALCULATION!B2,"")</f>
        <v/>
      </c>
      <c r="B13" s="62">
        <f>IF(SYSTEM_CALCULATION!U2="SI",SYSTEM_CALCULATION!E2,"")</f>
        <v/>
      </c>
      <c r="C13" s="62">
        <f>IF(SYSTEM_CALCULATION!U2="SI",SYSTEM_CALCULATION!O2,"")</f>
        <v/>
      </c>
      <c r="D13" s="14">
        <f>IF(SYSTEM_CALCULATION!U2="SI",SYSTEM_CALCULATION!G2,"")</f>
        <v/>
      </c>
      <c r="E13" s="18">
        <f>IF(SYSTEM_CALCULATION!U2&lt;&gt;"SI","",IF(INPUT_SYSTEM!B11="USD",SYSTEM_CALCULATION!R2*CONFIG!B2,SYSTEM_CALCULATION!R2))</f>
        <v/>
      </c>
      <c r="F13" s="18">
        <f>IF(SYSTEM_CALCULATION!U2&lt;&gt;"SI","",IF(INPUT_SYSTEM!B11="USD",SYSTEM_CALCULATION!T2*CONFIG!B2,SYSTEM_CALCULATION!T2))</f>
        <v/>
      </c>
    </row>
    <row r="14" ht="15.75" customHeight="1" s="125">
      <c r="A14" s="62">
        <f>IF(SYSTEM_CALCULATION!U3="SI",SYSTEM_CALCULATION!B3,"")</f>
        <v/>
      </c>
      <c r="B14" s="62">
        <f>IF(SYSTEM_CALCULATION!U3="SI",SYSTEM_CALCULATION!E3,"")</f>
        <v/>
      </c>
      <c r="C14" s="61">
        <f>IF(SYSTEM_CALCULATION!U3="SI",SYSTEM_CALCULATION!O3,"")</f>
        <v/>
      </c>
      <c r="D14" s="14">
        <f>IF(SYSTEM_CALCULATION!U3="SI",SYSTEM_CALCULATION!G3,"")</f>
        <v/>
      </c>
      <c r="E14" s="18">
        <f>IF(SYSTEM_CALCULATION!U3&lt;&gt;"SI","",IF(INPUT_SYSTEM!B12="USD",SYSTEM_CALCULATION!R3*CONFIG!B3,SYSTEM_CALCULATION!R3))</f>
        <v/>
      </c>
      <c r="F14" s="18">
        <f>IF(SYSTEM_CALCULATION!U3&lt;&gt;"SI","",IF(INPUT_SYSTEM!B12="USD",SYSTEM_CALCULATION!T3*CONFIG!B3,SYSTEM_CALCULATION!T3))</f>
        <v/>
      </c>
    </row>
    <row r="15" ht="15.75" customHeight="1" s="125">
      <c r="A15" s="62">
        <f>IF(SYSTEM_CALCULATION!U4="SI",SYSTEM_CALCULATION!B4,"")</f>
        <v/>
      </c>
      <c r="B15" s="62">
        <f>IF(SYSTEM_CALCULATION!U4="SI",SYSTEM_CALCULATION!E4,"")</f>
        <v/>
      </c>
      <c r="C15" s="61">
        <f>IF(SYSTEM_CALCULATION!U4="SI",SYSTEM_CALCULATION!O4,"")</f>
        <v/>
      </c>
      <c r="D15" s="14">
        <f>IF(SYSTEM_CALCULATION!U4="SI",SYSTEM_CALCULATION!G4,"")</f>
        <v/>
      </c>
      <c r="E15" s="18">
        <f>IF(SYSTEM_CALCULATION!U4&lt;&gt;"SI","",IF(INPUT_SYSTEM!B13="USD",SYSTEM_CALCULATION!R4*CONFIG!B4,SYSTEM_CALCULATION!R4))</f>
        <v/>
      </c>
      <c r="F15" s="18">
        <f>IF(SYSTEM_CALCULATION!U4&lt;&gt;"SI","",IF(INPUT_SYSTEM!B13="USD",SYSTEM_CALCULATION!T4*CONFIG!B4,SYSTEM_CALCULATION!T4))</f>
        <v/>
      </c>
    </row>
    <row r="16" ht="15.75" customHeight="1" s="125">
      <c r="A16" s="62">
        <f>IF(SYSTEM_CALCULATION!U5="SI",SYSTEM_CALCULATION!B5,"")</f>
        <v/>
      </c>
      <c r="B16" s="62">
        <f>IF(SYSTEM_CALCULATION!U5="SI",SYSTEM_CALCULATION!E5,"")</f>
        <v/>
      </c>
      <c r="C16" s="61">
        <f>IF(SYSTEM_CALCULATION!U5="SI",SYSTEM_CALCULATION!O5,"")</f>
        <v/>
      </c>
      <c r="D16" s="14">
        <f>IF(SYSTEM_CALCULATION!U5="SI",SYSTEM_CALCULATION!G5,"")</f>
        <v/>
      </c>
      <c r="E16" s="18">
        <f>IF(SYSTEM_CALCULATION!U5&lt;&gt;"SI","",IF(INPUT_SYSTEM!B14="USD",SYSTEM_CALCULATION!R5*CONFIG!B5,SYSTEM_CALCULATION!R5))</f>
        <v/>
      </c>
      <c r="F16" s="18">
        <f>IF(SYSTEM_CALCULATION!U5&lt;&gt;"SI","",IF(INPUT_SYSTEM!B14="USD",SYSTEM_CALCULATION!T5*CONFIG!B5,SYSTEM_CALCULATION!T5))</f>
        <v/>
      </c>
    </row>
    <row r="17" ht="15.75" customHeight="1" s="125">
      <c r="A17" s="62">
        <f>IF(SYSTEM_CALCULATION!U6="SI",SYSTEM_CALCULATION!B6,"")</f>
        <v/>
      </c>
      <c r="B17" s="62">
        <f>IF(SYSTEM_CALCULATION!U6="SI",SYSTEM_CALCULATION!E6,"")</f>
        <v/>
      </c>
      <c r="C17" s="61">
        <f>IF(SYSTEM_CALCULATION!U6="SI",SYSTEM_CALCULATION!O6,"")</f>
        <v/>
      </c>
      <c r="D17" s="14">
        <f>IF(SYSTEM_CALCULATION!U6="SI",SYSTEM_CALCULATION!G6,"")</f>
        <v/>
      </c>
      <c r="E17" s="18">
        <f>IF(SYSTEM_CALCULATION!U6&lt;&gt;"SI","",IF(INPUT_SYSTEM!B15="USD",SYSTEM_CALCULATION!R6*CONFIG!B6,SYSTEM_CALCULATION!R6))</f>
        <v/>
      </c>
      <c r="F17" s="18">
        <f>IF(SYSTEM_CALCULATION!U6&lt;&gt;"SI","",IF(INPUT_SYSTEM!B15="USD",SYSTEM_CALCULATION!T6*CONFIG!B6,SYSTEM_CALCULATION!T6))</f>
        <v/>
      </c>
    </row>
    <row r="18" ht="15.75" customHeight="1" s="125">
      <c r="A18" s="62">
        <f>IF(SYSTEM_CALCULATION!U7="SI",SYSTEM_CALCULATION!B7,"")</f>
        <v/>
      </c>
      <c r="B18" s="62">
        <f>IF(SYSTEM_CALCULATION!U7="SI",SYSTEM_CALCULATION!E7,"")</f>
        <v/>
      </c>
      <c r="C18" s="61">
        <f>IF(SYSTEM_CALCULATION!U7="SI",SYSTEM_CALCULATION!O7,"")</f>
        <v/>
      </c>
      <c r="D18" s="14">
        <f>IF(SYSTEM_CALCULATION!U7="SI",SYSTEM_CALCULATION!G7,"")</f>
        <v/>
      </c>
      <c r="E18" s="18">
        <f>IF(SYSTEM_CALCULATION!U7&lt;&gt;"SI","",IF(INPUT_SYSTEM!B16="USD",SYSTEM_CALCULATION!R7*CONFIG!B7,SYSTEM_CALCULATION!R7))</f>
        <v/>
      </c>
      <c r="F18" s="18">
        <f>IF(SYSTEM_CALCULATION!U7&lt;&gt;"SI","",IF(INPUT_SYSTEM!B16="USD",SYSTEM_CALCULATION!T7*CONFIG!B7,SYSTEM_CALCULATION!T7))</f>
        <v/>
      </c>
    </row>
    <row r="19" ht="15.75" customHeight="1" s="125">
      <c r="A19" s="62">
        <f>IF(SYSTEM_CALCULATION!U8="SI",SYSTEM_CALCULATION!B8,"")</f>
        <v/>
      </c>
      <c r="B19" s="62">
        <f>IF(SYSTEM_CALCULATION!U8="SI",SYSTEM_CALCULATION!E8,"")</f>
        <v/>
      </c>
      <c r="C19" s="61">
        <f>IF(SYSTEM_CALCULATION!U8="SI",SYSTEM_CALCULATION!O8,"")</f>
        <v/>
      </c>
      <c r="D19" s="14">
        <f>IF(SYSTEM_CALCULATION!U8="SI",SYSTEM_CALCULATION!G8,"")</f>
        <v/>
      </c>
      <c r="E19" s="18">
        <f>IF(SYSTEM_CALCULATION!U8&lt;&gt;"SI","",IF(INPUT_SYSTEM!B17="USD",SYSTEM_CALCULATION!R8*CONFIG!B8,SYSTEM_CALCULATION!R8))</f>
        <v/>
      </c>
      <c r="F19" s="18">
        <f>IF(SYSTEM_CALCULATION!U8&lt;&gt;"SI","",IF(INPUT_SYSTEM!B17="USD",SYSTEM_CALCULATION!T8*CONFIG!B8,SYSTEM_CALCULATION!T8))</f>
        <v/>
      </c>
    </row>
    <row r="20" ht="15.75" customHeight="1" s="125">
      <c r="A20" s="62">
        <f>IF(SYSTEM_CALCULATION!U9="SI",SYSTEM_CALCULATION!B9,"")</f>
        <v/>
      </c>
      <c r="B20" s="62">
        <f>IF(SYSTEM_CALCULATION!U9="SI",SYSTEM_CALCULATION!E9,"")</f>
        <v/>
      </c>
      <c r="C20" s="62">
        <f>IF(SYSTEM_CALCULATION!U9="SI",SYSTEM_CALCULATION!O9,"")</f>
        <v/>
      </c>
      <c r="D20" s="62">
        <f>IF(SYSTEM_CALCULATION!U9="SI",SYSTEM_CALCULATION!G9,"")</f>
        <v/>
      </c>
      <c r="E20" s="63">
        <f>IF(SYSTEM_CALCULATION!U9&lt;&gt;"SI","",IF(INPUT_SYSTEM!B18="USD",SYSTEM_CALCULATION!R9*CONFIG!B9,SYSTEM_CALCULATION!R9))</f>
        <v/>
      </c>
      <c r="F20" s="63">
        <f>IF(SYSTEM_CALCULATION!U9&lt;&gt;"SI","",IF(INPUT_SYSTEM!B18="USD",SYSTEM_CALCULATION!T9*CONFIG!B9,SYSTEM_CALCULATION!T9))</f>
        <v/>
      </c>
    </row>
    <row r="21" ht="15.75" customHeight="1" s="125">
      <c r="A21" s="62">
        <f>IF(SYSTEM_CALCULATION!U10="SI",SYSTEM_CALCULATION!B10,"")</f>
        <v/>
      </c>
      <c r="B21" s="62">
        <f>IF(SYSTEM_CALCULATION!U10="SI",SYSTEM_CALCULATION!E10,"")</f>
        <v/>
      </c>
      <c r="C21" s="62">
        <f>IF(SYSTEM_CALCULATION!U10="SI",SYSTEM_CALCULATION!O10,"")</f>
        <v/>
      </c>
      <c r="D21" s="62">
        <f>IF(SYSTEM_CALCULATION!U10="SI",SYSTEM_CALCULATION!G10,"")</f>
        <v/>
      </c>
      <c r="E21" s="63">
        <f>IF(SYSTEM_CALCULATION!U10&lt;&gt;"SI","",IF(INPUT_SYSTEM!B19="USD",SYSTEM_CALCULATION!R10*CONFIG!B10,SYSTEM_CALCULATION!R10))</f>
        <v/>
      </c>
      <c r="F21" s="63">
        <f>IF(SYSTEM_CALCULATION!U10&lt;&gt;"SI","",IF(INPUT_SYSTEM!B19="USD",SYSTEM_CALCULATION!T10*CONFIG!B10,SYSTEM_CALCULATION!T10))</f>
        <v/>
      </c>
    </row>
    <row r="22" ht="15.75" customHeight="1" s="125">
      <c r="A22" s="62">
        <f>IF(SYSTEM_CALCULATION!U11="SI",SYSTEM_CALCULATION!B11,"")</f>
        <v/>
      </c>
      <c r="B22" s="62">
        <f>IF(SYSTEM_CALCULATION!U11="SI",SYSTEM_CALCULATION!E11,"")</f>
        <v/>
      </c>
      <c r="C22" s="62">
        <f>IF(SYSTEM_CALCULATION!U11="SI",SYSTEM_CALCULATION!O11,"")</f>
        <v/>
      </c>
      <c r="D22" s="62">
        <f>IF(SYSTEM_CALCULATION!U11="SI",SYSTEM_CALCULATION!G11,"")</f>
        <v/>
      </c>
      <c r="E22" s="63">
        <f>IF(SYSTEM_CALCULATION!U11&lt;&gt;"SI","",IF(INPUT_SYSTEM!B20="USD",SYSTEM_CALCULATION!R11*CONFIG!B11,SYSTEM_CALCULATION!R11))</f>
        <v/>
      </c>
      <c r="F22" s="63">
        <f>IF(SYSTEM_CALCULATION!U11&lt;&gt;"SI","",IF(INPUT_SYSTEM!B20="USD",SYSTEM_CALCULATION!T11*CONFIG!B11,SYSTEM_CALCULATION!T11))</f>
        <v/>
      </c>
    </row>
    <row r="23" ht="15.75" customHeight="1" s="125">
      <c r="A23" s="62">
        <f>IF(SYSTEM_CALCULATION!U12="SI",SYSTEM_CALCULATION!B12,"")</f>
        <v/>
      </c>
      <c r="B23" s="62">
        <f>IF(SYSTEM_CALCULATION!U12="SI",SYSTEM_CALCULATION!E12,"")</f>
        <v/>
      </c>
      <c r="C23" s="62">
        <f>IF(SYSTEM_CALCULATION!U12="SI",SYSTEM_CALCULATION!O12,"")</f>
        <v/>
      </c>
      <c r="D23" s="62">
        <f>IF(SYSTEM_CALCULATION!U12="SI",SYSTEM_CALCULATION!G12,"")</f>
        <v/>
      </c>
      <c r="E23" s="63">
        <f>IF(SYSTEM_CALCULATION!U12&lt;&gt;"SI","",IF(INPUT_SYSTEM!B21="USD",SYSTEM_CALCULATION!R12*CONFIG!B12,SYSTEM_CALCULATION!R12))</f>
        <v/>
      </c>
      <c r="F23" s="63">
        <f>IF(SYSTEM_CALCULATION!U12&lt;&gt;"SI","",IF(INPUT_SYSTEM!B21="USD",SYSTEM_CALCULATION!T12*CONFIG!B12,SYSTEM_CALCULATION!T12))</f>
        <v/>
      </c>
    </row>
    <row r="24" ht="15.75" customHeight="1" s="125">
      <c r="A24" s="62">
        <f>IF(SYSTEM_CALCULATION!U13="SI",SYSTEM_CALCULATION!B13,"")</f>
        <v/>
      </c>
      <c r="B24" s="62">
        <f>IF(SYSTEM_CALCULATION!U13="SI",SYSTEM_CALCULATION!E13,"")</f>
        <v/>
      </c>
      <c r="C24" s="62">
        <f>IF(SYSTEM_CALCULATION!U13="SI",SYSTEM_CALCULATION!O13,"")</f>
        <v/>
      </c>
      <c r="D24" s="62">
        <f>IF(SYSTEM_CALCULATION!U13="SI",SYSTEM_CALCULATION!G13,"")</f>
        <v/>
      </c>
      <c r="E24" s="63">
        <f>IF(SYSTEM_CALCULATION!U13&lt;&gt;"SI","",IF(INPUT_SYSTEM!B22="USD",SYSTEM_CALCULATION!R13*CONFIG!B13,SYSTEM_CALCULATION!R13))</f>
        <v/>
      </c>
      <c r="F24" s="63">
        <f>IF(SYSTEM_CALCULATION!U13&lt;&gt;"SI","",IF(INPUT_SYSTEM!B22="USD",SYSTEM_CALCULATION!T13*CONFIG!B13,SYSTEM_CALCULATION!T13))</f>
        <v/>
      </c>
    </row>
    <row r="25" ht="15.75" customHeight="1" s="125">
      <c r="A25" s="62">
        <f>IF(SYSTEM_CALCULATION!U14="SI",SYSTEM_CALCULATION!B14,"")</f>
        <v/>
      </c>
      <c r="B25" s="62">
        <f>IF(SYSTEM_CALCULATION!U14="SI",SYSTEM_CALCULATION!E14,"")</f>
        <v/>
      </c>
      <c r="C25" s="62">
        <f>IF(SYSTEM_CALCULATION!U14="SI",SYSTEM_CALCULATION!O14,"")</f>
        <v/>
      </c>
      <c r="D25" s="62">
        <f>IF(SYSTEM_CALCULATION!U14="SI",SYSTEM_CALCULATION!G14,"")</f>
        <v/>
      </c>
      <c r="E25" s="63">
        <f>IF(SYSTEM_CALCULATION!U14&lt;&gt;"SI","",IF(INPUT_SYSTEM!B23="USD",SYSTEM_CALCULATION!R14*CONFIG!B14,SYSTEM_CALCULATION!R14))</f>
        <v/>
      </c>
      <c r="F25" s="63">
        <f>IF(SYSTEM_CALCULATION!U14&lt;&gt;"SI","",IF(INPUT_SYSTEM!B23="USD",SYSTEM_CALCULATION!T14*CONFIG!B14,SYSTEM_CALCULATION!T14))</f>
        <v/>
      </c>
    </row>
    <row r="26" ht="15.75" customHeight="1" s="125">
      <c r="A26" s="62">
        <f>IF(SYSTEM_CALCULATION!U15="SI",SYSTEM_CALCULATION!B15,"")</f>
        <v/>
      </c>
      <c r="B26" s="62">
        <f>IF(SYSTEM_CALCULATION!U15="SI",SYSTEM_CALCULATION!E15,"")</f>
        <v/>
      </c>
      <c r="C26" s="62">
        <f>IF(SYSTEM_CALCULATION!U15="SI",SYSTEM_CALCULATION!O15,"")</f>
        <v/>
      </c>
      <c r="D26" s="62">
        <f>IF(SYSTEM_CALCULATION!U15="SI",SYSTEM_CALCULATION!G15,"")</f>
        <v/>
      </c>
      <c r="E26" s="63">
        <f>IF(SYSTEM_CALCULATION!U15&lt;&gt;"SI","",IF(INPUT_SYSTEM!B24="USD",SYSTEM_CALCULATION!R15*CONFIG!B15,SYSTEM_CALCULATION!R15))</f>
        <v/>
      </c>
      <c r="F26" s="63">
        <f>IF(SYSTEM_CALCULATION!U15&lt;&gt;"SI","",IF(INPUT_SYSTEM!B24="USD",SYSTEM_CALCULATION!T15*CONFIG!B15,SYSTEM_CALCULATION!T15))</f>
        <v/>
      </c>
    </row>
    <row r="27" ht="15.75" customHeight="1" s="125">
      <c r="A27" s="62">
        <f>IF(SYSTEM_CALCULATION!U16="SI",SYSTEM_CALCULATION!B16,"")</f>
        <v/>
      </c>
      <c r="B27" s="62">
        <f>IF(SYSTEM_CALCULATION!U16="SI",SYSTEM_CALCULATION!E16,"")</f>
        <v/>
      </c>
      <c r="C27" s="62">
        <f>IF(SYSTEM_CALCULATION!U16="SI",SYSTEM_CALCULATION!O16,"")</f>
        <v/>
      </c>
      <c r="D27" s="62">
        <f>IF(SYSTEM_CALCULATION!U16="SI",SYSTEM_CALCULATION!G16,"")</f>
        <v/>
      </c>
      <c r="E27" s="63">
        <f>IF(SYSTEM_CALCULATION!U16&lt;&gt;"SI","",IF(INPUT_SYSTEM!B25="USD",SYSTEM_CALCULATION!R16*CONFIG!B16,SYSTEM_CALCULATION!R16))</f>
        <v/>
      </c>
      <c r="F27" s="63">
        <f>IF(SYSTEM_CALCULATION!U16&lt;&gt;"SI","",IF(INPUT_SYSTEM!B25="USD",SYSTEM_CALCULATION!T16*CONFIG!B16,SYSTEM_CALCULATION!T16))</f>
        <v/>
      </c>
    </row>
    <row r="28" ht="15.75" customHeight="1" s="125">
      <c r="A28" s="62">
        <f>IF(SYSTEM_CALCULATION!U17="SI",SYSTEM_CALCULATION!B17,"")</f>
        <v/>
      </c>
      <c r="B28" s="62">
        <f>IF(SYSTEM_CALCULATION!U17="SI",SYSTEM_CALCULATION!E17,"")</f>
        <v/>
      </c>
      <c r="C28" s="62">
        <f>IF(SYSTEM_CALCULATION!U17="SI",SYSTEM_CALCULATION!O17,"")</f>
        <v/>
      </c>
      <c r="D28" s="62">
        <f>IF(SYSTEM_CALCULATION!U17="SI",SYSTEM_CALCULATION!G17,"")</f>
        <v/>
      </c>
      <c r="E28" s="63">
        <f>IF(SYSTEM_CALCULATION!U17&lt;&gt;"SI","",IF(INPUT_SYSTEM!B26="USD",SYSTEM_CALCULATION!R17*CONFIG!B17,SYSTEM_CALCULATION!R17))</f>
        <v/>
      </c>
      <c r="F28" s="63">
        <f>IF(SYSTEM_CALCULATION!U17&lt;&gt;"SI","",IF(INPUT_SYSTEM!B26="USD",SYSTEM_CALCULATION!T17*CONFIG!B17,SYSTEM_CALCULATION!T17))</f>
        <v/>
      </c>
    </row>
    <row r="29" ht="15.75" customHeight="1" s="125">
      <c r="A29" s="62">
        <f>IF(SYSTEM_CALCULATION!U18="SI",SYSTEM_CALCULATION!B18,"")</f>
        <v/>
      </c>
      <c r="B29" s="62">
        <f>IF(SYSTEM_CALCULATION!U18="SI",SYSTEM_CALCULATION!E18,"")</f>
        <v/>
      </c>
      <c r="C29" s="62">
        <f>IF(SYSTEM_CALCULATION!U18="SI",SYSTEM_CALCULATION!O18,"")</f>
        <v/>
      </c>
      <c r="D29" s="62">
        <f>IF(SYSTEM_CALCULATION!U18="SI",SYSTEM_CALCULATION!G18,"")</f>
        <v/>
      </c>
      <c r="E29" s="63">
        <f>IF(SYSTEM_CALCULATION!U18&lt;&gt;"SI","",IF(INPUT_SYSTEM!B27="USD",SYSTEM_CALCULATION!R18*CONFIG!B18,SYSTEM_CALCULATION!R18))</f>
        <v/>
      </c>
      <c r="F29" s="63">
        <f>IF(SYSTEM_CALCULATION!U18&lt;&gt;"SI","",IF(INPUT_SYSTEM!B27="USD",SYSTEM_CALCULATION!T18*CONFIG!B18,SYSTEM_CALCULATION!T18))</f>
        <v/>
      </c>
    </row>
    <row r="30" ht="15.75" customHeight="1" s="125">
      <c r="A30" s="62">
        <f>IF(SYSTEM_CALCULATION!U19="SI",SYSTEM_CALCULATION!B19,"")</f>
        <v/>
      </c>
      <c r="B30" s="62">
        <f>IF(SYSTEM_CALCULATION!U19="SI",SYSTEM_CALCULATION!E19,"")</f>
        <v/>
      </c>
      <c r="C30" s="62">
        <f>IF(SYSTEM_CALCULATION!U19="SI",SYSTEM_CALCULATION!O19,"")</f>
        <v/>
      </c>
      <c r="D30" s="62">
        <f>IF(SYSTEM_CALCULATION!U19="SI",SYSTEM_CALCULATION!G19,"")</f>
        <v/>
      </c>
      <c r="E30" s="63">
        <f>IF(SYSTEM_CALCULATION!U19&lt;&gt;"SI","",IF(INPUT_SYSTEM!B28="USD",SYSTEM_CALCULATION!R19*CONFIG!B19,SYSTEM_CALCULATION!R19))</f>
        <v/>
      </c>
      <c r="F30" s="63">
        <f>IF(SYSTEM_CALCULATION!U19&lt;&gt;"SI","",IF(INPUT_SYSTEM!B28="USD",SYSTEM_CALCULATION!T19*CONFIG!B19,SYSTEM_CALCULATION!T19))</f>
        <v/>
      </c>
    </row>
    <row r="31" ht="15.75" customHeight="1" s="125">
      <c r="A31" s="62">
        <f>IF(SYSTEM_CALCULATION!U20="SI",SYSTEM_CALCULATION!B20,"")</f>
        <v/>
      </c>
      <c r="B31" s="62">
        <f>IF(SYSTEM_CALCULATION!U20="SI",SYSTEM_CALCULATION!E20,"")</f>
        <v/>
      </c>
      <c r="C31" s="62">
        <f>IF(SYSTEM_CALCULATION!U20="SI",SYSTEM_CALCULATION!O20,"")</f>
        <v/>
      </c>
      <c r="D31" s="62">
        <f>IF(SYSTEM_CALCULATION!U20="SI",SYSTEM_CALCULATION!G20,"")</f>
        <v/>
      </c>
      <c r="E31" s="63">
        <f>IF(SYSTEM_CALCULATION!U20&lt;&gt;"SI","",IF(INPUT_SYSTEM!B29="USD",SYSTEM_CALCULATION!R20*CONFIG!B20,SYSTEM_CALCULATION!R20))</f>
        <v/>
      </c>
      <c r="F31" s="63">
        <f>IF(SYSTEM_CALCULATION!U20&lt;&gt;"SI","",IF(INPUT_SYSTEM!B29="USD",SYSTEM_CALCULATION!T20*CONFIG!B20,SYSTEM_CALCULATION!T20))</f>
        <v/>
      </c>
    </row>
    <row r="32" ht="15.75" customHeight="1" s="125">
      <c r="A32" s="62">
        <f>IF(SYSTEM_CALCULATION!U21="SI",SYSTEM_CALCULATION!B21,"")</f>
        <v/>
      </c>
      <c r="B32" s="62">
        <f>IF(SYSTEM_CALCULATION!U21="SI",SYSTEM_CALCULATION!E21,"")</f>
        <v/>
      </c>
      <c r="C32" s="62">
        <f>IF(SYSTEM_CALCULATION!U21="SI",SYSTEM_CALCULATION!O21,"")</f>
        <v/>
      </c>
      <c r="D32" s="62">
        <f>IF(SYSTEM_CALCULATION!U21="SI",SYSTEM_CALCULATION!G21,"")</f>
        <v/>
      </c>
      <c r="E32" s="63">
        <f>IF(SYSTEM_CALCULATION!U21&lt;&gt;"SI","",IF(INPUT_SYSTEM!B30="USD",SYSTEM_CALCULATION!R21*CONFIG!B21,SYSTEM_CALCULATION!R21))</f>
        <v/>
      </c>
      <c r="F32" s="63">
        <f>IF(SYSTEM_CALCULATION!U21&lt;&gt;"SI","",IF(INPUT_SYSTEM!B30="USD",SYSTEM_CALCULATION!T21*CONFIG!B21,SYSTEM_CALCULATION!T21))</f>
        <v/>
      </c>
    </row>
    <row r="33" ht="15.75" customHeight="1" s="125">
      <c r="A33" s="62">
        <f>IF(SYSTEM_CALCULATION!U22="SI",SYSTEM_CALCULATION!B22,"")</f>
        <v/>
      </c>
      <c r="B33" s="62">
        <f>IF(SYSTEM_CALCULATION!U22="SI",SYSTEM_CALCULATION!E22,"")</f>
        <v/>
      </c>
      <c r="C33" s="62">
        <f>IF(SYSTEM_CALCULATION!U22="SI",SYSTEM_CALCULATION!O22,"")</f>
        <v/>
      </c>
      <c r="D33" s="62">
        <f>IF(SYSTEM_CALCULATION!U22="SI",SYSTEM_CALCULATION!G22,"")</f>
        <v/>
      </c>
      <c r="E33" s="63">
        <f>IF(SYSTEM_CALCULATION!U22&lt;&gt;"SI","",IF(INPUT_SYSTEM!B31="USD",SYSTEM_CALCULATION!R22*CONFIG!B22,SYSTEM_CALCULATION!R22))</f>
        <v/>
      </c>
      <c r="F33" s="63">
        <f>IF(SYSTEM_CALCULATION!U22&lt;&gt;"SI","",IF(INPUT_SYSTEM!B31="USD",SYSTEM_CALCULATION!T22*CONFIG!B22,SYSTEM_CALCULATION!T22))</f>
        <v/>
      </c>
    </row>
    <row r="34" ht="15.75" customHeight="1" s="125">
      <c r="A34" s="62">
        <f>IF(SYSTEM_CALCULATION!U23="SI",SYSTEM_CALCULATION!B23,"")</f>
        <v/>
      </c>
      <c r="B34" s="62">
        <f>IF(SYSTEM_CALCULATION!U23="SI",SYSTEM_CALCULATION!E23,"")</f>
        <v/>
      </c>
      <c r="C34" s="62">
        <f>IF(SYSTEM_CALCULATION!U23="SI",SYSTEM_CALCULATION!O23,"")</f>
        <v/>
      </c>
      <c r="D34" s="62">
        <f>IF(SYSTEM_CALCULATION!U23="SI",SYSTEM_CALCULATION!G23,"")</f>
        <v/>
      </c>
      <c r="E34" s="63">
        <f>IF(SYSTEM_CALCULATION!U23&lt;&gt;"SI","",IF(INPUT_SYSTEM!B32="USD",SYSTEM_CALCULATION!R23*CONFIG!B23,SYSTEM_CALCULATION!R23))</f>
        <v/>
      </c>
      <c r="F34" s="63">
        <f>IF(SYSTEM_CALCULATION!U23&lt;&gt;"SI","",IF(INPUT_SYSTEM!B32="USD",SYSTEM_CALCULATION!T23*CONFIG!B23,SYSTEM_CALCULATION!T23))</f>
        <v/>
      </c>
    </row>
    <row r="35" ht="15.75" customHeight="1" s="125">
      <c r="A35" s="62">
        <f>IF(SYSTEM_CALCULATION!U24="SI",SYSTEM_CALCULATION!B24,"")</f>
        <v/>
      </c>
      <c r="B35" s="62">
        <f>IF(SYSTEM_CALCULATION!U24="SI",SYSTEM_CALCULATION!E24,"")</f>
        <v/>
      </c>
      <c r="C35" s="62">
        <f>IF(SYSTEM_CALCULATION!U24="SI",SYSTEM_CALCULATION!O24,"")</f>
        <v/>
      </c>
      <c r="D35" s="62">
        <f>IF(SYSTEM_CALCULATION!U24="SI",SYSTEM_CALCULATION!G24,"")</f>
        <v/>
      </c>
      <c r="E35" s="63">
        <f>IF(SYSTEM_CALCULATION!U24&lt;&gt;"SI","",IF(INPUT_SYSTEM!B33="USD",SYSTEM_CALCULATION!R24*CONFIG!B24,SYSTEM_CALCULATION!R24))</f>
        <v/>
      </c>
      <c r="F35" s="63">
        <f>IF(SYSTEM_CALCULATION!U24&lt;&gt;"SI","",IF(INPUT_SYSTEM!B33="USD",SYSTEM_CALCULATION!T24*CONFIG!B24,SYSTEM_CALCULATION!T24))</f>
        <v/>
      </c>
    </row>
    <row r="36" ht="15.75" customHeight="1" s="125">
      <c r="A36" s="62">
        <f>IF(SYSTEM_CALCULATION!U25="SI",SYSTEM_CALCULATION!B25,"")</f>
        <v/>
      </c>
      <c r="B36" s="62">
        <f>IF(SYSTEM_CALCULATION!U25="SI",SYSTEM_CALCULATION!E25,"")</f>
        <v/>
      </c>
      <c r="C36" s="62">
        <f>IF(SYSTEM_CALCULATION!U25="SI",SYSTEM_CALCULATION!O25,"")</f>
        <v/>
      </c>
      <c r="D36" s="62">
        <f>IF(SYSTEM_CALCULATION!U25="SI",SYSTEM_CALCULATION!G25,"")</f>
        <v/>
      </c>
      <c r="E36" s="63">
        <f>IF(SYSTEM_CALCULATION!U25&lt;&gt;"SI","",IF(INPUT_SYSTEM!B34="USD",SYSTEM_CALCULATION!R25*CONFIG!B25,SYSTEM_CALCULATION!R25))</f>
        <v/>
      </c>
      <c r="F36" s="63">
        <f>IF(SYSTEM_CALCULATION!U25&lt;&gt;"SI","",IF(INPUT_SYSTEM!B34="USD",SYSTEM_CALCULATION!T25*CONFIG!B25,SYSTEM_CALCULATION!T25))</f>
        <v/>
      </c>
    </row>
    <row r="37" ht="15.75" customHeight="1" s="125">
      <c r="A37" s="62">
        <f>IF(SYSTEM_CALCULATION!U26="SI",SYSTEM_CALCULATION!B26,"")</f>
        <v/>
      </c>
      <c r="B37" s="62">
        <f>IF(SYSTEM_CALCULATION!U26="SI",SYSTEM_CALCULATION!E26,"")</f>
        <v/>
      </c>
      <c r="C37" s="62">
        <f>IF(SYSTEM_CALCULATION!U26="SI",SYSTEM_CALCULATION!O26,"")</f>
        <v/>
      </c>
      <c r="D37" s="62">
        <f>IF(SYSTEM_CALCULATION!U26="SI",SYSTEM_CALCULATION!G26,"")</f>
        <v/>
      </c>
      <c r="E37" s="63">
        <f>IF(SYSTEM_CALCULATION!U26&lt;&gt;"SI","",IF(INPUT_SYSTEM!B35="USD",SYSTEM_CALCULATION!R26*CONFIG!B26,SYSTEM_CALCULATION!R26))</f>
        <v/>
      </c>
      <c r="F37" s="63">
        <f>IF(SYSTEM_CALCULATION!U26&lt;&gt;"SI","",IF(INPUT_SYSTEM!B35="USD",SYSTEM_CALCULATION!T26*CONFIG!B26,SYSTEM_CALCULATION!T26))</f>
        <v/>
      </c>
    </row>
    <row r="38" ht="15.75" customHeight="1" s="125">
      <c r="A38" s="62">
        <f>IF(SYSTEM_CALCULATION!U27="SI",SYSTEM_CALCULATION!B27,"")</f>
        <v/>
      </c>
      <c r="B38" s="62">
        <f>IF(SYSTEM_CALCULATION!U27="SI",SYSTEM_CALCULATION!E27,"")</f>
        <v/>
      </c>
      <c r="C38" s="62">
        <f>IF(SYSTEM_CALCULATION!U27="SI",SYSTEM_CALCULATION!O27,"")</f>
        <v/>
      </c>
      <c r="D38" s="62">
        <f>IF(SYSTEM_CALCULATION!U27="SI",SYSTEM_CALCULATION!G27,"")</f>
        <v/>
      </c>
      <c r="E38" s="63">
        <f>IF(SYSTEM_CALCULATION!U27&lt;&gt;"SI","",IF(INPUT_SYSTEM!B36="USD",SYSTEM_CALCULATION!R27*CONFIG!B27,SYSTEM_CALCULATION!R27))</f>
        <v/>
      </c>
      <c r="F38" s="63">
        <f>IF(SYSTEM_CALCULATION!U27&lt;&gt;"SI","",IF(INPUT_SYSTEM!B36="USD",SYSTEM_CALCULATION!T27*CONFIG!B27,SYSTEM_CALCULATION!T27))</f>
        <v/>
      </c>
    </row>
    <row r="39" ht="15.75" customHeight="1" s="125">
      <c r="A39" s="62">
        <f>IF(SYSTEM_CALCULATION!U28="SI",SYSTEM_CALCULATION!B28,"")</f>
        <v/>
      </c>
      <c r="B39" s="62">
        <f>IF(SYSTEM_CALCULATION!U28="SI",SYSTEM_CALCULATION!E28,"")</f>
        <v/>
      </c>
      <c r="C39" s="62">
        <f>IF(SYSTEM_CALCULATION!U28="SI",SYSTEM_CALCULATION!O28,"")</f>
        <v/>
      </c>
      <c r="D39" s="62">
        <f>IF(SYSTEM_CALCULATION!U28="SI",SYSTEM_CALCULATION!G28,"")</f>
        <v/>
      </c>
      <c r="E39" s="63">
        <f>IF(SYSTEM_CALCULATION!U28&lt;&gt;"SI","",IF(INPUT_SYSTEM!B37="USD",SYSTEM_CALCULATION!R28*CONFIG!B28,SYSTEM_CALCULATION!R28))</f>
        <v/>
      </c>
      <c r="F39" s="63">
        <f>IF(SYSTEM_CALCULATION!U28&lt;&gt;"SI","",IF(INPUT_SYSTEM!B37="USD",SYSTEM_CALCULATION!T28*CONFIG!B28,SYSTEM_CALCULATION!T28))</f>
        <v/>
      </c>
    </row>
    <row r="40" ht="15.75" customHeight="1" s="125">
      <c r="A40" s="62">
        <f>IF(SYSTEM_CALCULATION!U29="SI",SYSTEM_CALCULATION!B29,"")</f>
        <v/>
      </c>
      <c r="B40" s="62">
        <f>IF(SYSTEM_CALCULATION!U29="SI",SYSTEM_CALCULATION!E29,"")</f>
        <v/>
      </c>
      <c r="C40" s="62">
        <f>IF(SYSTEM_CALCULATION!U29="SI",SYSTEM_CALCULATION!O29,"")</f>
        <v/>
      </c>
      <c r="D40" s="62">
        <f>IF(SYSTEM_CALCULATION!U29="SI",SYSTEM_CALCULATION!G29,"")</f>
        <v/>
      </c>
      <c r="E40" s="63">
        <f>IF(SYSTEM_CALCULATION!U29&lt;&gt;"SI","",IF(INPUT_SYSTEM!B38="USD",SYSTEM_CALCULATION!R29*CONFIG!B29,SYSTEM_CALCULATION!R29))</f>
        <v/>
      </c>
      <c r="F40" s="63">
        <f>IF(SYSTEM_CALCULATION!U29&lt;&gt;"SI","",IF(INPUT_SYSTEM!B38="USD",SYSTEM_CALCULATION!T29*CONFIG!B29,SYSTEM_CALCULATION!T29))</f>
        <v/>
      </c>
    </row>
    <row r="41" ht="15.75" customHeight="1" s="125">
      <c r="A41" s="62">
        <f>IF(SYSTEM_CALCULATION!U30="SI",SYSTEM_CALCULATION!B30,"")</f>
        <v/>
      </c>
      <c r="B41" s="62">
        <f>IF(SYSTEM_CALCULATION!U30="SI",SYSTEM_CALCULATION!E30,"")</f>
        <v/>
      </c>
      <c r="C41" s="62">
        <f>IF(SYSTEM_CALCULATION!U30="SI",SYSTEM_CALCULATION!O30,"")</f>
        <v/>
      </c>
      <c r="D41" s="62">
        <f>IF(SYSTEM_CALCULATION!U30="SI",SYSTEM_CALCULATION!G30,"")</f>
        <v/>
      </c>
      <c r="E41" s="63">
        <f>IF(SYSTEM_CALCULATION!U30&lt;&gt;"SI","",IF(INPUT_SYSTEM!B39="USD",SYSTEM_CALCULATION!R30*CONFIG!B30,SYSTEM_CALCULATION!R30))</f>
        <v/>
      </c>
      <c r="F41" s="63">
        <f>IF(SYSTEM_CALCULATION!U30&lt;&gt;"SI","",IF(INPUT_SYSTEM!B39="USD",SYSTEM_CALCULATION!T30*CONFIG!B30,SYSTEM_CALCULATION!T30))</f>
        <v/>
      </c>
    </row>
    <row r="42" ht="15.75" customHeight="1" s="125">
      <c r="A42" s="62">
        <f>IF(SYSTEM_CALCULATION!U31="SI",SYSTEM_CALCULATION!B31,"")</f>
        <v/>
      </c>
      <c r="B42" s="62">
        <f>IF(SYSTEM_CALCULATION!U31="SI",SYSTEM_CALCULATION!E31,"")</f>
        <v/>
      </c>
      <c r="C42" s="62">
        <f>IF(SYSTEM_CALCULATION!U31="SI",SYSTEM_CALCULATION!O31,"")</f>
        <v/>
      </c>
      <c r="D42" s="62">
        <f>IF(SYSTEM_CALCULATION!U31="SI",SYSTEM_CALCULATION!G31,"")</f>
        <v/>
      </c>
      <c r="E42" s="63">
        <f>IF(SYSTEM_CALCULATION!U31&lt;&gt;"SI","",IF(INPUT_SYSTEM!B40="USD",SYSTEM_CALCULATION!R31*CONFIG!B31,SYSTEM_CALCULATION!R31))</f>
        <v/>
      </c>
      <c r="F42" s="63">
        <f>IF(SYSTEM_CALCULATION!U31&lt;&gt;"SI","",IF(INPUT_SYSTEM!B40="USD",SYSTEM_CALCULATION!T31*CONFIG!B31,SYSTEM_CALCULATION!T31))</f>
        <v/>
      </c>
    </row>
    <row r="43" ht="15.75" customHeight="1" s="125">
      <c r="A43" s="62">
        <f>IF(SYSTEM_CALCULATION!U32="SI",SYSTEM_CALCULATION!B32,"")</f>
        <v/>
      </c>
      <c r="B43" s="62">
        <f>IF(SYSTEM_CALCULATION!U32="SI",SYSTEM_CALCULATION!E32,"")</f>
        <v/>
      </c>
      <c r="C43" s="62">
        <f>IF(SYSTEM_CALCULATION!U32="SI",SYSTEM_CALCULATION!O32,"")</f>
        <v/>
      </c>
      <c r="D43" s="62">
        <f>IF(SYSTEM_CALCULATION!U32="SI",SYSTEM_CALCULATION!G32,"")</f>
        <v/>
      </c>
      <c r="E43" s="63">
        <f>IF(SYSTEM_CALCULATION!U32&lt;&gt;"SI","",IF(INPUT_SYSTEM!B41="USD",SYSTEM_CALCULATION!R32*CONFIG!B32,SYSTEM_CALCULATION!R32))</f>
        <v/>
      </c>
      <c r="F43" s="63">
        <f>IF(SYSTEM_CALCULATION!U32&lt;&gt;"SI","",IF(INPUT_SYSTEM!B41="USD",SYSTEM_CALCULATION!T32*CONFIG!B32,SYSTEM_CALCULATION!T32))</f>
        <v/>
      </c>
    </row>
    <row r="44" ht="15.75" customHeight="1" s="125">
      <c r="A44" s="62">
        <f>IF(SYSTEM_CALCULATION!U33="SI",SYSTEM_CALCULATION!B33,"")</f>
        <v/>
      </c>
      <c r="B44" s="62">
        <f>IF(SYSTEM_CALCULATION!U33="SI",SYSTEM_CALCULATION!E33,"")</f>
        <v/>
      </c>
      <c r="C44" s="62">
        <f>IF(SYSTEM_CALCULATION!U33="SI",SYSTEM_CALCULATION!O33,"")</f>
        <v/>
      </c>
      <c r="D44" s="62">
        <f>IF(SYSTEM_CALCULATION!U33="SI",SYSTEM_CALCULATION!G33,"")</f>
        <v/>
      </c>
      <c r="E44" s="63">
        <f>IF(SYSTEM_CALCULATION!U33&lt;&gt;"SI","",IF(INPUT_SYSTEM!B42="USD",SYSTEM_CALCULATION!R33*CONFIG!B33,SYSTEM_CALCULATION!R33))</f>
        <v/>
      </c>
      <c r="F44" s="63">
        <f>IF(SYSTEM_CALCULATION!U33&lt;&gt;"SI","",IF(INPUT_SYSTEM!B42="USD",SYSTEM_CALCULATION!T33*CONFIG!B33,SYSTEM_CALCULATION!T33))</f>
        <v/>
      </c>
    </row>
    <row r="45" ht="15.75" customHeight="1" s="125">
      <c r="A45" s="62">
        <f>IF(SYSTEM_CALCULATION!U34="SI",SYSTEM_CALCULATION!B34,"")</f>
        <v/>
      </c>
      <c r="B45" s="62">
        <f>IF(SYSTEM_CALCULATION!U34="SI",SYSTEM_CALCULATION!E34,"")</f>
        <v/>
      </c>
      <c r="C45" s="62">
        <f>IF(SYSTEM_CALCULATION!U34="SI",SYSTEM_CALCULATION!O34,"")</f>
        <v/>
      </c>
      <c r="D45" s="62">
        <f>IF(SYSTEM_CALCULATION!U34="SI",SYSTEM_CALCULATION!G34,"")</f>
        <v/>
      </c>
      <c r="E45" s="63">
        <f>IF(SYSTEM_CALCULATION!U34&lt;&gt;"SI","",IF(INPUT_SYSTEM!B43="USD",SYSTEM_CALCULATION!R34*CONFIG!B34,SYSTEM_CALCULATION!R34))</f>
        <v/>
      </c>
      <c r="F45" s="63">
        <f>IF(SYSTEM_CALCULATION!U34&lt;&gt;"SI","",IF(INPUT_SYSTEM!B43="USD",SYSTEM_CALCULATION!T34*CONFIG!B34,SYSTEM_CALCULATION!T34))</f>
        <v/>
      </c>
    </row>
    <row r="46" ht="15.75" customHeight="1" s="125">
      <c r="A46" s="62">
        <f>IF(SYSTEM_CALCULATION!U35="SI",SYSTEM_CALCULATION!B35,"")</f>
        <v/>
      </c>
      <c r="B46" s="62">
        <f>IF(SYSTEM_CALCULATION!U35="SI",SYSTEM_CALCULATION!E35,"")</f>
        <v/>
      </c>
      <c r="C46" s="62">
        <f>IF(SYSTEM_CALCULATION!U35="SI",SYSTEM_CALCULATION!O35,"")</f>
        <v/>
      </c>
      <c r="D46" s="62">
        <f>IF(SYSTEM_CALCULATION!U35="SI",SYSTEM_CALCULATION!G35,"")</f>
        <v/>
      </c>
      <c r="E46" s="63">
        <f>IF(SYSTEM_CALCULATION!U35&lt;&gt;"SI","",IF(INPUT_SYSTEM!B44="USD",SYSTEM_CALCULATION!R35*CONFIG!B35,SYSTEM_CALCULATION!R35))</f>
        <v/>
      </c>
      <c r="F46" s="63">
        <f>IF(SYSTEM_CALCULATION!U35&lt;&gt;"SI","",IF(INPUT_SYSTEM!B44="USD",SYSTEM_CALCULATION!T35*CONFIG!B35,SYSTEM_CALCULATION!T35))</f>
        <v/>
      </c>
    </row>
    <row r="47" ht="15.75" customHeight="1" s="125">
      <c r="A47" s="62">
        <f>IF(SYSTEM_CALCULATION!U36="SI",SYSTEM_CALCULATION!B36,"")</f>
        <v/>
      </c>
      <c r="B47" s="62">
        <f>IF(SYSTEM_CALCULATION!U36="SI",SYSTEM_CALCULATION!E36,"")</f>
        <v/>
      </c>
      <c r="C47" s="62">
        <f>IF(SYSTEM_CALCULATION!U36="SI",SYSTEM_CALCULATION!O36,"")</f>
        <v/>
      </c>
      <c r="D47" s="62">
        <f>IF(SYSTEM_CALCULATION!U36="SI",SYSTEM_CALCULATION!G36,"")</f>
        <v/>
      </c>
      <c r="E47" s="63">
        <f>IF(SYSTEM_CALCULATION!U36&lt;&gt;"SI","",IF(INPUT_SYSTEM!B45="USD",SYSTEM_CALCULATION!R36*CONFIG!B36,SYSTEM_CALCULATION!R36))</f>
        <v/>
      </c>
      <c r="F47" s="63">
        <f>IF(SYSTEM_CALCULATION!U36&lt;&gt;"SI","",IF(INPUT_SYSTEM!B45="USD",SYSTEM_CALCULATION!T36*CONFIG!B36,SYSTEM_CALCULATION!T36))</f>
        <v/>
      </c>
    </row>
    <row r="48" ht="15.75" customHeight="1" s="125">
      <c r="A48" s="62">
        <f>IF(SYSTEM_CALCULATION!U37="SI",SYSTEM_CALCULATION!B37,"")</f>
        <v/>
      </c>
      <c r="B48" s="62">
        <f>IF(SYSTEM_CALCULATION!U37="SI",SYSTEM_CALCULATION!E37,"")</f>
        <v/>
      </c>
      <c r="C48" s="62">
        <f>IF(SYSTEM_CALCULATION!U37="SI",SYSTEM_CALCULATION!O37,"")</f>
        <v/>
      </c>
      <c r="D48" s="62">
        <f>IF(SYSTEM_CALCULATION!U37="SI",SYSTEM_CALCULATION!G37,"")</f>
        <v/>
      </c>
      <c r="E48" s="63">
        <f>IF(SYSTEM_CALCULATION!U37&lt;&gt;"SI","",IF(INPUT_SYSTEM!B46="USD",SYSTEM_CALCULATION!R37*CONFIG!B37,SYSTEM_CALCULATION!R37))</f>
        <v/>
      </c>
      <c r="F48" s="63">
        <f>IF(SYSTEM_CALCULATION!U37&lt;&gt;"SI","",IF(INPUT_SYSTEM!B46="USD",SYSTEM_CALCULATION!T37*CONFIG!B37,SYSTEM_CALCULATION!T37))</f>
        <v/>
      </c>
    </row>
    <row r="49" ht="15.75" customHeight="1" s="125">
      <c r="A49" s="62">
        <f>IF(SYSTEM_CALCULATION!U38="SI",SYSTEM_CALCULATION!B38,"")</f>
        <v/>
      </c>
      <c r="B49" s="62">
        <f>IF(SYSTEM_CALCULATION!U38="SI",SYSTEM_CALCULATION!E38,"")</f>
        <v/>
      </c>
      <c r="C49" s="62">
        <f>IF(SYSTEM_CALCULATION!U38="SI",SYSTEM_CALCULATION!O38,"")</f>
        <v/>
      </c>
      <c r="D49" s="62">
        <f>IF(SYSTEM_CALCULATION!U38="SI",SYSTEM_CALCULATION!G38,"")</f>
        <v/>
      </c>
      <c r="E49" s="63">
        <f>IF(SYSTEM_CALCULATION!U38&lt;&gt;"SI","",IF(INPUT_SYSTEM!B47="USD",SYSTEM_CALCULATION!R38*CONFIG!B38,SYSTEM_CALCULATION!R38))</f>
        <v/>
      </c>
      <c r="F49" s="63">
        <f>IF(SYSTEM_CALCULATION!U38&lt;&gt;"SI","",IF(INPUT_SYSTEM!B47="USD",SYSTEM_CALCULATION!T38*CONFIG!B38,SYSTEM_CALCULATION!T38))</f>
        <v/>
      </c>
    </row>
    <row r="50" ht="15.75" customHeight="1" s="125">
      <c r="A50" s="62">
        <f>IF(SYSTEM_CALCULATION!U39="SI",SYSTEM_CALCULATION!B39,"")</f>
        <v/>
      </c>
      <c r="B50" s="62">
        <f>IF(SYSTEM_CALCULATION!U39="SI",SYSTEM_CALCULATION!E39,"")</f>
        <v/>
      </c>
      <c r="C50" s="62">
        <f>IF(SYSTEM_CALCULATION!U39="SI",SYSTEM_CALCULATION!O39,"")</f>
        <v/>
      </c>
      <c r="D50" s="62">
        <f>IF(SYSTEM_CALCULATION!U39="SI",SYSTEM_CALCULATION!G39,"")</f>
        <v/>
      </c>
      <c r="E50" s="63">
        <f>IF(SYSTEM_CALCULATION!U39&lt;&gt;"SI","",IF(INPUT_SYSTEM!B48="USD",SYSTEM_CALCULATION!R39*CONFIG!B39,SYSTEM_CALCULATION!R39))</f>
        <v/>
      </c>
      <c r="F50" s="63">
        <f>IF(SYSTEM_CALCULATION!U39&lt;&gt;"SI","",IF(INPUT_SYSTEM!B48="USD",SYSTEM_CALCULATION!T39*CONFIG!B39,SYSTEM_CALCULATION!T39))</f>
        <v/>
      </c>
    </row>
    <row r="51" ht="15.75" customHeight="1" s="125">
      <c r="A51" s="62">
        <f>IF(SYSTEM_CALCULATION!U40="SI",SYSTEM_CALCULATION!B40,"")</f>
        <v/>
      </c>
      <c r="B51" s="62">
        <f>IF(SYSTEM_CALCULATION!U40="SI",SYSTEM_CALCULATION!E40,"")</f>
        <v/>
      </c>
      <c r="C51" s="62">
        <f>IF(SYSTEM_CALCULATION!U40="SI",SYSTEM_CALCULATION!O40,"")</f>
        <v/>
      </c>
      <c r="D51" s="62">
        <f>IF(SYSTEM_CALCULATION!U40="SI",SYSTEM_CALCULATION!G40,"")</f>
        <v/>
      </c>
      <c r="E51" s="63">
        <f>IF(SYSTEM_CALCULATION!U40&lt;&gt;"SI","",IF(INPUT_SYSTEM!B49="USD",SYSTEM_CALCULATION!R40*CONFIG!B40,SYSTEM_CALCULATION!R40))</f>
        <v/>
      </c>
      <c r="F51" s="63">
        <f>IF(SYSTEM_CALCULATION!U40&lt;&gt;"SI","",IF(INPUT_SYSTEM!B49="USD",SYSTEM_CALCULATION!T40*CONFIG!B40,SYSTEM_CALCULATION!T40))</f>
        <v/>
      </c>
    </row>
    <row r="52" ht="15.75" customHeight="1" s="125">
      <c r="A52" s="62">
        <f>IF(SYSTEM_CALCULATION!U41="SI",SYSTEM_CALCULATION!B41,"")</f>
        <v/>
      </c>
      <c r="B52" s="62">
        <f>IF(SYSTEM_CALCULATION!U41="SI",SYSTEM_CALCULATION!E41,"")</f>
        <v/>
      </c>
      <c r="C52" s="62">
        <f>IF(SYSTEM_CALCULATION!U41="SI",SYSTEM_CALCULATION!O41,"")</f>
        <v/>
      </c>
      <c r="D52" s="62">
        <f>IF(SYSTEM_CALCULATION!U41="SI",SYSTEM_CALCULATION!G41,"")</f>
        <v/>
      </c>
      <c r="E52" s="63">
        <f>IF(SYSTEM_CALCULATION!U41&lt;&gt;"SI","",IF(INPUT_SYSTEM!B50="USD",SYSTEM_CALCULATION!R41*CONFIG!B41,SYSTEM_CALCULATION!R41))</f>
        <v/>
      </c>
      <c r="F52" s="63">
        <f>IF(SYSTEM_CALCULATION!U41&lt;&gt;"SI","",IF(INPUT_SYSTEM!B50="USD",SYSTEM_CALCULATION!T41*CONFIG!B41,SYSTEM_CALCULATION!T41))</f>
        <v/>
      </c>
    </row>
    <row r="53" ht="15.75" customHeight="1" s="125">
      <c r="A53" s="62">
        <f>IF(SYSTEM_CALCULATION!U42="SI",SYSTEM_CALCULATION!B42,"")</f>
        <v/>
      </c>
      <c r="B53" s="62">
        <f>IF(SYSTEM_CALCULATION!U42="SI",SYSTEM_CALCULATION!E42,"")</f>
        <v/>
      </c>
      <c r="C53" s="62">
        <f>IF(SYSTEM_CALCULATION!U42="SI",SYSTEM_CALCULATION!O42,"")</f>
        <v/>
      </c>
      <c r="D53" s="62">
        <f>IF(SYSTEM_CALCULATION!U42="SI",SYSTEM_CALCULATION!G42,"")</f>
        <v/>
      </c>
      <c r="E53" s="63">
        <f>IF(SYSTEM_CALCULATION!U42&lt;&gt;"SI","",IF(INPUT_SYSTEM!B51="USD",SYSTEM_CALCULATION!R42*CONFIG!B42,SYSTEM_CALCULATION!R42))</f>
        <v/>
      </c>
      <c r="F53" s="63">
        <f>IF(SYSTEM_CALCULATION!U42&lt;&gt;"SI","",IF(INPUT_SYSTEM!B51="USD",SYSTEM_CALCULATION!T42*CONFIG!B42,SYSTEM_CALCULATION!T42))</f>
        <v/>
      </c>
    </row>
    <row r="54" ht="15.75" customHeight="1" s="125">
      <c r="A54" s="62">
        <f>IF(SYSTEM_CALCULATION!U43="SI",SYSTEM_CALCULATION!B43,"")</f>
        <v/>
      </c>
      <c r="B54" s="62">
        <f>IF(SYSTEM_CALCULATION!U43="SI",SYSTEM_CALCULATION!E43,"")</f>
        <v/>
      </c>
      <c r="C54" s="62">
        <f>IF(SYSTEM_CALCULATION!U43="SI",SYSTEM_CALCULATION!O43,"")</f>
        <v/>
      </c>
      <c r="D54" s="62">
        <f>IF(SYSTEM_CALCULATION!U43="SI",SYSTEM_CALCULATION!G43,"")</f>
        <v/>
      </c>
      <c r="E54" s="63">
        <f>IF(SYSTEM_CALCULATION!U43&lt;&gt;"SI","",IF(INPUT_SYSTEM!B52="USD",SYSTEM_CALCULATION!R43*CONFIG!B43,SYSTEM_CALCULATION!R43))</f>
        <v/>
      </c>
      <c r="F54" s="63">
        <f>IF(SYSTEM_CALCULATION!U43&lt;&gt;"SI","",IF(INPUT_SYSTEM!B52="USD",SYSTEM_CALCULATION!T43*CONFIG!B43,SYSTEM_CALCULATION!T43))</f>
        <v/>
      </c>
    </row>
    <row r="55" ht="15.75" customHeight="1" s="125">
      <c r="A55" s="62">
        <f>IF(SYSTEM_CALCULATION!U44="SI",SYSTEM_CALCULATION!B44,"")</f>
        <v/>
      </c>
      <c r="B55" s="62">
        <f>IF(SYSTEM_CALCULATION!U44="SI",SYSTEM_CALCULATION!E44,"")</f>
        <v/>
      </c>
      <c r="C55" s="62">
        <f>IF(SYSTEM_CALCULATION!U44="SI",SYSTEM_CALCULATION!O44,"")</f>
        <v/>
      </c>
      <c r="D55" s="62">
        <f>IF(SYSTEM_CALCULATION!U44="SI",SYSTEM_CALCULATION!G44,"")</f>
        <v/>
      </c>
      <c r="E55" s="63">
        <f>IF(SYSTEM_CALCULATION!U44&lt;&gt;"SI","",IF(INPUT_SYSTEM!B53="USD",SYSTEM_CALCULATION!R44*CONFIG!B44,SYSTEM_CALCULATION!R44))</f>
        <v/>
      </c>
      <c r="F55" s="63">
        <f>IF(SYSTEM_CALCULATION!U44&lt;&gt;"SI","",IF(INPUT_SYSTEM!B53="USD",SYSTEM_CALCULATION!T44*CONFIG!B44,SYSTEM_CALCULATION!T44))</f>
        <v/>
      </c>
    </row>
    <row r="56" ht="15.75" customHeight="1" s="125">
      <c r="A56" s="62">
        <f>IF(SYSTEM_CALCULATION!U45="SI",SYSTEM_CALCULATION!B45,"")</f>
        <v/>
      </c>
      <c r="B56" s="62">
        <f>IF(SYSTEM_CALCULATION!U45="SI",SYSTEM_CALCULATION!E45,"")</f>
        <v/>
      </c>
      <c r="C56" s="62">
        <f>IF(SYSTEM_CALCULATION!U45="SI",SYSTEM_CALCULATION!O45,"")</f>
        <v/>
      </c>
      <c r="D56" s="62">
        <f>IF(SYSTEM_CALCULATION!U45="SI",SYSTEM_CALCULATION!G45,"")</f>
        <v/>
      </c>
      <c r="E56" s="63">
        <f>IF(SYSTEM_CALCULATION!U45&lt;&gt;"SI","",IF(INPUT_SYSTEM!B54="USD",SYSTEM_CALCULATION!R45*CONFIG!B45,SYSTEM_CALCULATION!R45))</f>
        <v/>
      </c>
      <c r="F56" s="63">
        <f>IF(SYSTEM_CALCULATION!U45&lt;&gt;"SI","",IF(INPUT_SYSTEM!B54="USD",SYSTEM_CALCULATION!T45*CONFIG!B45,SYSTEM_CALCULATION!T45))</f>
        <v/>
      </c>
    </row>
    <row r="57" ht="15.75" customHeight="1" s="125">
      <c r="A57" s="62">
        <f>IF(SYSTEM_CALCULATION!U46="SI",SYSTEM_CALCULATION!B46,"")</f>
        <v/>
      </c>
      <c r="B57" s="62">
        <f>IF(SYSTEM_CALCULATION!U46="SI",SYSTEM_CALCULATION!E46,"")</f>
        <v/>
      </c>
      <c r="C57" s="62">
        <f>IF(SYSTEM_CALCULATION!U46="SI",SYSTEM_CALCULATION!O46,"")</f>
        <v/>
      </c>
      <c r="D57" s="62">
        <f>IF(SYSTEM_CALCULATION!U46="SI",SYSTEM_CALCULATION!G46,"")</f>
        <v/>
      </c>
      <c r="E57" s="63">
        <f>IF(SYSTEM_CALCULATION!U46&lt;&gt;"SI","",IF(INPUT_SYSTEM!B55="USD",SYSTEM_CALCULATION!R46*CONFIG!B46,SYSTEM_CALCULATION!R46))</f>
        <v/>
      </c>
      <c r="F57" s="63">
        <f>IF(SYSTEM_CALCULATION!U46&lt;&gt;"SI","",IF(INPUT_SYSTEM!B55="USD",SYSTEM_CALCULATION!T46*CONFIG!B46,SYSTEM_CALCULATION!T46))</f>
        <v/>
      </c>
    </row>
    <row r="58" ht="15.75" customHeight="1" s="125">
      <c r="A58" s="62">
        <f>IF(SYSTEM_CALCULATION!U47="SI",SYSTEM_CALCULATION!B47,"")</f>
        <v/>
      </c>
      <c r="B58" s="62">
        <f>IF(SYSTEM_CALCULATION!U47="SI",SYSTEM_CALCULATION!E47,"")</f>
        <v/>
      </c>
      <c r="C58" s="62">
        <f>IF(SYSTEM_CALCULATION!U47="SI",SYSTEM_CALCULATION!O47,"")</f>
        <v/>
      </c>
      <c r="D58" s="62">
        <f>IF(SYSTEM_CALCULATION!U47="SI",SYSTEM_CALCULATION!G47,"")</f>
        <v/>
      </c>
      <c r="E58" s="63">
        <f>IF(SYSTEM_CALCULATION!U47&lt;&gt;"SI","",IF(INPUT_SYSTEM!B56="USD",SYSTEM_CALCULATION!R47*CONFIG!B47,SYSTEM_CALCULATION!R47))</f>
        <v/>
      </c>
      <c r="F58" s="63">
        <f>IF(SYSTEM_CALCULATION!U47&lt;&gt;"SI","",IF(INPUT_SYSTEM!B56="USD",SYSTEM_CALCULATION!T47*CONFIG!B47,SYSTEM_CALCULATION!T47))</f>
        <v/>
      </c>
    </row>
    <row r="59" ht="15.75" customHeight="1" s="125">
      <c r="A59" s="62">
        <f>IF(SYSTEM_CALCULATION!U48="SI",SYSTEM_CALCULATION!B48,"")</f>
        <v/>
      </c>
      <c r="B59" s="62">
        <f>IF(SYSTEM_CALCULATION!U48="SI",SYSTEM_CALCULATION!E48,"")</f>
        <v/>
      </c>
      <c r="C59" s="62">
        <f>IF(SYSTEM_CALCULATION!U48="SI",SYSTEM_CALCULATION!O48,"")</f>
        <v/>
      </c>
      <c r="D59" s="62">
        <f>IF(SYSTEM_CALCULATION!U48="SI",SYSTEM_CALCULATION!G48,"")</f>
        <v/>
      </c>
      <c r="E59" s="63">
        <f>IF(SYSTEM_CALCULATION!U48&lt;&gt;"SI","",IF(INPUT_SYSTEM!B57="USD",SYSTEM_CALCULATION!R48*CONFIG!B48,SYSTEM_CALCULATION!R48))</f>
        <v/>
      </c>
      <c r="F59" s="63">
        <f>IF(SYSTEM_CALCULATION!U48&lt;&gt;"SI","",IF(INPUT_SYSTEM!B57="USD",SYSTEM_CALCULATION!T48*CONFIG!B48,SYSTEM_CALCULATION!T48))</f>
        <v/>
      </c>
    </row>
    <row r="60" ht="15.75" customHeight="1" s="125">
      <c r="A60" s="62">
        <f>IF(SYSTEM_CALCULATION!U49="SI",SYSTEM_CALCULATION!B49,"")</f>
        <v/>
      </c>
      <c r="B60" s="62">
        <f>IF(SYSTEM_CALCULATION!U49="SI",SYSTEM_CALCULATION!E49,"")</f>
        <v/>
      </c>
      <c r="C60" s="62">
        <f>IF(SYSTEM_CALCULATION!U49="SI",SYSTEM_CALCULATION!O49,"")</f>
        <v/>
      </c>
      <c r="D60" s="62">
        <f>IF(SYSTEM_CALCULATION!U49="SI",SYSTEM_CALCULATION!G49,"")</f>
        <v/>
      </c>
      <c r="E60" s="63">
        <f>IF(SYSTEM_CALCULATION!U49&lt;&gt;"SI","",IF(INPUT_SYSTEM!B58="USD",SYSTEM_CALCULATION!R49*CONFIG!B49,SYSTEM_CALCULATION!R49))</f>
        <v/>
      </c>
      <c r="F60" s="63">
        <f>IF(SYSTEM_CALCULATION!U49&lt;&gt;"SI","",IF(INPUT_SYSTEM!B58="USD",SYSTEM_CALCULATION!T49*CONFIG!B49,SYSTEM_CALCULATION!T49))</f>
        <v/>
      </c>
    </row>
    <row r="61" ht="15.75" customHeight="1" s="125">
      <c r="A61" s="62">
        <f>IF(SYSTEM_CALCULATION!U50="SI",SYSTEM_CALCULATION!B50,"")</f>
        <v/>
      </c>
      <c r="B61" s="62">
        <f>IF(SYSTEM_CALCULATION!U50="SI",SYSTEM_CALCULATION!E50,"")</f>
        <v/>
      </c>
      <c r="C61" s="62">
        <f>IF(SYSTEM_CALCULATION!U50="SI",SYSTEM_CALCULATION!O50,"")</f>
        <v/>
      </c>
      <c r="D61" s="62">
        <f>IF(SYSTEM_CALCULATION!U50="SI",SYSTEM_CALCULATION!G50,"")</f>
        <v/>
      </c>
      <c r="E61" s="63">
        <f>IF(SYSTEM_CALCULATION!U50&lt;&gt;"SI","",IF(INPUT_SYSTEM!B59="USD",SYSTEM_CALCULATION!R50*CONFIG!B50,SYSTEM_CALCULATION!R50))</f>
        <v/>
      </c>
      <c r="F61" s="63">
        <f>IF(SYSTEM_CALCULATION!U50&lt;&gt;"SI","",IF(INPUT_SYSTEM!B59="USD",SYSTEM_CALCULATION!T50*CONFIG!B50,SYSTEM_CALCULATION!T50))</f>
        <v/>
      </c>
    </row>
    <row r="62" ht="15.75" customHeight="1" s="125">
      <c r="A62" s="62">
        <f>IF(SYSTEM_CALCULATION!U51="SI",SYSTEM_CALCULATION!B51,"")</f>
        <v/>
      </c>
      <c r="B62" s="62">
        <f>IF(SYSTEM_CALCULATION!U51="SI",SYSTEM_CALCULATION!E51,"")</f>
        <v/>
      </c>
      <c r="C62" s="62">
        <f>IF(SYSTEM_CALCULATION!U51="SI",SYSTEM_CALCULATION!O51,"")</f>
        <v/>
      </c>
      <c r="D62" s="62">
        <f>IF(SYSTEM_CALCULATION!U51="SI",SYSTEM_CALCULATION!G51,"")</f>
        <v/>
      </c>
      <c r="E62" s="63">
        <f>IF(SYSTEM_CALCULATION!U51&lt;&gt;"SI","",IF(INPUT_SYSTEM!B60="USD",SYSTEM_CALCULATION!R51*CONFIG!B51,SYSTEM_CALCULATION!R51))</f>
        <v/>
      </c>
      <c r="F62" s="63">
        <f>IF(SYSTEM_CALCULATION!U51&lt;&gt;"SI","",IF(INPUT_SYSTEM!B60="USD",SYSTEM_CALCULATION!T51*CONFIG!B51,SYSTEM_CALCULATION!T51))</f>
        <v/>
      </c>
    </row>
    <row r="63" ht="15.75" customHeight="1" s="125">
      <c r="A63" s="62">
        <f>IF(SYSTEM_CALCULATION!U52="SI",SYSTEM_CALCULATION!B52,"")</f>
        <v/>
      </c>
      <c r="B63" s="62">
        <f>IF(SYSTEM_CALCULATION!U52="SI",SYSTEM_CALCULATION!E52,"")</f>
        <v/>
      </c>
      <c r="C63" s="62">
        <f>IF(SYSTEM_CALCULATION!U52="SI",SYSTEM_CALCULATION!O52,"")</f>
        <v/>
      </c>
      <c r="D63" s="62">
        <f>IF(SYSTEM_CALCULATION!U52="SI",SYSTEM_CALCULATION!G52,"")</f>
        <v/>
      </c>
      <c r="E63" s="63">
        <f>IF(SYSTEM_CALCULATION!U52&lt;&gt;"SI","",IF(INPUT_SYSTEM!B61="USD",SYSTEM_CALCULATION!R52*CONFIG!B52,SYSTEM_CALCULATION!R52))</f>
        <v/>
      </c>
      <c r="F63" s="63">
        <f>IF(SYSTEM_CALCULATION!U52&lt;&gt;"SI","",IF(INPUT_SYSTEM!B61="USD",SYSTEM_CALCULATION!T52*CONFIG!B52,SYSTEM_CALCULATION!T52))</f>
        <v/>
      </c>
    </row>
    <row r="64" ht="15.75" customHeight="1" s="125">
      <c r="A64" s="62">
        <f>IF(SYSTEM_CALCULATION!U53="SI",SYSTEM_CALCULATION!B53,"")</f>
        <v/>
      </c>
      <c r="B64" s="62">
        <f>IF(SYSTEM_CALCULATION!U53="SI",SYSTEM_CALCULATION!E53,"")</f>
        <v/>
      </c>
      <c r="C64" s="62">
        <f>IF(SYSTEM_CALCULATION!U53="SI",SYSTEM_CALCULATION!O53,"")</f>
        <v/>
      </c>
      <c r="D64" s="62">
        <f>IF(SYSTEM_CALCULATION!U53="SI",SYSTEM_CALCULATION!G53,"")</f>
        <v/>
      </c>
      <c r="E64" s="63">
        <f>IF(SYSTEM_CALCULATION!U53&lt;&gt;"SI","",IF(INPUT_SYSTEM!B62="USD",SYSTEM_CALCULATION!R53*CONFIG!B53,SYSTEM_CALCULATION!R53))</f>
        <v/>
      </c>
      <c r="F64" s="63">
        <f>IF(SYSTEM_CALCULATION!U53&lt;&gt;"SI","",IF(INPUT_SYSTEM!B62="USD",SYSTEM_CALCULATION!T53*CONFIG!B53,SYSTEM_CALCULATION!T53))</f>
        <v/>
      </c>
    </row>
    <row r="65" ht="15.75" customHeight="1" s="125">
      <c r="A65" s="62">
        <f>IF(SYSTEM_CALCULATION!U54="SI",SYSTEM_CALCULATION!B54,"")</f>
        <v/>
      </c>
      <c r="B65" s="62">
        <f>IF(SYSTEM_CALCULATION!U54="SI",SYSTEM_CALCULATION!E54,"")</f>
        <v/>
      </c>
      <c r="C65" s="62">
        <f>IF(SYSTEM_CALCULATION!U54="SI",SYSTEM_CALCULATION!O54,"")</f>
        <v/>
      </c>
      <c r="D65" s="62">
        <f>IF(SYSTEM_CALCULATION!U54="SI",SYSTEM_CALCULATION!G54,"")</f>
        <v/>
      </c>
      <c r="E65" s="63">
        <f>IF(SYSTEM_CALCULATION!U54&lt;&gt;"SI","",IF(INPUT_SYSTEM!B63="USD",SYSTEM_CALCULATION!R54*CONFIG!B54,SYSTEM_CALCULATION!R54))</f>
        <v/>
      </c>
      <c r="F65" s="63">
        <f>IF(SYSTEM_CALCULATION!U54&lt;&gt;"SI","",IF(INPUT_SYSTEM!B63="USD",SYSTEM_CALCULATION!T54*CONFIG!B54,SYSTEM_CALCULATION!T54))</f>
        <v/>
      </c>
    </row>
    <row r="66" ht="15.75" customHeight="1" s="125">
      <c r="A66" s="62">
        <f>IF(SYSTEM_CALCULATION!U55="SI",SYSTEM_CALCULATION!B55,"")</f>
        <v/>
      </c>
      <c r="B66" s="62">
        <f>IF(SYSTEM_CALCULATION!U55="SI",SYSTEM_CALCULATION!E55,"")</f>
        <v/>
      </c>
      <c r="C66" s="62">
        <f>IF(SYSTEM_CALCULATION!U55="SI",SYSTEM_CALCULATION!O55,"")</f>
        <v/>
      </c>
      <c r="D66" s="62">
        <f>IF(SYSTEM_CALCULATION!U55="SI",SYSTEM_CALCULATION!G55,"")</f>
        <v/>
      </c>
      <c r="E66" s="63">
        <f>IF(SYSTEM_CALCULATION!U55&lt;&gt;"SI","",IF(INPUT_SYSTEM!B64="USD",SYSTEM_CALCULATION!R55*CONFIG!B55,SYSTEM_CALCULATION!R55))</f>
        <v/>
      </c>
      <c r="F66" s="63">
        <f>IF(SYSTEM_CALCULATION!U55&lt;&gt;"SI","",IF(INPUT_SYSTEM!B64="USD",SYSTEM_CALCULATION!T55*CONFIG!B55,SYSTEM_CALCULATION!T55))</f>
        <v/>
      </c>
    </row>
    <row r="67" ht="15.75" customHeight="1" s="125">
      <c r="A67" s="62">
        <f>IF(SYSTEM_CALCULATION!U56="SI",SYSTEM_CALCULATION!B56,"")</f>
        <v/>
      </c>
      <c r="B67" s="62">
        <f>IF(SYSTEM_CALCULATION!U56="SI",SYSTEM_CALCULATION!E56,"")</f>
        <v/>
      </c>
      <c r="C67" s="62">
        <f>IF(SYSTEM_CALCULATION!U56="SI",SYSTEM_CALCULATION!O56,"")</f>
        <v/>
      </c>
      <c r="D67" s="62">
        <f>IF(SYSTEM_CALCULATION!U56="SI",SYSTEM_CALCULATION!G56,"")</f>
        <v/>
      </c>
      <c r="E67" s="63">
        <f>IF(SYSTEM_CALCULATION!U56&lt;&gt;"SI","",IF(INPUT_SYSTEM!B65="USD",SYSTEM_CALCULATION!R56*CONFIG!B56,SYSTEM_CALCULATION!R56))</f>
        <v/>
      </c>
      <c r="F67" s="63">
        <f>IF(SYSTEM_CALCULATION!U56&lt;&gt;"SI","",IF(INPUT_SYSTEM!B65="USD",SYSTEM_CALCULATION!T56*CONFIG!B56,SYSTEM_CALCULATION!T56))</f>
        <v/>
      </c>
    </row>
    <row r="68" ht="15.75" customHeight="1" s="125">
      <c r="A68" s="62">
        <f>IF(SYSTEM_CALCULATION!U57="SI",SYSTEM_CALCULATION!B57,"")</f>
        <v/>
      </c>
      <c r="B68" s="62">
        <f>IF(SYSTEM_CALCULATION!U57="SI",SYSTEM_CALCULATION!E57,"")</f>
        <v/>
      </c>
      <c r="C68" s="62">
        <f>IF(SYSTEM_CALCULATION!U57="SI",SYSTEM_CALCULATION!O57,"")</f>
        <v/>
      </c>
      <c r="D68" s="62">
        <f>IF(SYSTEM_CALCULATION!U57="SI",SYSTEM_CALCULATION!G57,"")</f>
        <v/>
      </c>
      <c r="E68" s="63">
        <f>IF(SYSTEM_CALCULATION!U57&lt;&gt;"SI","",IF(INPUT_SYSTEM!B66="USD",SYSTEM_CALCULATION!R57*CONFIG!B57,SYSTEM_CALCULATION!R57))</f>
        <v/>
      </c>
      <c r="F68" s="63">
        <f>IF(SYSTEM_CALCULATION!U57&lt;&gt;"SI","",IF(INPUT_SYSTEM!B66="USD",SYSTEM_CALCULATION!T57*CONFIG!B57,SYSTEM_CALCULATION!T57))</f>
        <v/>
      </c>
    </row>
    <row r="69" ht="15.75" customHeight="1" s="125">
      <c r="A69" s="62">
        <f>IF(SYSTEM_CALCULATION!U58="SI",SYSTEM_CALCULATION!B58,"")</f>
        <v/>
      </c>
      <c r="B69" s="62">
        <f>IF(SYSTEM_CALCULATION!U58="SI",SYSTEM_CALCULATION!E58,"")</f>
        <v/>
      </c>
      <c r="C69" s="62">
        <f>IF(SYSTEM_CALCULATION!U58="SI",SYSTEM_CALCULATION!O58,"")</f>
        <v/>
      </c>
      <c r="D69" s="62">
        <f>IF(SYSTEM_CALCULATION!U58="SI",SYSTEM_CALCULATION!G58,"")</f>
        <v/>
      </c>
      <c r="E69" s="63">
        <f>IF(SYSTEM_CALCULATION!U58&lt;&gt;"SI","",IF(INPUT_SYSTEM!B67="USD",SYSTEM_CALCULATION!R58*CONFIG!B58,SYSTEM_CALCULATION!R58))</f>
        <v/>
      </c>
      <c r="F69" s="63">
        <f>IF(SYSTEM_CALCULATION!U58&lt;&gt;"SI","",IF(INPUT_SYSTEM!B67="USD",SYSTEM_CALCULATION!T58*CONFIG!B58,SYSTEM_CALCULATION!T58))</f>
        <v/>
      </c>
    </row>
    <row r="70" ht="15.75" customHeight="1" s="125">
      <c r="A70" s="62">
        <f>IF(SYSTEM_CALCULATION!U59="SI",SYSTEM_CALCULATION!B59,"")</f>
        <v/>
      </c>
      <c r="B70" s="62">
        <f>IF(SYSTEM_CALCULATION!U59="SI",SYSTEM_CALCULATION!E59,"")</f>
        <v/>
      </c>
      <c r="C70" s="62">
        <f>IF(SYSTEM_CALCULATION!U59="SI",SYSTEM_CALCULATION!O59,"")</f>
        <v/>
      </c>
      <c r="D70" s="62">
        <f>IF(SYSTEM_CALCULATION!U59="SI",SYSTEM_CALCULATION!G59,"")</f>
        <v/>
      </c>
      <c r="E70" s="63">
        <f>IF(SYSTEM_CALCULATION!U59&lt;&gt;"SI","",IF(INPUT_SYSTEM!B68="USD",SYSTEM_CALCULATION!R59*CONFIG!B59,SYSTEM_CALCULATION!R59))</f>
        <v/>
      </c>
      <c r="F70" s="63">
        <f>IF(SYSTEM_CALCULATION!U59&lt;&gt;"SI","",IF(INPUT_SYSTEM!B68="USD",SYSTEM_CALCULATION!T59*CONFIG!B59,SYSTEM_CALCULATION!T59))</f>
        <v/>
      </c>
    </row>
    <row r="71" ht="15.75" customHeight="1" s="125">
      <c r="A71" s="62">
        <f>IF(SYSTEM_CALCULATION!U60="SI",SYSTEM_CALCULATION!B60,"")</f>
        <v/>
      </c>
      <c r="B71" s="62">
        <f>IF(SYSTEM_CALCULATION!U60="SI",SYSTEM_CALCULATION!E60,"")</f>
        <v/>
      </c>
      <c r="C71" s="62">
        <f>IF(SYSTEM_CALCULATION!U60="SI",SYSTEM_CALCULATION!O60,"")</f>
        <v/>
      </c>
      <c r="D71" s="62">
        <f>IF(SYSTEM_CALCULATION!U60="SI",SYSTEM_CALCULATION!G60,"")</f>
        <v/>
      </c>
      <c r="E71" s="63">
        <f>IF(SYSTEM_CALCULATION!U60&lt;&gt;"SI","",IF(INPUT_SYSTEM!B69="USD",SYSTEM_CALCULATION!R60*CONFIG!B60,SYSTEM_CALCULATION!R60))</f>
        <v/>
      </c>
      <c r="F71" s="63">
        <f>IF(SYSTEM_CALCULATION!U60&lt;&gt;"SI","",IF(INPUT_SYSTEM!B69="USD",SYSTEM_CALCULATION!T60*CONFIG!B60,SYSTEM_CALCULATION!T60))</f>
        <v/>
      </c>
    </row>
    <row r="72" ht="15.75" customHeight="1" s="125">
      <c r="A72" s="62">
        <f>IF(SYSTEM_CALCULATION!U61="SI",SYSTEM_CALCULATION!B61,"")</f>
        <v/>
      </c>
      <c r="B72" s="62">
        <f>IF(SYSTEM_CALCULATION!U61="SI",SYSTEM_CALCULATION!E61,"")</f>
        <v/>
      </c>
      <c r="C72" s="62">
        <f>IF(SYSTEM_CALCULATION!U61="SI",SYSTEM_CALCULATION!O61,"")</f>
        <v/>
      </c>
      <c r="D72" s="62">
        <f>IF(SYSTEM_CALCULATION!U61="SI",SYSTEM_CALCULATION!G61,"")</f>
        <v/>
      </c>
      <c r="E72" s="63">
        <f>IF(SYSTEM_CALCULATION!U61&lt;&gt;"SI","",IF(INPUT_SYSTEM!B70="USD",SYSTEM_CALCULATION!R61*CONFIG!B61,SYSTEM_CALCULATION!R61))</f>
        <v/>
      </c>
      <c r="F72" s="63">
        <f>IF(SYSTEM_CALCULATION!U61&lt;&gt;"SI","",IF(INPUT_SYSTEM!B70="USD",SYSTEM_CALCULATION!T61*CONFIG!B61,SYSTEM_CALCULATION!T61))</f>
        <v/>
      </c>
    </row>
    <row r="73" ht="15.75" customHeight="1" s="125">
      <c r="A73" s="62">
        <f>IF(SYSTEM_CALCULATION!U62="SI",SYSTEM_CALCULATION!B62,"")</f>
        <v/>
      </c>
      <c r="B73" s="62">
        <f>IF(SYSTEM_CALCULATION!U62="SI",SYSTEM_CALCULATION!E62,"")</f>
        <v/>
      </c>
      <c r="C73" s="62">
        <f>IF(SYSTEM_CALCULATION!U62="SI",SYSTEM_CALCULATION!O62,"")</f>
        <v/>
      </c>
      <c r="D73" s="62">
        <f>IF(SYSTEM_CALCULATION!U62="SI",SYSTEM_CALCULATION!G62,"")</f>
        <v/>
      </c>
      <c r="E73" s="63">
        <f>IF(SYSTEM_CALCULATION!U62&lt;&gt;"SI","",IF(INPUT_SYSTEM!B71="USD",SYSTEM_CALCULATION!R62*CONFIG!B62,SYSTEM_CALCULATION!R62))</f>
        <v/>
      </c>
      <c r="F73" s="63">
        <f>IF(SYSTEM_CALCULATION!U62&lt;&gt;"SI","",IF(INPUT_SYSTEM!B71="USD",SYSTEM_CALCULATION!T62*CONFIG!B62,SYSTEM_CALCULATION!T62))</f>
        <v/>
      </c>
    </row>
    <row r="74" ht="15.75" customHeight="1" s="125">
      <c r="A74" s="62">
        <f>IF(SYSTEM_CALCULATION!U63="SI",SYSTEM_CALCULATION!B63,"")</f>
        <v/>
      </c>
      <c r="B74" s="62">
        <f>IF(SYSTEM_CALCULATION!U63="SI",SYSTEM_CALCULATION!E63,"")</f>
        <v/>
      </c>
      <c r="C74" s="62">
        <f>IF(SYSTEM_CALCULATION!U63="SI",SYSTEM_CALCULATION!O63,"")</f>
        <v/>
      </c>
      <c r="D74" s="62">
        <f>IF(SYSTEM_CALCULATION!U63="SI",SYSTEM_CALCULATION!G63,"")</f>
        <v/>
      </c>
      <c r="E74" s="63">
        <f>IF(SYSTEM_CALCULATION!U63&lt;&gt;"SI","",IF(INPUT_SYSTEM!B72="USD",SYSTEM_CALCULATION!R63*CONFIG!B63,SYSTEM_CALCULATION!R63))</f>
        <v/>
      </c>
      <c r="F74" s="63">
        <f>IF(SYSTEM_CALCULATION!U63&lt;&gt;"SI","",IF(INPUT_SYSTEM!B72="USD",SYSTEM_CALCULATION!T63*CONFIG!B63,SYSTEM_CALCULATION!T63))</f>
        <v/>
      </c>
    </row>
    <row r="75" ht="15.75" customHeight="1" s="125">
      <c r="A75" s="62">
        <f>IF(SYSTEM_CALCULATION!U64="SI",SYSTEM_CALCULATION!B64,"")</f>
        <v/>
      </c>
      <c r="B75" s="62">
        <f>IF(SYSTEM_CALCULATION!U64="SI",SYSTEM_CALCULATION!E64,"")</f>
        <v/>
      </c>
      <c r="C75" s="62">
        <f>IF(SYSTEM_CALCULATION!U64="SI",SYSTEM_CALCULATION!O64,"")</f>
        <v/>
      </c>
      <c r="D75" s="62">
        <f>IF(SYSTEM_CALCULATION!U64="SI",SYSTEM_CALCULATION!G64,"")</f>
        <v/>
      </c>
      <c r="E75" s="63">
        <f>IF(SYSTEM_CALCULATION!U64&lt;&gt;"SI","",IF(INPUT_SYSTEM!B73="USD",SYSTEM_CALCULATION!R64*CONFIG!B64,SYSTEM_CALCULATION!R64))</f>
        <v/>
      </c>
      <c r="F75" s="63">
        <f>IF(SYSTEM_CALCULATION!U64&lt;&gt;"SI","",IF(INPUT_SYSTEM!B73="USD",SYSTEM_CALCULATION!T64*CONFIG!B64,SYSTEM_CALCULATION!T64))</f>
        <v/>
      </c>
    </row>
    <row r="76" ht="15.75" customHeight="1" s="125">
      <c r="A76" s="62">
        <f>IF(SYSTEM_CALCULATION!U65="SI",SYSTEM_CALCULATION!B65,"")</f>
        <v/>
      </c>
      <c r="B76" s="62">
        <f>IF(SYSTEM_CALCULATION!U65="SI",SYSTEM_CALCULATION!E65,"")</f>
        <v/>
      </c>
      <c r="C76" s="62">
        <f>IF(SYSTEM_CALCULATION!U65="SI",SYSTEM_CALCULATION!O65,"")</f>
        <v/>
      </c>
      <c r="D76" s="62">
        <f>IF(SYSTEM_CALCULATION!U65="SI",SYSTEM_CALCULATION!G65,"")</f>
        <v/>
      </c>
      <c r="E76" s="63">
        <f>IF(SYSTEM_CALCULATION!U65&lt;&gt;"SI","",IF(INPUT_SYSTEM!B74="USD",SYSTEM_CALCULATION!R65*CONFIG!B65,SYSTEM_CALCULATION!R65))</f>
        <v/>
      </c>
      <c r="F76" s="63">
        <f>IF(SYSTEM_CALCULATION!U65&lt;&gt;"SI","",IF(INPUT_SYSTEM!B74="USD",SYSTEM_CALCULATION!T65*CONFIG!B65,SYSTEM_CALCULATION!T65))</f>
        <v/>
      </c>
    </row>
    <row r="77" ht="15.75" customHeight="1" s="125">
      <c r="A77" s="62">
        <f>IF(SYSTEM_CALCULATION!U66="SI",SYSTEM_CALCULATION!B66,"")</f>
        <v/>
      </c>
      <c r="B77" s="62">
        <f>IF(SYSTEM_CALCULATION!U66="SI",SYSTEM_CALCULATION!E66,"")</f>
        <v/>
      </c>
      <c r="C77" s="62">
        <f>IF(SYSTEM_CALCULATION!U66="SI",SYSTEM_CALCULATION!O66,"")</f>
        <v/>
      </c>
      <c r="D77" s="62">
        <f>IF(SYSTEM_CALCULATION!U66="SI",SYSTEM_CALCULATION!G66,"")</f>
        <v/>
      </c>
      <c r="E77" s="63">
        <f>IF(SYSTEM_CALCULATION!U66&lt;&gt;"SI","",IF(INPUT_SYSTEM!B75="USD",SYSTEM_CALCULATION!R66*CONFIG!B66,SYSTEM_CALCULATION!R66))</f>
        <v/>
      </c>
      <c r="F77" s="63">
        <f>IF(SYSTEM_CALCULATION!U66&lt;&gt;"SI","",IF(INPUT_SYSTEM!B75="USD",SYSTEM_CALCULATION!T66*CONFIG!B66,SYSTEM_CALCULATION!T66))</f>
        <v/>
      </c>
    </row>
    <row r="78" ht="15.75" customHeight="1" s="125">
      <c r="A78" s="62">
        <f>IF(SYSTEM_CALCULATION!U67="SI",SYSTEM_CALCULATION!B67,"")</f>
        <v/>
      </c>
      <c r="B78" s="62">
        <f>IF(SYSTEM_CALCULATION!U67="SI",SYSTEM_CALCULATION!E67,"")</f>
        <v/>
      </c>
      <c r="C78" s="62">
        <f>IF(SYSTEM_CALCULATION!U67="SI",SYSTEM_CALCULATION!O67,"")</f>
        <v/>
      </c>
      <c r="D78" s="62">
        <f>IF(SYSTEM_CALCULATION!U67="SI",SYSTEM_CALCULATION!G67,"")</f>
        <v/>
      </c>
      <c r="E78" s="63">
        <f>IF(SYSTEM_CALCULATION!U67&lt;&gt;"SI","",IF(INPUT_SYSTEM!B76="USD",SYSTEM_CALCULATION!R67*CONFIG!B67,SYSTEM_CALCULATION!R67))</f>
        <v/>
      </c>
      <c r="F78" s="63">
        <f>IF(SYSTEM_CALCULATION!U67&lt;&gt;"SI","",IF(INPUT_SYSTEM!B76="USD",SYSTEM_CALCULATION!T67*CONFIG!B67,SYSTEM_CALCULATION!T67))</f>
        <v/>
      </c>
    </row>
    <row r="79" ht="15.75" customHeight="1" s="125">
      <c r="A79" s="62">
        <f>IF(SYSTEM_CALCULATION!U68="SI",SYSTEM_CALCULATION!B68,"")</f>
        <v/>
      </c>
      <c r="B79" s="62">
        <f>IF(SYSTEM_CALCULATION!U68="SI",SYSTEM_CALCULATION!E68,"")</f>
        <v/>
      </c>
      <c r="C79" s="62">
        <f>IF(SYSTEM_CALCULATION!U68="SI",SYSTEM_CALCULATION!O68,"")</f>
        <v/>
      </c>
      <c r="D79" s="62">
        <f>IF(SYSTEM_CALCULATION!U68="SI",SYSTEM_CALCULATION!G68,"")</f>
        <v/>
      </c>
      <c r="E79" s="63">
        <f>IF(SYSTEM_CALCULATION!U68&lt;&gt;"SI","",IF(INPUT_SYSTEM!B77="USD",SYSTEM_CALCULATION!R68*CONFIG!B68,SYSTEM_CALCULATION!R68))</f>
        <v/>
      </c>
      <c r="F79" s="63">
        <f>IF(SYSTEM_CALCULATION!U68&lt;&gt;"SI","",IF(INPUT_SYSTEM!B77="USD",SYSTEM_CALCULATION!T68*CONFIG!B68,SYSTEM_CALCULATION!T68))</f>
        <v/>
      </c>
    </row>
    <row r="80" ht="15.75" customHeight="1" s="125">
      <c r="A80" s="62">
        <f>IF(SYSTEM_CALCULATION!U69="SI",SYSTEM_CALCULATION!B69,"")</f>
        <v/>
      </c>
      <c r="B80" s="62">
        <f>IF(SYSTEM_CALCULATION!U69="SI",SYSTEM_CALCULATION!E69,"")</f>
        <v/>
      </c>
      <c r="C80" s="62">
        <f>IF(SYSTEM_CALCULATION!U69="SI",SYSTEM_CALCULATION!O69,"")</f>
        <v/>
      </c>
      <c r="D80" s="62">
        <f>IF(SYSTEM_CALCULATION!U69="SI",SYSTEM_CALCULATION!G69,"")</f>
        <v/>
      </c>
      <c r="E80" s="63">
        <f>IF(SYSTEM_CALCULATION!U69&lt;&gt;"SI","",IF(INPUT_SYSTEM!B78="USD",SYSTEM_CALCULATION!R69*CONFIG!B69,SYSTEM_CALCULATION!R69))</f>
        <v/>
      </c>
      <c r="F80" s="63">
        <f>IF(SYSTEM_CALCULATION!U69&lt;&gt;"SI","",IF(INPUT_SYSTEM!B78="USD",SYSTEM_CALCULATION!T69*CONFIG!B69,SYSTEM_CALCULATION!T69))</f>
        <v/>
      </c>
    </row>
    <row r="81" ht="15.75" customHeight="1" s="125">
      <c r="A81" s="62">
        <f>IF(SYSTEM_CALCULATION!U70="SI",SYSTEM_CALCULATION!B70,"")</f>
        <v/>
      </c>
      <c r="B81" s="62">
        <f>IF(SYSTEM_CALCULATION!U70="SI",SYSTEM_CALCULATION!E70,"")</f>
        <v/>
      </c>
      <c r="C81" s="62">
        <f>IF(SYSTEM_CALCULATION!U70="SI",SYSTEM_CALCULATION!O70,"")</f>
        <v/>
      </c>
      <c r="D81" s="62">
        <f>IF(SYSTEM_CALCULATION!U70="SI",SYSTEM_CALCULATION!G70,"")</f>
        <v/>
      </c>
      <c r="E81" s="63">
        <f>IF(SYSTEM_CALCULATION!U70&lt;&gt;"SI","",IF(INPUT_SYSTEM!B79="USD",SYSTEM_CALCULATION!R70*CONFIG!B70,SYSTEM_CALCULATION!R70))</f>
        <v/>
      </c>
      <c r="F81" s="63">
        <f>IF(SYSTEM_CALCULATION!U70&lt;&gt;"SI","",IF(INPUT_SYSTEM!B79="USD",SYSTEM_CALCULATION!T70*CONFIG!B70,SYSTEM_CALCULATION!T70))</f>
        <v/>
      </c>
    </row>
    <row r="82" ht="15.75" customHeight="1" s="125">
      <c r="A82" s="62">
        <f>IF(SYSTEM_CALCULATION!U71="SI",SYSTEM_CALCULATION!B71,"")</f>
        <v/>
      </c>
      <c r="B82" s="62">
        <f>IF(SYSTEM_CALCULATION!U71="SI",SYSTEM_CALCULATION!E71,"")</f>
        <v/>
      </c>
      <c r="C82" s="62">
        <f>IF(SYSTEM_CALCULATION!U71="SI",SYSTEM_CALCULATION!O71,"")</f>
        <v/>
      </c>
      <c r="D82" s="62">
        <f>IF(SYSTEM_CALCULATION!U71="SI",SYSTEM_CALCULATION!G71,"")</f>
        <v/>
      </c>
      <c r="E82" s="63">
        <f>IF(SYSTEM_CALCULATION!U71&lt;&gt;"SI","",IF(INPUT_SYSTEM!B80="USD",SYSTEM_CALCULATION!R71*CONFIG!B71,SYSTEM_CALCULATION!R71))</f>
        <v/>
      </c>
      <c r="F82" s="63">
        <f>IF(SYSTEM_CALCULATION!U71&lt;&gt;"SI","",IF(INPUT_SYSTEM!B80="USD",SYSTEM_CALCULATION!T71*CONFIG!B71,SYSTEM_CALCULATION!T71))</f>
        <v/>
      </c>
    </row>
    <row r="83" ht="15.75" customHeight="1" s="125">
      <c r="A83" s="62">
        <f>IF(SYSTEM_CALCULATION!U72="SI",SYSTEM_CALCULATION!B72,"")</f>
        <v/>
      </c>
      <c r="B83" s="62">
        <f>IF(SYSTEM_CALCULATION!U72="SI",SYSTEM_CALCULATION!E72,"")</f>
        <v/>
      </c>
      <c r="C83" s="62">
        <f>IF(SYSTEM_CALCULATION!U72="SI",SYSTEM_CALCULATION!O72,"")</f>
        <v/>
      </c>
      <c r="D83" s="62">
        <f>IF(SYSTEM_CALCULATION!U72="SI",SYSTEM_CALCULATION!G72,"")</f>
        <v/>
      </c>
      <c r="E83" s="63">
        <f>IF(SYSTEM_CALCULATION!U72&lt;&gt;"SI","",IF(INPUT_SYSTEM!B81="USD",SYSTEM_CALCULATION!R72*CONFIG!B72,SYSTEM_CALCULATION!R72))</f>
        <v/>
      </c>
      <c r="F83" s="63">
        <f>IF(SYSTEM_CALCULATION!U72&lt;&gt;"SI","",IF(INPUT_SYSTEM!B81="USD",SYSTEM_CALCULATION!T72*CONFIG!B72,SYSTEM_CALCULATION!T72))</f>
        <v/>
      </c>
    </row>
    <row r="84" ht="15.75" customHeight="1" s="125">
      <c r="A84" s="62">
        <f>IF(SYSTEM_CALCULATION!U73="SI",SYSTEM_CALCULATION!B73,"")</f>
        <v/>
      </c>
      <c r="B84" s="62">
        <f>IF(SYSTEM_CALCULATION!U73="SI",SYSTEM_CALCULATION!E73,"")</f>
        <v/>
      </c>
      <c r="C84" s="62">
        <f>IF(SYSTEM_CALCULATION!U73="SI",SYSTEM_CALCULATION!O73,"")</f>
        <v/>
      </c>
      <c r="D84" s="62">
        <f>IF(SYSTEM_CALCULATION!U73="SI",SYSTEM_CALCULATION!G73,"")</f>
        <v/>
      </c>
      <c r="E84" s="63">
        <f>IF(SYSTEM_CALCULATION!U73&lt;&gt;"SI","",IF(INPUT_SYSTEM!B82="USD",SYSTEM_CALCULATION!R73*CONFIG!B73,SYSTEM_CALCULATION!R73))</f>
        <v/>
      </c>
      <c r="F84" s="63">
        <f>IF(SYSTEM_CALCULATION!U73&lt;&gt;"SI","",IF(INPUT_SYSTEM!B82="USD",SYSTEM_CALCULATION!T73*CONFIG!B73,SYSTEM_CALCULATION!T73))</f>
        <v/>
      </c>
    </row>
    <row r="85" ht="15.75" customHeight="1" s="125">
      <c r="A85" s="62">
        <f>IF(SYSTEM_CALCULATION!U74="SI",SYSTEM_CALCULATION!B74,"")</f>
        <v/>
      </c>
      <c r="B85" s="62">
        <f>IF(SYSTEM_CALCULATION!U74="SI",SYSTEM_CALCULATION!E74,"")</f>
        <v/>
      </c>
      <c r="C85" s="62">
        <f>IF(SYSTEM_CALCULATION!U74="SI",SYSTEM_CALCULATION!O74,"")</f>
        <v/>
      </c>
      <c r="D85" s="62">
        <f>IF(SYSTEM_CALCULATION!U74="SI",SYSTEM_CALCULATION!G74,"")</f>
        <v/>
      </c>
      <c r="E85" s="63">
        <f>IF(SYSTEM_CALCULATION!U74&lt;&gt;"SI","",IF(INPUT_SYSTEM!B83="USD",SYSTEM_CALCULATION!R74*CONFIG!B74,SYSTEM_CALCULATION!R74))</f>
        <v/>
      </c>
      <c r="F85" s="63">
        <f>IF(SYSTEM_CALCULATION!U74&lt;&gt;"SI","",IF(INPUT_SYSTEM!B83="USD",SYSTEM_CALCULATION!T74*CONFIG!B74,SYSTEM_CALCULATION!T74))</f>
        <v/>
      </c>
    </row>
    <row r="86" ht="15.75" customHeight="1" s="125">
      <c r="A86" s="62">
        <f>IF(SYSTEM_CALCULATION!U75="SI",SYSTEM_CALCULATION!B75,"")</f>
        <v/>
      </c>
      <c r="B86" s="62">
        <f>IF(SYSTEM_CALCULATION!U75="SI",SYSTEM_CALCULATION!E75,"")</f>
        <v/>
      </c>
      <c r="C86" s="62">
        <f>IF(SYSTEM_CALCULATION!U75="SI",SYSTEM_CALCULATION!O75,"")</f>
        <v/>
      </c>
      <c r="D86" s="62">
        <f>IF(SYSTEM_CALCULATION!U75="SI",SYSTEM_CALCULATION!G75,"")</f>
        <v/>
      </c>
      <c r="E86" s="63">
        <f>IF(SYSTEM_CALCULATION!U75&lt;&gt;"SI","",IF(INPUT_SYSTEM!B84="USD",SYSTEM_CALCULATION!R75*CONFIG!B75,SYSTEM_CALCULATION!R75))</f>
        <v/>
      </c>
      <c r="F86" s="63">
        <f>IF(SYSTEM_CALCULATION!U75&lt;&gt;"SI","",IF(INPUT_SYSTEM!B84="USD",SYSTEM_CALCULATION!T75*CONFIG!B75,SYSTEM_CALCULATION!T75))</f>
        <v/>
      </c>
    </row>
    <row r="87" ht="15.75" customHeight="1" s="125">
      <c r="A87" s="62">
        <f>IF(SYSTEM_CALCULATION!U76="SI",SYSTEM_CALCULATION!B76,"")</f>
        <v/>
      </c>
      <c r="B87" s="62">
        <f>IF(SYSTEM_CALCULATION!U76="SI",SYSTEM_CALCULATION!E76,"")</f>
        <v/>
      </c>
      <c r="C87" s="62">
        <f>IF(SYSTEM_CALCULATION!U76="SI",SYSTEM_CALCULATION!O76,"")</f>
        <v/>
      </c>
      <c r="D87" s="62">
        <f>IF(SYSTEM_CALCULATION!U76="SI",SYSTEM_CALCULATION!G76,"")</f>
        <v/>
      </c>
      <c r="E87" s="63">
        <f>IF(SYSTEM_CALCULATION!U76&lt;&gt;"SI","",IF(INPUT_SYSTEM!B85="USD",SYSTEM_CALCULATION!R76*CONFIG!B76,SYSTEM_CALCULATION!R76))</f>
        <v/>
      </c>
      <c r="F87" s="63">
        <f>IF(SYSTEM_CALCULATION!U76&lt;&gt;"SI","",IF(INPUT_SYSTEM!B85="USD",SYSTEM_CALCULATION!T76*CONFIG!B76,SYSTEM_CALCULATION!T76))</f>
        <v/>
      </c>
    </row>
    <row r="88" ht="15.75" customHeight="1" s="125">
      <c r="A88" s="62">
        <f>IF(SYSTEM_CALCULATION!U77="SI",SYSTEM_CALCULATION!B77,"")</f>
        <v/>
      </c>
      <c r="B88" s="62">
        <f>IF(SYSTEM_CALCULATION!U77="SI",SYSTEM_CALCULATION!E77,"")</f>
        <v/>
      </c>
      <c r="C88" s="62">
        <f>IF(SYSTEM_CALCULATION!U77="SI",SYSTEM_CALCULATION!O77,"")</f>
        <v/>
      </c>
      <c r="D88" s="62">
        <f>IF(SYSTEM_CALCULATION!U77="SI",SYSTEM_CALCULATION!G77,"")</f>
        <v/>
      </c>
      <c r="E88" s="63">
        <f>IF(SYSTEM_CALCULATION!U77&lt;&gt;"SI","",IF(INPUT_SYSTEM!B86="USD",SYSTEM_CALCULATION!R77*CONFIG!B77,SYSTEM_CALCULATION!R77))</f>
        <v/>
      </c>
      <c r="F88" s="63">
        <f>IF(SYSTEM_CALCULATION!U77&lt;&gt;"SI","",IF(INPUT_SYSTEM!B86="USD",SYSTEM_CALCULATION!T77*CONFIG!B77,SYSTEM_CALCULATION!T77))</f>
        <v/>
      </c>
    </row>
    <row r="89" ht="15.75" customHeight="1" s="125">
      <c r="A89" s="62">
        <f>IF(SYSTEM_CALCULATION!U78="SI",SYSTEM_CALCULATION!B78,"")</f>
        <v/>
      </c>
      <c r="B89" s="62">
        <f>IF(SYSTEM_CALCULATION!U78="SI",SYSTEM_CALCULATION!E78,"")</f>
        <v/>
      </c>
      <c r="C89" s="62">
        <f>IF(SYSTEM_CALCULATION!U78="SI",SYSTEM_CALCULATION!O78,"")</f>
        <v/>
      </c>
      <c r="D89" s="62">
        <f>IF(SYSTEM_CALCULATION!U78="SI",SYSTEM_CALCULATION!G78,"")</f>
        <v/>
      </c>
      <c r="E89" s="63">
        <f>IF(SYSTEM_CALCULATION!U78&lt;&gt;"SI","",IF(INPUT_SYSTEM!B87="USD",SYSTEM_CALCULATION!R78*CONFIG!B78,SYSTEM_CALCULATION!R78))</f>
        <v/>
      </c>
      <c r="F89" s="63">
        <f>IF(SYSTEM_CALCULATION!U78&lt;&gt;"SI","",IF(INPUT_SYSTEM!B87="USD",SYSTEM_CALCULATION!T78*CONFIG!B78,SYSTEM_CALCULATION!T78))</f>
        <v/>
      </c>
    </row>
    <row r="90" ht="15.75" customHeight="1" s="125">
      <c r="A90" s="62">
        <f>IF(SYSTEM_CALCULATION!U79="SI",SYSTEM_CALCULATION!B79,"")</f>
        <v/>
      </c>
      <c r="B90" s="62">
        <f>IF(SYSTEM_CALCULATION!U79="SI",SYSTEM_CALCULATION!E79,"")</f>
        <v/>
      </c>
      <c r="C90" s="62">
        <f>IF(SYSTEM_CALCULATION!U79="SI",SYSTEM_CALCULATION!O79,"")</f>
        <v/>
      </c>
      <c r="D90" s="62">
        <f>IF(SYSTEM_CALCULATION!U79="SI",SYSTEM_CALCULATION!G79,"")</f>
        <v/>
      </c>
      <c r="E90" s="63">
        <f>IF(SYSTEM_CALCULATION!U79&lt;&gt;"SI","",IF(INPUT_SYSTEM!B88="USD",SYSTEM_CALCULATION!R79*CONFIG!B79,SYSTEM_CALCULATION!R79))</f>
        <v/>
      </c>
      <c r="F90" s="63">
        <f>IF(SYSTEM_CALCULATION!U79&lt;&gt;"SI","",IF(INPUT_SYSTEM!B88="USD",SYSTEM_CALCULATION!T79*CONFIG!B79,SYSTEM_CALCULATION!T79))</f>
        <v/>
      </c>
    </row>
    <row r="91" ht="15.75" customHeight="1" s="125">
      <c r="A91" s="62">
        <f>IF(SYSTEM_CALCULATION!U80="SI",SYSTEM_CALCULATION!B80,"")</f>
        <v/>
      </c>
      <c r="B91" s="62">
        <f>IF(SYSTEM_CALCULATION!U80="SI",SYSTEM_CALCULATION!E80,"")</f>
        <v/>
      </c>
      <c r="C91" s="62">
        <f>IF(SYSTEM_CALCULATION!U80="SI",SYSTEM_CALCULATION!O80,"")</f>
        <v/>
      </c>
      <c r="D91" s="62">
        <f>IF(SYSTEM_CALCULATION!U80="SI",SYSTEM_CALCULATION!G80,"")</f>
        <v/>
      </c>
      <c r="E91" s="63">
        <f>IF(SYSTEM_CALCULATION!U80&lt;&gt;"SI","",IF(INPUT_SYSTEM!B89="USD",SYSTEM_CALCULATION!R80*CONFIG!B80,SYSTEM_CALCULATION!R80))</f>
        <v/>
      </c>
      <c r="F91" s="63">
        <f>IF(SYSTEM_CALCULATION!U80&lt;&gt;"SI","",IF(INPUT_SYSTEM!B89="USD",SYSTEM_CALCULATION!T80*CONFIG!B80,SYSTEM_CALCULATION!T80))</f>
        <v/>
      </c>
    </row>
    <row r="92" ht="15.75" customHeight="1" s="125">
      <c r="A92" s="62">
        <f>IF(SYSTEM_CALCULATION!U81="SI",SYSTEM_CALCULATION!B81,"")</f>
        <v/>
      </c>
      <c r="B92" s="62">
        <f>IF(SYSTEM_CALCULATION!U81="SI",SYSTEM_CALCULATION!E81,"")</f>
        <v/>
      </c>
      <c r="C92" s="62">
        <f>IF(SYSTEM_CALCULATION!U81="SI",SYSTEM_CALCULATION!O81,"")</f>
        <v/>
      </c>
      <c r="D92" s="62">
        <f>IF(SYSTEM_CALCULATION!U81="SI",SYSTEM_CALCULATION!G81,"")</f>
        <v/>
      </c>
      <c r="E92" s="63">
        <f>IF(SYSTEM_CALCULATION!U81&lt;&gt;"SI","",IF(INPUT_SYSTEM!B90="USD",SYSTEM_CALCULATION!R81*CONFIG!B81,SYSTEM_CALCULATION!R81))</f>
        <v/>
      </c>
      <c r="F92" s="63">
        <f>IF(SYSTEM_CALCULATION!U81&lt;&gt;"SI","",IF(INPUT_SYSTEM!B90="USD",SYSTEM_CALCULATION!T81*CONFIG!B81,SYSTEM_CALCULATION!T81))</f>
        <v/>
      </c>
    </row>
    <row r="93" ht="15.75" customHeight="1" s="125">
      <c r="A93" s="62">
        <f>IF(SYSTEM_CALCULATION!U82="SI",SYSTEM_CALCULATION!B82,"")</f>
        <v/>
      </c>
      <c r="B93" s="62">
        <f>IF(SYSTEM_CALCULATION!U82="SI",SYSTEM_CALCULATION!E82,"")</f>
        <v/>
      </c>
      <c r="C93" s="62">
        <f>IF(SYSTEM_CALCULATION!U82="SI",SYSTEM_CALCULATION!O82,"")</f>
        <v/>
      </c>
      <c r="D93" s="62">
        <f>IF(SYSTEM_CALCULATION!U82="SI",SYSTEM_CALCULATION!G82,"")</f>
        <v/>
      </c>
      <c r="E93" s="63">
        <f>IF(SYSTEM_CALCULATION!U82&lt;&gt;"SI","",IF(INPUT_SYSTEM!B91="USD",SYSTEM_CALCULATION!R82*CONFIG!B82,SYSTEM_CALCULATION!R82))</f>
        <v/>
      </c>
      <c r="F93" s="63">
        <f>IF(SYSTEM_CALCULATION!U82&lt;&gt;"SI","",IF(INPUT_SYSTEM!B91="USD",SYSTEM_CALCULATION!T82*CONFIG!B82,SYSTEM_CALCULATION!T82))</f>
        <v/>
      </c>
    </row>
    <row r="94" ht="15.75" customHeight="1" s="125">
      <c r="A94" s="62">
        <f>IF(SYSTEM_CALCULATION!U83="SI",SYSTEM_CALCULATION!B83,"")</f>
        <v/>
      </c>
      <c r="B94" s="62">
        <f>IF(SYSTEM_CALCULATION!U83="SI",SYSTEM_CALCULATION!E83,"")</f>
        <v/>
      </c>
      <c r="C94" s="62">
        <f>IF(SYSTEM_CALCULATION!U83="SI",SYSTEM_CALCULATION!O83,"")</f>
        <v/>
      </c>
      <c r="D94" s="62">
        <f>IF(SYSTEM_CALCULATION!U83="SI",SYSTEM_CALCULATION!G83,"")</f>
        <v/>
      </c>
      <c r="E94" s="63">
        <f>IF(SYSTEM_CALCULATION!U83&lt;&gt;"SI","",IF(INPUT_SYSTEM!B92="USD",SYSTEM_CALCULATION!R83*CONFIG!B83,SYSTEM_CALCULATION!R83))</f>
        <v/>
      </c>
      <c r="F94" s="63">
        <f>IF(SYSTEM_CALCULATION!U83&lt;&gt;"SI","",IF(INPUT_SYSTEM!B92="USD",SYSTEM_CALCULATION!T83*CONFIG!B83,SYSTEM_CALCULATION!T83))</f>
        <v/>
      </c>
    </row>
    <row r="95" ht="15.75" customHeight="1" s="125">
      <c r="A95" s="62">
        <f>IF(SYSTEM_CALCULATION!U84="SI",SYSTEM_CALCULATION!B84,"")</f>
        <v/>
      </c>
      <c r="B95" s="62">
        <f>IF(SYSTEM_CALCULATION!U84="SI",SYSTEM_CALCULATION!E84,"")</f>
        <v/>
      </c>
      <c r="C95" s="62">
        <f>IF(SYSTEM_CALCULATION!U84="SI",SYSTEM_CALCULATION!O84,"")</f>
        <v/>
      </c>
      <c r="D95" s="62">
        <f>IF(SYSTEM_CALCULATION!U84="SI",SYSTEM_CALCULATION!G84,"")</f>
        <v/>
      </c>
      <c r="E95" s="63">
        <f>IF(SYSTEM_CALCULATION!U84&lt;&gt;"SI","",IF(INPUT_SYSTEM!B93="USD",SYSTEM_CALCULATION!R84*CONFIG!B84,SYSTEM_CALCULATION!R84))</f>
        <v/>
      </c>
      <c r="F95" s="63">
        <f>IF(SYSTEM_CALCULATION!U84&lt;&gt;"SI","",IF(INPUT_SYSTEM!B93="USD",SYSTEM_CALCULATION!T84*CONFIG!B84,SYSTEM_CALCULATION!T84))</f>
        <v/>
      </c>
    </row>
    <row r="96" ht="15.75" customHeight="1" s="125">
      <c r="A96" s="62">
        <f>IF(SYSTEM_CALCULATION!U85="SI",SYSTEM_CALCULATION!B85,"")</f>
        <v/>
      </c>
      <c r="B96" s="62">
        <f>IF(SYSTEM_CALCULATION!U85="SI",SYSTEM_CALCULATION!E85,"")</f>
        <v/>
      </c>
      <c r="C96" s="62">
        <f>IF(SYSTEM_CALCULATION!U85="SI",SYSTEM_CALCULATION!O85,"")</f>
        <v/>
      </c>
      <c r="D96" s="62">
        <f>IF(SYSTEM_CALCULATION!U85="SI",SYSTEM_CALCULATION!G85,"")</f>
        <v/>
      </c>
      <c r="E96" s="63">
        <f>IF(SYSTEM_CALCULATION!U85&lt;&gt;"SI","",IF(INPUT_SYSTEM!B94="USD",SYSTEM_CALCULATION!R85*CONFIG!B85,SYSTEM_CALCULATION!R85))</f>
        <v/>
      </c>
      <c r="F96" s="63">
        <f>IF(SYSTEM_CALCULATION!U85&lt;&gt;"SI","",IF(INPUT_SYSTEM!B94="USD",SYSTEM_CALCULATION!T85*CONFIG!B85,SYSTEM_CALCULATION!T85))</f>
        <v/>
      </c>
    </row>
    <row r="97" ht="15.75" customHeight="1" s="125">
      <c r="A97" s="62">
        <f>IF(SYSTEM_CALCULATION!U86="SI",SYSTEM_CALCULATION!B86,"")</f>
        <v/>
      </c>
      <c r="B97" s="62">
        <f>IF(SYSTEM_CALCULATION!U86="SI",SYSTEM_CALCULATION!E86,"")</f>
        <v/>
      </c>
      <c r="C97" s="62">
        <f>IF(SYSTEM_CALCULATION!U86="SI",SYSTEM_CALCULATION!O86,"")</f>
        <v/>
      </c>
      <c r="D97" s="62">
        <f>IF(SYSTEM_CALCULATION!U86="SI",SYSTEM_CALCULATION!G86,"")</f>
        <v/>
      </c>
      <c r="E97" s="63">
        <f>IF(SYSTEM_CALCULATION!U86&lt;&gt;"SI","",IF(INPUT_SYSTEM!B95="USD",SYSTEM_CALCULATION!R86*CONFIG!B86,SYSTEM_CALCULATION!R86))</f>
        <v/>
      </c>
      <c r="F97" s="63">
        <f>IF(SYSTEM_CALCULATION!U86&lt;&gt;"SI","",IF(INPUT_SYSTEM!B95="USD",SYSTEM_CALCULATION!T86*CONFIG!B86,SYSTEM_CALCULATION!T86))</f>
        <v/>
      </c>
    </row>
    <row r="98" ht="15.75" customHeight="1" s="125">
      <c r="A98" s="62">
        <f>IF(SYSTEM_CALCULATION!U87="SI",SYSTEM_CALCULATION!B87,"")</f>
        <v/>
      </c>
      <c r="B98" s="62">
        <f>IF(SYSTEM_CALCULATION!U87="SI",SYSTEM_CALCULATION!E87,"")</f>
        <v/>
      </c>
      <c r="C98" s="62">
        <f>IF(SYSTEM_CALCULATION!U87="SI",SYSTEM_CALCULATION!O87,"")</f>
        <v/>
      </c>
      <c r="D98" s="62">
        <f>IF(SYSTEM_CALCULATION!U87="SI",SYSTEM_CALCULATION!G87,"")</f>
        <v/>
      </c>
      <c r="E98" s="63">
        <f>IF(SYSTEM_CALCULATION!U87&lt;&gt;"SI","",IF(INPUT_SYSTEM!B96="USD",SYSTEM_CALCULATION!R87*CONFIG!B87,SYSTEM_CALCULATION!R87))</f>
        <v/>
      </c>
      <c r="F98" s="63">
        <f>IF(SYSTEM_CALCULATION!U87&lt;&gt;"SI","",IF(INPUT_SYSTEM!B96="USD",SYSTEM_CALCULATION!T87*CONFIG!B87,SYSTEM_CALCULATION!T87))</f>
        <v/>
      </c>
    </row>
    <row r="99" ht="15.75" customHeight="1" s="125">
      <c r="A99" s="62">
        <f>IF(SYSTEM_CALCULATION!U88="SI",SYSTEM_CALCULATION!B88,"")</f>
        <v/>
      </c>
      <c r="B99" s="62">
        <f>IF(SYSTEM_CALCULATION!U88="SI",SYSTEM_CALCULATION!E88,"")</f>
        <v/>
      </c>
      <c r="C99" s="62">
        <f>IF(SYSTEM_CALCULATION!U88="SI",SYSTEM_CALCULATION!O88,"")</f>
        <v/>
      </c>
      <c r="D99" s="62">
        <f>IF(SYSTEM_CALCULATION!U88="SI",SYSTEM_CALCULATION!G88,"")</f>
        <v/>
      </c>
      <c r="E99" s="63">
        <f>IF(SYSTEM_CALCULATION!U88&lt;&gt;"SI","",IF(INPUT_SYSTEM!B97="USD",SYSTEM_CALCULATION!R88*CONFIG!B88,SYSTEM_CALCULATION!R88))</f>
        <v/>
      </c>
      <c r="F99" s="63">
        <f>IF(SYSTEM_CALCULATION!U88&lt;&gt;"SI","",IF(INPUT_SYSTEM!B97="USD",SYSTEM_CALCULATION!T88*CONFIG!B88,SYSTEM_CALCULATION!T88))</f>
        <v/>
      </c>
    </row>
    <row r="100" ht="15.75" customHeight="1" s="125">
      <c r="A100" s="62">
        <f>IF(SYSTEM_CALCULATION!U89="SI",SYSTEM_CALCULATION!B89,"")</f>
        <v/>
      </c>
      <c r="B100" s="62">
        <f>IF(SYSTEM_CALCULATION!U89="SI",SYSTEM_CALCULATION!E89,"")</f>
        <v/>
      </c>
      <c r="C100" s="62">
        <f>IF(SYSTEM_CALCULATION!U89="SI",SYSTEM_CALCULATION!O89,"")</f>
        <v/>
      </c>
      <c r="D100" s="62">
        <f>IF(SYSTEM_CALCULATION!U89="SI",SYSTEM_CALCULATION!G89,"")</f>
        <v/>
      </c>
      <c r="E100" s="63">
        <f>IF(SYSTEM_CALCULATION!U89&lt;&gt;"SI","",IF(INPUT_SYSTEM!B98="USD",SYSTEM_CALCULATION!R89*CONFIG!B89,SYSTEM_CALCULATION!R89))</f>
        <v/>
      </c>
      <c r="F100" s="63">
        <f>IF(SYSTEM_CALCULATION!U89&lt;&gt;"SI","",IF(INPUT_SYSTEM!B98="USD",SYSTEM_CALCULATION!T89*CONFIG!B89,SYSTEM_CALCULATION!T89))</f>
        <v/>
      </c>
    </row>
    <row r="101" ht="15.75" customHeight="1" s="125">
      <c r="A101" s="62">
        <f>IF(SYSTEM_CALCULATION!U90="SI",SYSTEM_CALCULATION!B90,"")</f>
        <v/>
      </c>
      <c r="B101" s="62">
        <f>IF(SYSTEM_CALCULATION!U90="SI",SYSTEM_CALCULATION!E90,"")</f>
        <v/>
      </c>
      <c r="C101" s="62">
        <f>IF(SYSTEM_CALCULATION!U90="SI",SYSTEM_CALCULATION!O90,"")</f>
        <v/>
      </c>
      <c r="D101" s="62">
        <f>IF(SYSTEM_CALCULATION!U90="SI",SYSTEM_CALCULATION!G90,"")</f>
        <v/>
      </c>
      <c r="E101" s="63">
        <f>IF(SYSTEM_CALCULATION!U90&lt;&gt;"SI","",IF(INPUT_SYSTEM!B99="USD",SYSTEM_CALCULATION!R90*CONFIG!B90,SYSTEM_CALCULATION!R90))</f>
        <v/>
      </c>
      <c r="F101" s="63">
        <f>IF(SYSTEM_CALCULATION!U90&lt;&gt;"SI","",IF(INPUT_SYSTEM!B99="USD",SYSTEM_CALCULATION!T90*CONFIG!B90,SYSTEM_CALCULATION!T90))</f>
        <v/>
      </c>
    </row>
    <row r="102" ht="15.75" customHeight="1" s="125">
      <c r="A102" s="62">
        <f>IF(SYSTEM_CALCULATION!U91="SI",SYSTEM_CALCULATION!B91,"")</f>
        <v/>
      </c>
      <c r="B102" s="62">
        <f>IF(SYSTEM_CALCULATION!U91="SI",SYSTEM_CALCULATION!E91,"")</f>
        <v/>
      </c>
      <c r="C102" s="62">
        <f>IF(SYSTEM_CALCULATION!U91="SI",SYSTEM_CALCULATION!O91,"")</f>
        <v/>
      </c>
      <c r="D102" s="62">
        <f>IF(SYSTEM_CALCULATION!U91="SI",SYSTEM_CALCULATION!G91,"")</f>
        <v/>
      </c>
      <c r="E102" s="63">
        <f>IF(SYSTEM_CALCULATION!U91&lt;&gt;"SI","",IF(INPUT_SYSTEM!B100="USD",SYSTEM_CALCULATION!R91*CONFIG!B91,SYSTEM_CALCULATION!R91))</f>
        <v/>
      </c>
      <c r="F102" s="63">
        <f>IF(SYSTEM_CALCULATION!U91&lt;&gt;"SI","",IF(INPUT_SYSTEM!B100="USD",SYSTEM_CALCULATION!T91*CONFIG!B91,SYSTEM_CALCULATION!T91))</f>
        <v/>
      </c>
    </row>
    <row r="103" ht="15.75" customHeight="1" s="125">
      <c r="A103" s="62">
        <f>IF(SYSTEM_CALCULATION!U92="SI",SYSTEM_CALCULATION!B92,"")</f>
        <v/>
      </c>
      <c r="B103" s="62">
        <f>IF(SYSTEM_CALCULATION!U92="SI",SYSTEM_CALCULATION!E92,"")</f>
        <v/>
      </c>
      <c r="C103" s="62">
        <f>IF(SYSTEM_CALCULATION!U92="SI",SYSTEM_CALCULATION!O92,"")</f>
        <v/>
      </c>
      <c r="D103" s="62">
        <f>IF(SYSTEM_CALCULATION!U92="SI",SYSTEM_CALCULATION!G92,"")</f>
        <v/>
      </c>
      <c r="E103" s="63">
        <f>IF(SYSTEM_CALCULATION!U92&lt;&gt;"SI","",IF(INPUT_SYSTEM!B101="USD",SYSTEM_CALCULATION!R92*CONFIG!B92,SYSTEM_CALCULATION!R92))</f>
        <v/>
      </c>
      <c r="F103" s="63">
        <f>IF(SYSTEM_CALCULATION!U92&lt;&gt;"SI","",IF(INPUT_SYSTEM!B101="USD",SYSTEM_CALCULATION!T92*CONFIG!B92,SYSTEM_CALCULATION!T92))</f>
        <v/>
      </c>
    </row>
    <row r="104" ht="15.75" customHeight="1" s="125">
      <c r="A104" s="62">
        <f>IF(SYSTEM_CALCULATION!U93="SI",SYSTEM_CALCULATION!B93,"")</f>
        <v/>
      </c>
      <c r="B104" s="62">
        <f>IF(SYSTEM_CALCULATION!U93="SI",SYSTEM_CALCULATION!E93,"")</f>
        <v/>
      </c>
      <c r="C104" s="62">
        <f>IF(SYSTEM_CALCULATION!U93="SI",SYSTEM_CALCULATION!O93,"")</f>
        <v/>
      </c>
      <c r="D104" s="62">
        <f>IF(SYSTEM_CALCULATION!U93="SI",SYSTEM_CALCULATION!G93,"")</f>
        <v/>
      </c>
      <c r="E104" s="63">
        <f>IF(SYSTEM_CALCULATION!U93&lt;&gt;"SI","",IF(INPUT_SYSTEM!B102="USD",SYSTEM_CALCULATION!R93*CONFIG!B93,SYSTEM_CALCULATION!R93))</f>
        <v/>
      </c>
      <c r="F104" s="63">
        <f>IF(SYSTEM_CALCULATION!U93&lt;&gt;"SI","",IF(INPUT_SYSTEM!B102="USD",SYSTEM_CALCULATION!T93*CONFIG!B93,SYSTEM_CALCULATION!T93))</f>
        <v/>
      </c>
    </row>
    <row r="105" ht="15.75" customHeight="1" s="125">
      <c r="A105" s="62">
        <f>IF(SYSTEM_CALCULATION!U94="SI",SYSTEM_CALCULATION!B94,"")</f>
        <v/>
      </c>
      <c r="B105" s="62">
        <f>IF(SYSTEM_CALCULATION!U94="SI",SYSTEM_CALCULATION!E94,"")</f>
        <v/>
      </c>
      <c r="C105" s="62">
        <f>IF(SYSTEM_CALCULATION!U94="SI",SYSTEM_CALCULATION!O94,"")</f>
        <v/>
      </c>
      <c r="D105" s="62">
        <f>IF(SYSTEM_CALCULATION!U94="SI",SYSTEM_CALCULATION!G94,"")</f>
        <v/>
      </c>
      <c r="E105" s="63">
        <f>IF(SYSTEM_CALCULATION!U94&lt;&gt;"SI","",IF(INPUT_SYSTEM!B103="USD",SYSTEM_CALCULATION!R94*CONFIG!B94,SYSTEM_CALCULATION!R94))</f>
        <v/>
      </c>
      <c r="F105" s="63">
        <f>IF(SYSTEM_CALCULATION!U94&lt;&gt;"SI","",IF(INPUT_SYSTEM!B103="USD",SYSTEM_CALCULATION!T94*CONFIG!B94,SYSTEM_CALCULATION!T94))</f>
        <v/>
      </c>
    </row>
    <row r="106" ht="15.75" customHeight="1" s="125">
      <c r="A106" s="62">
        <f>IF(SYSTEM_CALCULATION!U95="SI",SYSTEM_CALCULATION!B95,"")</f>
        <v/>
      </c>
      <c r="B106" s="62">
        <f>IF(SYSTEM_CALCULATION!U95="SI",SYSTEM_CALCULATION!E95,"")</f>
        <v/>
      </c>
      <c r="C106" s="62">
        <f>IF(SYSTEM_CALCULATION!U95="SI",SYSTEM_CALCULATION!O95,"")</f>
        <v/>
      </c>
      <c r="D106" s="62">
        <f>IF(SYSTEM_CALCULATION!U95="SI",SYSTEM_CALCULATION!G95,"")</f>
        <v/>
      </c>
      <c r="E106" s="63">
        <f>IF(SYSTEM_CALCULATION!U95&lt;&gt;"SI","",IF(INPUT_SYSTEM!B104="USD",SYSTEM_CALCULATION!R95*CONFIG!B95,SYSTEM_CALCULATION!R95))</f>
        <v/>
      </c>
      <c r="F106" s="63">
        <f>IF(SYSTEM_CALCULATION!U95&lt;&gt;"SI","",IF(INPUT_SYSTEM!B104="USD",SYSTEM_CALCULATION!T95*CONFIG!B95,SYSTEM_CALCULATION!T95))</f>
        <v/>
      </c>
    </row>
    <row r="107" ht="15.75" customHeight="1" s="125">
      <c r="A107" s="62">
        <f>IF(SYSTEM_CALCULATION!U96="SI",SYSTEM_CALCULATION!B96,"")</f>
        <v/>
      </c>
      <c r="B107" s="62">
        <f>IF(SYSTEM_CALCULATION!U96="SI",SYSTEM_CALCULATION!E96,"")</f>
        <v/>
      </c>
      <c r="C107" s="62">
        <f>IF(SYSTEM_CALCULATION!U96="SI",SYSTEM_CALCULATION!O96,"")</f>
        <v/>
      </c>
      <c r="D107" s="62">
        <f>IF(SYSTEM_CALCULATION!U96="SI",SYSTEM_CALCULATION!G96,"")</f>
        <v/>
      </c>
      <c r="E107" s="63">
        <f>IF(SYSTEM_CALCULATION!U96&lt;&gt;"SI","",IF(INPUT_SYSTEM!B105="USD",SYSTEM_CALCULATION!R96*CONFIG!B96,SYSTEM_CALCULATION!R96))</f>
        <v/>
      </c>
      <c r="F107" s="63">
        <f>IF(SYSTEM_CALCULATION!U96&lt;&gt;"SI","",IF(INPUT_SYSTEM!B105="USD",SYSTEM_CALCULATION!T96*CONFIG!B96,SYSTEM_CALCULATION!T96))</f>
        <v/>
      </c>
    </row>
    <row r="108" ht="15.75" customHeight="1" s="125">
      <c r="A108" s="62">
        <f>IF(SYSTEM_CALCULATION!U97="SI",SYSTEM_CALCULATION!B97,"")</f>
        <v/>
      </c>
      <c r="B108" s="62">
        <f>IF(SYSTEM_CALCULATION!U97="SI",SYSTEM_CALCULATION!E97,"")</f>
        <v/>
      </c>
      <c r="C108" s="62">
        <f>IF(SYSTEM_CALCULATION!U97="SI",SYSTEM_CALCULATION!O97,"")</f>
        <v/>
      </c>
      <c r="D108" s="62">
        <f>IF(SYSTEM_CALCULATION!U97="SI",SYSTEM_CALCULATION!G97,"")</f>
        <v/>
      </c>
      <c r="E108" s="63">
        <f>IF(SYSTEM_CALCULATION!U97&lt;&gt;"SI","",IF(INPUT_SYSTEM!B106="USD",SYSTEM_CALCULATION!R97*CONFIG!B97,SYSTEM_CALCULATION!R97))</f>
        <v/>
      </c>
      <c r="F108" s="63">
        <f>IF(SYSTEM_CALCULATION!U97&lt;&gt;"SI","",IF(INPUT_SYSTEM!B106="USD",SYSTEM_CALCULATION!T97*CONFIG!B97,SYSTEM_CALCULATION!T97))</f>
        <v/>
      </c>
    </row>
    <row r="109" ht="15.75" customHeight="1" s="125">
      <c r="A109" s="62">
        <f>IF(SYSTEM_CALCULATION!U98="SI",SYSTEM_CALCULATION!B98,"")</f>
        <v/>
      </c>
      <c r="B109" s="62">
        <f>IF(SYSTEM_CALCULATION!U98="SI",SYSTEM_CALCULATION!E98,"")</f>
        <v/>
      </c>
      <c r="C109" s="62">
        <f>IF(SYSTEM_CALCULATION!U98="SI",SYSTEM_CALCULATION!O98,"")</f>
        <v/>
      </c>
      <c r="D109" s="62">
        <f>IF(SYSTEM_CALCULATION!U98="SI",SYSTEM_CALCULATION!G98,"")</f>
        <v/>
      </c>
      <c r="E109" s="63">
        <f>IF(SYSTEM_CALCULATION!U98&lt;&gt;"SI","",IF(INPUT_SYSTEM!B107="USD",SYSTEM_CALCULATION!R98*CONFIG!B98,SYSTEM_CALCULATION!R98))</f>
        <v/>
      </c>
      <c r="F109" s="63">
        <f>IF(SYSTEM_CALCULATION!U98&lt;&gt;"SI","",IF(INPUT_SYSTEM!B107="USD",SYSTEM_CALCULATION!T98*CONFIG!B98,SYSTEM_CALCULATION!T98))</f>
        <v/>
      </c>
    </row>
    <row r="110" ht="15.75" customHeight="1" s="125">
      <c r="A110" s="62">
        <f>IF(SYSTEM_CALCULATION!U99="SI",SYSTEM_CALCULATION!B99,"")</f>
        <v/>
      </c>
      <c r="B110" s="62">
        <f>IF(SYSTEM_CALCULATION!U99="SI",SYSTEM_CALCULATION!E99,"")</f>
        <v/>
      </c>
      <c r="C110" s="62">
        <f>IF(SYSTEM_CALCULATION!U99="SI",SYSTEM_CALCULATION!O99,"")</f>
        <v/>
      </c>
      <c r="D110" s="62">
        <f>IF(SYSTEM_CALCULATION!U99="SI",SYSTEM_CALCULATION!G99,"")</f>
        <v/>
      </c>
      <c r="E110" s="63">
        <f>IF(SYSTEM_CALCULATION!U99&lt;&gt;"SI","",IF(INPUT_SYSTEM!B108="USD",SYSTEM_CALCULATION!R99*CONFIG!B99,SYSTEM_CALCULATION!R99))</f>
        <v/>
      </c>
      <c r="F110" s="63">
        <f>IF(SYSTEM_CALCULATION!U99&lt;&gt;"SI","",IF(INPUT_SYSTEM!B108="USD",SYSTEM_CALCULATION!T99*CONFIG!B99,SYSTEM_CALCULATION!T99))</f>
        <v/>
      </c>
    </row>
    <row r="111" ht="15.75" customHeight="1" s="125">
      <c r="A111" s="62">
        <f>IF(SYSTEM_CALCULATION!U100="SI",SYSTEM_CALCULATION!B100,"")</f>
        <v/>
      </c>
      <c r="B111" s="62">
        <f>IF(SYSTEM_CALCULATION!U100="SI",SYSTEM_CALCULATION!E100,"")</f>
        <v/>
      </c>
      <c r="C111" s="62">
        <f>IF(SYSTEM_CALCULATION!U100="SI",SYSTEM_CALCULATION!O100,"")</f>
        <v/>
      </c>
      <c r="D111" s="62">
        <f>IF(SYSTEM_CALCULATION!U100="SI",SYSTEM_CALCULATION!G100,"")</f>
        <v/>
      </c>
      <c r="E111" s="63">
        <f>IF(SYSTEM_CALCULATION!U100&lt;&gt;"SI","",IF(INPUT_SYSTEM!B109="USD",SYSTEM_CALCULATION!R100*CONFIG!B100,SYSTEM_CALCULATION!R100))</f>
        <v/>
      </c>
      <c r="F111" s="63">
        <f>IF(SYSTEM_CALCULATION!U100&lt;&gt;"SI","",IF(INPUT_SYSTEM!B109="USD",SYSTEM_CALCULATION!T100*CONFIG!B100,SYSTEM_CALCULATION!T100))</f>
        <v/>
      </c>
    </row>
    <row r="112" ht="15.75" customHeight="1" s="125">
      <c r="A112" s="62">
        <f>IF(SYSTEM_CALCULATION!U101="SI",SYSTEM_CALCULATION!B101,"")</f>
        <v/>
      </c>
      <c r="B112" s="62">
        <f>IF(SYSTEM_CALCULATION!U101="SI",SYSTEM_CALCULATION!E101,"")</f>
        <v/>
      </c>
      <c r="C112" s="62">
        <f>IF(SYSTEM_CALCULATION!U101="SI",SYSTEM_CALCULATION!O101,"")</f>
        <v/>
      </c>
      <c r="D112" s="62">
        <f>IF(SYSTEM_CALCULATION!U101="SI",SYSTEM_CALCULATION!G101,"")</f>
        <v/>
      </c>
      <c r="E112" s="63">
        <f>IF(SYSTEM_CALCULATION!U101&lt;&gt;"SI","",IF(INPUT_SYSTEM!B110="USD",SYSTEM_CALCULATION!R101*CONFIG!B101,SYSTEM_CALCULATION!R101))</f>
        <v/>
      </c>
      <c r="F112" s="63">
        <f>IF(SYSTEM_CALCULATION!U101&lt;&gt;"SI","",IF(INPUT_SYSTEM!B110="USD",SYSTEM_CALCULATION!T101*CONFIG!B101,SYSTEM_CALCULATION!T101))</f>
        <v/>
      </c>
    </row>
    <row r="113" ht="15.75" customHeight="1" s="125">
      <c r="A113" s="62">
        <f>IF(SYSTEM_CALCULATION!U102="SI",SYSTEM_CALCULATION!B102,"")</f>
        <v/>
      </c>
      <c r="B113" s="62">
        <f>IF(SYSTEM_CALCULATION!U102="SI",SYSTEM_CALCULATION!E102,"")</f>
        <v/>
      </c>
      <c r="C113" s="62">
        <f>IF(SYSTEM_CALCULATION!U102="SI",SYSTEM_CALCULATION!O102,"")</f>
        <v/>
      </c>
      <c r="D113" s="62">
        <f>IF(SYSTEM_CALCULATION!U102="SI",SYSTEM_CALCULATION!G102,"")</f>
        <v/>
      </c>
      <c r="E113" s="63">
        <f>IF(SYSTEM_CALCULATION!U102&lt;&gt;"SI","",IF(INPUT_SYSTEM!B111="USD",SYSTEM_CALCULATION!R102*CONFIG!B102,SYSTEM_CALCULATION!R102))</f>
        <v/>
      </c>
      <c r="F113" s="63">
        <f>IF(SYSTEM_CALCULATION!U102&lt;&gt;"SI","",IF(INPUT_SYSTEM!B111="USD",SYSTEM_CALCULATION!T102*CONFIG!B102,SYSTEM_CALCULATION!T102))</f>
        <v/>
      </c>
    </row>
    <row r="114" ht="15.75" customHeight="1" s="125">
      <c r="A114" s="62">
        <f>IF(SYSTEM_CALCULATION!U103="SI",SYSTEM_CALCULATION!B103,"")</f>
        <v/>
      </c>
      <c r="B114" s="62">
        <f>IF(SYSTEM_CALCULATION!U103="SI",SYSTEM_CALCULATION!E103,"")</f>
        <v/>
      </c>
      <c r="C114" s="62">
        <f>IF(SYSTEM_CALCULATION!U103="SI",SYSTEM_CALCULATION!O103,"")</f>
        <v/>
      </c>
      <c r="D114" s="62">
        <f>IF(SYSTEM_CALCULATION!U103="SI",SYSTEM_CALCULATION!G103,"")</f>
        <v/>
      </c>
      <c r="E114" s="63">
        <f>IF(SYSTEM_CALCULATION!U103&lt;&gt;"SI","",IF(INPUT_SYSTEM!B112="USD",SYSTEM_CALCULATION!R103*CONFIG!B103,SYSTEM_CALCULATION!R103))</f>
        <v/>
      </c>
      <c r="F114" s="63">
        <f>IF(SYSTEM_CALCULATION!U103&lt;&gt;"SI","",IF(INPUT_SYSTEM!B112="USD",SYSTEM_CALCULATION!T103*CONFIG!B103,SYSTEM_CALCULATION!T103))</f>
        <v/>
      </c>
    </row>
    <row r="115" ht="15.75" customHeight="1" s="125">
      <c r="A115" s="62">
        <f>IF(SYSTEM_CALCULATION!U104="SI",SYSTEM_CALCULATION!B104,"")</f>
        <v/>
      </c>
      <c r="B115" s="62">
        <f>IF(SYSTEM_CALCULATION!U104="SI",SYSTEM_CALCULATION!E104,"")</f>
        <v/>
      </c>
      <c r="C115" s="62">
        <f>IF(SYSTEM_CALCULATION!U104="SI",SYSTEM_CALCULATION!O104,"")</f>
        <v/>
      </c>
      <c r="D115" s="62">
        <f>IF(SYSTEM_CALCULATION!U104="SI",SYSTEM_CALCULATION!G104,"")</f>
        <v/>
      </c>
      <c r="E115" s="63">
        <f>IF(SYSTEM_CALCULATION!U104&lt;&gt;"SI","",IF(INPUT_SYSTEM!B113="USD",SYSTEM_CALCULATION!R104*CONFIG!B104,SYSTEM_CALCULATION!R104))</f>
        <v/>
      </c>
      <c r="F115" s="63">
        <f>IF(SYSTEM_CALCULATION!U104&lt;&gt;"SI","",IF(INPUT_SYSTEM!B113="USD",SYSTEM_CALCULATION!T104*CONFIG!B104,SYSTEM_CALCULATION!T104))</f>
        <v/>
      </c>
    </row>
    <row r="116" ht="15.75" customHeight="1" s="125">
      <c r="A116" s="62">
        <f>IF(SYSTEM_CALCULATION!U105="SI",SYSTEM_CALCULATION!B105,"")</f>
        <v/>
      </c>
      <c r="B116" s="62">
        <f>IF(SYSTEM_CALCULATION!U105="SI",SYSTEM_CALCULATION!E105,"")</f>
        <v/>
      </c>
      <c r="C116" s="62">
        <f>IF(SYSTEM_CALCULATION!U105="SI",SYSTEM_CALCULATION!O105,"")</f>
        <v/>
      </c>
      <c r="D116" s="62">
        <f>IF(SYSTEM_CALCULATION!U105="SI",SYSTEM_CALCULATION!G105,"")</f>
        <v/>
      </c>
      <c r="E116" s="63">
        <f>IF(SYSTEM_CALCULATION!U105&lt;&gt;"SI","",IF(INPUT_SYSTEM!B114="USD",SYSTEM_CALCULATION!R105*CONFIG!B105,SYSTEM_CALCULATION!R105))</f>
        <v/>
      </c>
      <c r="F116" s="63">
        <f>IF(SYSTEM_CALCULATION!U105&lt;&gt;"SI","",IF(INPUT_SYSTEM!B114="USD",SYSTEM_CALCULATION!T105*CONFIG!B105,SYSTEM_CALCULATION!T105))</f>
        <v/>
      </c>
    </row>
    <row r="117" ht="15.75" customHeight="1" s="125">
      <c r="A117" s="62">
        <f>IF(SYSTEM_CALCULATION!U106="SI",SYSTEM_CALCULATION!B106,"")</f>
        <v/>
      </c>
      <c r="B117" s="62">
        <f>IF(SYSTEM_CALCULATION!U106="SI",SYSTEM_CALCULATION!E106,"")</f>
        <v/>
      </c>
      <c r="C117" s="62">
        <f>IF(SYSTEM_CALCULATION!U106="SI",SYSTEM_CALCULATION!O106,"")</f>
        <v/>
      </c>
      <c r="D117" s="62">
        <f>IF(SYSTEM_CALCULATION!U106="SI",SYSTEM_CALCULATION!G106,"")</f>
        <v/>
      </c>
      <c r="E117" s="63">
        <f>IF(SYSTEM_CALCULATION!U106&lt;&gt;"SI","",IF(INPUT_SYSTEM!B115="USD",SYSTEM_CALCULATION!R106*CONFIG!B106,SYSTEM_CALCULATION!R106))</f>
        <v/>
      </c>
      <c r="F117" s="63">
        <f>IF(SYSTEM_CALCULATION!U106&lt;&gt;"SI","",IF(INPUT_SYSTEM!B115="USD",SYSTEM_CALCULATION!T106*CONFIG!B106,SYSTEM_CALCULATION!T106))</f>
        <v/>
      </c>
    </row>
    <row r="118" ht="15.75" customHeight="1" s="125">
      <c r="A118" s="62">
        <f>IF(SYSTEM_CALCULATION!U107="SI",SYSTEM_CALCULATION!B107,"")</f>
        <v/>
      </c>
      <c r="B118" s="62">
        <f>IF(SYSTEM_CALCULATION!U107="SI",SYSTEM_CALCULATION!E107,"")</f>
        <v/>
      </c>
      <c r="C118" s="62">
        <f>IF(SYSTEM_CALCULATION!U107="SI",SYSTEM_CALCULATION!O107,"")</f>
        <v/>
      </c>
      <c r="D118" s="62">
        <f>IF(SYSTEM_CALCULATION!U107="SI",SYSTEM_CALCULATION!G107,"")</f>
        <v/>
      </c>
      <c r="E118" s="63">
        <f>IF(SYSTEM_CALCULATION!U107&lt;&gt;"SI","",IF(INPUT_SYSTEM!B116="USD",SYSTEM_CALCULATION!R107*CONFIG!B107,SYSTEM_CALCULATION!R107))</f>
        <v/>
      </c>
      <c r="F118" s="63">
        <f>IF(SYSTEM_CALCULATION!U107&lt;&gt;"SI","",IF(INPUT_SYSTEM!B116="USD",SYSTEM_CALCULATION!T107*CONFIG!B107,SYSTEM_CALCULATION!T107))</f>
        <v/>
      </c>
    </row>
    <row r="119" ht="15.75" customHeight="1" s="125">
      <c r="A119" s="62">
        <f>IF(SYSTEM_CALCULATION!U108="SI",SYSTEM_CALCULATION!B108,"")</f>
        <v/>
      </c>
      <c r="B119" s="62">
        <f>IF(SYSTEM_CALCULATION!U108="SI",SYSTEM_CALCULATION!E108,"")</f>
        <v/>
      </c>
      <c r="C119" s="62">
        <f>IF(SYSTEM_CALCULATION!U108="SI",SYSTEM_CALCULATION!O108,"")</f>
        <v/>
      </c>
      <c r="D119" s="62">
        <f>IF(SYSTEM_CALCULATION!U108="SI",SYSTEM_CALCULATION!G108,"")</f>
        <v/>
      </c>
      <c r="E119" s="63">
        <f>IF(SYSTEM_CALCULATION!U108&lt;&gt;"SI","",IF(INPUT_SYSTEM!B117="USD",SYSTEM_CALCULATION!R108*CONFIG!B108,SYSTEM_CALCULATION!R108))</f>
        <v/>
      </c>
      <c r="F119" s="63">
        <f>IF(SYSTEM_CALCULATION!U108&lt;&gt;"SI","",IF(INPUT_SYSTEM!B117="USD",SYSTEM_CALCULATION!T108*CONFIG!B108,SYSTEM_CALCULATION!T108))</f>
        <v/>
      </c>
    </row>
    <row r="120" ht="15.75" customHeight="1" s="125">
      <c r="A120" s="62">
        <f>IF(SYSTEM_CALCULATION!U109="SI",SYSTEM_CALCULATION!B109,"")</f>
        <v/>
      </c>
      <c r="B120" s="62">
        <f>IF(SYSTEM_CALCULATION!U109="SI",SYSTEM_CALCULATION!E109,"")</f>
        <v/>
      </c>
      <c r="C120" s="62">
        <f>IF(SYSTEM_CALCULATION!U109="SI",SYSTEM_CALCULATION!O109,"")</f>
        <v/>
      </c>
      <c r="D120" s="62">
        <f>IF(SYSTEM_CALCULATION!U109="SI",SYSTEM_CALCULATION!G109,"")</f>
        <v/>
      </c>
      <c r="E120" s="63">
        <f>IF(SYSTEM_CALCULATION!U109&lt;&gt;"SI","",IF(INPUT_SYSTEM!B118="USD",SYSTEM_CALCULATION!R109*CONFIG!B109,SYSTEM_CALCULATION!R109))</f>
        <v/>
      </c>
      <c r="F120" s="63">
        <f>IF(SYSTEM_CALCULATION!U109&lt;&gt;"SI","",IF(INPUT_SYSTEM!B118="USD",SYSTEM_CALCULATION!T109*CONFIG!B109,SYSTEM_CALCULATION!T109))</f>
        <v/>
      </c>
    </row>
    <row r="121" ht="15.75" customHeight="1" s="125">
      <c r="A121" s="62">
        <f>IF(SYSTEM_CALCULATION!U110="SI",SYSTEM_CALCULATION!B110,"")</f>
        <v/>
      </c>
      <c r="B121" s="62">
        <f>IF(SYSTEM_CALCULATION!U110="SI",SYSTEM_CALCULATION!E110,"")</f>
        <v/>
      </c>
      <c r="C121" s="62">
        <f>IF(SYSTEM_CALCULATION!U110="SI",SYSTEM_CALCULATION!O110,"")</f>
        <v/>
      </c>
      <c r="D121" s="62">
        <f>IF(SYSTEM_CALCULATION!U110="SI",SYSTEM_CALCULATION!G110,"")</f>
        <v/>
      </c>
      <c r="E121" s="63">
        <f>IF(SYSTEM_CALCULATION!U110&lt;&gt;"SI","",IF(INPUT_SYSTEM!B119="USD",SYSTEM_CALCULATION!R110*CONFIG!B110,SYSTEM_CALCULATION!R110))</f>
        <v/>
      </c>
      <c r="F121" s="63">
        <f>IF(SYSTEM_CALCULATION!U110&lt;&gt;"SI","",IF(INPUT_SYSTEM!B119="USD",SYSTEM_CALCULATION!T110*CONFIG!B110,SYSTEM_CALCULATION!T110))</f>
        <v/>
      </c>
    </row>
    <row r="122" ht="15.75" customHeight="1" s="125">
      <c r="A122" s="62">
        <f>IF(SYSTEM_CALCULATION!U111="SI",SYSTEM_CALCULATION!B111,"")</f>
        <v/>
      </c>
      <c r="B122" s="62">
        <f>IF(SYSTEM_CALCULATION!U111="SI",SYSTEM_CALCULATION!E111,"")</f>
        <v/>
      </c>
      <c r="C122" s="62">
        <f>IF(SYSTEM_CALCULATION!U111="SI",SYSTEM_CALCULATION!O111,"")</f>
        <v/>
      </c>
      <c r="D122" s="62">
        <f>IF(SYSTEM_CALCULATION!U111="SI",SYSTEM_CALCULATION!G111,"")</f>
        <v/>
      </c>
      <c r="E122" s="63">
        <f>IF(SYSTEM_CALCULATION!U111&lt;&gt;"SI","",IF(INPUT_SYSTEM!B120="USD",SYSTEM_CALCULATION!R111*CONFIG!B111,SYSTEM_CALCULATION!R111))</f>
        <v/>
      </c>
      <c r="F122" s="63">
        <f>IF(SYSTEM_CALCULATION!U111&lt;&gt;"SI","",IF(INPUT_SYSTEM!B120="USD",SYSTEM_CALCULATION!T111*CONFIG!B111,SYSTEM_CALCULATION!T111))</f>
        <v/>
      </c>
    </row>
    <row r="123" ht="15.75" customHeight="1" s="125">
      <c r="A123" s="62">
        <f>IF(SYSTEM_CALCULATION!U112="SI",SYSTEM_CALCULATION!B112,"")</f>
        <v/>
      </c>
      <c r="B123" s="62">
        <f>IF(SYSTEM_CALCULATION!U112="SI",SYSTEM_CALCULATION!E112,"")</f>
        <v/>
      </c>
      <c r="C123" s="62">
        <f>IF(SYSTEM_CALCULATION!U112="SI",SYSTEM_CALCULATION!O112,"")</f>
        <v/>
      </c>
      <c r="D123" s="62">
        <f>IF(SYSTEM_CALCULATION!U112="SI",SYSTEM_CALCULATION!G112,"")</f>
        <v/>
      </c>
      <c r="E123" s="63">
        <f>IF(SYSTEM_CALCULATION!U112&lt;&gt;"SI","",IF(INPUT_SYSTEM!B121="USD",SYSTEM_CALCULATION!R112*CONFIG!B112,SYSTEM_CALCULATION!R112))</f>
        <v/>
      </c>
      <c r="F123" s="63">
        <f>IF(SYSTEM_CALCULATION!U112&lt;&gt;"SI","",IF(INPUT_SYSTEM!B121="USD",SYSTEM_CALCULATION!T112*CONFIG!B112,SYSTEM_CALCULATION!T112))</f>
        <v/>
      </c>
    </row>
    <row r="124" ht="15.75" customHeight="1" s="125">
      <c r="A124" s="62">
        <f>IF(SYSTEM_CALCULATION!U113="SI",SYSTEM_CALCULATION!B113,"")</f>
        <v/>
      </c>
      <c r="B124" s="62">
        <f>IF(SYSTEM_CALCULATION!U113="SI",SYSTEM_CALCULATION!E113,"")</f>
        <v/>
      </c>
      <c r="C124" s="62">
        <f>IF(SYSTEM_CALCULATION!U113="SI",SYSTEM_CALCULATION!O113,"")</f>
        <v/>
      </c>
      <c r="D124" s="62">
        <f>IF(SYSTEM_CALCULATION!U113="SI",SYSTEM_CALCULATION!G113,"")</f>
        <v/>
      </c>
      <c r="E124" s="63">
        <f>IF(SYSTEM_CALCULATION!U113&lt;&gt;"SI","",IF(INPUT_SYSTEM!B122="USD",SYSTEM_CALCULATION!R113*CONFIG!B113,SYSTEM_CALCULATION!R113))</f>
        <v/>
      </c>
      <c r="F124" s="63">
        <f>IF(SYSTEM_CALCULATION!U113&lt;&gt;"SI","",IF(INPUT_SYSTEM!B122="USD",SYSTEM_CALCULATION!T113*CONFIG!B113,SYSTEM_CALCULATION!T113))</f>
        <v/>
      </c>
    </row>
    <row r="125" ht="15.75" customHeight="1" s="125">
      <c r="A125" s="62">
        <f>IF(SYSTEM_CALCULATION!U114="SI",SYSTEM_CALCULATION!B114,"")</f>
        <v/>
      </c>
      <c r="B125" s="62">
        <f>IF(SYSTEM_CALCULATION!U114="SI",SYSTEM_CALCULATION!E114,"")</f>
        <v/>
      </c>
      <c r="C125" s="62">
        <f>IF(SYSTEM_CALCULATION!U114="SI",SYSTEM_CALCULATION!O114,"")</f>
        <v/>
      </c>
      <c r="D125" s="62">
        <f>IF(SYSTEM_CALCULATION!U114="SI",SYSTEM_CALCULATION!G114,"")</f>
        <v/>
      </c>
      <c r="E125" s="63">
        <f>IF(SYSTEM_CALCULATION!U114&lt;&gt;"SI","",IF(INPUT_SYSTEM!B123="USD",SYSTEM_CALCULATION!R114*CONFIG!B114,SYSTEM_CALCULATION!R114))</f>
        <v/>
      </c>
      <c r="F125" s="63">
        <f>IF(SYSTEM_CALCULATION!U114&lt;&gt;"SI","",IF(INPUT_SYSTEM!B123="USD",SYSTEM_CALCULATION!T114*CONFIG!B114,SYSTEM_CALCULATION!T114))</f>
        <v/>
      </c>
    </row>
    <row r="126" ht="15.75" customHeight="1" s="125">
      <c r="A126" s="62">
        <f>IF(SYSTEM_CALCULATION!U115="SI",SYSTEM_CALCULATION!B115,"")</f>
        <v/>
      </c>
      <c r="B126" s="62">
        <f>IF(SYSTEM_CALCULATION!U115="SI",SYSTEM_CALCULATION!E115,"")</f>
        <v/>
      </c>
      <c r="C126" s="62">
        <f>IF(SYSTEM_CALCULATION!U115="SI",SYSTEM_CALCULATION!O115,"")</f>
        <v/>
      </c>
      <c r="D126" s="62">
        <f>IF(SYSTEM_CALCULATION!U115="SI",SYSTEM_CALCULATION!G115,"")</f>
        <v/>
      </c>
      <c r="E126" s="63">
        <f>IF(SYSTEM_CALCULATION!U115&lt;&gt;"SI","",IF(INPUT_SYSTEM!B124="USD",SYSTEM_CALCULATION!R115*CONFIG!B115,SYSTEM_CALCULATION!R115))</f>
        <v/>
      </c>
      <c r="F126" s="63">
        <f>IF(SYSTEM_CALCULATION!U115&lt;&gt;"SI","",IF(INPUT_SYSTEM!B124="USD",SYSTEM_CALCULATION!T115*CONFIG!B115,SYSTEM_CALCULATION!T115))</f>
        <v/>
      </c>
    </row>
    <row r="127" ht="15.75" customHeight="1" s="125">
      <c r="A127" s="62">
        <f>IF(SYSTEM_CALCULATION!U116="SI",SYSTEM_CALCULATION!B116,"")</f>
        <v/>
      </c>
      <c r="B127" s="62">
        <f>IF(SYSTEM_CALCULATION!U116="SI",SYSTEM_CALCULATION!E116,"")</f>
        <v/>
      </c>
      <c r="C127" s="62">
        <f>IF(SYSTEM_CALCULATION!U116="SI",SYSTEM_CALCULATION!O116,"")</f>
        <v/>
      </c>
      <c r="D127" s="62">
        <f>IF(SYSTEM_CALCULATION!U116="SI",SYSTEM_CALCULATION!G116,"")</f>
        <v/>
      </c>
      <c r="E127" s="63">
        <f>IF(SYSTEM_CALCULATION!U116&lt;&gt;"SI","",IF(INPUT_SYSTEM!B125="USD",SYSTEM_CALCULATION!R116*CONFIG!B116,SYSTEM_CALCULATION!R116))</f>
        <v/>
      </c>
      <c r="F127" s="63">
        <f>IF(SYSTEM_CALCULATION!U116&lt;&gt;"SI","",IF(INPUT_SYSTEM!B125="USD",SYSTEM_CALCULATION!T116*CONFIG!B116,SYSTEM_CALCULATION!T116))</f>
        <v/>
      </c>
    </row>
    <row r="128" ht="15.75" customHeight="1" s="125">
      <c r="A128" s="62">
        <f>IF(SYSTEM_CALCULATION!U117="SI",SYSTEM_CALCULATION!B117,"")</f>
        <v/>
      </c>
      <c r="B128" s="62">
        <f>IF(SYSTEM_CALCULATION!U117="SI",SYSTEM_CALCULATION!E117,"")</f>
        <v/>
      </c>
      <c r="C128" s="62">
        <f>IF(SYSTEM_CALCULATION!U117="SI",SYSTEM_CALCULATION!O117,"")</f>
        <v/>
      </c>
      <c r="D128" s="62">
        <f>IF(SYSTEM_CALCULATION!U117="SI",SYSTEM_CALCULATION!G117,"")</f>
        <v/>
      </c>
      <c r="E128" s="63">
        <f>IF(SYSTEM_CALCULATION!U117&lt;&gt;"SI","",IF(INPUT_SYSTEM!B126="USD",SYSTEM_CALCULATION!R117*CONFIG!B117,SYSTEM_CALCULATION!R117))</f>
        <v/>
      </c>
      <c r="F128" s="63">
        <f>IF(SYSTEM_CALCULATION!U117&lt;&gt;"SI","",IF(INPUT_SYSTEM!B126="USD",SYSTEM_CALCULATION!T117*CONFIG!B117,SYSTEM_CALCULATION!T117))</f>
        <v/>
      </c>
    </row>
    <row r="129" ht="15.75" customHeight="1" s="125">
      <c r="A129" s="62">
        <f>IF(SYSTEM_CALCULATION!U118="SI",SYSTEM_CALCULATION!B118,"")</f>
        <v/>
      </c>
      <c r="B129" s="62">
        <f>IF(SYSTEM_CALCULATION!U118="SI",SYSTEM_CALCULATION!E118,"")</f>
        <v/>
      </c>
      <c r="C129" s="62">
        <f>IF(SYSTEM_CALCULATION!U118="SI",SYSTEM_CALCULATION!O118,"")</f>
        <v/>
      </c>
      <c r="D129" s="62">
        <f>IF(SYSTEM_CALCULATION!U118="SI",SYSTEM_CALCULATION!G118,"")</f>
        <v/>
      </c>
      <c r="E129" s="63">
        <f>IF(SYSTEM_CALCULATION!U118&lt;&gt;"SI","",IF(INPUT_SYSTEM!B127="USD",SYSTEM_CALCULATION!R118*CONFIG!B118,SYSTEM_CALCULATION!R118))</f>
        <v/>
      </c>
      <c r="F129" s="63">
        <f>IF(SYSTEM_CALCULATION!U118&lt;&gt;"SI","",IF(INPUT_SYSTEM!B127="USD",SYSTEM_CALCULATION!T118*CONFIG!B118,SYSTEM_CALCULATION!T118))</f>
        <v/>
      </c>
    </row>
    <row r="130" ht="15.75" customHeight="1" s="125">
      <c r="A130" s="62">
        <f>IF(SYSTEM_CALCULATION!U119="SI",SYSTEM_CALCULATION!B119,"")</f>
        <v/>
      </c>
      <c r="B130" s="62">
        <f>IF(SYSTEM_CALCULATION!U119="SI",SYSTEM_CALCULATION!E119,"")</f>
        <v/>
      </c>
      <c r="C130" s="62">
        <f>IF(SYSTEM_CALCULATION!U119="SI",SYSTEM_CALCULATION!O119,"")</f>
        <v/>
      </c>
      <c r="D130" s="62">
        <f>IF(SYSTEM_CALCULATION!U119="SI",SYSTEM_CALCULATION!G119,"")</f>
        <v/>
      </c>
      <c r="E130" s="63">
        <f>IF(SYSTEM_CALCULATION!U119&lt;&gt;"SI","",IF(INPUT_SYSTEM!B128="USD",SYSTEM_CALCULATION!R119*CONFIG!B119,SYSTEM_CALCULATION!R119))</f>
        <v/>
      </c>
      <c r="F130" s="63">
        <f>IF(SYSTEM_CALCULATION!U119&lt;&gt;"SI","",IF(INPUT_SYSTEM!B128="USD",SYSTEM_CALCULATION!T119*CONFIG!B119,SYSTEM_CALCULATION!T119))</f>
        <v/>
      </c>
    </row>
    <row r="131" ht="15.75" customHeight="1" s="125">
      <c r="A131" s="62">
        <f>IF(SYSTEM_CALCULATION!U120="SI",SYSTEM_CALCULATION!B120,"")</f>
        <v/>
      </c>
      <c r="B131" s="62">
        <f>IF(SYSTEM_CALCULATION!U120="SI",SYSTEM_CALCULATION!E120,"")</f>
        <v/>
      </c>
      <c r="C131" s="62">
        <f>IF(SYSTEM_CALCULATION!U120="SI",SYSTEM_CALCULATION!O120,"")</f>
        <v/>
      </c>
      <c r="D131" s="62">
        <f>IF(SYSTEM_CALCULATION!U120="SI",SYSTEM_CALCULATION!G120,"")</f>
        <v/>
      </c>
      <c r="E131" s="63">
        <f>IF(SYSTEM_CALCULATION!U120&lt;&gt;"SI","",IF(INPUT_SYSTEM!B129="USD",SYSTEM_CALCULATION!R120*CONFIG!B120,SYSTEM_CALCULATION!R120))</f>
        <v/>
      </c>
      <c r="F131" s="63">
        <f>IF(SYSTEM_CALCULATION!U120&lt;&gt;"SI","",IF(INPUT_SYSTEM!B129="USD",SYSTEM_CALCULATION!T120*CONFIG!B120,SYSTEM_CALCULATION!T120))</f>
        <v/>
      </c>
    </row>
    <row r="132" ht="15.75" customHeight="1" s="125">
      <c r="A132" s="62">
        <f>IF(SYSTEM_CALCULATION!U121="SI",SYSTEM_CALCULATION!B121,"")</f>
        <v/>
      </c>
      <c r="B132" s="62">
        <f>IF(SYSTEM_CALCULATION!U121="SI",SYSTEM_CALCULATION!E121,"")</f>
        <v/>
      </c>
      <c r="C132" s="62">
        <f>IF(SYSTEM_CALCULATION!U121="SI",SYSTEM_CALCULATION!O121,"")</f>
        <v/>
      </c>
      <c r="D132" s="62">
        <f>IF(SYSTEM_CALCULATION!U121="SI",SYSTEM_CALCULATION!G121,"")</f>
        <v/>
      </c>
      <c r="E132" s="63">
        <f>IF(SYSTEM_CALCULATION!U121&lt;&gt;"SI","",IF(INPUT_SYSTEM!B130="USD",SYSTEM_CALCULATION!R121*CONFIG!B121,SYSTEM_CALCULATION!R121))</f>
        <v/>
      </c>
      <c r="F132" s="63">
        <f>IF(SYSTEM_CALCULATION!U121&lt;&gt;"SI","",IF(INPUT_SYSTEM!B130="USD",SYSTEM_CALCULATION!T121*CONFIG!B121,SYSTEM_CALCULATION!T121))</f>
        <v/>
      </c>
    </row>
    <row r="133" ht="15.75" customHeight="1" s="125">
      <c r="A133" s="62">
        <f>IF(SYSTEM_CALCULATION!U122="SI",SYSTEM_CALCULATION!B122,"")</f>
        <v/>
      </c>
      <c r="B133" s="62">
        <f>IF(SYSTEM_CALCULATION!U122="SI",SYSTEM_CALCULATION!E122,"")</f>
        <v/>
      </c>
      <c r="C133" s="62">
        <f>IF(SYSTEM_CALCULATION!U122="SI",SYSTEM_CALCULATION!O122,"")</f>
        <v/>
      </c>
      <c r="D133" s="62">
        <f>IF(SYSTEM_CALCULATION!U122="SI",SYSTEM_CALCULATION!G122,"")</f>
        <v/>
      </c>
      <c r="E133" s="63">
        <f>IF(SYSTEM_CALCULATION!U122&lt;&gt;"SI","",IF(INPUT_SYSTEM!B131="USD",SYSTEM_CALCULATION!R122*CONFIG!B122,SYSTEM_CALCULATION!R122))</f>
        <v/>
      </c>
      <c r="F133" s="63">
        <f>IF(SYSTEM_CALCULATION!U122&lt;&gt;"SI","",IF(INPUT_SYSTEM!B131="USD",SYSTEM_CALCULATION!T122*CONFIG!B122,SYSTEM_CALCULATION!T122))</f>
        <v/>
      </c>
    </row>
    <row r="134" ht="15.75" customHeight="1" s="125">
      <c r="A134" s="62">
        <f>IF(SYSTEM_CALCULATION!U123="SI",SYSTEM_CALCULATION!B123,"")</f>
        <v/>
      </c>
      <c r="B134" s="62">
        <f>IF(SYSTEM_CALCULATION!U123="SI",SYSTEM_CALCULATION!E123,"")</f>
        <v/>
      </c>
      <c r="C134" s="62">
        <f>IF(SYSTEM_CALCULATION!U123="SI",SYSTEM_CALCULATION!O123,"")</f>
        <v/>
      </c>
      <c r="D134" s="62">
        <f>IF(SYSTEM_CALCULATION!U123="SI",SYSTEM_CALCULATION!G123,"")</f>
        <v/>
      </c>
      <c r="E134" s="63">
        <f>IF(SYSTEM_CALCULATION!U123&lt;&gt;"SI","",IF(INPUT_SYSTEM!B132="USD",SYSTEM_CALCULATION!R123*CONFIG!B123,SYSTEM_CALCULATION!R123))</f>
        <v/>
      </c>
      <c r="F134" s="63">
        <f>IF(SYSTEM_CALCULATION!U123&lt;&gt;"SI","",IF(INPUT_SYSTEM!B132="USD",SYSTEM_CALCULATION!T123*CONFIG!B123,SYSTEM_CALCULATION!T123))</f>
        <v/>
      </c>
    </row>
    <row r="135" ht="15.75" customHeight="1" s="125">
      <c r="A135" s="62">
        <f>IF(SYSTEM_CALCULATION!U124="SI",SYSTEM_CALCULATION!B124,"")</f>
        <v/>
      </c>
      <c r="B135" s="62">
        <f>IF(SYSTEM_CALCULATION!U124="SI",SYSTEM_CALCULATION!E124,"")</f>
        <v/>
      </c>
      <c r="C135" s="62">
        <f>IF(SYSTEM_CALCULATION!U124="SI",SYSTEM_CALCULATION!O124,"")</f>
        <v/>
      </c>
      <c r="D135" s="62">
        <f>IF(SYSTEM_CALCULATION!U124="SI",SYSTEM_CALCULATION!G124,"")</f>
        <v/>
      </c>
      <c r="E135" s="63">
        <f>IF(SYSTEM_CALCULATION!U124&lt;&gt;"SI","",IF(INPUT_SYSTEM!B133="USD",SYSTEM_CALCULATION!R124*CONFIG!B124,SYSTEM_CALCULATION!R124))</f>
        <v/>
      </c>
      <c r="F135" s="63">
        <f>IF(SYSTEM_CALCULATION!U124&lt;&gt;"SI","",IF(INPUT_SYSTEM!B133="USD",SYSTEM_CALCULATION!T124*CONFIG!B124,SYSTEM_CALCULATION!T124))</f>
        <v/>
      </c>
    </row>
    <row r="136" ht="15.75" customHeight="1" s="125">
      <c r="A136" s="62">
        <f>IF(SYSTEM_CALCULATION!U125="SI",SYSTEM_CALCULATION!B125,"")</f>
        <v/>
      </c>
      <c r="B136" s="62">
        <f>IF(SYSTEM_CALCULATION!U125="SI",SYSTEM_CALCULATION!E125,"")</f>
        <v/>
      </c>
      <c r="C136" s="62">
        <f>IF(SYSTEM_CALCULATION!U125="SI",SYSTEM_CALCULATION!O125,"")</f>
        <v/>
      </c>
      <c r="D136" s="62">
        <f>IF(SYSTEM_CALCULATION!U125="SI",SYSTEM_CALCULATION!G125,"")</f>
        <v/>
      </c>
      <c r="E136" s="63">
        <f>IF(SYSTEM_CALCULATION!U125&lt;&gt;"SI","",IF(INPUT_SYSTEM!B134="USD",SYSTEM_CALCULATION!R125*CONFIG!B125,SYSTEM_CALCULATION!R125))</f>
        <v/>
      </c>
      <c r="F136" s="63">
        <f>IF(SYSTEM_CALCULATION!U125&lt;&gt;"SI","",IF(INPUT_SYSTEM!B134="USD",SYSTEM_CALCULATION!T125*CONFIG!B125,SYSTEM_CALCULATION!T125))</f>
        <v/>
      </c>
    </row>
    <row r="137" ht="15.75" customHeight="1" s="125">
      <c r="A137" s="62">
        <f>IF(SYSTEM_CALCULATION!U126="SI",SYSTEM_CALCULATION!B126,"")</f>
        <v/>
      </c>
      <c r="B137" s="62">
        <f>IF(SYSTEM_CALCULATION!U126="SI",SYSTEM_CALCULATION!E126,"")</f>
        <v/>
      </c>
      <c r="C137" s="62">
        <f>IF(SYSTEM_CALCULATION!U126="SI",SYSTEM_CALCULATION!O126,"")</f>
        <v/>
      </c>
      <c r="D137" s="62">
        <f>IF(SYSTEM_CALCULATION!U126="SI",SYSTEM_CALCULATION!G126,"")</f>
        <v/>
      </c>
      <c r="E137" s="63">
        <f>IF(SYSTEM_CALCULATION!U126&lt;&gt;"SI","",IF(INPUT_SYSTEM!B135="USD",SYSTEM_CALCULATION!R126*CONFIG!B126,SYSTEM_CALCULATION!R126))</f>
        <v/>
      </c>
      <c r="F137" s="63">
        <f>IF(SYSTEM_CALCULATION!U126&lt;&gt;"SI","",IF(INPUT_SYSTEM!B135="USD",SYSTEM_CALCULATION!T126*CONFIG!B126,SYSTEM_CALCULATION!T126))</f>
        <v/>
      </c>
    </row>
    <row r="138" ht="15.75" customHeight="1" s="125">
      <c r="A138" s="62">
        <f>IF(SYSTEM_CALCULATION!U127="SI",SYSTEM_CALCULATION!B127,"")</f>
        <v/>
      </c>
      <c r="B138" s="62">
        <f>IF(SYSTEM_CALCULATION!U127="SI",SYSTEM_CALCULATION!E127,"")</f>
        <v/>
      </c>
      <c r="C138" s="62">
        <f>IF(SYSTEM_CALCULATION!U127="SI",SYSTEM_CALCULATION!O127,"")</f>
        <v/>
      </c>
      <c r="D138" s="62">
        <f>IF(SYSTEM_CALCULATION!U127="SI",SYSTEM_CALCULATION!G127,"")</f>
        <v/>
      </c>
      <c r="E138" s="63">
        <f>IF(SYSTEM_CALCULATION!U127&lt;&gt;"SI","",IF(INPUT_SYSTEM!B136="USD",SYSTEM_CALCULATION!R127*CONFIG!B127,SYSTEM_CALCULATION!R127))</f>
        <v/>
      </c>
      <c r="F138" s="63">
        <f>IF(SYSTEM_CALCULATION!U127&lt;&gt;"SI","",IF(INPUT_SYSTEM!B136="USD",SYSTEM_CALCULATION!T127*CONFIG!B127,SYSTEM_CALCULATION!T127))</f>
        <v/>
      </c>
    </row>
    <row r="139" ht="15.75" customHeight="1" s="125">
      <c r="A139" s="62">
        <f>IF(SYSTEM_CALCULATION!U128="SI",SYSTEM_CALCULATION!B128,"")</f>
        <v/>
      </c>
      <c r="B139" s="62">
        <f>IF(SYSTEM_CALCULATION!U128="SI",SYSTEM_CALCULATION!E128,"")</f>
        <v/>
      </c>
      <c r="C139" s="62">
        <f>IF(SYSTEM_CALCULATION!U128="SI",SYSTEM_CALCULATION!O128,"")</f>
        <v/>
      </c>
      <c r="D139" s="62">
        <f>IF(SYSTEM_CALCULATION!U128="SI",SYSTEM_CALCULATION!G128,"")</f>
        <v/>
      </c>
      <c r="E139" s="63">
        <f>IF(SYSTEM_CALCULATION!U128&lt;&gt;"SI","",IF(INPUT_SYSTEM!B137="USD",SYSTEM_CALCULATION!R128*CONFIG!B128,SYSTEM_CALCULATION!R128))</f>
        <v/>
      </c>
      <c r="F139" s="63">
        <f>IF(SYSTEM_CALCULATION!U128&lt;&gt;"SI","",IF(INPUT_SYSTEM!B137="USD",SYSTEM_CALCULATION!T128*CONFIG!B128,SYSTEM_CALCULATION!T128))</f>
        <v/>
      </c>
    </row>
    <row r="140" ht="15.75" customHeight="1" s="125">
      <c r="A140" s="62">
        <f>IF(SYSTEM_CALCULATION!U129="SI",SYSTEM_CALCULATION!B129,"")</f>
        <v/>
      </c>
      <c r="B140" s="62">
        <f>IF(SYSTEM_CALCULATION!U129="SI",SYSTEM_CALCULATION!E129,"")</f>
        <v/>
      </c>
      <c r="C140" s="62">
        <f>IF(SYSTEM_CALCULATION!U129="SI",SYSTEM_CALCULATION!O129,"")</f>
        <v/>
      </c>
      <c r="D140" s="62">
        <f>IF(SYSTEM_CALCULATION!U129="SI",SYSTEM_CALCULATION!G129,"")</f>
        <v/>
      </c>
      <c r="E140" s="63">
        <f>IF(SYSTEM_CALCULATION!U129&lt;&gt;"SI","",IF(INPUT_SYSTEM!B138="USD",SYSTEM_CALCULATION!R129*CONFIG!B129,SYSTEM_CALCULATION!R129))</f>
        <v/>
      </c>
      <c r="F140" s="63">
        <f>IF(SYSTEM_CALCULATION!U129&lt;&gt;"SI","",IF(INPUT_SYSTEM!B138="USD",SYSTEM_CALCULATION!T129*CONFIG!B129,SYSTEM_CALCULATION!T129))</f>
        <v/>
      </c>
    </row>
    <row r="141" ht="15.75" customHeight="1" s="125">
      <c r="A141" s="62">
        <f>IF(SYSTEM_CALCULATION!U130="SI",SYSTEM_CALCULATION!B130,"")</f>
        <v/>
      </c>
      <c r="B141" s="62">
        <f>IF(SYSTEM_CALCULATION!U130="SI",SYSTEM_CALCULATION!E130,"")</f>
        <v/>
      </c>
      <c r="C141" s="62">
        <f>IF(SYSTEM_CALCULATION!U130="SI",SYSTEM_CALCULATION!O130,"")</f>
        <v/>
      </c>
      <c r="D141" s="62">
        <f>IF(SYSTEM_CALCULATION!U130="SI",SYSTEM_CALCULATION!G130,"")</f>
        <v/>
      </c>
      <c r="E141" s="63">
        <f>IF(SYSTEM_CALCULATION!U130&lt;&gt;"SI","",IF(INPUT_SYSTEM!B139="USD",SYSTEM_CALCULATION!R130*CONFIG!B130,SYSTEM_CALCULATION!R130))</f>
        <v/>
      </c>
      <c r="F141" s="63">
        <f>IF(SYSTEM_CALCULATION!U130&lt;&gt;"SI","",IF(INPUT_SYSTEM!B139="USD",SYSTEM_CALCULATION!T130*CONFIG!B130,SYSTEM_CALCULATION!T130))</f>
        <v/>
      </c>
    </row>
    <row r="142" ht="15.75" customHeight="1" s="125">
      <c r="A142" s="62">
        <f>IF(SYSTEM_CALCULATION!U131="SI",SYSTEM_CALCULATION!B131,"")</f>
        <v/>
      </c>
      <c r="B142" s="62">
        <f>IF(SYSTEM_CALCULATION!U131="SI",SYSTEM_CALCULATION!E131,"")</f>
        <v/>
      </c>
      <c r="C142" s="62">
        <f>IF(SYSTEM_CALCULATION!U131="SI",SYSTEM_CALCULATION!O131,"")</f>
        <v/>
      </c>
      <c r="D142" s="62">
        <f>IF(SYSTEM_CALCULATION!U131="SI",SYSTEM_CALCULATION!G131,"")</f>
        <v/>
      </c>
      <c r="E142" s="63">
        <f>IF(SYSTEM_CALCULATION!U131&lt;&gt;"SI","",IF(INPUT_SYSTEM!B140="USD",SYSTEM_CALCULATION!R131*CONFIG!B131,SYSTEM_CALCULATION!R131))</f>
        <v/>
      </c>
      <c r="F142" s="63">
        <f>IF(SYSTEM_CALCULATION!U131&lt;&gt;"SI","",IF(INPUT_SYSTEM!B140="USD",SYSTEM_CALCULATION!T131*CONFIG!B131,SYSTEM_CALCULATION!T131))</f>
        <v/>
      </c>
    </row>
    <row r="143" ht="15.75" customHeight="1" s="125">
      <c r="A143" s="62">
        <f>IF(SYSTEM_CALCULATION!U132="SI",SYSTEM_CALCULATION!B132,"")</f>
        <v/>
      </c>
      <c r="B143" s="62">
        <f>IF(SYSTEM_CALCULATION!U132="SI",SYSTEM_CALCULATION!E132,"")</f>
        <v/>
      </c>
      <c r="C143" s="62">
        <f>IF(SYSTEM_CALCULATION!U132="SI",SYSTEM_CALCULATION!O132,"")</f>
        <v/>
      </c>
      <c r="D143" s="62">
        <f>IF(SYSTEM_CALCULATION!U132="SI",SYSTEM_CALCULATION!G132,"")</f>
        <v/>
      </c>
      <c r="E143" s="63">
        <f>IF(SYSTEM_CALCULATION!U132&lt;&gt;"SI","",IF(INPUT_SYSTEM!B141="USD",SYSTEM_CALCULATION!R132*CONFIG!B132,SYSTEM_CALCULATION!R132))</f>
        <v/>
      </c>
      <c r="F143" s="63">
        <f>IF(SYSTEM_CALCULATION!U132&lt;&gt;"SI","",IF(INPUT_SYSTEM!B141="USD",SYSTEM_CALCULATION!T132*CONFIG!B132,SYSTEM_CALCULATION!T132))</f>
        <v/>
      </c>
    </row>
    <row r="144" ht="15.75" customHeight="1" s="125">
      <c r="A144" s="62">
        <f>IF(SYSTEM_CALCULATION!U133="SI",SYSTEM_CALCULATION!B133,"")</f>
        <v/>
      </c>
      <c r="B144" s="62">
        <f>IF(SYSTEM_CALCULATION!U133="SI",SYSTEM_CALCULATION!E133,"")</f>
        <v/>
      </c>
      <c r="C144" s="62">
        <f>IF(SYSTEM_CALCULATION!U133="SI",SYSTEM_CALCULATION!O133,"")</f>
        <v/>
      </c>
      <c r="D144" s="62">
        <f>IF(SYSTEM_CALCULATION!U133="SI",SYSTEM_CALCULATION!G133,"")</f>
        <v/>
      </c>
      <c r="E144" s="63">
        <f>IF(SYSTEM_CALCULATION!U133&lt;&gt;"SI","",IF(INPUT_SYSTEM!B142="USD",SYSTEM_CALCULATION!R133*CONFIG!B133,SYSTEM_CALCULATION!R133))</f>
        <v/>
      </c>
      <c r="F144" s="63">
        <f>IF(SYSTEM_CALCULATION!U133&lt;&gt;"SI","",IF(INPUT_SYSTEM!B142="USD",SYSTEM_CALCULATION!T133*CONFIG!B133,SYSTEM_CALCULATION!T133))</f>
        <v/>
      </c>
    </row>
    <row r="145" ht="15.75" customHeight="1" s="125">
      <c r="A145" s="62">
        <f>IF(SYSTEM_CALCULATION!U134="SI",SYSTEM_CALCULATION!B134,"")</f>
        <v/>
      </c>
      <c r="B145" s="62">
        <f>IF(SYSTEM_CALCULATION!U134="SI",SYSTEM_CALCULATION!E134,"")</f>
        <v/>
      </c>
      <c r="C145" s="62">
        <f>IF(SYSTEM_CALCULATION!U134="SI",SYSTEM_CALCULATION!O134,"")</f>
        <v/>
      </c>
      <c r="D145" s="62">
        <f>IF(SYSTEM_CALCULATION!U134="SI",SYSTEM_CALCULATION!G134,"")</f>
        <v/>
      </c>
      <c r="E145" s="63">
        <f>IF(SYSTEM_CALCULATION!U134&lt;&gt;"SI","",IF(INPUT_SYSTEM!B143="USD",SYSTEM_CALCULATION!R134*CONFIG!B134,SYSTEM_CALCULATION!R134))</f>
        <v/>
      </c>
      <c r="F145" s="63">
        <f>IF(SYSTEM_CALCULATION!U134&lt;&gt;"SI","",IF(INPUT_SYSTEM!B143="USD",SYSTEM_CALCULATION!T134*CONFIG!B134,SYSTEM_CALCULATION!T134))</f>
        <v/>
      </c>
    </row>
    <row r="146" ht="15.75" customHeight="1" s="125">
      <c r="A146" s="62">
        <f>IF(SYSTEM_CALCULATION!U135="SI",SYSTEM_CALCULATION!B135,"")</f>
        <v/>
      </c>
      <c r="B146" s="62">
        <f>IF(SYSTEM_CALCULATION!U135="SI",SYSTEM_CALCULATION!E135,"")</f>
        <v/>
      </c>
      <c r="C146" s="62">
        <f>IF(SYSTEM_CALCULATION!U135="SI",SYSTEM_CALCULATION!O135,"")</f>
        <v/>
      </c>
      <c r="D146" s="62">
        <f>IF(SYSTEM_CALCULATION!U135="SI",SYSTEM_CALCULATION!G135,"")</f>
        <v/>
      </c>
      <c r="E146" s="63">
        <f>IF(SYSTEM_CALCULATION!U135&lt;&gt;"SI","",IF(INPUT_SYSTEM!B144="USD",SYSTEM_CALCULATION!R135*CONFIG!B135,SYSTEM_CALCULATION!R135))</f>
        <v/>
      </c>
      <c r="F146" s="63">
        <f>IF(SYSTEM_CALCULATION!U135&lt;&gt;"SI","",IF(INPUT_SYSTEM!B144="USD",SYSTEM_CALCULATION!T135*CONFIG!B135,SYSTEM_CALCULATION!T135))</f>
        <v/>
      </c>
    </row>
    <row r="147" ht="15.75" customHeight="1" s="125">
      <c r="A147" s="62">
        <f>IF(SYSTEM_CALCULATION!U136="SI",SYSTEM_CALCULATION!B136,"")</f>
        <v/>
      </c>
      <c r="B147" s="62">
        <f>IF(SYSTEM_CALCULATION!U136="SI",SYSTEM_CALCULATION!E136,"")</f>
        <v/>
      </c>
      <c r="C147" s="62">
        <f>IF(SYSTEM_CALCULATION!U136="SI",SYSTEM_CALCULATION!O136,"")</f>
        <v/>
      </c>
      <c r="D147" s="62">
        <f>IF(SYSTEM_CALCULATION!U136="SI",SYSTEM_CALCULATION!G136,"")</f>
        <v/>
      </c>
      <c r="E147" s="63">
        <f>IF(SYSTEM_CALCULATION!U136&lt;&gt;"SI","",IF(INPUT_SYSTEM!B145="USD",SYSTEM_CALCULATION!R136*CONFIG!B136,SYSTEM_CALCULATION!R136))</f>
        <v/>
      </c>
      <c r="F147" s="63">
        <f>IF(SYSTEM_CALCULATION!U136&lt;&gt;"SI","",IF(INPUT_SYSTEM!B145="USD",SYSTEM_CALCULATION!T136*CONFIG!B136,SYSTEM_CALCULATION!T136))</f>
        <v/>
      </c>
    </row>
    <row r="148" ht="15.75" customHeight="1" s="125">
      <c r="A148" s="62">
        <f>IF(SYSTEM_CALCULATION!U137="SI",SYSTEM_CALCULATION!B137,"")</f>
        <v/>
      </c>
      <c r="B148" s="62">
        <f>IF(SYSTEM_CALCULATION!U137="SI",SYSTEM_CALCULATION!E137,"")</f>
        <v/>
      </c>
      <c r="C148" s="62">
        <f>IF(SYSTEM_CALCULATION!U137="SI",SYSTEM_CALCULATION!O137,"")</f>
        <v/>
      </c>
      <c r="D148" s="62">
        <f>IF(SYSTEM_CALCULATION!U137="SI",SYSTEM_CALCULATION!G137,"")</f>
        <v/>
      </c>
      <c r="E148" s="63">
        <f>IF(SYSTEM_CALCULATION!U137&lt;&gt;"SI","",IF(INPUT_SYSTEM!B146="USD",SYSTEM_CALCULATION!R137*CONFIG!B137,SYSTEM_CALCULATION!R137))</f>
        <v/>
      </c>
      <c r="F148" s="63">
        <f>IF(SYSTEM_CALCULATION!U137&lt;&gt;"SI","",IF(INPUT_SYSTEM!B146="USD",SYSTEM_CALCULATION!T137*CONFIG!B137,SYSTEM_CALCULATION!T137))</f>
        <v/>
      </c>
    </row>
    <row r="149" ht="15.75" customHeight="1" s="125">
      <c r="A149" s="62">
        <f>IF(SYSTEM_CALCULATION!U138="SI",SYSTEM_CALCULATION!B138,"")</f>
        <v/>
      </c>
      <c r="B149" s="62">
        <f>IF(SYSTEM_CALCULATION!U138="SI",SYSTEM_CALCULATION!E138,"")</f>
        <v/>
      </c>
      <c r="C149" s="62">
        <f>IF(SYSTEM_CALCULATION!U138="SI",SYSTEM_CALCULATION!O138,"")</f>
        <v/>
      </c>
      <c r="D149" s="62">
        <f>IF(SYSTEM_CALCULATION!U138="SI",SYSTEM_CALCULATION!G138,"")</f>
        <v/>
      </c>
      <c r="E149" s="63">
        <f>IF(SYSTEM_CALCULATION!U138&lt;&gt;"SI","",IF(INPUT_SYSTEM!B147="USD",SYSTEM_CALCULATION!R138*CONFIG!B138,SYSTEM_CALCULATION!R138))</f>
        <v/>
      </c>
      <c r="F149" s="63">
        <f>IF(SYSTEM_CALCULATION!U138&lt;&gt;"SI","",IF(INPUT_SYSTEM!B147="USD",SYSTEM_CALCULATION!T138*CONFIG!B138,SYSTEM_CALCULATION!T138))</f>
        <v/>
      </c>
    </row>
    <row r="150" ht="15.75" customHeight="1" s="125">
      <c r="A150" s="62">
        <f>IF(SYSTEM_CALCULATION!U139="SI",SYSTEM_CALCULATION!B139,"")</f>
        <v/>
      </c>
      <c r="B150" s="62">
        <f>IF(SYSTEM_CALCULATION!U139="SI",SYSTEM_CALCULATION!E139,"")</f>
        <v/>
      </c>
      <c r="C150" s="62">
        <f>IF(SYSTEM_CALCULATION!U139="SI",SYSTEM_CALCULATION!O139,"")</f>
        <v/>
      </c>
      <c r="D150" s="62">
        <f>IF(SYSTEM_CALCULATION!U139="SI",SYSTEM_CALCULATION!G139,"")</f>
        <v/>
      </c>
      <c r="E150" s="63">
        <f>IF(SYSTEM_CALCULATION!U139&lt;&gt;"SI","",IF(INPUT_SYSTEM!B148="USD",SYSTEM_CALCULATION!R139*CONFIG!B139,SYSTEM_CALCULATION!R139))</f>
        <v/>
      </c>
      <c r="F150" s="63">
        <f>IF(SYSTEM_CALCULATION!U139&lt;&gt;"SI","",IF(INPUT_SYSTEM!B148="USD",SYSTEM_CALCULATION!T139*CONFIG!B139,SYSTEM_CALCULATION!T139))</f>
        <v/>
      </c>
    </row>
    <row r="151" ht="15.75" customHeight="1" s="125">
      <c r="A151" s="62">
        <f>IF(SYSTEM_CALCULATION!U140="SI",SYSTEM_CALCULATION!B140,"")</f>
        <v/>
      </c>
      <c r="B151" s="62">
        <f>IF(SYSTEM_CALCULATION!U140="SI",SYSTEM_CALCULATION!E140,"")</f>
        <v/>
      </c>
      <c r="C151" s="62">
        <f>IF(SYSTEM_CALCULATION!U140="SI",SYSTEM_CALCULATION!O140,"")</f>
        <v/>
      </c>
      <c r="D151" s="62">
        <f>IF(SYSTEM_CALCULATION!U140="SI",SYSTEM_CALCULATION!G140,"")</f>
        <v/>
      </c>
      <c r="E151" s="63">
        <f>IF(SYSTEM_CALCULATION!U140&lt;&gt;"SI","",IF(INPUT_SYSTEM!B149="USD",SYSTEM_CALCULATION!R140*CONFIG!B140,SYSTEM_CALCULATION!R140))</f>
        <v/>
      </c>
      <c r="F151" s="63">
        <f>IF(SYSTEM_CALCULATION!U140&lt;&gt;"SI","",IF(INPUT_SYSTEM!B149="USD",SYSTEM_CALCULATION!T140*CONFIG!B140,SYSTEM_CALCULATION!T140))</f>
        <v/>
      </c>
    </row>
    <row r="152" ht="15.75" customHeight="1" s="125">
      <c r="A152" s="62">
        <f>IF(SYSTEM_CALCULATION!U141="SI",SYSTEM_CALCULATION!B141,"")</f>
        <v/>
      </c>
      <c r="B152" s="62">
        <f>IF(SYSTEM_CALCULATION!U141="SI",SYSTEM_CALCULATION!E141,"")</f>
        <v/>
      </c>
      <c r="C152" s="62">
        <f>IF(SYSTEM_CALCULATION!U141="SI",SYSTEM_CALCULATION!O141,"")</f>
        <v/>
      </c>
      <c r="D152" s="62">
        <f>IF(SYSTEM_CALCULATION!U141="SI",SYSTEM_CALCULATION!G141,"")</f>
        <v/>
      </c>
      <c r="E152" s="63">
        <f>IF(SYSTEM_CALCULATION!U141&lt;&gt;"SI","",IF(INPUT_SYSTEM!B150="USD",SYSTEM_CALCULATION!R141*CONFIG!B141,SYSTEM_CALCULATION!R141))</f>
        <v/>
      </c>
      <c r="F152" s="63">
        <f>IF(SYSTEM_CALCULATION!U141&lt;&gt;"SI","",IF(INPUT_SYSTEM!B150="USD",SYSTEM_CALCULATION!T141*CONFIG!B141,SYSTEM_CALCULATION!T141))</f>
        <v/>
      </c>
    </row>
    <row r="153" ht="15.75" customHeight="1" s="125">
      <c r="A153" s="62">
        <f>IF(SYSTEM_CALCULATION!U142="SI",SYSTEM_CALCULATION!B142,"")</f>
        <v/>
      </c>
      <c r="B153" s="62">
        <f>IF(SYSTEM_CALCULATION!U142="SI",SYSTEM_CALCULATION!E142,"")</f>
        <v/>
      </c>
      <c r="C153" s="62">
        <f>IF(SYSTEM_CALCULATION!U142="SI",SYSTEM_CALCULATION!O142,"")</f>
        <v/>
      </c>
      <c r="D153" s="62">
        <f>IF(SYSTEM_CALCULATION!U142="SI",SYSTEM_CALCULATION!G142,"")</f>
        <v/>
      </c>
      <c r="E153" s="63">
        <f>IF(SYSTEM_CALCULATION!U142&lt;&gt;"SI","",IF(INPUT_SYSTEM!B151="USD",SYSTEM_CALCULATION!R142*CONFIG!B142,SYSTEM_CALCULATION!R142))</f>
        <v/>
      </c>
      <c r="F153" s="63">
        <f>IF(SYSTEM_CALCULATION!U142&lt;&gt;"SI","",IF(INPUT_SYSTEM!B151="USD",SYSTEM_CALCULATION!T142*CONFIG!B142,SYSTEM_CALCULATION!T142))</f>
        <v/>
      </c>
    </row>
    <row r="154" ht="15.75" customHeight="1" s="125">
      <c r="A154" s="62">
        <f>IF(SYSTEM_CALCULATION!U143="SI",SYSTEM_CALCULATION!B143,"")</f>
        <v/>
      </c>
      <c r="B154" s="62">
        <f>IF(SYSTEM_CALCULATION!U143="SI",SYSTEM_CALCULATION!E143,"")</f>
        <v/>
      </c>
      <c r="C154" s="62">
        <f>IF(SYSTEM_CALCULATION!U143="SI",SYSTEM_CALCULATION!O143,"")</f>
        <v/>
      </c>
      <c r="D154" s="62">
        <f>IF(SYSTEM_CALCULATION!U143="SI",SYSTEM_CALCULATION!G143,"")</f>
        <v/>
      </c>
      <c r="E154" s="63">
        <f>IF(SYSTEM_CALCULATION!U143&lt;&gt;"SI","",IF(INPUT_SYSTEM!B152="USD",SYSTEM_CALCULATION!R143*CONFIG!B143,SYSTEM_CALCULATION!R143))</f>
        <v/>
      </c>
      <c r="F154" s="63">
        <f>IF(SYSTEM_CALCULATION!U143&lt;&gt;"SI","",IF(INPUT_SYSTEM!B152="USD",SYSTEM_CALCULATION!T143*CONFIG!B143,SYSTEM_CALCULATION!T143))</f>
        <v/>
      </c>
    </row>
    <row r="155" ht="15.75" customHeight="1" s="125">
      <c r="A155" s="62">
        <f>IF(SYSTEM_CALCULATION!U144="SI",SYSTEM_CALCULATION!B144,"")</f>
        <v/>
      </c>
      <c r="B155" s="62">
        <f>IF(SYSTEM_CALCULATION!U144="SI",SYSTEM_CALCULATION!E144,"")</f>
        <v/>
      </c>
      <c r="C155" s="62">
        <f>IF(SYSTEM_CALCULATION!U144="SI",SYSTEM_CALCULATION!O144,"")</f>
        <v/>
      </c>
      <c r="D155" s="62">
        <f>IF(SYSTEM_CALCULATION!U144="SI",SYSTEM_CALCULATION!G144,"")</f>
        <v/>
      </c>
      <c r="E155" s="63">
        <f>IF(SYSTEM_CALCULATION!U144&lt;&gt;"SI","",IF(INPUT_SYSTEM!B153="USD",SYSTEM_CALCULATION!R144*CONFIG!B144,SYSTEM_CALCULATION!R144))</f>
        <v/>
      </c>
      <c r="F155" s="63">
        <f>IF(SYSTEM_CALCULATION!U144&lt;&gt;"SI","",IF(INPUT_SYSTEM!B153="USD",SYSTEM_CALCULATION!T144*CONFIG!B144,SYSTEM_CALCULATION!T144))</f>
        <v/>
      </c>
    </row>
    <row r="156" ht="15.75" customHeight="1" s="125">
      <c r="A156" s="62">
        <f>IF(SYSTEM_CALCULATION!U145="SI",SYSTEM_CALCULATION!B145,"")</f>
        <v/>
      </c>
      <c r="B156" s="62">
        <f>IF(SYSTEM_CALCULATION!U145="SI",SYSTEM_CALCULATION!E145,"")</f>
        <v/>
      </c>
      <c r="C156" s="62">
        <f>IF(SYSTEM_CALCULATION!U145="SI",SYSTEM_CALCULATION!O145,"")</f>
        <v/>
      </c>
      <c r="D156" s="62">
        <f>IF(SYSTEM_CALCULATION!U145="SI",SYSTEM_CALCULATION!G145,"")</f>
        <v/>
      </c>
      <c r="E156" s="63">
        <f>IF(SYSTEM_CALCULATION!U145&lt;&gt;"SI","",IF(INPUT_SYSTEM!B154="USD",SYSTEM_CALCULATION!R145*CONFIG!B145,SYSTEM_CALCULATION!R145))</f>
        <v/>
      </c>
      <c r="F156" s="63">
        <f>IF(SYSTEM_CALCULATION!U145&lt;&gt;"SI","",IF(INPUT_SYSTEM!B154="USD",SYSTEM_CALCULATION!T145*CONFIG!B145,SYSTEM_CALCULATION!T145))</f>
        <v/>
      </c>
    </row>
    <row r="157" ht="15.75" customHeight="1" s="125">
      <c r="A157" s="62">
        <f>IF(SYSTEM_CALCULATION!U146="SI",SYSTEM_CALCULATION!B146,"")</f>
        <v/>
      </c>
      <c r="B157" s="62">
        <f>IF(SYSTEM_CALCULATION!U146="SI",SYSTEM_CALCULATION!E146,"")</f>
        <v/>
      </c>
      <c r="C157" s="62">
        <f>IF(SYSTEM_CALCULATION!U146="SI",SYSTEM_CALCULATION!O146,"")</f>
        <v/>
      </c>
      <c r="D157" s="62">
        <f>IF(SYSTEM_CALCULATION!U146="SI",SYSTEM_CALCULATION!G146,"")</f>
        <v/>
      </c>
      <c r="E157" s="63">
        <f>IF(SYSTEM_CALCULATION!U146&lt;&gt;"SI","",IF(INPUT_SYSTEM!B155="USD",SYSTEM_CALCULATION!R146*CONFIG!B146,SYSTEM_CALCULATION!R146))</f>
        <v/>
      </c>
      <c r="F157" s="63">
        <f>IF(SYSTEM_CALCULATION!U146&lt;&gt;"SI","",IF(INPUT_SYSTEM!B155="USD",SYSTEM_CALCULATION!T146*CONFIG!B146,SYSTEM_CALCULATION!T146))</f>
        <v/>
      </c>
    </row>
    <row r="158" ht="15.75" customHeight="1" s="125">
      <c r="A158" s="62">
        <f>IF(SYSTEM_CALCULATION!U147="SI",SYSTEM_CALCULATION!B147,"")</f>
        <v/>
      </c>
      <c r="B158" s="62">
        <f>IF(SYSTEM_CALCULATION!U147="SI",SYSTEM_CALCULATION!E147,"")</f>
        <v/>
      </c>
      <c r="C158" s="62">
        <f>IF(SYSTEM_CALCULATION!U147="SI",SYSTEM_CALCULATION!O147,"")</f>
        <v/>
      </c>
      <c r="D158" s="62">
        <f>IF(SYSTEM_CALCULATION!U147="SI",SYSTEM_CALCULATION!G147,"")</f>
        <v/>
      </c>
      <c r="E158" s="63">
        <f>IF(SYSTEM_CALCULATION!U147&lt;&gt;"SI","",IF(INPUT_SYSTEM!B156="USD",SYSTEM_CALCULATION!R147*CONFIG!B147,SYSTEM_CALCULATION!R147))</f>
        <v/>
      </c>
      <c r="F158" s="63">
        <f>IF(SYSTEM_CALCULATION!U147&lt;&gt;"SI","",IF(INPUT_SYSTEM!B156="USD",SYSTEM_CALCULATION!T147*CONFIG!B147,SYSTEM_CALCULATION!T147))</f>
        <v/>
      </c>
    </row>
    <row r="159" ht="15.75" customHeight="1" s="125">
      <c r="A159" s="62">
        <f>IF(SYSTEM_CALCULATION!U148="SI",SYSTEM_CALCULATION!B148,"")</f>
        <v/>
      </c>
      <c r="B159" s="62">
        <f>IF(SYSTEM_CALCULATION!U148="SI",SYSTEM_CALCULATION!E148,"")</f>
        <v/>
      </c>
      <c r="C159" s="62">
        <f>IF(SYSTEM_CALCULATION!U148="SI",SYSTEM_CALCULATION!O148,"")</f>
        <v/>
      </c>
      <c r="D159" s="62">
        <f>IF(SYSTEM_CALCULATION!U148="SI",SYSTEM_CALCULATION!G148,"")</f>
        <v/>
      </c>
      <c r="E159" s="63">
        <f>IF(SYSTEM_CALCULATION!U148&lt;&gt;"SI","",IF(INPUT_SYSTEM!B157="USD",SYSTEM_CALCULATION!R148*CONFIG!B148,SYSTEM_CALCULATION!R148))</f>
        <v/>
      </c>
      <c r="F159" s="63">
        <f>IF(SYSTEM_CALCULATION!U148&lt;&gt;"SI","",IF(INPUT_SYSTEM!B157="USD",SYSTEM_CALCULATION!T148*CONFIG!B148,SYSTEM_CALCULATION!T148))</f>
        <v/>
      </c>
    </row>
    <row r="160" ht="15.75" customHeight="1" s="125">
      <c r="A160" s="62">
        <f>IF(SYSTEM_CALCULATION!U149="SI",SYSTEM_CALCULATION!B149,"")</f>
        <v/>
      </c>
      <c r="B160" s="62">
        <f>IF(SYSTEM_CALCULATION!U149="SI",SYSTEM_CALCULATION!E149,"")</f>
        <v/>
      </c>
      <c r="C160" s="62">
        <f>IF(SYSTEM_CALCULATION!U149="SI",SYSTEM_CALCULATION!O149,"")</f>
        <v/>
      </c>
      <c r="D160" s="62">
        <f>IF(SYSTEM_CALCULATION!U149="SI",SYSTEM_CALCULATION!G149,"")</f>
        <v/>
      </c>
      <c r="E160" s="63">
        <f>IF(SYSTEM_CALCULATION!U149&lt;&gt;"SI","",IF(INPUT_SYSTEM!B158="USD",SYSTEM_CALCULATION!R149*CONFIG!B149,SYSTEM_CALCULATION!R149))</f>
        <v/>
      </c>
      <c r="F160" s="63">
        <f>IF(SYSTEM_CALCULATION!U149&lt;&gt;"SI","",IF(INPUT_SYSTEM!B158="USD",SYSTEM_CALCULATION!T149*CONFIG!B149,SYSTEM_CALCULATION!T149))</f>
        <v/>
      </c>
    </row>
    <row r="161" ht="15.75" customHeight="1" s="125">
      <c r="A161" s="62">
        <f>IF(SYSTEM_CALCULATION!U150="SI",SYSTEM_CALCULATION!B150,"")</f>
        <v/>
      </c>
      <c r="B161" s="62">
        <f>IF(SYSTEM_CALCULATION!U150="SI",SYSTEM_CALCULATION!E150,"")</f>
        <v/>
      </c>
      <c r="C161" s="62">
        <f>IF(SYSTEM_CALCULATION!U150="SI",SYSTEM_CALCULATION!O150,"")</f>
        <v/>
      </c>
      <c r="D161" s="62">
        <f>IF(SYSTEM_CALCULATION!U150="SI",SYSTEM_CALCULATION!G150,"")</f>
        <v/>
      </c>
      <c r="E161" s="63">
        <f>IF(SYSTEM_CALCULATION!U150&lt;&gt;"SI","",IF(INPUT_SYSTEM!B159="USD",SYSTEM_CALCULATION!R150*CONFIG!B150,SYSTEM_CALCULATION!R150))</f>
        <v/>
      </c>
      <c r="F161" s="63">
        <f>IF(SYSTEM_CALCULATION!U150&lt;&gt;"SI","",IF(INPUT_SYSTEM!B159="USD",SYSTEM_CALCULATION!T150*CONFIG!B150,SYSTEM_CALCULATION!T150))</f>
        <v/>
      </c>
    </row>
    <row r="162" ht="15.75" customHeight="1" s="125">
      <c r="A162" s="62">
        <f>IF(SYSTEM_CALCULATION!U151="SI",SYSTEM_CALCULATION!B151,"")</f>
        <v/>
      </c>
      <c r="B162" s="62">
        <f>IF(SYSTEM_CALCULATION!U151="SI",SYSTEM_CALCULATION!E151,"")</f>
        <v/>
      </c>
      <c r="C162" s="62">
        <f>IF(SYSTEM_CALCULATION!U151="SI",SYSTEM_CALCULATION!O151,"")</f>
        <v/>
      </c>
      <c r="D162" s="62">
        <f>IF(SYSTEM_CALCULATION!U151="SI",SYSTEM_CALCULATION!G151,"")</f>
        <v/>
      </c>
      <c r="E162" s="63">
        <f>IF(SYSTEM_CALCULATION!U151&lt;&gt;"SI","",IF(INPUT_SYSTEM!B160="USD",SYSTEM_CALCULATION!R151*CONFIG!B151,SYSTEM_CALCULATION!R151))</f>
        <v/>
      </c>
      <c r="F162" s="63">
        <f>IF(SYSTEM_CALCULATION!U151&lt;&gt;"SI","",IF(INPUT_SYSTEM!B160="USD",SYSTEM_CALCULATION!T151*CONFIG!B151,SYSTEM_CALCULATION!T151))</f>
        <v/>
      </c>
    </row>
    <row r="163" ht="15.75" customHeight="1" s="125">
      <c r="A163" s="62">
        <f>IF(SYSTEM_CALCULATION!U152="SI",SYSTEM_CALCULATION!B152,"")</f>
        <v/>
      </c>
      <c r="B163" s="62">
        <f>IF(SYSTEM_CALCULATION!U152="SI",SYSTEM_CALCULATION!E152,"")</f>
        <v/>
      </c>
      <c r="C163" s="62">
        <f>IF(SYSTEM_CALCULATION!U152="SI",SYSTEM_CALCULATION!O152,"")</f>
        <v/>
      </c>
      <c r="D163" s="62">
        <f>IF(SYSTEM_CALCULATION!U152="SI",SYSTEM_CALCULATION!G152,"")</f>
        <v/>
      </c>
      <c r="E163" s="63">
        <f>IF(SYSTEM_CALCULATION!U152&lt;&gt;"SI","",IF(INPUT_SYSTEM!B161="USD",SYSTEM_CALCULATION!R152*CONFIG!B152,SYSTEM_CALCULATION!R152))</f>
        <v/>
      </c>
      <c r="F163" s="63">
        <f>IF(SYSTEM_CALCULATION!U152&lt;&gt;"SI","",IF(INPUT_SYSTEM!B161="USD",SYSTEM_CALCULATION!T152*CONFIG!B152,SYSTEM_CALCULATION!T152))</f>
        <v/>
      </c>
    </row>
    <row r="164" ht="15.75" customHeight="1" s="125">
      <c r="A164" s="62">
        <f>IF(SYSTEM_CALCULATION!U153="SI",SYSTEM_CALCULATION!B153,"")</f>
        <v/>
      </c>
      <c r="B164" s="62">
        <f>IF(SYSTEM_CALCULATION!U153="SI",SYSTEM_CALCULATION!E153,"")</f>
        <v/>
      </c>
      <c r="C164" s="62">
        <f>IF(SYSTEM_CALCULATION!U153="SI",SYSTEM_CALCULATION!O153,"")</f>
        <v/>
      </c>
      <c r="D164" s="62">
        <f>IF(SYSTEM_CALCULATION!U153="SI",SYSTEM_CALCULATION!G153,"")</f>
        <v/>
      </c>
      <c r="E164" s="63">
        <f>IF(SYSTEM_CALCULATION!U153&lt;&gt;"SI","",IF(INPUT_SYSTEM!B162="USD",SYSTEM_CALCULATION!R153*CONFIG!B153,SYSTEM_CALCULATION!R153))</f>
        <v/>
      </c>
      <c r="F164" s="63">
        <f>IF(SYSTEM_CALCULATION!U153&lt;&gt;"SI","",IF(INPUT_SYSTEM!B162="USD",SYSTEM_CALCULATION!T153*CONFIG!B153,SYSTEM_CALCULATION!T153))</f>
        <v/>
      </c>
    </row>
    <row r="165" ht="15.75" customHeight="1" s="125">
      <c r="A165" s="62">
        <f>IF(SYSTEM_CALCULATION!U154="SI",SYSTEM_CALCULATION!B154,"")</f>
        <v/>
      </c>
      <c r="B165" s="62">
        <f>IF(SYSTEM_CALCULATION!U154="SI",SYSTEM_CALCULATION!E154,"")</f>
        <v/>
      </c>
      <c r="C165" s="62">
        <f>IF(SYSTEM_CALCULATION!U154="SI",SYSTEM_CALCULATION!O154,"")</f>
        <v/>
      </c>
      <c r="D165" s="62">
        <f>IF(SYSTEM_CALCULATION!U154="SI",SYSTEM_CALCULATION!G154,"")</f>
        <v/>
      </c>
      <c r="E165" s="63">
        <f>IF(SYSTEM_CALCULATION!U154&lt;&gt;"SI","",IF(INPUT_SYSTEM!B163="USD",SYSTEM_CALCULATION!R154*CONFIG!B154,SYSTEM_CALCULATION!R154))</f>
        <v/>
      </c>
      <c r="F165" s="63">
        <f>IF(SYSTEM_CALCULATION!U154&lt;&gt;"SI","",IF(INPUT_SYSTEM!B163="USD",SYSTEM_CALCULATION!T154*CONFIG!B154,SYSTEM_CALCULATION!T154))</f>
        <v/>
      </c>
    </row>
    <row r="166" ht="15.75" customHeight="1" s="125">
      <c r="A166" s="62">
        <f>IF(SYSTEM_CALCULATION!U155="SI",SYSTEM_CALCULATION!B155,"")</f>
        <v/>
      </c>
      <c r="B166" s="62">
        <f>IF(SYSTEM_CALCULATION!U155="SI",SYSTEM_CALCULATION!E155,"")</f>
        <v/>
      </c>
      <c r="C166" s="62">
        <f>IF(SYSTEM_CALCULATION!U155="SI",SYSTEM_CALCULATION!O155,"")</f>
        <v/>
      </c>
      <c r="D166" s="62">
        <f>IF(SYSTEM_CALCULATION!U155="SI",SYSTEM_CALCULATION!G155,"")</f>
        <v/>
      </c>
      <c r="E166" s="63">
        <f>IF(SYSTEM_CALCULATION!U155&lt;&gt;"SI","",IF(INPUT_SYSTEM!B164="USD",SYSTEM_CALCULATION!R155*CONFIG!B155,SYSTEM_CALCULATION!R155))</f>
        <v/>
      </c>
      <c r="F166" s="63">
        <f>IF(SYSTEM_CALCULATION!U155&lt;&gt;"SI","",IF(INPUT_SYSTEM!B164="USD",SYSTEM_CALCULATION!T155*CONFIG!B155,SYSTEM_CALCULATION!T155))</f>
        <v/>
      </c>
    </row>
    <row r="167" ht="15.75" customHeight="1" s="125">
      <c r="A167" s="62">
        <f>IF(SYSTEM_CALCULATION!U156="SI",SYSTEM_CALCULATION!B156,"")</f>
        <v/>
      </c>
      <c r="B167" s="62">
        <f>IF(SYSTEM_CALCULATION!U156="SI",SYSTEM_CALCULATION!E156,"")</f>
        <v/>
      </c>
      <c r="C167" s="62">
        <f>IF(SYSTEM_CALCULATION!U156="SI",SYSTEM_CALCULATION!O156,"")</f>
        <v/>
      </c>
      <c r="D167" s="62">
        <f>IF(SYSTEM_CALCULATION!U156="SI",SYSTEM_CALCULATION!G156,"")</f>
        <v/>
      </c>
      <c r="E167" s="63">
        <f>IF(SYSTEM_CALCULATION!U156&lt;&gt;"SI","",IF(INPUT_SYSTEM!B165="USD",SYSTEM_CALCULATION!R156*CONFIG!B156,SYSTEM_CALCULATION!R156))</f>
        <v/>
      </c>
      <c r="F167" s="63">
        <f>IF(SYSTEM_CALCULATION!U156&lt;&gt;"SI","",IF(INPUT_SYSTEM!B165="USD",SYSTEM_CALCULATION!T156*CONFIG!B156,SYSTEM_CALCULATION!T156))</f>
        <v/>
      </c>
    </row>
    <row r="168" ht="15.75" customHeight="1" s="125">
      <c r="A168" s="62">
        <f>IF(SYSTEM_CALCULATION!U157="SI",SYSTEM_CALCULATION!B157,"")</f>
        <v/>
      </c>
      <c r="B168" s="62">
        <f>IF(SYSTEM_CALCULATION!U157="SI",SYSTEM_CALCULATION!E157,"")</f>
        <v/>
      </c>
      <c r="C168" s="62">
        <f>IF(SYSTEM_CALCULATION!U157="SI",SYSTEM_CALCULATION!O157,"")</f>
        <v/>
      </c>
      <c r="D168" s="62">
        <f>IF(SYSTEM_CALCULATION!U157="SI",SYSTEM_CALCULATION!G157,"")</f>
        <v/>
      </c>
      <c r="E168" s="63">
        <f>IF(SYSTEM_CALCULATION!U157&lt;&gt;"SI","",IF(INPUT_SYSTEM!B166="USD",SYSTEM_CALCULATION!R157*CONFIG!B157,SYSTEM_CALCULATION!R157))</f>
        <v/>
      </c>
      <c r="F168" s="63">
        <f>IF(SYSTEM_CALCULATION!U157&lt;&gt;"SI","",IF(INPUT_SYSTEM!B166="USD",SYSTEM_CALCULATION!T157*CONFIG!B157,SYSTEM_CALCULATION!T157))</f>
        <v/>
      </c>
    </row>
    <row r="169" ht="15.75" customHeight="1" s="125">
      <c r="A169" s="62">
        <f>IF(SYSTEM_CALCULATION!U158="SI",SYSTEM_CALCULATION!B158,"")</f>
        <v/>
      </c>
      <c r="B169" s="62">
        <f>IF(SYSTEM_CALCULATION!U158="SI",SYSTEM_CALCULATION!E158,"")</f>
        <v/>
      </c>
      <c r="C169" s="62">
        <f>IF(SYSTEM_CALCULATION!U158="SI",SYSTEM_CALCULATION!O158,"")</f>
        <v/>
      </c>
      <c r="D169" s="62">
        <f>IF(SYSTEM_CALCULATION!U158="SI",SYSTEM_CALCULATION!G158,"")</f>
        <v/>
      </c>
      <c r="E169" s="63">
        <f>IF(SYSTEM_CALCULATION!U158&lt;&gt;"SI","",IF(INPUT_SYSTEM!B167="USD",SYSTEM_CALCULATION!R158*CONFIG!B158,SYSTEM_CALCULATION!R158))</f>
        <v/>
      </c>
      <c r="F169" s="63">
        <f>IF(SYSTEM_CALCULATION!U158&lt;&gt;"SI","",IF(INPUT_SYSTEM!B167="USD",SYSTEM_CALCULATION!T158*CONFIG!B158,SYSTEM_CALCULATION!T158))</f>
        <v/>
      </c>
    </row>
    <row r="170" ht="15.75" customHeight="1" s="125">
      <c r="A170" s="62">
        <f>IF(SYSTEM_CALCULATION!U159="SI",SYSTEM_CALCULATION!B159,"")</f>
        <v/>
      </c>
      <c r="B170" s="62">
        <f>IF(SYSTEM_CALCULATION!U159="SI",SYSTEM_CALCULATION!E159,"")</f>
        <v/>
      </c>
      <c r="C170" s="62">
        <f>IF(SYSTEM_CALCULATION!U159="SI",SYSTEM_CALCULATION!O159,"")</f>
        <v/>
      </c>
      <c r="D170" s="62">
        <f>IF(SYSTEM_CALCULATION!U159="SI",SYSTEM_CALCULATION!G159,"")</f>
        <v/>
      </c>
      <c r="E170" s="63">
        <f>IF(SYSTEM_CALCULATION!U159&lt;&gt;"SI","",IF(INPUT_SYSTEM!B168="USD",SYSTEM_CALCULATION!R159*CONFIG!B159,SYSTEM_CALCULATION!R159))</f>
        <v/>
      </c>
      <c r="F170" s="63">
        <f>IF(SYSTEM_CALCULATION!U159&lt;&gt;"SI","",IF(INPUT_SYSTEM!B168="USD",SYSTEM_CALCULATION!T159*CONFIG!B159,SYSTEM_CALCULATION!T159))</f>
        <v/>
      </c>
    </row>
    <row r="171" ht="15.75" customHeight="1" s="125">
      <c r="A171" s="62">
        <f>IF(SYSTEM_CALCULATION!U160="SI",SYSTEM_CALCULATION!B160,"")</f>
        <v/>
      </c>
      <c r="B171" s="62">
        <f>IF(SYSTEM_CALCULATION!U160="SI",SYSTEM_CALCULATION!E160,"")</f>
        <v/>
      </c>
      <c r="C171" s="62">
        <f>IF(SYSTEM_CALCULATION!U160="SI",SYSTEM_CALCULATION!O160,"")</f>
        <v/>
      </c>
      <c r="D171" s="62">
        <f>IF(SYSTEM_CALCULATION!U160="SI",SYSTEM_CALCULATION!G160,"")</f>
        <v/>
      </c>
      <c r="E171" s="63">
        <f>IF(SYSTEM_CALCULATION!U160&lt;&gt;"SI","",IF(INPUT_SYSTEM!B169="USD",SYSTEM_CALCULATION!R160*CONFIG!B160,SYSTEM_CALCULATION!R160))</f>
        <v/>
      </c>
      <c r="F171" s="63">
        <f>IF(SYSTEM_CALCULATION!U160&lt;&gt;"SI","",IF(INPUT_SYSTEM!B169="USD",SYSTEM_CALCULATION!T160*CONFIG!B160,SYSTEM_CALCULATION!T160))</f>
        <v/>
      </c>
    </row>
    <row r="172" ht="15.75" customHeight="1" s="125">
      <c r="A172" s="62">
        <f>IF(SYSTEM_CALCULATION!U161="SI",SYSTEM_CALCULATION!B161,"")</f>
        <v/>
      </c>
      <c r="B172" s="62">
        <f>IF(SYSTEM_CALCULATION!U161="SI",SYSTEM_CALCULATION!E161,"")</f>
        <v/>
      </c>
      <c r="C172" s="62">
        <f>IF(SYSTEM_CALCULATION!U161="SI",SYSTEM_CALCULATION!O161,"")</f>
        <v/>
      </c>
      <c r="D172" s="62">
        <f>IF(SYSTEM_CALCULATION!U161="SI",SYSTEM_CALCULATION!G161,"")</f>
        <v/>
      </c>
      <c r="E172" s="63">
        <f>IF(SYSTEM_CALCULATION!U161&lt;&gt;"SI","",IF(INPUT_SYSTEM!B170="USD",SYSTEM_CALCULATION!R161*CONFIG!B161,SYSTEM_CALCULATION!R161))</f>
        <v/>
      </c>
      <c r="F172" s="63">
        <f>IF(SYSTEM_CALCULATION!U161&lt;&gt;"SI","",IF(INPUT_SYSTEM!B170="USD",SYSTEM_CALCULATION!T161*CONFIG!B161,SYSTEM_CALCULATION!T161))</f>
        <v/>
      </c>
    </row>
    <row r="173" ht="15.75" customHeight="1" s="125">
      <c r="A173" s="62">
        <f>IF(SYSTEM_CALCULATION!U162="SI",SYSTEM_CALCULATION!B162,"")</f>
        <v/>
      </c>
      <c r="B173" s="62">
        <f>IF(SYSTEM_CALCULATION!U162="SI",SYSTEM_CALCULATION!E162,"")</f>
        <v/>
      </c>
      <c r="C173" s="62">
        <f>IF(SYSTEM_CALCULATION!U162="SI",SYSTEM_CALCULATION!O162,"")</f>
        <v/>
      </c>
      <c r="D173" s="62">
        <f>IF(SYSTEM_CALCULATION!U162="SI",SYSTEM_CALCULATION!G162,"")</f>
        <v/>
      </c>
      <c r="E173" s="63">
        <f>IF(SYSTEM_CALCULATION!U162&lt;&gt;"SI","",IF(INPUT_SYSTEM!B171="USD",SYSTEM_CALCULATION!R162*CONFIG!B162,SYSTEM_CALCULATION!R162))</f>
        <v/>
      </c>
      <c r="F173" s="63">
        <f>IF(SYSTEM_CALCULATION!U162&lt;&gt;"SI","",IF(INPUT_SYSTEM!B171="USD",SYSTEM_CALCULATION!T162*CONFIG!B162,SYSTEM_CALCULATION!T162))</f>
        <v/>
      </c>
    </row>
    <row r="174" ht="15.75" customHeight="1" s="125">
      <c r="A174" s="62">
        <f>IF(SYSTEM_CALCULATION!U163="SI",SYSTEM_CALCULATION!B163,"")</f>
        <v/>
      </c>
      <c r="B174" s="62">
        <f>IF(SYSTEM_CALCULATION!U163="SI",SYSTEM_CALCULATION!E163,"")</f>
        <v/>
      </c>
      <c r="C174" s="62">
        <f>IF(SYSTEM_CALCULATION!U163="SI",SYSTEM_CALCULATION!O163,"")</f>
        <v/>
      </c>
      <c r="D174" s="62">
        <f>IF(SYSTEM_CALCULATION!U163="SI",SYSTEM_CALCULATION!G163,"")</f>
        <v/>
      </c>
      <c r="E174" s="63">
        <f>IF(SYSTEM_CALCULATION!U163&lt;&gt;"SI","",IF(INPUT_SYSTEM!B172="USD",SYSTEM_CALCULATION!R163*CONFIG!B163,SYSTEM_CALCULATION!R163))</f>
        <v/>
      </c>
      <c r="F174" s="63">
        <f>IF(SYSTEM_CALCULATION!U163&lt;&gt;"SI","",IF(INPUT_SYSTEM!B172="USD",SYSTEM_CALCULATION!T163*CONFIG!B163,SYSTEM_CALCULATION!T163))</f>
        <v/>
      </c>
    </row>
    <row r="175" ht="15.75" customHeight="1" s="125">
      <c r="A175" s="62">
        <f>IF(SYSTEM_CALCULATION!U164="SI",SYSTEM_CALCULATION!B164,"")</f>
        <v/>
      </c>
      <c r="B175" s="62">
        <f>IF(SYSTEM_CALCULATION!U164="SI",SYSTEM_CALCULATION!E164,"")</f>
        <v/>
      </c>
      <c r="C175" s="62">
        <f>IF(SYSTEM_CALCULATION!U164="SI",SYSTEM_CALCULATION!O164,"")</f>
        <v/>
      </c>
      <c r="D175" s="62">
        <f>IF(SYSTEM_CALCULATION!U164="SI",SYSTEM_CALCULATION!G164,"")</f>
        <v/>
      </c>
      <c r="E175" s="63">
        <f>IF(SYSTEM_CALCULATION!U164&lt;&gt;"SI","",IF(INPUT_SYSTEM!B173="USD",SYSTEM_CALCULATION!R164*CONFIG!B164,SYSTEM_CALCULATION!R164))</f>
        <v/>
      </c>
      <c r="F175" s="63">
        <f>IF(SYSTEM_CALCULATION!U164&lt;&gt;"SI","",IF(INPUT_SYSTEM!B173="USD",SYSTEM_CALCULATION!T164*CONFIG!B164,SYSTEM_CALCULATION!T164))</f>
        <v/>
      </c>
    </row>
    <row r="176" ht="15.75" customHeight="1" s="125">
      <c r="A176" s="62">
        <f>IF(SYSTEM_CALCULATION!U165="SI",SYSTEM_CALCULATION!B165,"")</f>
        <v/>
      </c>
      <c r="B176" s="62">
        <f>IF(SYSTEM_CALCULATION!U165="SI",SYSTEM_CALCULATION!E165,"")</f>
        <v/>
      </c>
      <c r="C176" s="62">
        <f>IF(SYSTEM_CALCULATION!U165="SI",SYSTEM_CALCULATION!O165,"")</f>
        <v/>
      </c>
      <c r="D176" s="62">
        <f>IF(SYSTEM_CALCULATION!U165="SI",SYSTEM_CALCULATION!G165,"")</f>
        <v/>
      </c>
      <c r="E176" s="63">
        <f>IF(SYSTEM_CALCULATION!U165&lt;&gt;"SI","",IF(INPUT_SYSTEM!B174="USD",SYSTEM_CALCULATION!R165*CONFIG!B165,SYSTEM_CALCULATION!R165))</f>
        <v/>
      </c>
      <c r="F176" s="63">
        <f>IF(SYSTEM_CALCULATION!U165&lt;&gt;"SI","",IF(INPUT_SYSTEM!B174="USD",SYSTEM_CALCULATION!T165*CONFIG!B165,SYSTEM_CALCULATION!T165))</f>
        <v/>
      </c>
    </row>
    <row r="177" ht="15.75" customHeight="1" s="125">
      <c r="A177" s="62">
        <f>IF(SYSTEM_CALCULATION!U166="SI",SYSTEM_CALCULATION!B166,"")</f>
        <v/>
      </c>
      <c r="B177" s="62">
        <f>IF(SYSTEM_CALCULATION!U166="SI",SYSTEM_CALCULATION!E166,"")</f>
        <v/>
      </c>
      <c r="C177" s="62">
        <f>IF(SYSTEM_CALCULATION!U166="SI",SYSTEM_CALCULATION!O166,"")</f>
        <v/>
      </c>
      <c r="D177" s="62">
        <f>IF(SYSTEM_CALCULATION!U166="SI",SYSTEM_CALCULATION!G166,"")</f>
        <v/>
      </c>
      <c r="E177" s="63">
        <f>IF(SYSTEM_CALCULATION!U166&lt;&gt;"SI","",IF(INPUT_SYSTEM!B175="USD",SYSTEM_CALCULATION!R166*CONFIG!B166,SYSTEM_CALCULATION!R166))</f>
        <v/>
      </c>
      <c r="F177" s="63">
        <f>IF(SYSTEM_CALCULATION!U166&lt;&gt;"SI","",IF(INPUT_SYSTEM!B175="USD",SYSTEM_CALCULATION!T166*CONFIG!B166,SYSTEM_CALCULATION!T166))</f>
        <v/>
      </c>
    </row>
    <row r="178" ht="15.75" customHeight="1" s="125">
      <c r="A178" s="62">
        <f>IF(SYSTEM_CALCULATION!U167="SI",SYSTEM_CALCULATION!B167,"")</f>
        <v/>
      </c>
      <c r="B178" s="62">
        <f>IF(SYSTEM_CALCULATION!U167="SI",SYSTEM_CALCULATION!E167,"")</f>
        <v/>
      </c>
      <c r="C178" s="62">
        <f>IF(SYSTEM_CALCULATION!U167="SI",SYSTEM_CALCULATION!O167,"")</f>
        <v/>
      </c>
      <c r="D178" s="62">
        <f>IF(SYSTEM_CALCULATION!U167="SI",SYSTEM_CALCULATION!G167,"")</f>
        <v/>
      </c>
      <c r="E178" s="63">
        <f>IF(SYSTEM_CALCULATION!U167&lt;&gt;"SI","",IF(INPUT_SYSTEM!B176="USD",SYSTEM_CALCULATION!R167*CONFIG!B167,SYSTEM_CALCULATION!R167))</f>
        <v/>
      </c>
      <c r="F178" s="63">
        <f>IF(SYSTEM_CALCULATION!U167&lt;&gt;"SI","",IF(INPUT_SYSTEM!B176="USD",SYSTEM_CALCULATION!T167*CONFIG!B167,SYSTEM_CALCULATION!T167))</f>
        <v/>
      </c>
    </row>
    <row r="179" ht="15.75" customHeight="1" s="125">
      <c r="A179" s="62">
        <f>IF(SYSTEM_CALCULATION!U168="SI",SYSTEM_CALCULATION!B168,"")</f>
        <v/>
      </c>
      <c r="B179" s="62">
        <f>IF(SYSTEM_CALCULATION!U168="SI",SYSTEM_CALCULATION!E168,"")</f>
        <v/>
      </c>
      <c r="C179" s="62">
        <f>IF(SYSTEM_CALCULATION!U168="SI",SYSTEM_CALCULATION!O168,"")</f>
        <v/>
      </c>
      <c r="D179" s="62">
        <f>IF(SYSTEM_CALCULATION!U168="SI",SYSTEM_CALCULATION!G168,"")</f>
        <v/>
      </c>
      <c r="E179" s="63">
        <f>IF(SYSTEM_CALCULATION!U168&lt;&gt;"SI","",IF(INPUT_SYSTEM!B177="USD",SYSTEM_CALCULATION!R168*CONFIG!B168,SYSTEM_CALCULATION!R168))</f>
        <v/>
      </c>
      <c r="F179" s="63">
        <f>IF(SYSTEM_CALCULATION!U168&lt;&gt;"SI","",IF(INPUT_SYSTEM!B177="USD",SYSTEM_CALCULATION!T168*CONFIG!B168,SYSTEM_CALCULATION!T168))</f>
        <v/>
      </c>
    </row>
    <row r="180" ht="15.75" customHeight="1" s="125">
      <c r="A180" s="62">
        <f>IF(SYSTEM_CALCULATION!U169="SI",SYSTEM_CALCULATION!B169,"")</f>
        <v/>
      </c>
      <c r="B180" s="62">
        <f>IF(SYSTEM_CALCULATION!U169="SI",SYSTEM_CALCULATION!E169,"")</f>
        <v/>
      </c>
      <c r="C180" s="62">
        <f>IF(SYSTEM_CALCULATION!U169="SI",SYSTEM_CALCULATION!O169,"")</f>
        <v/>
      </c>
      <c r="D180" s="62">
        <f>IF(SYSTEM_CALCULATION!U169="SI",SYSTEM_CALCULATION!G169,"")</f>
        <v/>
      </c>
      <c r="E180" s="63">
        <f>IF(SYSTEM_CALCULATION!U169&lt;&gt;"SI","",IF(INPUT_SYSTEM!B178="USD",SYSTEM_CALCULATION!R169*CONFIG!B169,SYSTEM_CALCULATION!R169))</f>
        <v/>
      </c>
      <c r="F180" s="63">
        <f>IF(SYSTEM_CALCULATION!U169&lt;&gt;"SI","",IF(INPUT_SYSTEM!B178="USD",SYSTEM_CALCULATION!T169*CONFIG!B169,SYSTEM_CALCULATION!T169))</f>
        <v/>
      </c>
    </row>
    <row r="181" ht="15.75" customHeight="1" s="125">
      <c r="A181" s="62">
        <f>IF(SYSTEM_CALCULATION!U170="SI",SYSTEM_CALCULATION!B170,"")</f>
        <v/>
      </c>
      <c r="B181" s="62">
        <f>IF(SYSTEM_CALCULATION!U170="SI",SYSTEM_CALCULATION!E170,"")</f>
        <v/>
      </c>
      <c r="C181" s="62">
        <f>IF(SYSTEM_CALCULATION!U170="SI",SYSTEM_CALCULATION!O170,"")</f>
        <v/>
      </c>
      <c r="D181" s="62">
        <f>IF(SYSTEM_CALCULATION!U170="SI",SYSTEM_CALCULATION!G170,"")</f>
        <v/>
      </c>
      <c r="E181" s="63">
        <f>IF(SYSTEM_CALCULATION!U170&lt;&gt;"SI","",IF(INPUT_SYSTEM!B179="USD",SYSTEM_CALCULATION!R170*CONFIG!B170,SYSTEM_CALCULATION!R170))</f>
        <v/>
      </c>
      <c r="F181" s="63">
        <f>IF(SYSTEM_CALCULATION!U170&lt;&gt;"SI","",IF(INPUT_SYSTEM!B179="USD",SYSTEM_CALCULATION!T170*CONFIG!B170,SYSTEM_CALCULATION!T170))</f>
        <v/>
      </c>
    </row>
    <row r="182" ht="15.75" customHeight="1" s="125">
      <c r="A182" s="62">
        <f>IF(SYSTEM_CALCULATION!U171="SI",SYSTEM_CALCULATION!B171,"")</f>
        <v/>
      </c>
      <c r="B182" s="62">
        <f>IF(SYSTEM_CALCULATION!U171="SI",SYSTEM_CALCULATION!E171,"")</f>
        <v/>
      </c>
      <c r="C182" s="62">
        <f>IF(SYSTEM_CALCULATION!U171="SI",SYSTEM_CALCULATION!O171,"")</f>
        <v/>
      </c>
      <c r="D182" s="62">
        <f>IF(SYSTEM_CALCULATION!U171="SI",SYSTEM_CALCULATION!G171,"")</f>
        <v/>
      </c>
      <c r="E182" s="63">
        <f>IF(SYSTEM_CALCULATION!U171&lt;&gt;"SI","",IF(INPUT_SYSTEM!B180="USD",SYSTEM_CALCULATION!R171*CONFIG!B171,SYSTEM_CALCULATION!R171))</f>
        <v/>
      </c>
      <c r="F182" s="63">
        <f>IF(SYSTEM_CALCULATION!U171&lt;&gt;"SI","",IF(INPUT_SYSTEM!B180="USD",SYSTEM_CALCULATION!T171*CONFIG!B171,SYSTEM_CALCULATION!T171))</f>
        <v/>
      </c>
    </row>
    <row r="183" ht="15.75" customHeight="1" s="125">
      <c r="A183" s="62">
        <f>IF(SYSTEM_CALCULATION!U172="SI",SYSTEM_CALCULATION!B172,"")</f>
        <v/>
      </c>
      <c r="B183" s="62">
        <f>IF(SYSTEM_CALCULATION!U172="SI",SYSTEM_CALCULATION!E172,"")</f>
        <v/>
      </c>
      <c r="C183" s="62">
        <f>IF(SYSTEM_CALCULATION!U172="SI",SYSTEM_CALCULATION!O172,"")</f>
        <v/>
      </c>
      <c r="D183" s="62">
        <f>IF(SYSTEM_CALCULATION!U172="SI",SYSTEM_CALCULATION!G172,"")</f>
        <v/>
      </c>
      <c r="E183" s="63">
        <f>IF(SYSTEM_CALCULATION!U172&lt;&gt;"SI","",IF(INPUT_SYSTEM!B181="USD",SYSTEM_CALCULATION!R172*CONFIG!B172,SYSTEM_CALCULATION!R172))</f>
        <v/>
      </c>
      <c r="F183" s="63">
        <f>IF(SYSTEM_CALCULATION!U172&lt;&gt;"SI","",IF(INPUT_SYSTEM!B181="USD",SYSTEM_CALCULATION!T172*CONFIG!B172,SYSTEM_CALCULATION!T172))</f>
        <v/>
      </c>
    </row>
    <row r="184" ht="15.75" customHeight="1" s="125">
      <c r="A184" s="62">
        <f>IF(SYSTEM_CALCULATION!U173="SI",SYSTEM_CALCULATION!B173,"")</f>
        <v/>
      </c>
      <c r="B184" s="62">
        <f>IF(SYSTEM_CALCULATION!U173="SI",SYSTEM_CALCULATION!E173,"")</f>
        <v/>
      </c>
      <c r="C184" s="62">
        <f>IF(SYSTEM_CALCULATION!U173="SI",SYSTEM_CALCULATION!O173,"")</f>
        <v/>
      </c>
      <c r="D184" s="62">
        <f>IF(SYSTEM_CALCULATION!U173="SI",SYSTEM_CALCULATION!G173,"")</f>
        <v/>
      </c>
      <c r="E184" s="63">
        <f>IF(SYSTEM_CALCULATION!U173&lt;&gt;"SI","",IF(INPUT_SYSTEM!B182="USD",SYSTEM_CALCULATION!R173*CONFIG!B173,SYSTEM_CALCULATION!R173))</f>
        <v/>
      </c>
      <c r="F184" s="63">
        <f>IF(SYSTEM_CALCULATION!U173&lt;&gt;"SI","",IF(INPUT_SYSTEM!B182="USD",SYSTEM_CALCULATION!T173*CONFIG!B173,SYSTEM_CALCULATION!T173))</f>
        <v/>
      </c>
    </row>
    <row r="185" ht="15.75" customHeight="1" s="125">
      <c r="A185" s="62">
        <f>IF(SYSTEM_CALCULATION!U174="SI",SYSTEM_CALCULATION!B174,"")</f>
        <v/>
      </c>
      <c r="B185" s="62">
        <f>IF(SYSTEM_CALCULATION!U174="SI",SYSTEM_CALCULATION!E174,"")</f>
        <v/>
      </c>
      <c r="C185" s="62">
        <f>IF(SYSTEM_CALCULATION!U174="SI",SYSTEM_CALCULATION!O174,"")</f>
        <v/>
      </c>
      <c r="D185" s="62">
        <f>IF(SYSTEM_CALCULATION!U174="SI",SYSTEM_CALCULATION!G174,"")</f>
        <v/>
      </c>
      <c r="E185" s="63">
        <f>IF(SYSTEM_CALCULATION!U174&lt;&gt;"SI","",IF(INPUT_SYSTEM!B183="USD",SYSTEM_CALCULATION!R174*CONFIG!B174,SYSTEM_CALCULATION!R174))</f>
        <v/>
      </c>
      <c r="F185" s="63">
        <f>IF(SYSTEM_CALCULATION!U174&lt;&gt;"SI","",IF(INPUT_SYSTEM!B183="USD",SYSTEM_CALCULATION!T174*CONFIG!B174,SYSTEM_CALCULATION!T174))</f>
        <v/>
      </c>
    </row>
    <row r="186" ht="15.75" customHeight="1" s="125">
      <c r="A186" s="62">
        <f>IF(SYSTEM_CALCULATION!U175="SI",SYSTEM_CALCULATION!B175,"")</f>
        <v/>
      </c>
      <c r="B186" s="62">
        <f>IF(SYSTEM_CALCULATION!U175="SI",SYSTEM_CALCULATION!E175,"")</f>
        <v/>
      </c>
      <c r="C186" s="62">
        <f>IF(SYSTEM_CALCULATION!U175="SI",SYSTEM_CALCULATION!O175,"")</f>
        <v/>
      </c>
      <c r="D186" s="62">
        <f>IF(SYSTEM_CALCULATION!U175="SI",SYSTEM_CALCULATION!G175,"")</f>
        <v/>
      </c>
      <c r="E186" s="63">
        <f>IF(SYSTEM_CALCULATION!U175&lt;&gt;"SI","",IF(INPUT_SYSTEM!B184="USD",SYSTEM_CALCULATION!R175*CONFIG!B175,SYSTEM_CALCULATION!R175))</f>
        <v/>
      </c>
      <c r="F186" s="63">
        <f>IF(SYSTEM_CALCULATION!U175&lt;&gt;"SI","",IF(INPUT_SYSTEM!B184="USD",SYSTEM_CALCULATION!T175*CONFIG!B175,SYSTEM_CALCULATION!T175))</f>
        <v/>
      </c>
    </row>
    <row r="187" ht="15.75" customHeight="1" s="125">
      <c r="A187" s="62">
        <f>IF(SYSTEM_CALCULATION!U176="SI",SYSTEM_CALCULATION!B176,"")</f>
        <v/>
      </c>
      <c r="B187" s="62">
        <f>IF(SYSTEM_CALCULATION!U176="SI",SYSTEM_CALCULATION!E176,"")</f>
        <v/>
      </c>
      <c r="C187" s="62">
        <f>IF(SYSTEM_CALCULATION!U176="SI",SYSTEM_CALCULATION!O176,"")</f>
        <v/>
      </c>
      <c r="D187" s="62">
        <f>IF(SYSTEM_CALCULATION!U176="SI",SYSTEM_CALCULATION!G176,"")</f>
        <v/>
      </c>
      <c r="E187" s="63">
        <f>IF(SYSTEM_CALCULATION!U176&lt;&gt;"SI","",IF(INPUT_SYSTEM!B185="USD",SYSTEM_CALCULATION!R176*CONFIG!B176,SYSTEM_CALCULATION!R176))</f>
        <v/>
      </c>
      <c r="F187" s="63">
        <f>IF(SYSTEM_CALCULATION!U176&lt;&gt;"SI","",IF(INPUT_SYSTEM!B185="USD",SYSTEM_CALCULATION!T176*CONFIG!B176,SYSTEM_CALCULATION!T176))</f>
        <v/>
      </c>
    </row>
    <row r="188" ht="15.75" customHeight="1" s="125">
      <c r="A188" s="62">
        <f>IF(SYSTEM_CALCULATION!U177="SI",SYSTEM_CALCULATION!B177,"")</f>
        <v/>
      </c>
      <c r="B188" s="62">
        <f>IF(SYSTEM_CALCULATION!U177="SI",SYSTEM_CALCULATION!E177,"")</f>
        <v/>
      </c>
      <c r="C188" s="62">
        <f>IF(SYSTEM_CALCULATION!U177="SI",SYSTEM_CALCULATION!O177,"")</f>
        <v/>
      </c>
      <c r="D188" s="62">
        <f>IF(SYSTEM_CALCULATION!U177="SI",SYSTEM_CALCULATION!G177,"")</f>
        <v/>
      </c>
      <c r="E188" s="63">
        <f>IF(SYSTEM_CALCULATION!U177&lt;&gt;"SI","",IF(INPUT_SYSTEM!B186="USD",SYSTEM_CALCULATION!R177*CONFIG!B177,SYSTEM_CALCULATION!R177))</f>
        <v/>
      </c>
      <c r="F188" s="63">
        <f>IF(SYSTEM_CALCULATION!U177&lt;&gt;"SI","",IF(INPUT_SYSTEM!B186="USD",SYSTEM_CALCULATION!T177*CONFIG!B177,SYSTEM_CALCULATION!T177))</f>
        <v/>
      </c>
    </row>
    <row r="189" ht="15.75" customHeight="1" s="125">
      <c r="A189" s="62">
        <f>IF(SYSTEM_CALCULATION!U178="SI",SYSTEM_CALCULATION!B178,"")</f>
        <v/>
      </c>
      <c r="B189" s="62">
        <f>IF(SYSTEM_CALCULATION!U178="SI",SYSTEM_CALCULATION!E178,"")</f>
        <v/>
      </c>
      <c r="C189" s="62">
        <f>IF(SYSTEM_CALCULATION!U178="SI",SYSTEM_CALCULATION!O178,"")</f>
        <v/>
      </c>
      <c r="D189" s="62">
        <f>IF(SYSTEM_CALCULATION!U178="SI",SYSTEM_CALCULATION!G178,"")</f>
        <v/>
      </c>
      <c r="E189" s="63">
        <f>IF(SYSTEM_CALCULATION!U178&lt;&gt;"SI","",IF(INPUT_SYSTEM!B187="USD",SYSTEM_CALCULATION!R178*CONFIG!B178,SYSTEM_CALCULATION!R178))</f>
        <v/>
      </c>
      <c r="F189" s="63">
        <f>IF(SYSTEM_CALCULATION!U178&lt;&gt;"SI","",IF(INPUT_SYSTEM!B187="USD",SYSTEM_CALCULATION!T178*CONFIG!B178,SYSTEM_CALCULATION!T178))</f>
        <v/>
      </c>
    </row>
    <row r="190" ht="15.75" customHeight="1" s="125">
      <c r="A190" s="62">
        <f>IF(SYSTEM_CALCULATION!U179="SI",SYSTEM_CALCULATION!B179,"")</f>
        <v/>
      </c>
      <c r="B190" s="62">
        <f>IF(SYSTEM_CALCULATION!U179="SI",SYSTEM_CALCULATION!E179,"")</f>
        <v/>
      </c>
      <c r="C190" s="62">
        <f>IF(SYSTEM_CALCULATION!U179="SI",SYSTEM_CALCULATION!O179,"")</f>
        <v/>
      </c>
      <c r="D190" s="62">
        <f>IF(SYSTEM_CALCULATION!U179="SI",SYSTEM_CALCULATION!G179,"")</f>
        <v/>
      </c>
      <c r="E190" s="63">
        <f>IF(SYSTEM_CALCULATION!U179&lt;&gt;"SI","",IF(INPUT_SYSTEM!B188="USD",SYSTEM_CALCULATION!R179*CONFIG!B179,SYSTEM_CALCULATION!R179))</f>
        <v/>
      </c>
      <c r="F190" s="63">
        <f>IF(SYSTEM_CALCULATION!U179&lt;&gt;"SI","",IF(INPUT_SYSTEM!B188="USD",SYSTEM_CALCULATION!T179*CONFIG!B179,SYSTEM_CALCULATION!T179))</f>
        <v/>
      </c>
    </row>
    <row r="191" ht="15.75" customHeight="1" s="125">
      <c r="A191" s="62">
        <f>IF(SYSTEM_CALCULATION!U180="SI",SYSTEM_CALCULATION!B180,"")</f>
        <v/>
      </c>
      <c r="B191" s="62">
        <f>IF(SYSTEM_CALCULATION!U180="SI",SYSTEM_CALCULATION!E180,"")</f>
        <v/>
      </c>
      <c r="C191" s="62">
        <f>IF(SYSTEM_CALCULATION!U180="SI",SYSTEM_CALCULATION!O180,"")</f>
        <v/>
      </c>
      <c r="D191" s="62">
        <f>IF(SYSTEM_CALCULATION!U180="SI",SYSTEM_CALCULATION!G180,"")</f>
        <v/>
      </c>
      <c r="E191" s="63">
        <f>IF(SYSTEM_CALCULATION!U180&lt;&gt;"SI","",IF(INPUT_SYSTEM!B189="USD",SYSTEM_CALCULATION!R180*CONFIG!B180,SYSTEM_CALCULATION!R180))</f>
        <v/>
      </c>
      <c r="F191" s="63">
        <f>IF(SYSTEM_CALCULATION!U180&lt;&gt;"SI","",IF(INPUT_SYSTEM!B189="USD",SYSTEM_CALCULATION!T180*CONFIG!B180,SYSTEM_CALCULATION!T180))</f>
        <v/>
      </c>
    </row>
    <row r="192" ht="15.75" customHeight="1" s="125">
      <c r="A192" s="62">
        <f>IF(SYSTEM_CALCULATION!U181="SI",SYSTEM_CALCULATION!B181,"")</f>
        <v/>
      </c>
      <c r="B192" s="62">
        <f>IF(SYSTEM_CALCULATION!U181="SI",SYSTEM_CALCULATION!E181,"")</f>
        <v/>
      </c>
      <c r="C192" s="62">
        <f>IF(SYSTEM_CALCULATION!U181="SI",SYSTEM_CALCULATION!O181,"")</f>
        <v/>
      </c>
      <c r="D192" s="62">
        <f>IF(SYSTEM_CALCULATION!U181="SI",SYSTEM_CALCULATION!G181,"")</f>
        <v/>
      </c>
      <c r="E192" s="63">
        <f>IF(SYSTEM_CALCULATION!U181&lt;&gt;"SI","",IF(INPUT_SYSTEM!B190="USD",SYSTEM_CALCULATION!R181*CONFIG!B181,SYSTEM_CALCULATION!R181))</f>
        <v/>
      </c>
      <c r="F192" s="63">
        <f>IF(SYSTEM_CALCULATION!U181&lt;&gt;"SI","",IF(INPUT_SYSTEM!B190="USD",SYSTEM_CALCULATION!T181*CONFIG!B181,SYSTEM_CALCULATION!T181))</f>
        <v/>
      </c>
    </row>
    <row r="193" ht="15.75" customHeight="1" s="125">
      <c r="A193" s="62">
        <f>IF(SYSTEM_CALCULATION!U182="SI",SYSTEM_CALCULATION!B182,"")</f>
        <v/>
      </c>
      <c r="B193" s="62">
        <f>IF(SYSTEM_CALCULATION!U182="SI",SYSTEM_CALCULATION!E182,"")</f>
        <v/>
      </c>
      <c r="C193" s="62">
        <f>IF(SYSTEM_CALCULATION!U182="SI",SYSTEM_CALCULATION!O182,"")</f>
        <v/>
      </c>
      <c r="D193" s="62">
        <f>IF(SYSTEM_CALCULATION!U182="SI",SYSTEM_CALCULATION!G182,"")</f>
        <v/>
      </c>
      <c r="E193" s="63">
        <f>IF(SYSTEM_CALCULATION!U182&lt;&gt;"SI","",IF(INPUT_SYSTEM!B191="USD",SYSTEM_CALCULATION!R182*CONFIG!B182,SYSTEM_CALCULATION!R182))</f>
        <v/>
      </c>
      <c r="F193" s="63">
        <f>IF(SYSTEM_CALCULATION!U182&lt;&gt;"SI","",IF(INPUT_SYSTEM!B191="USD",SYSTEM_CALCULATION!T182*CONFIG!B182,SYSTEM_CALCULATION!T182))</f>
        <v/>
      </c>
    </row>
    <row r="194" ht="15.75" customHeight="1" s="125">
      <c r="A194" s="62">
        <f>IF(SYSTEM_CALCULATION!U183="SI",SYSTEM_CALCULATION!B183,"")</f>
        <v/>
      </c>
      <c r="B194" s="62">
        <f>IF(SYSTEM_CALCULATION!U183="SI",SYSTEM_CALCULATION!E183,"")</f>
        <v/>
      </c>
      <c r="C194" s="62">
        <f>IF(SYSTEM_CALCULATION!U183="SI",SYSTEM_CALCULATION!O183,"")</f>
        <v/>
      </c>
      <c r="D194" s="62">
        <f>IF(SYSTEM_CALCULATION!U183="SI",SYSTEM_CALCULATION!G183,"")</f>
        <v/>
      </c>
      <c r="E194" s="63">
        <f>IF(SYSTEM_CALCULATION!U183&lt;&gt;"SI","",IF(INPUT_SYSTEM!B192="USD",SYSTEM_CALCULATION!R183*CONFIG!B183,SYSTEM_CALCULATION!R183))</f>
        <v/>
      </c>
      <c r="F194" s="63">
        <f>IF(SYSTEM_CALCULATION!U183&lt;&gt;"SI","",IF(INPUT_SYSTEM!B192="USD",SYSTEM_CALCULATION!T183*CONFIG!B183,SYSTEM_CALCULATION!T183))</f>
        <v/>
      </c>
    </row>
    <row r="195" ht="15.75" customHeight="1" s="125">
      <c r="A195" s="62">
        <f>IF(SYSTEM_CALCULATION!U184="SI",SYSTEM_CALCULATION!B184,"")</f>
        <v/>
      </c>
      <c r="B195" s="62">
        <f>IF(SYSTEM_CALCULATION!U184="SI",SYSTEM_CALCULATION!E184,"")</f>
        <v/>
      </c>
      <c r="C195" s="62">
        <f>IF(SYSTEM_CALCULATION!U184="SI",SYSTEM_CALCULATION!O184,"")</f>
        <v/>
      </c>
      <c r="D195" s="62">
        <f>IF(SYSTEM_CALCULATION!U184="SI",SYSTEM_CALCULATION!G184,"")</f>
        <v/>
      </c>
      <c r="E195" s="63">
        <f>IF(SYSTEM_CALCULATION!U184&lt;&gt;"SI","",IF(INPUT_SYSTEM!B193="USD",SYSTEM_CALCULATION!R184*CONFIG!B184,SYSTEM_CALCULATION!R184))</f>
        <v/>
      </c>
      <c r="F195" s="63">
        <f>IF(SYSTEM_CALCULATION!U184&lt;&gt;"SI","",IF(INPUT_SYSTEM!B193="USD",SYSTEM_CALCULATION!T184*CONFIG!B184,SYSTEM_CALCULATION!T184))</f>
        <v/>
      </c>
    </row>
    <row r="196" ht="15.75" customHeight="1" s="125">
      <c r="A196" s="62">
        <f>IF(SYSTEM_CALCULATION!U185="SI",SYSTEM_CALCULATION!B185,"")</f>
        <v/>
      </c>
      <c r="B196" s="62">
        <f>IF(SYSTEM_CALCULATION!U185="SI",SYSTEM_CALCULATION!E185,"")</f>
        <v/>
      </c>
      <c r="C196" s="62">
        <f>IF(SYSTEM_CALCULATION!U185="SI",SYSTEM_CALCULATION!O185,"")</f>
        <v/>
      </c>
      <c r="D196" s="62">
        <f>IF(SYSTEM_CALCULATION!U185="SI",SYSTEM_CALCULATION!G185,"")</f>
        <v/>
      </c>
      <c r="E196" s="63">
        <f>IF(SYSTEM_CALCULATION!U185&lt;&gt;"SI","",IF(INPUT_SYSTEM!B194="USD",SYSTEM_CALCULATION!R185*CONFIG!B185,SYSTEM_CALCULATION!R185))</f>
        <v/>
      </c>
      <c r="F196" s="63">
        <f>IF(SYSTEM_CALCULATION!U185&lt;&gt;"SI","",IF(INPUT_SYSTEM!B194="USD",SYSTEM_CALCULATION!T185*CONFIG!B185,SYSTEM_CALCULATION!T185))</f>
        <v/>
      </c>
    </row>
    <row r="197" ht="15.75" customHeight="1" s="125">
      <c r="A197" s="62">
        <f>IF(SYSTEM_CALCULATION!U186="SI",SYSTEM_CALCULATION!B186,"")</f>
        <v/>
      </c>
      <c r="B197" s="62">
        <f>IF(SYSTEM_CALCULATION!U186="SI",SYSTEM_CALCULATION!E186,"")</f>
        <v/>
      </c>
      <c r="C197" s="62">
        <f>IF(SYSTEM_CALCULATION!U186="SI",SYSTEM_CALCULATION!O186,"")</f>
        <v/>
      </c>
      <c r="D197" s="62">
        <f>IF(SYSTEM_CALCULATION!U186="SI",SYSTEM_CALCULATION!G186,"")</f>
        <v/>
      </c>
      <c r="E197" s="63">
        <f>IF(SYSTEM_CALCULATION!U186&lt;&gt;"SI","",IF(INPUT_SYSTEM!B195="USD",SYSTEM_CALCULATION!R186*CONFIG!B186,SYSTEM_CALCULATION!R186))</f>
        <v/>
      </c>
      <c r="F197" s="63">
        <f>IF(SYSTEM_CALCULATION!U186&lt;&gt;"SI","",IF(INPUT_SYSTEM!B195="USD",SYSTEM_CALCULATION!T186*CONFIG!B186,SYSTEM_CALCULATION!T186))</f>
        <v/>
      </c>
    </row>
    <row r="198" ht="15.75" customHeight="1" s="125">
      <c r="A198" s="62">
        <f>IF(SYSTEM_CALCULATION!U187="SI",SYSTEM_CALCULATION!B187,"")</f>
        <v/>
      </c>
      <c r="B198" s="62">
        <f>IF(SYSTEM_CALCULATION!U187="SI",SYSTEM_CALCULATION!E187,"")</f>
        <v/>
      </c>
      <c r="C198" s="62">
        <f>IF(SYSTEM_CALCULATION!U187="SI",SYSTEM_CALCULATION!O187,"")</f>
        <v/>
      </c>
      <c r="D198" s="62">
        <f>IF(SYSTEM_CALCULATION!U187="SI",SYSTEM_CALCULATION!G187,"")</f>
        <v/>
      </c>
      <c r="E198" s="63">
        <f>IF(SYSTEM_CALCULATION!U187&lt;&gt;"SI","",IF(INPUT_SYSTEM!B196="USD",SYSTEM_CALCULATION!R187*CONFIG!B187,SYSTEM_CALCULATION!R187))</f>
        <v/>
      </c>
      <c r="F198" s="63">
        <f>IF(SYSTEM_CALCULATION!U187&lt;&gt;"SI","",IF(INPUT_SYSTEM!B196="USD",SYSTEM_CALCULATION!T187*CONFIG!B187,SYSTEM_CALCULATION!T187))</f>
        <v/>
      </c>
    </row>
    <row r="199" ht="15.75" customHeight="1" s="125">
      <c r="A199" s="62">
        <f>IF(SYSTEM_CALCULATION!U188="SI",SYSTEM_CALCULATION!B188,"")</f>
        <v/>
      </c>
      <c r="B199" s="62">
        <f>IF(SYSTEM_CALCULATION!U188="SI",SYSTEM_CALCULATION!E188,"")</f>
        <v/>
      </c>
      <c r="C199" s="62">
        <f>IF(SYSTEM_CALCULATION!U188="SI",SYSTEM_CALCULATION!O188,"")</f>
        <v/>
      </c>
      <c r="D199" s="62">
        <f>IF(SYSTEM_CALCULATION!U188="SI",SYSTEM_CALCULATION!G188,"")</f>
        <v/>
      </c>
      <c r="E199" s="63">
        <f>IF(SYSTEM_CALCULATION!U188&lt;&gt;"SI","",IF(INPUT_SYSTEM!B197="USD",SYSTEM_CALCULATION!R188*CONFIG!B188,SYSTEM_CALCULATION!R188))</f>
        <v/>
      </c>
      <c r="F199" s="63">
        <f>IF(SYSTEM_CALCULATION!U188&lt;&gt;"SI","",IF(INPUT_SYSTEM!B197="USD",SYSTEM_CALCULATION!T188*CONFIG!B188,SYSTEM_CALCULATION!T188))</f>
        <v/>
      </c>
    </row>
    <row r="200" ht="15.75" customHeight="1" s="125">
      <c r="A200" s="62">
        <f>IF(SYSTEM_CALCULATION!U189="SI",SYSTEM_CALCULATION!B189,"")</f>
        <v/>
      </c>
      <c r="B200" s="62">
        <f>IF(SYSTEM_CALCULATION!U189="SI",SYSTEM_CALCULATION!E189,"")</f>
        <v/>
      </c>
      <c r="C200" s="62">
        <f>IF(SYSTEM_CALCULATION!U189="SI",SYSTEM_CALCULATION!O189,"")</f>
        <v/>
      </c>
      <c r="D200" s="62">
        <f>IF(SYSTEM_CALCULATION!U189="SI",SYSTEM_CALCULATION!G189,"")</f>
        <v/>
      </c>
      <c r="E200" s="63">
        <f>IF(SYSTEM_CALCULATION!U189&lt;&gt;"SI","",IF(INPUT_SYSTEM!B198="USD",SYSTEM_CALCULATION!R189*CONFIG!B189,SYSTEM_CALCULATION!R189))</f>
        <v/>
      </c>
      <c r="F200" s="63">
        <f>IF(SYSTEM_CALCULATION!U189&lt;&gt;"SI","",IF(INPUT_SYSTEM!B198="USD",SYSTEM_CALCULATION!T189*CONFIG!B189,SYSTEM_CALCULATION!T189))</f>
        <v/>
      </c>
    </row>
    <row r="201" ht="15.75" customHeight="1" s="125">
      <c r="A201" s="62">
        <f>IF(SYSTEM_CALCULATION!U190="SI",SYSTEM_CALCULATION!B190,"")</f>
        <v/>
      </c>
      <c r="B201" s="62">
        <f>IF(SYSTEM_CALCULATION!U190="SI",SYSTEM_CALCULATION!E190,"")</f>
        <v/>
      </c>
      <c r="C201" s="62">
        <f>IF(SYSTEM_CALCULATION!U190="SI",SYSTEM_CALCULATION!O190,"")</f>
        <v/>
      </c>
      <c r="D201" s="62">
        <f>IF(SYSTEM_CALCULATION!U190="SI",SYSTEM_CALCULATION!G190,"")</f>
        <v/>
      </c>
      <c r="E201" s="63">
        <f>IF(SYSTEM_CALCULATION!U190&lt;&gt;"SI","",IF(INPUT_SYSTEM!B199="USD",SYSTEM_CALCULATION!R190*CONFIG!B190,SYSTEM_CALCULATION!R190))</f>
        <v/>
      </c>
      <c r="F201" s="63">
        <f>IF(SYSTEM_CALCULATION!U190&lt;&gt;"SI","",IF(INPUT_SYSTEM!B199="USD",SYSTEM_CALCULATION!T190*CONFIG!B190,SYSTEM_CALCULATION!T190))</f>
        <v/>
      </c>
    </row>
    <row r="202" ht="15.75" customHeight="1" s="125">
      <c r="A202" s="62">
        <f>IF(SYSTEM_CALCULATION!U191="SI",SYSTEM_CALCULATION!B191,"")</f>
        <v/>
      </c>
      <c r="B202" s="62">
        <f>IF(SYSTEM_CALCULATION!U191="SI",SYSTEM_CALCULATION!E191,"")</f>
        <v/>
      </c>
      <c r="C202" s="62">
        <f>IF(SYSTEM_CALCULATION!U191="SI",SYSTEM_CALCULATION!O191,"")</f>
        <v/>
      </c>
      <c r="D202" s="62">
        <f>IF(SYSTEM_CALCULATION!U191="SI",SYSTEM_CALCULATION!G191,"")</f>
        <v/>
      </c>
      <c r="E202" s="63">
        <f>IF(SYSTEM_CALCULATION!U191&lt;&gt;"SI","",IF(INPUT_SYSTEM!B200="USD",SYSTEM_CALCULATION!R191*CONFIG!B191,SYSTEM_CALCULATION!R191))</f>
        <v/>
      </c>
      <c r="F202" s="63">
        <f>IF(SYSTEM_CALCULATION!U191&lt;&gt;"SI","",IF(INPUT_SYSTEM!B200="USD",SYSTEM_CALCULATION!T191*CONFIG!B191,SYSTEM_CALCULATION!T191))</f>
        <v/>
      </c>
    </row>
    <row r="203" ht="15.75" customHeight="1" s="125">
      <c r="A203" s="62">
        <f>IF(SYSTEM_CALCULATION!U192="SI",SYSTEM_CALCULATION!B192,"")</f>
        <v/>
      </c>
      <c r="B203" s="62">
        <f>IF(SYSTEM_CALCULATION!U192="SI",SYSTEM_CALCULATION!E192,"")</f>
        <v/>
      </c>
      <c r="C203" s="62">
        <f>IF(SYSTEM_CALCULATION!U192="SI",SYSTEM_CALCULATION!O192,"")</f>
        <v/>
      </c>
      <c r="D203" s="62">
        <f>IF(SYSTEM_CALCULATION!U192="SI",SYSTEM_CALCULATION!G192,"")</f>
        <v/>
      </c>
      <c r="E203" s="63">
        <f>IF(SYSTEM_CALCULATION!U192&lt;&gt;"SI","",IF(INPUT_SYSTEM!B201="USD",SYSTEM_CALCULATION!R192*CONFIG!B192,SYSTEM_CALCULATION!R192))</f>
        <v/>
      </c>
      <c r="F203" s="63">
        <f>IF(SYSTEM_CALCULATION!U192&lt;&gt;"SI","",IF(INPUT_SYSTEM!B201="USD",SYSTEM_CALCULATION!T192*CONFIG!B192,SYSTEM_CALCULATION!T192))</f>
        <v/>
      </c>
    </row>
    <row r="204" ht="15.75" customHeight="1" s="125">
      <c r="A204" s="62">
        <f>IF(SYSTEM_CALCULATION!U193="SI",SYSTEM_CALCULATION!B193,"")</f>
        <v/>
      </c>
      <c r="B204" s="62">
        <f>IF(SYSTEM_CALCULATION!U193="SI",SYSTEM_CALCULATION!E193,"")</f>
        <v/>
      </c>
      <c r="C204" s="62">
        <f>IF(SYSTEM_CALCULATION!U193="SI",SYSTEM_CALCULATION!O193,"")</f>
        <v/>
      </c>
      <c r="D204" s="62">
        <f>IF(SYSTEM_CALCULATION!U193="SI",SYSTEM_CALCULATION!G193,"")</f>
        <v/>
      </c>
      <c r="E204" s="63">
        <f>IF(SYSTEM_CALCULATION!U193&lt;&gt;"SI","",IF(INPUT_SYSTEM!B202="USD",SYSTEM_CALCULATION!R193*CONFIG!B193,SYSTEM_CALCULATION!R193))</f>
        <v/>
      </c>
      <c r="F204" s="63">
        <f>IF(SYSTEM_CALCULATION!U193&lt;&gt;"SI","",IF(INPUT_SYSTEM!B202="USD",SYSTEM_CALCULATION!T193*CONFIG!B193,SYSTEM_CALCULATION!T193))</f>
        <v/>
      </c>
    </row>
    <row r="205" ht="15.75" customHeight="1" s="125">
      <c r="A205" s="62">
        <f>IF(SYSTEM_CALCULATION!U194="SI",SYSTEM_CALCULATION!B194,"")</f>
        <v/>
      </c>
      <c r="B205" s="62">
        <f>IF(SYSTEM_CALCULATION!U194="SI",SYSTEM_CALCULATION!E194,"")</f>
        <v/>
      </c>
      <c r="C205" s="62">
        <f>IF(SYSTEM_CALCULATION!U194="SI",SYSTEM_CALCULATION!O194,"")</f>
        <v/>
      </c>
      <c r="D205" s="62">
        <f>IF(SYSTEM_CALCULATION!U194="SI",SYSTEM_CALCULATION!G194,"")</f>
        <v/>
      </c>
      <c r="E205" s="63">
        <f>IF(SYSTEM_CALCULATION!U194&lt;&gt;"SI","",IF(INPUT_SYSTEM!B203="USD",SYSTEM_CALCULATION!R194*CONFIG!B194,SYSTEM_CALCULATION!R194))</f>
        <v/>
      </c>
      <c r="F205" s="63">
        <f>IF(SYSTEM_CALCULATION!U194&lt;&gt;"SI","",IF(INPUT_SYSTEM!B203="USD",SYSTEM_CALCULATION!T194*CONFIG!B194,SYSTEM_CALCULATION!T194))</f>
        <v/>
      </c>
    </row>
    <row r="206" ht="15.75" customHeight="1" s="125">
      <c r="A206" s="62">
        <f>IF(SYSTEM_CALCULATION!U195="SI",SYSTEM_CALCULATION!B195,"")</f>
        <v/>
      </c>
      <c r="B206" s="62">
        <f>IF(SYSTEM_CALCULATION!U195="SI",SYSTEM_CALCULATION!E195,"")</f>
        <v/>
      </c>
      <c r="C206" s="62">
        <f>IF(SYSTEM_CALCULATION!U195="SI",SYSTEM_CALCULATION!O195,"")</f>
        <v/>
      </c>
      <c r="D206" s="62">
        <f>IF(SYSTEM_CALCULATION!U195="SI",SYSTEM_CALCULATION!G195,"")</f>
        <v/>
      </c>
      <c r="E206" s="63">
        <f>IF(SYSTEM_CALCULATION!U195&lt;&gt;"SI","",IF(INPUT_SYSTEM!B204="USD",SYSTEM_CALCULATION!R195*CONFIG!B195,SYSTEM_CALCULATION!R195))</f>
        <v/>
      </c>
      <c r="F206" s="63">
        <f>IF(SYSTEM_CALCULATION!U195&lt;&gt;"SI","",IF(INPUT_SYSTEM!B204="USD",SYSTEM_CALCULATION!T195*CONFIG!B195,SYSTEM_CALCULATION!T195))</f>
        <v/>
      </c>
    </row>
    <row r="207" ht="15.75" customHeight="1" s="125">
      <c r="A207" s="62">
        <f>IF(SYSTEM_CALCULATION!U196="SI",SYSTEM_CALCULATION!B196,"")</f>
        <v/>
      </c>
      <c r="B207" s="62">
        <f>IF(SYSTEM_CALCULATION!U196="SI",SYSTEM_CALCULATION!E196,"")</f>
        <v/>
      </c>
      <c r="C207" s="62">
        <f>IF(SYSTEM_CALCULATION!U196="SI",SYSTEM_CALCULATION!O196,"")</f>
        <v/>
      </c>
      <c r="D207" s="62">
        <f>IF(SYSTEM_CALCULATION!U196="SI",SYSTEM_CALCULATION!G196,"")</f>
        <v/>
      </c>
      <c r="E207" s="63">
        <f>IF(SYSTEM_CALCULATION!U196&lt;&gt;"SI","",IF(INPUT_SYSTEM!B205="USD",SYSTEM_CALCULATION!R196*CONFIG!B196,SYSTEM_CALCULATION!R196))</f>
        <v/>
      </c>
      <c r="F207" s="63">
        <f>IF(SYSTEM_CALCULATION!U196&lt;&gt;"SI","",IF(INPUT_SYSTEM!B205="USD",SYSTEM_CALCULATION!T196*CONFIG!B196,SYSTEM_CALCULATION!T196))</f>
        <v/>
      </c>
    </row>
    <row r="208" ht="15.75" customHeight="1" s="125">
      <c r="A208" s="62">
        <f>IF(SYSTEM_CALCULATION!U197="SI",SYSTEM_CALCULATION!B197,"")</f>
        <v/>
      </c>
      <c r="B208" s="62">
        <f>IF(SYSTEM_CALCULATION!U197="SI",SYSTEM_CALCULATION!E197,"")</f>
        <v/>
      </c>
      <c r="C208" s="62">
        <f>IF(SYSTEM_CALCULATION!U197="SI",SYSTEM_CALCULATION!O197,"")</f>
        <v/>
      </c>
      <c r="D208" s="62">
        <f>IF(SYSTEM_CALCULATION!U197="SI",SYSTEM_CALCULATION!G197,"")</f>
        <v/>
      </c>
      <c r="E208" s="63">
        <f>IF(SYSTEM_CALCULATION!U197&lt;&gt;"SI","",IF(INPUT_SYSTEM!B206="USD",SYSTEM_CALCULATION!R197*CONFIG!B197,SYSTEM_CALCULATION!R197))</f>
        <v/>
      </c>
      <c r="F208" s="63">
        <f>IF(SYSTEM_CALCULATION!U197&lt;&gt;"SI","",IF(INPUT_SYSTEM!B206="USD",SYSTEM_CALCULATION!T197*CONFIG!B197,SYSTEM_CALCULATION!T197))</f>
        <v/>
      </c>
    </row>
    <row r="209" ht="15.75" customHeight="1" s="125">
      <c r="A209" s="62">
        <f>IF(SYSTEM_CALCULATION!U198="SI",SYSTEM_CALCULATION!B198,"")</f>
        <v/>
      </c>
      <c r="B209" s="62">
        <f>IF(SYSTEM_CALCULATION!U198="SI",SYSTEM_CALCULATION!E198,"")</f>
        <v/>
      </c>
      <c r="C209" s="62">
        <f>IF(SYSTEM_CALCULATION!U198="SI",SYSTEM_CALCULATION!O198,"")</f>
        <v/>
      </c>
      <c r="D209" s="62">
        <f>IF(SYSTEM_CALCULATION!U198="SI",SYSTEM_CALCULATION!G198,"")</f>
        <v/>
      </c>
      <c r="E209" s="63">
        <f>IF(SYSTEM_CALCULATION!U198&lt;&gt;"SI","",IF(INPUT_SYSTEM!B207="USD",SYSTEM_CALCULATION!R198*CONFIG!B198,SYSTEM_CALCULATION!R198))</f>
        <v/>
      </c>
      <c r="F209" s="63">
        <f>IF(SYSTEM_CALCULATION!U198&lt;&gt;"SI","",IF(INPUT_SYSTEM!B207="USD",SYSTEM_CALCULATION!T198*CONFIG!B198,SYSTEM_CALCULATION!T198))</f>
        <v/>
      </c>
    </row>
    <row r="210" ht="15.75" customHeight="1" s="125">
      <c r="A210" s="62">
        <f>IF(SYSTEM_CALCULATION!U199="SI",SYSTEM_CALCULATION!B199,"")</f>
        <v/>
      </c>
      <c r="B210" s="62">
        <f>IF(SYSTEM_CALCULATION!U199="SI",SYSTEM_CALCULATION!E199,"")</f>
        <v/>
      </c>
      <c r="C210" s="62">
        <f>IF(SYSTEM_CALCULATION!U199="SI",SYSTEM_CALCULATION!O199,"")</f>
        <v/>
      </c>
      <c r="D210" s="62">
        <f>IF(SYSTEM_CALCULATION!U199="SI",SYSTEM_CALCULATION!G199,"")</f>
        <v/>
      </c>
      <c r="E210" s="63">
        <f>IF(SYSTEM_CALCULATION!U199&lt;&gt;"SI","",IF(INPUT_SYSTEM!B208="USD",SYSTEM_CALCULATION!R199*CONFIG!B199,SYSTEM_CALCULATION!R199))</f>
        <v/>
      </c>
      <c r="F210" s="63">
        <f>IF(SYSTEM_CALCULATION!U199&lt;&gt;"SI","",IF(INPUT_SYSTEM!B208="USD",SYSTEM_CALCULATION!T199*CONFIG!B199,SYSTEM_CALCULATION!T199))</f>
        <v/>
      </c>
    </row>
    <row r="211" ht="15.75" customHeight="1" s="125">
      <c r="A211" s="62">
        <f>IF(SYSTEM_CALCULATION!U200="SI",SYSTEM_CALCULATION!B200,"")</f>
        <v/>
      </c>
      <c r="B211" s="62">
        <f>IF(SYSTEM_CALCULATION!U200="SI",SYSTEM_CALCULATION!E200,"")</f>
        <v/>
      </c>
      <c r="C211" s="62">
        <f>IF(SYSTEM_CALCULATION!U200="SI",SYSTEM_CALCULATION!O200,"")</f>
        <v/>
      </c>
      <c r="D211" s="62">
        <f>IF(SYSTEM_CALCULATION!U200="SI",SYSTEM_CALCULATION!G200,"")</f>
        <v/>
      </c>
      <c r="E211" s="63">
        <f>IF(SYSTEM_CALCULATION!U200&lt;&gt;"SI","",IF(INPUT_SYSTEM!B209="USD",SYSTEM_CALCULATION!R200*CONFIG!B200,SYSTEM_CALCULATION!R200))</f>
        <v/>
      </c>
      <c r="F211" s="63">
        <f>IF(SYSTEM_CALCULATION!U200&lt;&gt;"SI","",IF(INPUT_SYSTEM!B209="USD",SYSTEM_CALCULATION!T200*CONFIG!B200,SYSTEM_CALCULATION!T200))</f>
        <v/>
      </c>
    </row>
    <row r="212" ht="15.75" customHeight="1" s="125">
      <c r="A212" s="62">
        <f>IF(SYSTEM_CALCULATION!U201="SI",SYSTEM_CALCULATION!B201,"")</f>
        <v/>
      </c>
      <c r="B212" s="62">
        <f>IF(SYSTEM_CALCULATION!U201="SI",SYSTEM_CALCULATION!E201,"")</f>
        <v/>
      </c>
      <c r="C212" s="62">
        <f>IF(SYSTEM_CALCULATION!U201="SI",SYSTEM_CALCULATION!O201,"")</f>
        <v/>
      </c>
      <c r="D212" s="62">
        <f>IF(SYSTEM_CALCULATION!U201="SI",SYSTEM_CALCULATION!G201,"")</f>
        <v/>
      </c>
      <c r="E212" s="63">
        <f>IF(SYSTEM_CALCULATION!U201&lt;&gt;"SI","",IF(INPUT_SYSTEM!B210="USD",SYSTEM_CALCULATION!R201*CONFIG!B201,SYSTEM_CALCULATION!R201))</f>
        <v/>
      </c>
      <c r="F212" s="63">
        <f>IF(SYSTEM_CALCULATION!U201&lt;&gt;"SI","",IF(INPUT_SYSTEM!B210="USD",SYSTEM_CALCULATION!T201*CONFIG!B201,SYSTEM_CALCULATION!T201))</f>
        <v/>
      </c>
    </row>
    <row r="213" ht="15.75" customHeight="1" s="125">
      <c r="A213" s="62">
        <f>IF(SYSTEM_CALCULATION!U202="SI",SYSTEM_CALCULATION!B202,"")</f>
        <v/>
      </c>
      <c r="B213" s="62">
        <f>IF(SYSTEM_CALCULATION!U202="SI",SYSTEM_CALCULATION!E202,"")</f>
        <v/>
      </c>
      <c r="C213" s="62">
        <f>IF(SYSTEM_CALCULATION!U202="SI",SYSTEM_CALCULATION!O202,"")</f>
        <v/>
      </c>
      <c r="D213" s="62">
        <f>IF(SYSTEM_CALCULATION!U202="SI",SYSTEM_CALCULATION!G202,"")</f>
        <v/>
      </c>
      <c r="E213" s="63">
        <f>IF(SYSTEM_CALCULATION!U202&lt;&gt;"SI","",IF(INPUT_SYSTEM!B211="USD",SYSTEM_CALCULATION!R202*CONFIG!B202,SYSTEM_CALCULATION!R202))</f>
        <v/>
      </c>
      <c r="F213" s="63">
        <f>IF(SYSTEM_CALCULATION!U202&lt;&gt;"SI","",IF(INPUT_SYSTEM!B211="USD",SYSTEM_CALCULATION!T202*CONFIG!B202,SYSTEM_CALCULATION!T202))</f>
        <v/>
      </c>
    </row>
    <row r="214" ht="15.75" customHeight="1" s="125">
      <c r="A214" s="62">
        <f>IF(SYSTEM_CALCULATION!U203="SI",SYSTEM_CALCULATION!B203,"")</f>
        <v/>
      </c>
      <c r="B214" s="62">
        <f>IF(SYSTEM_CALCULATION!U203="SI",SYSTEM_CALCULATION!E203,"")</f>
        <v/>
      </c>
      <c r="C214" s="62">
        <f>IF(SYSTEM_CALCULATION!U203="SI",SYSTEM_CALCULATION!O203,"")</f>
        <v/>
      </c>
      <c r="D214" s="62">
        <f>IF(SYSTEM_CALCULATION!U203="SI",SYSTEM_CALCULATION!G203,"")</f>
        <v/>
      </c>
      <c r="E214" s="63">
        <f>IF(SYSTEM_CALCULATION!U203&lt;&gt;"SI","",IF(INPUT_SYSTEM!B212="USD",SYSTEM_CALCULATION!R203*CONFIG!B203,SYSTEM_CALCULATION!R203))</f>
        <v/>
      </c>
      <c r="F214" s="63">
        <f>IF(SYSTEM_CALCULATION!U203&lt;&gt;"SI","",IF(INPUT_SYSTEM!B212="USD",SYSTEM_CALCULATION!T203*CONFIG!B203,SYSTEM_CALCULATION!T203))</f>
        <v/>
      </c>
    </row>
    <row r="215" ht="15.75" customHeight="1" s="125">
      <c r="A215" s="62">
        <f>IF(SYSTEM_CALCULATION!U204="SI",SYSTEM_CALCULATION!B204,"")</f>
        <v/>
      </c>
      <c r="B215" s="62">
        <f>IF(SYSTEM_CALCULATION!U204="SI",SYSTEM_CALCULATION!E204,"")</f>
        <v/>
      </c>
      <c r="C215" s="62">
        <f>IF(SYSTEM_CALCULATION!U204="SI",SYSTEM_CALCULATION!O204,"")</f>
        <v/>
      </c>
      <c r="D215" s="62">
        <f>IF(SYSTEM_CALCULATION!U204="SI",SYSTEM_CALCULATION!G204,"")</f>
        <v/>
      </c>
      <c r="E215" s="63">
        <f>IF(SYSTEM_CALCULATION!U204&lt;&gt;"SI","",IF(INPUT_SYSTEM!B213="USD",SYSTEM_CALCULATION!R204*CONFIG!B204,SYSTEM_CALCULATION!R204))</f>
        <v/>
      </c>
      <c r="F215" s="63">
        <f>IF(SYSTEM_CALCULATION!U204&lt;&gt;"SI","",IF(INPUT_SYSTEM!B213="USD",SYSTEM_CALCULATION!T204*CONFIG!B204,SYSTEM_CALCULATION!T204))</f>
        <v/>
      </c>
    </row>
    <row r="216" ht="15.75" customHeight="1" s="125">
      <c r="A216" s="62">
        <f>IF(SYSTEM_CALCULATION!U205="SI",SYSTEM_CALCULATION!B205,"")</f>
        <v/>
      </c>
      <c r="B216" s="62">
        <f>IF(SYSTEM_CALCULATION!U205="SI",SYSTEM_CALCULATION!E205,"")</f>
        <v/>
      </c>
      <c r="C216" s="62">
        <f>IF(SYSTEM_CALCULATION!U205="SI",SYSTEM_CALCULATION!O205,"")</f>
        <v/>
      </c>
      <c r="D216" s="62">
        <f>IF(SYSTEM_CALCULATION!U205="SI",SYSTEM_CALCULATION!G205,"")</f>
        <v/>
      </c>
      <c r="E216" s="63">
        <f>IF(SYSTEM_CALCULATION!U205&lt;&gt;"SI","",IF(INPUT_SYSTEM!B214="USD",SYSTEM_CALCULATION!R205*CONFIG!B205,SYSTEM_CALCULATION!R205))</f>
        <v/>
      </c>
      <c r="F216" s="63">
        <f>IF(SYSTEM_CALCULATION!U205&lt;&gt;"SI","",IF(INPUT_SYSTEM!B214="USD",SYSTEM_CALCULATION!T205*CONFIG!B205,SYSTEM_CALCULATION!T205))</f>
        <v/>
      </c>
    </row>
    <row r="217" ht="15.75" customHeight="1" s="125">
      <c r="A217" s="62">
        <f>IF(SYSTEM_CALCULATION!U206="SI",SYSTEM_CALCULATION!B206,"")</f>
        <v/>
      </c>
      <c r="B217" s="62">
        <f>IF(SYSTEM_CALCULATION!U206="SI",SYSTEM_CALCULATION!E206,"")</f>
        <v/>
      </c>
      <c r="C217" s="62">
        <f>IF(SYSTEM_CALCULATION!U206="SI",SYSTEM_CALCULATION!O206,"")</f>
        <v/>
      </c>
      <c r="D217" s="62">
        <f>IF(SYSTEM_CALCULATION!U206="SI",SYSTEM_CALCULATION!G206,"")</f>
        <v/>
      </c>
      <c r="E217" s="63">
        <f>IF(SYSTEM_CALCULATION!U206&lt;&gt;"SI","",IF(INPUT_SYSTEM!B215="USD",SYSTEM_CALCULATION!R206*CONFIG!B206,SYSTEM_CALCULATION!R206))</f>
        <v/>
      </c>
      <c r="F217" s="63">
        <f>IF(SYSTEM_CALCULATION!U206&lt;&gt;"SI","",IF(INPUT_SYSTEM!B215="USD",SYSTEM_CALCULATION!T206*CONFIG!B206,SYSTEM_CALCULATION!T206))</f>
        <v/>
      </c>
    </row>
    <row r="218" ht="15.75" customHeight="1" s="125">
      <c r="A218" s="62">
        <f>IF(SYSTEM_CALCULATION!U207="SI",SYSTEM_CALCULATION!B207,"")</f>
        <v/>
      </c>
      <c r="B218" s="62">
        <f>IF(SYSTEM_CALCULATION!U207="SI",SYSTEM_CALCULATION!E207,"")</f>
        <v/>
      </c>
      <c r="C218" s="62">
        <f>IF(SYSTEM_CALCULATION!U207="SI",SYSTEM_CALCULATION!O207,"")</f>
        <v/>
      </c>
      <c r="D218" s="62">
        <f>IF(SYSTEM_CALCULATION!U207="SI",SYSTEM_CALCULATION!G207,"")</f>
        <v/>
      </c>
      <c r="E218" s="63">
        <f>IF(SYSTEM_CALCULATION!U207&lt;&gt;"SI","",IF(INPUT_SYSTEM!B216="USD",SYSTEM_CALCULATION!R207*CONFIG!B207,SYSTEM_CALCULATION!R207))</f>
        <v/>
      </c>
      <c r="F218" s="63">
        <f>IF(SYSTEM_CALCULATION!U207&lt;&gt;"SI","",IF(INPUT_SYSTEM!B216="USD",SYSTEM_CALCULATION!T207*CONFIG!B207,SYSTEM_CALCULATION!T207))</f>
        <v/>
      </c>
    </row>
    <row r="219" ht="15.75" customHeight="1" s="125">
      <c r="A219" s="62">
        <f>IF(SYSTEM_CALCULATION!U208="SI",SYSTEM_CALCULATION!B208,"")</f>
        <v/>
      </c>
      <c r="B219" s="62">
        <f>IF(SYSTEM_CALCULATION!U208="SI",SYSTEM_CALCULATION!E208,"")</f>
        <v/>
      </c>
      <c r="C219" s="62">
        <f>IF(SYSTEM_CALCULATION!U208="SI",SYSTEM_CALCULATION!O208,"")</f>
        <v/>
      </c>
      <c r="D219" s="62">
        <f>IF(SYSTEM_CALCULATION!U208="SI",SYSTEM_CALCULATION!G208,"")</f>
        <v/>
      </c>
      <c r="E219" s="63">
        <f>IF(SYSTEM_CALCULATION!U208&lt;&gt;"SI","",IF(INPUT_SYSTEM!B217="USD",SYSTEM_CALCULATION!R208*CONFIG!B208,SYSTEM_CALCULATION!R208))</f>
        <v/>
      </c>
      <c r="F219" s="63">
        <f>IF(SYSTEM_CALCULATION!U208&lt;&gt;"SI","",IF(INPUT_SYSTEM!B217="USD",SYSTEM_CALCULATION!T208*CONFIG!B208,SYSTEM_CALCULATION!T208))</f>
        <v/>
      </c>
    </row>
    <row r="220" ht="15.75" customHeight="1" s="125">
      <c r="A220" s="62">
        <f>IF(SYSTEM_CALCULATION!U209="SI",SYSTEM_CALCULATION!B209,"")</f>
        <v/>
      </c>
      <c r="B220" s="62">
        <f>IF(SYSTEM_CALCULATION!U209="SI",SYSTEM_CALCULATION!E209,"")</f>
        <v/>
      </c>
      <c r="C220" s="62">
        <f>IF(SYSTEM_CALCULATION!U209="SI",SYSTEM_CALCULATION!O209,"")</f>
        <v/>
      </c>
      <c r="D220" s="62">
        <f>IF(SYSTEM_CALCULATION!U209="SI",SYSTEM_CALCULATION!G209,"")</f>
        <v/>
      </c>
      <c r="E220" s="63">
        <f>IF(SYSTEM_CALCULATION!U209&lt;&gt;"SI","",IF(INPUT_SYSTEM!B218="USD",SYSTEM_CALCULATION!R209*CONFIG!B209,SYSTEM_CALCULATION!R209))</f>
        <v/>
      </c>
      <c r="F220" s="63">
        <f>IF(SYSTEM_CALCULATION!U209&lt;&gt;"SI","",IF(INPUT_SYSTEM!B218="USD",SYSTEM_CALCULATION!T209*CONFIG!B209,SYSTEM_CALCULATION!T209))</f>
        <v/>
      </c>
    </row>
    <row r="221" ht="15.75" customHeight="1" s="125">
      <c r="A221" s="62">
        <f>IF(SYSTEM_CALCULATION!U210="SI",SYSTEM_CALCULATION!B210,"")</f>
        <v/>
      </c>
      <c r="B221" s="62">
        <f>IF(SYSTEM_CALCULATION!U210="SI",SYSTEM_CALCULATION!E210,"")</f>
        <v/>
      </c>
      <c r="C221" s="62">
        <f>IF(SYSTEM_CALCULATION!U210="SI",SYSTEM_CALCULATION!O210,"")</f>
        <v/>
      </c>
      <c r="D221" s="62">
        <f>IF(SYSTEM_CALCULATION!U210="SI",SYSTEM_CALCULATION!G210,"")</f>
        <v/>
      </c>
      <c r="E221" s="63">
        <f>IF(SYSTEM_CALCULATION!U210&lt;&gt;"SI","",IF(INPUT_SYSTEM!B219="USD",SYSTEM_CALCULATION!R210*CONFIG!B210,SYSTEM_CALCULATION!R210))</f>
        <v/>
      </c>
      <c r="F221" s="63">
        <f>IF(SYSTEM_CALCULATION!U210&lt;&gt;"SI","",IF(INPUT_SYSTEM!B219="USD",SYSTEM_CALCULATION!T210*CONFIG!B210,SYSTEM_CALCULATION!T210))</f>
        <v/>
      </c>
    </row>
    <row r="222" ht="15.75" customHeight="1" s="125">
      <c r="A222" s="62">
        <f>IF(SYSTEM_CALCULATION!U211="SI",SYSTEM_CALCULATION!B211,"")</f>
        <v/>
      </c>
      <c r="B222" s="62">
        <f>IF(SYSTEM_CALCULATION!U211="SI",SYSTEM_CALCULATION!E211,"")</f>
        <v/>
      </c>
      <c r="C222" s="62">
        <f>IF(SYSTEM_CALCULATION!U211="SI",SYSTEM_CALCULATION!O211,"")</f>
        <v/>
      </c>
      <c r="D222" s="62">
        <f>IF(SYSTEM_CALCULATION!U211="SI",SYSTEM_CALCULATION!G211,"")</f>
        <v/>
      </c>
      <c r="E222" s="63">
        <f>IF(SYSTEM_CALCULATION!U211&lt;&gt;"SI","",IF(INPUT_SYSTEM!B220="USD",SYSTEM_CALCULATION!R211*CONFIG!B211,SYSTEM_CALCULATION!R211))</f>
        <v/>
      </c>
      <c r="F222" s="63">
        <f>IF(SYSTEM_CALCULATION!U211&lt;&gt;"SI","",IF(INPUT_SYSTEM!B220="USD",SYSTEM_CALCULATION!T211*CONFIG!B211,SYSTEM_CALCULATION!T211))</f>
        <v/>
      </c>
    </row>
    <row r="223" ht="15.75" customHeight="1" s="125">
      <c r="A223" s="62">
        <f>IF(SYSTEM_CALCULATION!U212="SI",SYSTEM_CALCULATION!B212,"")</f>
        <v/>
      </c>
      <c r="B223" s="62">
        <f>IF(SYSTEM_CALCULATION!U212="SI",SYSTEM_CALCULATION!E212,"")</f>
        <v/>
      </c>
      <c r="C223" s="62">
        <f>IF(SYSTEM_CALCULATION!U212="SI",SYSTEM_CALCULATION!O212,"")</f>
        <v/>
      </c>
      <c r="D223" s="62">
        <f>IF(SYSTEM_CALCULATION!U212="SI",SYSTEM_CALCULATION!G212,"")</f>
        <v/>
      </c>
      <c r="E223" s="63">
        <f>IF(SYSTEM_CALCULATION!U212&lt;&gt;"SI","",IF(INPUT_SYSTEM!B221="USD",SYSTEM_CALCULATION!R212*CONFIG!B212,SYSTEM_CALCULATION!R212))</f>
        <v/>
      </c>
      <c r="F223" s="63">
        <f>IF(SYSTEM_CALCULATION!U212&lt;&gt;"SI","",IF(INPUT_SYSTEM!B221="USD",SYSTEM_CALCULATION!T212*CONFIG!B212,SYSTEM_CALCULATION!T212))</f>
        <v/>
      </c>
    </row>
    <row r="224" ht="15.75" customHeight="1" s="125">
      <c r="A224" s="62">
        <f>IF(SYSTEM_CALCULATION!U213="SI",SYSTEM_CALCULATION!B213,"")</f>
        <v/>
      </c>
      <c r="B224" s="62">
        <f>IF(SYSTEM_CALCULATION!U213="SI",SYSTEM_CALCULATION!E213,"")</f>
        <v/>
      </c>
      <c r="C224" s="62">
        <f>IF(SYSTEM_CALCULATION!U213="SI",SYSTEM_CALCULATION!O213,"")</f>
        <v/>
      </c>
      <c r="D224" s="62">
        <f>IF(SYSTEM_CALCULATION!U213="SI",SYSTEM_CALCULATION!G213,"")</f>
        <v/>
      </c>
      <c r="E224" s="63">
        <f>IF(SYSTEM_CALCULATION!U213&lt;&gt;"SI","",IF(INPUT_SYSTEM!B222="USD",SYSTEM_CALCULATION!R213*CONFIG!B213,SYSTEM_CALCULATION!R213))</f>
        <v/>
      </c>
      <c r="F224" s="63">
        <f>IF(SYSTEM_CALCULATION!U213&lt;&gt;"SI","",IF(INPUT_SYSTEM!B222="USD",SYSTEM_CALCULATION!T213*CONFIG!B213,SYSTEM_CALCULATION!T213))</f>
        <v/>
      </c>
    </row>
    <row r="225" ht="15.75" customHeight="1" s="125">
      <c r="A225" s="62">
        <f>IF(SYSTEM_CALCULATION!U214="SI",SYSTEM_CALCULATION!B214,"")</f>
        <v/>
      </c>
      <c r="B225" s="62">
        <f>IF(SYSTEM_CALCULATION!U214="SI",SYSTEM_CALCULATION!E214,"")</f>
        <v/>
      </c>
      <c r="C225" s="62">
        <f>IF(SYSTEM_CALCULATION!U214="SI",SYSTEM_CALCULATION!O214,"")</f>
        <v/>
      </c>
      <c r="D225" s="62">
        <f>IF(SYSTEM_CALCULATION!U214="SI",SYSTEM_CALCULATION!G214,"")</f>
        <v/>
      </c>
      <c r="E225" s="63">
        <f>IF(SYSTEM_CALCULATION!U214&lt;&gt;"SI","",IF(INPUT_SYSTEM!B223="USD",SYSTEM_CALCULATION!R214*CONFIG!B214,SYSTEM_CALCULATION!R214))</f>
        <v/>
      </c>
      <c r="F225" s="63">
        <f>IF(SYSTEM_CALCULATION!U214&lt;&gt;"SI","",IF(INPUT_SYSTEM!B223="USD",SYSTEM_CALCULATION!T214*CONFIG!B214,SYSTEM_CALCULATION!T214))</f>
        <v/>
      </c>
    </row>
    <row r="226" ht="15.75" customHeight="1" s="125">
      <c r="A226" s="62">
        <f>IF(SYSTEM_CALCULATION!U215="SI",SYSTEM_CALCULATION!B215,"")</f>
        <v/>
      </c>
      <c r="B226" s="62">
        <f>IF(SYSTEM_CALCULATION!U215="SI",SYSTEM_CALCULATION!E215,"")</f>
        <v/>
      </c>
      <c r="C226" s="62">
        <f>IF(SYSTEM_CALCULATION!U215="SI",SYSTEM_CALCULATION!O215,"")</f>
        <v/>
      </c>
      <c r="D226" s="62">
        <f>IF(SYSTEM_CALCULATION!U215="SI",SYSTEM_CALCULATION!G215,"")</f>
        <v/>
      </c>
      <c r="E226" s="63">
        <f>IF(SYSTEM_CALCULATION!U215&lt;&gt;"SI","",IF(INPUT_SYSTEM!B224="USD",SYSTEM_CALCULATION!R215*CONFIG!B215,SYSTEM_CALCULATION!R215))</f>
        <v/>
      </c>
      <c r="F226" s="63">
        <f>IF(SYSTEM_CALCULATION!U215&lt;&gt;"SI","",IF(INPUT_SYSTEM!B224="USD",SYSTEM_CALCULATION!T215*CONFIG!B215,SYSTEM_CALCULATION!T215))</f>
        <v/>
      </c>
    </row>
    <row r="227" ht="15.75" customHeight="1" s="125">
      <c r="A227" s="62">
        <f>IF(SYSTEM_CALCULATION!U216="SI",SYSTEM_CALCULATION!B216,"")</f>
        <v/>
      </c>
      <c r="B227" s="62">
        <f>IF(SYSTEM_CALCULATION!U216="SI",SYSTEM_CALCULATION!E216,"")</f>
        <v/>
      </c>
      <c r="C227" s="62">
        <f>IF(SYSTEM_CALCULATION!U216="SI",SYSTEM_CALCULATION!O216,"")</f>
        <v/>
      </c>
      <c r="D227" s="62">
        <f>IF(SYSTEM_CALCULATION!U216="SI",SYSTEM_CALCULATION!G216,"")</f>
        <v/>
      </c>
      <c r="E227" s="63">
        <f>IF(SYSTEM_CALCULATION!U216&lt;&gt;"SI","",IF(INPUT_SYSTEM!B225="USD",SYSTEM_CALCULATION!R216*CONFIG!B216,SYSTEM_CALCULATION!R216))</f>
        <v/>
      </c>
      <c r="F227" s="63">
        <f>IF(SYSTEM_CALCULATION!U216&lt;&gt;"SI","",IF(INPUT_SYSTEM!B225="USD",SYSTEM_CALCULATION!T216*CONFIG!B216,SYSTEM_CALCULATION!T216))</f>
        <v/>
      </c>
    </row>
    <row r="228" ht="15.75" customHeight="1" s="125">
      <c r="A228" s="62">
        <f>IF(SYSTEM_CALCULATION!U217="SI",SYSTEM_CALCULATION!B217,"")</f>
        <v/>
      </c>
      <c r="B228" s="62">
        <f>IF(SYSTEM_CALCULATION!U217="SI",SYSTEM_CALCULATION!E217,"")</f>
        <v/>
      </c>
      <c r="C228" s="62">
        <f>IF(SYSTEM_CALCULATION!U217="SI",SYSTEM_CALCULATION!O217,"")</f>
        <v/>
      </c>
      <c r="D228" s="62">
        <f>IF(SYSTEM_CALCULATION!U217="SI",SYSTEM_CALCULATION!G217,"")</f>
        <v/>
      </c>
      <c r="E228" s="63">
        <f>IF(SYSTEM_CALCULATION!U217&lt;&gt;"SI","",IF(INPUT_SYSTEM!B226="USD",SYSTEM_CALCULATION!R217*CONFIG!B217,SYSTEM_CALCULATION!R217))</f>
        <v/>
      </c>
      <c r="F228" s="63">
        <f>IF(SYSTEM_CALCULATION!U217&lt;&gt;"SI","",IF(INPUT_SYSTEM!B226="USD",SYSTEM_CALCULATION!T217*CONFIG!B217,SYSTEM_CALCULATION!T217))</f>
        <v/>
      </c>
    </row>
    <row r="229" ht="15.75" customHeight="1" s="125">
      <c r="A229" s="62">
        <f>IF(SYSTEM_CALCULATION!U218="SI",SYSTEM_CALCULATION!B218,"")</f>
        <v/>
      </c>
      <c r="B229" s="62">
        <f>IF(SYSTEM_CALCULATION!U218="SI",SYSTEM_CALCULATION!E218,"")</f>
        <v/>
      </c>
      <c r="C229" s="62">
        <f>IF(SYSTEM_CALCULATION!U218="SI",SYSTEM_CALCULATION!O218,"")</f>
        <v/>
      </c>
      <c r="D229" s="62">
        <f>IF(SYSTEM_CALCULATION!U218="SI",SYSTEM_CALCULATION!G218,"")</f>
        <v/>
      </c>
      <c r="E229" s="63">
        <f>IF(SYSTEM_CALCULATION!U218&lt;&gt;"SI","",IF(INPUT_SYSTEM!B227="USD",SYSTEM_CALCULATION!R218*CONFIG!B218,SYSTEM_CALCULATION!R218))</f>
        <v/>
      </c>
      <c r="F229" s="63">
        <f>IF(SYSTEM_CALCULATION!U218&lt;&gt;"SI","",IF(INPUT_SYSTEM!B227="USD",SYSTEM_CALCULATION!T218*CONFIG!B218,SYSTEM_CALCULATION!T218))</f>
        <v/>
      </c>
    </row>
    <row r="230" ht="15.75" customHeight="1" s="125">
      <c r="A230" s="62">
        <f>IF(SYSTEM_CALCULATION!U219="SI",SYSTEM_CALCULATION!B219,"")</f>
        <v/>
      </c>
      <c r="B230" s="62">
        <f>IF(SYSTEM_CALCULATION!U219="SI",SYSTEM_CALCULATION!E219,"")</f>
        <v/>
      </c>
      <c r="C230" s="62">
        <f>IF(SYSTEM_CALCULATION!U219="SI",SYSTEM_CALCULATION!O219,"")</f>
        <v/>
      </c>
      <c r="D230" s="62">
        <f>IF(SYSTEM_CALCULATION!U219="SI",SYSTEM_CALCULATION!G219,"")</f>
        <v/>
      </c>
      <c r="E230" s="63">
        <f>IF(SYSTEM_CALCULATION!U219&lt;&gt;"SI","",IF(INPUT_SYSTEM!B228="USD",SYSTEM_CALCULATION!R219*CONFIG!B219,SYSTEM_CALCULATION!R219))</f>
        <v/>
      </c>
      <c r="F230" s="63">
        <f>IF(SYSTEM_CALCULATION!U219&lt;&gt;"SI","",IF(INPUT_SYSTEM!B228="USD",SYSTEM_CALCULATION!T219*CONFIG!B219,SYSTEM_CALCULATION!T219))</f>
        <v/>
      </c>
    </row>
    <row r="231" ht="15.75" customHeight="1" s="125">
      <c r="A231" s="62">
        <f>IF(SYSTEM_CALCULATION!U220="SI",SYSTEM_CALCULATION!B220,"")</f>
        <v/>
      </c>
      <c r="B231" s="62">
        <f>IF(SYSTEM_CALCULATION!U220="SI",SYSTEM_CALCULATION!E220,"")</f>
        <v/>
      </c>
      <c r="C231" s="62">
        <f>IF(SYSTEM_CALCULATION!U220="SI",SYSTEM_CALCULATION!O220,"")</f>
        <v/>
      </c>
      <c r="D231" s="62">
        <f>IF(SYSTEM_CALCULATION!U220="SI",SYSTEM_CALCULATION!G220,"")</f>
        <v/>
      </c>
      <c r="E231" s="63">
        <f>IF(SYSTEM_CALCULATION!U220&lt;&gt;"SI","",IF(INPUT_SYSTEM!B229="USD",SYSTEM_CALCULATION!R220*CONFIG!B220,SYSTEM_CALCULATION!R220))</f>
        <v/>
      </c>
      <c r="F231" s="63">
        <f>IF(SYSTEM_CALCULATION!U220&lt;&gt;"SI","",IF(INPUT_SYSTEM!B229="USD",SYSTEM_CALCULATION!T220*CONFIG!B220,SYSTEM_CALCULATION!T220))</f>
        <v/>
      </c>
    </row>
    <row r="232" ht="15.75" customHeight="1" s="125">
      <c r="A232" s="62">
        <f>IF(SYSTEM_CALCULATION!U221="SI",SYSTEM_CALCULATION!B221,"")</f>
        <v/>
      </c>
      <c r="B232" s="62">
        <f>IF(SYSTEM_CALCULATION!U221="SI",SYSTEM_CALCULATION!E221,"")</f>
        <v/>
      </c>
      <c r="C232" s="62">
        <f>IF(SYSTEM_CALCULATION!U221="SI",SYSTEM_CALCULATION!O221,"")</f>
        <v/>
      </c>
      <c r="D232" s="62">
        <f>IF(SYSTEM_CALCULATION!U221="SI",SYSTEM_CALCULATION!G221,"")</f>
        <v/>
      </c>
      <c r="E232" s="63">
        <f>IF(SYSTEM_CALCULATION!U221&lt;&gt;"SI","",IF(INPUT_SYSTEM!B230="USD",SYSTEM_CALCULATION!R221*CONFIG!B221,SYSTEM_CALCULATION!R221))</f>
        <v/>
      </c>
      <c r="F232" s="63">
        <f>IF(SYSTEM_CALCULATION!U221&lt;&gt;"SI","",IF(INPUT_SYSTEM!B230="USD",SYSTEM_CALCULATION!T221*CONFIG!B221,SYSTEM_CALCULATION!T221))</f>
        <v/>
      </c>
    </row>
    <row r="233" ht="15.75" customHeight="1" s="125">
      <c r="A233" s="62">
        <f>IF(SYSTEM_CALCULATION!U222="SI",SYSTEM_CALCULATION!B222,"")</f>
        <v/>
      </c>
      <c r="B233" s="62">
        <f>IF(SYSTEM_CALCULATION!U222="SI",SYSTEM_CALCULATION!E222,"")</f>
        <v/>
      </c>
      <c r="C233" s="62">
        <f>IF(SYSTEM_CALCULATION!U222="SI",SYSTEM_CALCULATION!O222,"")</f>
        <v/>
      </c>
      <c r="D233" s="62">
        <f>IF(SYSTEM_CALCULATION!U222="SI",SYSTEM_CALCULATION!G222,"")</f>
        <v/>
      </c>
      <c r="E233" s="63">
        <f>IF(SYSTEM_CALCULATION!U222&lt;&gt;"SI","",IF(INPUT_SYSTEM!B231="USD",SYSTEM_CALCULATION!R222*CONFIG!B222,SYSTEM_CALCULATION!R222))</f>
        <v/>
      </c>
      <c r="F233" s="63">
        <f>IF(SYSTEM_CALCULATION!U222&lt;&gt;"SI","",IF(INPUT_SYSTEM!B231="USD",SYSTEM_CALCULATION!T222*CONFIG!B222,SYSTEM_CALCULATION!T222))</f>
        <v/>
      </c>
    </row>
    <row r="234" ht="15.75" customHeight="1" s="125">
      <c r="A234" s="62">
        <f>IF(SYSTEM_CALCULATION!U223="SI",SYSTEM_CALCULATION!B223,"")</f>
        <v/>
      </c>
      <c r="B234" s="62">
        <f>IF(SYSTEM_CALCULATION!U223="SI",SYSTEM_CALCULATION!E223,"")</f>
        <v/>
      </c>
      <c r="C234" s="62">
        <f>IF(SYSTEM_CALCULATION!U223="SI",SYSTEM_CALCULATION!O223,"")</f>
        <v/>
      </c>
      <c r="D234" s="62">
        <f>IF(SYSTEM_CALCULATION!U223="SI",SYSTEM_CALCULATION!G223,"")</f>
        <v/>
      </c>
      <c r="E234" s="63">
        <f>IF(SYSTEM_CALCULATION!U223&lt;&gt;"SI","",IF(INPUT_SYSTEM!B232="USD",SYSTEM_CALCULATION!R223*CONFIG!B223,SYSTEM_CALCULATION!R223))</f>
        <v/>
      </c>
      <c r="F234" s="63">
        <f>IF(SYSTEM_CALCULATION!U223&lt;&gt;"SI","",IF(INPUT_SYSTEM!B232="USD",SYSTEM_CALCULATION!T223*CONFIG!B223,SYSTEM_CALCULATION!T223))</f>
        <v/>
      </c>
    </row>
    <row r="235" ht="15.75" customHeight="1" s="125">
      <c r="A235" s="62">
        <f>IF(SYSTEM_CALCULATION!U224="SI",SYSTEM_CALCULATION!B224,"")</f>
        <v/>
      </c>
      <c r="B235" s="62">
        <f>IF(SYSTEM_CALCULATION!U224="SI",SYSTEM_CALCULATION!E224,"")</f>
        <v/>
      </c>
      <c r="C235" s="62">
        <f>IF(SYSTEM_CALCULATION!U224="SI",SYSTEM_CALCULATION!O224,"")</f>
        <v/>
      </c>
      <c r="D235" s="62">
        <f>IF(SYSTEM_CALCULATION!U224="SI",SYSTEM_CALCULATION!G224,"")</f>
        <v/>
      </c>
      <c r="E235" s="63">
        <f>IF(SYSTEM_CALCULATION!U224&lt;&gt;"SI","",IF(INPUT_SYSTEM!B233="USD",SYSTEM_CALCULATION!R224*CONFIG!B224,SYSTEM_CALCULATION!R224))</f>
        <v/>
      </c>
      <c r="F235" s="63">
        <f>IF(SYSTEM_CALCULATION!U224&lt;&gt;"SI","",IF(INPUT_SYSTEM!B233="USD",SYSTEM_CALCULATION!T224*CONFIG!B224,SYSTEM_CALCULATION!T224))</f>
        <v/>
      </c>
    </row>
    <row r="236" ht="15.75" customHeight="1" s="125">
      <c r="A236" s="62">
        <f>IF(SYSTEM_CALCULATION!U225="SI",SYSTEM_CALCULATION!B225,"")</f>
        <v/>
      </c>
      <c r="B236" s="62">
        <f>IF(SYSTEM_CALCULATION!U225="SI",SYSTEM_CALCULATION!E225,"")</f>
        <v/>
      </c>
      <c r="C236" s="62">
        <f>IF(SYSTEM_CALCULATION!U225="SI",SYSTEM_CALCULATION!O225,"")</f>
        <v/>
      </c>
      <c r="D236" s="62">
        <f>IF(SYSTEM_CALCULATION!U225="SI",SYSTEM_CALCULATION!G225,"")</f>
        <v/>
      </c>
      <c r="E236" s="63">
        <f>IF(SYSTEM_CALCULATION!U225&lt;&gt;"SI","",IF(INPUT_SYSTEM!B234="USD",SYSTEM_CALCULATION!R225*CONFIG!B225,SYSTEM_CALCULATION!R225))</f>
        <v/>
      </c>
      <c r="F236" s="63">
        <f>IF(SYSTEM_CALCULATION!U225&lt;&gt;"SI","",IF(INPUT_SYSTEM!B234="USD",SYSTEM_CALCULATION!T225*CONFIG!B225,SYSTEM_CALCULATION!T225))</f>
        <v/>
      </c>
    </row>
    <row r="237" ht="15.75" customHeight="1" s="125">
      <c r="A237" s="62">
        <f>IF(SYSTEM_CALCULATION!U226="SI",SYSTEM_CALCULATION!B226,"")</f>
        <v/>
      </c>
      <c r="B237" s="62">
        <f>IF(SYSTEM_CALCULATION!U226="SI",SYSTEM_CALCULATION!E226,"")</f>
        <v/>
      </c>
      <c r="C237" s="62">
        <f>IF(SYSTEM_CALCULATION!U226="SI",SYSTEM_CALCULATION!O226,"")</f>
        <v/>
      </c>
      <c r="D237" s="62">
        <f>IF(SYSTEM_CALCULATION!U226="SI",SYSTEM_CALCULATION!G226,"")</f>
        <v/>
      </c>
      <c r="E237" s="63">
        <f>IF(SYSTEM_CALCULATION!U226&lt;&gt;"SI","",IF(INPUT_SYSTEM!B235="USD",SYSTEM_CALCULATION!R226*CONFIG!B226,SYSTEM_CALCULATION!R226))</f>
        <v/>
      </c>
      <c r="F237" s="63">
        <f>IF(SYSTEM_CALCULATION!U226&lt;&gt;"SI","",IF(INPUT_SYSTEM!B235="USD",SYSTEM_CALCULATION!T226*CONFIG!B226,SYSTEM_CALCULATION!T226))</f>
        <v/>
      </c>
    </row>
    <row r="238" ht="15.75" customHeight="1" s="125">
      <c r="A238" s="62">
        <f>IF(SYSTEM_CALCULATION!U227="SI",SYSTEM_CALCULATION!B227,"")</f>
        <v/>
      </c>
      <c r="B238" s="62">
        <f>IF(SYSTEM_CALCULATION!U227="SI",SYSTEM_CALCULATION!E227,"")</f>
        <v/>
      </c>
      <c r="C238" s="62">
        <f>IF(SYSTEM_CALCULATION!U227="SI",SYSTEM_CALCULATION!O227,"")</f>
        <v/>
      </c>
      <c r="D238" s="62">
        <f>IF(SYSTEM_CALCULATION!U227="SI",SYSTEM_CALCULATION!G227,"")</f>
        <v/>
      </c>
      <c r="E238" s="63">
        <f>IF(SYSTEM_CALCULATION!U227&lt;&gt;"SI","",IF(INPUT_SYSTEM!B236="USD",SYSTEM_CALCULATION!R227*CONFIG!B227,SYSTEM_CALCULATION!R227))</f>
        <v/>
      </c>
      <c r="F238" s="63">
        <f>IF(SYSTEM_CALCULATION!U227&lt;&gt;"SI","",IF(INPUT_SYSTEM!B236="USD",SYSTEM_CALCULATION!T227*CONFIG!B227,SYSTEM_CALCULATION!T227))</f>
        <v/>
      </c>
    </row>
    <row r="239" ht="15.75" customHeight="1" s="125">
      <c r="A239" s="62">
        <f>IF(SYSTEM_CALCULATION!U228="SI",SYSTEM_CALCULATION!B228,"")</f>
        <v/>
      </c>
      <c r="B239" s="62">
        <f>IF(SYSTEM_CALCULATION!U228="SI",SYSTEM_CALCULATION!E228,"")</f>
        <v/>
      </c>
      <c r="C239" s="62">
        <f>IF(SYSTEM_CALCULATION!U228="SI",SYSTEM_CALCULATION!O228,"")</f>
        <v/>
      </c>
      <c r="D239" s="62">
        <f>IF(SYSTEM_CALCULATION!U228="SI",SYSTEM_CALCULATION!G228,"")</f>
        <v/>
      </c>
      <c r="E239" s="63">
        <f>IF(SYSTEM_CALCULATION!U228&lt;&gt;"SI","",IF(INPUT_SYSTEM!B237="USD",SYSTEM_CALCULATION!R228*CONFIG!B228,SYSTEM_CALCULATION!R228))</f>
        <v/>
      </c>
      <c r="F239" s="63">
        <f>IF(SYSTEM_CALCULATION!U228&lt;&gt;"SI","",IF(INPUT_SYSTEM!B237="USD",SYSTEM_CALCULATION!T228*CONFIG!B228,SYSTEM_CALCULATION!T228))</f>
        <v/>
      </c>
    </row>
    <row r="240" ht="15.75" customHeight="1" s="125">
      <c r="A240" s="62">
        <f>IF(SYSTEM_CALCULATION!U229="SI",SYSTEM_CALCULATION!B229,"")</f>
        <v/>
      </c>
      <c r="B240" s="62">
        <f>IF(SYSTEM_CALCULATION!U229="SI",SYSTEM_CALCULATION!E229,"")</f>
        <v/>
      </c>
      <c r="C240" s="62">
        <f>IF(SYSTEM_CALCULATION!U229="SI",SYSTEM_CALCULATION!O229,"")</f>
        <v/>
      </c>
      <c r="D240" s="62">
        <f>IF(SYSTEM_CALCULATION!U229="SI",SYSTEM_CALCULATION!G229,"")</f>
        <v/>
      </c>
      <c r="E240" s="63">
        <f>IF(SYSTEM_CALCULATION!U229&lt;&gt;"SI","",IF(INPUT_SYSTEM!B238="USD",SYSTEM_CALCULATION!R229*CONFIG!B229,SYSTEM_CALCULATION!R229))</f>
        <v/>
      </c>
      <c r="F240" s="63">
        <f>IF(SYSTEM_CALCULATION!U229&lt;&gt;"SI","",IF(INPUT_SYSTEM!B238="USD",SYSTEM_CALCULATION!T229*CONFIG!B229,SYSTEM_CALCULATION!T229))</f>
        <v/>
      </c>
    </row>
    <row r="241" ht="15.75" customHeight="1" s="125">
      <c r="A241" s="62">
        <f>IF(SYSTEM_CALCULATION!U230="SI",SYSTEM_CALCULATION!B230,"")</f>
        <v/>
      </c>
      <c r="B241" s="62">
        <f>IF(SYSTEM_CALCULATION!U230="SI",SYSTEM_CALCULATION!E230,"")</f>
        <v/>
      </c>
      <c r="C241" s="62">
        <f>IF(SYSTEM_CALCULATION!U230="SI",SYSTEM_CALCULATION!O230,"")</f>
        <v/>
      </c>
      <c r="D241" s="62">
        <f>IF(SYSTEM_CALCULATION!U230="SI",SYSTEM_CALCULATION!G230,"")</f>
        <v/>
      </c>
      <c r="E241" s="63">
        <f>IF(SYSTEM_CALCULATION!U230&lt;&gt;"SI","",IF(INPUT_SYSTEM!B239="USD",SYSTEM_CALCULATION!R230*CONFIG!B230,SYSTEM_CALCULATION!R230))</f>
        <v/>
      </c>
      <c r="F241" s="63">
        <f>IF(SYSTEM_CALCULATION!U230&lt;&gt;"SI","",IF(INPUT_SYSTEM!B239="USD",SYSTEM_CALCULATION!T230*CONFIG!B230,SYSTEM_CALCULATION!T230))</f>
        <v/>
      </c>
    </row>
    <row r="242" ht="15.75" customHeight="1" s="125">
      <c r="A242" s="62">
        <f>IF(SYSTEM_CALCULATION!U231="SI",SYSTEM_CALCULATION!B231,"")</f>
        <v/>
      </c>
      <c r="B242" s="62">
        <f>IF(SYSTEM_CALCULATION!U231="SI",SYSTEM_CALCULATION!E231,"")</f>
        <v/>
      </c>
      <c r="C242" s="62">
        <f>IF(SYSTEM_CALCULATION!U231="SI",SYSTEM_CALCULATION!O231,"")</f>
        <v/>
      </c>
      <c r="D242" s="62">
        <f>IF(SYSTEM_CALCULATION!U231="SI",SYSTEM_CALCULATION!G231,"")</f>
        <v/>
      </c>
      <c r="E242" s="63">
        <f>IF(SYSTEM_CALCULATION!U231&lt;&gt;"SI","",IF(INPUT_SYSTEM!B240="USD",SYSTEM_CALCULATION!R231*CONFIG!B231,SYSTEM_CALCULATION!R231))</f>
        <v/>
      </c>
      <c r="F242" s="63">
        <f>IF(SYSTEM_CALCULATION!U231&lt;&gt;"SI","",IF(INPUT_SYSTEM!B240="USD",SYSTEM_CALCULATION!T231*CONFIG!B231,SYSTEM_CALCULATION!T231))</f>
        <v/>
      </c>
    </row>
    <row r="243" ht="15.75" customHeight="1" s="125">
      <c r="A243" s="62">
        <f>IF(SYSTEM_CALCULATION!U232="SI",SYSTEM_CALCULATION!B232,"")</f>
        <v/>
      </c>
      <c r="B243" s="62">
        <f>IF(SYSTEM_CALCULATION!U232="SI",SYSTEM_CALCULATION!E232,"")</f>
        <v/>
      </c>
      <c r="C243" s="62">
        <f>IF(SYSTEM_CALCULATION!U232="SI",SYSTEM_CALCULATION!O232,"")</f>
        <v/>
      </c>
      <c r="D243" s="62">
        <f>IF(SYSTEM_CALCULATION!U232="SI",SYSTEM_CALCULATION!G232,"")</f>
        <v/>
      </c>
      <c r="E243" s="63">
        <f>IF(SYSTEM_CALCULATION!U232&lt;&gt;"SI","",IF(INPUT_SYSTEM!B241="USD",SYSTEM_CALCULATION!R232*CONFIG!B232,SYSTEM_CALCULATION!R232))</f>
        <v/>
      </c>
      <c r="F243" s="63">
        <f>IF(SYSTEM_CALCULATION!U232&lt;&gt;"SI","",IF(INPUT_SYSTEM!B241="USD",SYSTEM_CALCULATION!T232*CONFIG!B232,SYSTEM_CALCULATION!T232))</f>
        <v/>
      </c>
    </row>
    <row r="244" ht="15.75" customHeight="1" s="125">
      <c r="A244" s="62">
        <f>IF(SYSTEM_CALCULATION!U233="SI",SYSTEM_CALCULATION!B233,"")</f>
        <v/>
      </c>
      <c r="B244" s="62">
        <f>IF(SYSTEM_CALCULATION!U233="SI",SYSTEM_CALCULATION!E233,"")</f>
        <v/>
      </c>
      <c r="C244" s="62">
        <f>IF(SYSTEM_CALCULATION!U233="SI",SYSTEM_CALCULATION!O233,"")</f>
        <v/>
      </c>
      <c r="D244" s="62">
        <f>IF(SYSTEM_CALCULATION!U233="SI",SYSTEM_CALCULATION!G233,"")</f>
        <v/>
      </c>
      <c r="E244" s="63">
        <f>IF(SYSTEM_CALCULATION!U233&lt;&gt;"SI","",IF(INPUT_SYSTEM!B242="USD",SYSTEM_CALCULATION!R233*CONFIG!B233,SYSTEM_CALCULATION!R233))</f>
        <v/>
      </c>
      <c r="F244" s="63">
        <f>IF(SYSTEM_CALCULATION!U233&lt;&gt;"SI","",IF(INPUT_SYSTEM!B242="USD",SYSTEM_CALCULATION!T233*CONFIG!B233,SYSTEM_CALCULATION!T233))</f>
        <v/>
      </c>
    </row>
    <row r="245" ht="15.75" customHeight="1" s="125">
      <c r="A245" s="62">
        <f>IF(SYSTEM_CALCULATION!U234="SI",SYSTEM_CALCULATION!B234,"")</f>
        <v/>
      </c>
      <c r="B245" s="62">
        <f>IF(SYSTEM_CALCULATION!U234="SI",SYSTEM_CALCULATION!E234,"")</f>
        <v/>
      </c>
      <c r="C245" s="62">
        <f>IF(SYSTEM_CALCULATION!U234="SI",SYSTEM_CALCULATION!O234,"")</f>
        <v/>
      </c>
      <c r="D245" s="62">
        <f>IF(SYSTEM_CALCULATION!U234="SI",SYSTEM_CALCULATION!G234,"")</f>
        <v/>
      </c>
      <c r="E245" s="63">
        <f>IF(SYSTEM_CALCULATION!U234&lt;&gt;"SI","",IF(INPUT_SYSTEM!B243="USD",SYSTEM_CALCULATION!R234*CONFIG!B234,SYSTEM_CALCULATION!R234))</f>
        <v/>
      </c>
      <c r="F245" s="63">
        <f>IF(SYSTEM_CALCULATION!U234&lt;&gt;"SI","",IF(INPUT_SYSTEM!B243="USD",SYSTEM_CALCULATION!T234*CONFIG!B234,SYSTEM_CALCULATION!T234))</f>
        <v/>
      </c>
    </row>
    <row r="246" ht="15.75" customHeight="1" s="125">
      <c r="A246" s="62">
        <f>IF(SYSTEM_CALCULATION!U235="SI",SYSTEM_CALCULATION!B235,"")</f>
        <v/>
      </c>
      <c r="B246" s="62">
        <f>IF(SYSTEM_CALCULATION!U235="SI",SYSTEM_CALCULATION!E235,"")</f>
        <v/>
      </c>
      <c r="C246" s="62">
        <f>IF(SYSTEM_CALCULATION!U235="SI",SYSTEM_CALCULATION!O235,"")</f>
        <v/>
      </c>
      <c r="D246" s="62">
        <f>IF(SYSTEM_CALCULATION!U235="SI",SYSTEM_CALCULATION!G235,"")</f>
        <v/>
      </c>
      <c r="E246" s="63">
        <f>IF(SYSTEM_CALCULATION!U235&lt;&gt;"SI","",IF(INPUT_SYSTEM!B244="USD",SYSTEM_CALCULATION!R235*CONFIG!B235,SYSTEM_CALCULATION!R235))</f>
        <v/>
      </c>
      <c r="F246" s="63">
        <f>IF(SYSTEM_CALCULATION!U235&lt;&gt;"SI","",IF(INPUT_SYSTEM!B244="USD",SYSTEM_CALCULATION!T235*CONFIG!B235,SYSTEM_CALCULATION!T235))</f>
        <v/>
      </c>
    </row>
    <row r="247" ht="15.75" customHeight="1" s="125">
      <c r="A247" s="62">
        <f>IF(SYSTEM_CALCULATION!U236="SI",SYSTEM_CALCULATION!B236,"")</f>
        <v/>
      </c>
      <c r="B247" s="62">
        <f>IF(SYSTEM_CALCULATION!U236="SI",SYSTEM_CALCULATION!E236,"")</f>
        <v/>
      </c>
      <c r="C247" s="62">
        <f>IF(SYSTEM_CALCULATION!U236="SI",SYSTEM_CALCULATION!O236,"")</f>
        <v/>
      </c>
      <c r="D247" s="62">
        <f>IF(SYSTEM_CALCULATION!U236="SI",SYSTEM_CALCULATION!G236,"")</f>
        <v/>
      </c>
      <c r="E247" s="63">
        <f>IF(SYSTEM_CALCULATION!U236&lt;&gt;"SI","",IF(INPUT_SYSTEM!B245="USD",SYSTEM_CALCULATION!R236*CONFIG!B236,SYSTEM_CALCULATION!R236))</f>
        <v/>
      </c>
      <c r="F247" s="63">
        <f>IF(SYSTEM_CALCULATION!U236&lt;&gt;"SI","",IF(INPUT_SYSTEM!B245="USD",SYSTEM_CALCULATION!T236*CONFIG!B236,SYSTEM_CALCULATION!T236))</f>
        <v/>
      </c>
    </row>
    <row r="248" ht="15.75" customHeight="1" s="125">
      <c r="A248" s="62">
        <f>IF(SYSTEM_CALCULATION!U237="SI",SYSTEM_CALCULATION!B237,"")</f>
        <v/>
      </c>
      <c r="B248" s="62">
        <f>IF(SYSTEM_CALCULATION!U237="SI",SYSTEM_CALCULATION!E237,"")</f>
        <v/>
      </c>
      <c r="C248" s="62">
        <f>IF(SYSTEM_CALCULATION!U237="SI",SYSTEM_CALCULATION!O237,"")</f>
        <v/>
      </c>
      <c r="D248" s="62">
        <f>IF(SYSTEM_CALCULATION!U237="SI",SYSTEM_CALCULATION!G237,"")</f>
        <v/>
      </c>
      <c r="E248" s="63">
        <f>IF(SYSTEM_CALCULATION!U237&lt;&gt;"SI","",IF(INPUT_SYSTEM!B246="USD",SYSTEM_CALCULATION!R237*CONFIG!B237,SYSTEM_CALCULATION!R237))</f>
        <v/>
      </c>
      <c r="F248" s="63">
        <f>IF(SYSTEM_CALCULATION!U237&lt;&gt;"SI","",IF(INPUT_SYSTEM!B246="USD",SYSTEM_CALCULATION!T237*CONFIG!B237,SYSTEM_CALCULATION!T237))</f>
        <v/>
      </c>
    </row>
    <row r="249" ht="15.75" customHeight="1" s="125">
      <c r="A249" s="62">
        <f>IF(SYSTEM_CALCULATION!U238="SI",SYSTEM_CALCULATION!B238,"")</f>
        <v/>
      </c>
      <c r="B249" s="62">
        <f>IF(SYSTEM_CALCULATION!U238="SI",SYSTEM_CALCULATION!E238,"")</f>
        <v/>
      </c>
      <c r="C249" s="62">
        <f>IF(SYSTEM_CALCULATION!U238="SI",SYSTEM_CALCULATION!O238,"")</f>
        <v/>
      </c>
      <c r="D249" s="62">
        <f>IF(SYSTEM_CALCULATION!U238="SI",SYSTEM_CALCULATION!G238,"")</f>
        <v/>
      </c>
      <c r="E249" s="63">
        <f>IF(SYSTEM_CALCULATION!U238&lt;&gt;"SI","",IF(INPUT_SYSTEM!B247="USD",SYSTEM_CALCULATION!R238*CONFIG!B238,SYSTEM_CALCULATION!R238))</f>
        <v/>
      </c>
      <c r="F249" s="63">
        <f>IF(SYSTEM_CALCULATION!U238&lt;&gt;"SI","",IF(INPUT_SYSTEM!B247="USD",SYSTEM_CALCULATION!T238*CONFIG!B238,SYSTEM_CALCULATION!T238))</f>
        <v/>
      </c>
    </row>
    <row r="250" ht="15.75" customHeight="1" s="125">
      <c r="A250" s="62">
        <f>IF(SYSTEM_CALCULATION!U239="SI",SYSTEM_CALCULATION!B239,"")</f>
        <v/>
      </c>
      <c r="B250" s="62">
        <f>IF(SYSTEM_CALCULATION!U239="SI",SYSTEM_CALCULATION!E239,"")</f>
        <v/>
      </c>
      <c r="C250" s="62">
        <f>IF(SYSTEM_CALCULATION!U239="SI",SYSTEM_CALCULATION!O239,"")</f>
        <v/>
      </c>
      <c r="D250" s="62">
        <f>IF(SYSTEM_CALCULATION!U239="SI",SYSTEM_CALCULATION!G239,"")</f>
        <v/>
      </c>
      <c r="E250" s="63">
        <f>IF(SYSTEM_CALCULATION!U239&lt;&gt;"SI","",IF(INPUT_SYSTEM!B248="USD",SYSTEM_CALCULATION!R239*CONFIG!B239,SYSTEM_CALCULATION!R239))</f>
        <v/>
      </c>
      <c r="F250" s="63">
        <f>IF(SYSTEM_CALCULATION!U239&lt;&gt;"SI","",IF(INPUT_SYSTEM!B248="USD",SYSTEM_CALCULATION!T239*CONFIG!B239,SYSTEM_CALCULATION!T239))</f>
        <v/>
      </c>
    </row>
    <row r="251" ht="15.75" customHeight="1" s="125">
      <c r="A251" s="62">
        <f>IF(SYSTEM_CALCULATION!U240="SI",SYSTEM_CALCULATION!B240,"")</f>
        <v/>
      </c>
      <c r="B251" s="62">
        <f>IF(SYSTEM_CALCULATION!U240="SI",SYSTEM_CALCULATION!E240,"")</f>
        <v/>
      </c>
      <c r="C251" s="62">
        <f>IF(SYSTEM_CALCULATION!U240="SI",SYSTEM_CALCULATION!O240,"")</f>
        <v/>
      </c>
      <c r="D251" s="62">
        <f>IF(SYSTEM_CALCULATION!U240="SI",SYSTEM_CALCULATION!G240,"")</f>
        <v/>
      </c>
      <c r="E251" s="63">
        <f>IF(SYSTEM_CALCULATION!U240&lt;&gt;"SI","",IF(INPUT_SYSTEM!B249="USD",SYSTEM_CALCULATION!R240*CONFIG!B240,SYSTEM_CALCULATION!R240))</f>
        <v/>
      </c>
      <c r="F251" s="63">
        <f>IF(SYSTEM_CALCULATION!U240&lt;&gt;"SI","",IF(INPUT_SYSTEM!B249="USD",SYSTEM_CALCULATION!T240*CONFIG!B240,SYSTEM_CALCULATION!T240))</f>
        <v/>
      </c>
    </row>
    <row r="252" ht="15.75" customHeight="1" s="125">
      <c r="A252" s="62">
        <f>IF(SYSTEM_CALCULATION!U241="SI",SYSTEM_CALCULATION!B241,"")</f>
        <v/>
      </c>
      <c r="B252" s="62">
        <f>IF(SYSTEM_CALCULATION!U241="SI",SYSTEM_CALCULATION!E241,"")</f>
        <v/>
      </c>
      <c r="C252" s="62">
        <f>IF(SYSTEM_CALCULATION!U241="SI",SYSTEM_CALCULATION!O241,"")</f>
        <v/>
      </c>
      <c r="D252" s="62">
        <f>IF(SYSTEM_CALCULATION!U241="SI",SYSTEM_CALCULATION!G241,"")</f>
        <v/>
      </c>
      <c r="E252" s="63">
        <f>IF(SYSTEM_CALCULATION!U241&lt;&gt;"SI","",IF(INPUT_SYSTEM!B250="USD",SYSTEM_CALCULATION!R241*CONFIG!B241,SYSTEM_CALCULATION!R241))</f>
        <v/>
      </c>
      <c r="F252" s="63">
        <f>IF(SYSTEM_CALCULATION!U241&lt;&gt;"SI","",IF(INPUT_SYSTEM!B250="USD",SYSTEM_CALCULATION!T241*CONFIG!B241,SYSTEM_CALCULATION!T241))</f>
        <v/>
      </c>
    </row>
    <row r="253" ht="15.75" customHeight="1" s="125">
      <c r="A253" s="62">
        <f>IF(SYSTEM_CALCULATION!U242="SI",SYSTEM_CALCULATION!B242,"")</f>
        <v/>
      </c>
      <c r="B253" s="62">
        <f>IF(SYSTEM_CALCULATION!U242="SI",SYSTEM_CALCULATION!E242,"")</f>
        <v/>
      </c>
      <c r="C253" s="62">
        <f>IF(SYSTEM_CALCULATION!U242="SI",SYSTEM_CALCULATION!O242,"")</f>
        <v/>
      </c>
      <c r="D253" s="62">
        <f>IF(SYSTEM_CALCULATION!U242="SI",SYSTEM_CALCULATION!G242,"")</f>
        <v/>
      </c>
      <c r="E253" s="63">
        <f>IF(SYSTEM_CALCULATION!U242&lt;&gt;"SI","",IF(INPUT_SYSTEM!B251="USD",SYSTEM_CALCULATION!R242*CONFIG!B242,SYSTEM_CALCULATION!R242))</f>
        <v/>
      </c>
      <c r="F253" s="63">
        <f>IF(SYSTEM_CALCULATION!U242&lt;&gt;"SI","",IF(INPUT_SYSTEM!B251="USD",SYSTEM_CALCULATION!T242*CONFIG!B242,SYSTEM_CALCULATION!T242))</f>
        <v/>
      </c>
    </row>
    <row r="254" ht="15.75" customHeight="1" s="125">
      <c r="A254" s="62">
        <f>IF(SYSTEM_CALCULATION!U243="SI",SYSTEM_CALCULATION!B243,"")</f>
        <v/>
      </c>
      <c r="B254" s="62">
        <f>IF(SYSTEM_CALCULATION!U243="SI",SYSTEM_CALCULATION!E243,"")</f>
        <v/>
      </c>
      <c r="C254" s="62">
        <f>IF(SYSTEM_CALCULATION!U243="SI",SYSTEM_CALCULATION!O243,"")</f>
        <v/>
      </c>
      <c r="D254" s="62">
        <f>IF(SYSTEM_CALCULATION!U243="SI",SYSTEM_CALCULATION!G243,"")</f>
        <v/>
      </c>
      <c r="E254" s="63">
        <f>IF(SYSTEM_CALCULATION!U243&lt;&gt;"SI","",IF(INPUT_SYSTEM!B252="USD",SYSTEM_CALCULATION!R243*CONFIG!B243,SYSTEM_CALCULATION!R243))</f>
        <v/>
      </c>
      <c r="F254" s="63">
        <f>IF(SYSTEM_CALCULATION!U243&lt;&gt;"SI","",IF(INPUT_SYSTEM!B252="USD",SYSTEM_CALCULATION!T243*CONFIG!B243,SYSTEM_CALCULATION!T243))</f>
        <v/>
      </c>
    </row>
    <row r="255" ht="15.75" customHeight="1" s="125">
      <c r="A255" s="62">
        <f>IF(SYSTEM_CALCULATION!U244="SI",SYSTEM_CALCULATION!B244,"")</f>
        <v/>
      </c>
      <c r="B255" s="62">
        <f>IF(SYSTEM_CALCULATION!U244="SI",SYSTEM_CALCULATION!E244,"")</f>
        <v/>
      </c>
      <c r="C255" s="62">
        <f>IF(SYSTEM_CALCULATION!U244="SI",SYSTEM_CALCULATION!O244,"")</f>
        <v/>
      </c>
      <c r="D255" s="62">
        <f>IF(SYSTEM_CALCULATION!U244="SI",SYSTEM_CALCULATION!G244,"")</f>
        <v/>
      </c>
      <c r="E255" s="63">
        <f>IF(SYSTEM_CALCULATION!U244&lt;&gt;"SI","",IF(INPUT_SYSTEM!B253="USD",SYSTEM_CALCULATION!R244*CONFIG!B244,SYSTEM_CALCULATION!R244))</f>
        <v/>
      </c>
      <c r="F255" s="63">
        <f>IF(SYSTEM_CALCULATION!U244&lt;&gt;"SI","",IF(INPUT_SYSTEM!B253="USD",SYSTEM_CALCULATION!T244*CONFIG!B244,SYSTEM_CALCULATION!T244))</f>
        <v/>
      </c>
    </row>
    <row r="256" ht="15.75" customHeight="1" s="125">
      <c r="A256" s="62">
        <f>IF(SYSTEM_CALCULATION!U245="SI",SYSTEM_CALCULATION!B245,"")</f>
        <v/>
      </c>
      <c r="B256" s="62">
        <f>IF(SYSTEM_CALCULATION!U245="SI",SYSTEM_CALCULATION!E245,"")</f>
        <v/>
      </c>
      <c r="C256" s="62">
        <f>IF(SYSTEM_CALCULATION!U245="SI",SYSTEM_CALCULATION!O245,"")</f>
        <v/>
      </c>
      <c r="D256" s="62">
        <f>IF(SYSTEM_CALCULATION!U245="SI",SYSTEM_CALCULATION!G245,"")</f>
        <v/>
      </c>
      <c r="E256" s="63">
        <f>IF(SYSTEM_CALCULATION!U245&lt;&gt;"SI","",IF(INPUT_SYSTEM!B254="USD",SYSTEM_CALCULATION!R245*CONFIG!B245,SYSTEM_CALCULATION!R245))</f>
        <v/>
      </c>
      <c r="F256" s="63">
        <f>IF(SYSTEM_CALCULATION!U245&lt;&gt;"SI","",IF(INPUT_SYSTEM!B254="USD",SYSTEM_CALCULATION!T245*CONFIG!B245,SYSTEM_CALCULATION!T245))</f>
        <v/>
      </c>
    </row>
    <row r="257" ht="15.75" customHeight="1" s="125">
      <c r="A257" s="62">
        <f>IF(SYSTEM_CALCULATION!U246="SI",SYSTEM_CALCULATION!B246,"")</f>
        <v/>
      </c>
      <c r="B257" s="62">
        <f>IF(SYSTEM_CALCULATION!U246="SI",SYSTEM_CALCULATION!E246,"")</f>
        <v/>
      </c>
      <c r="C257" s="62">
        <f>IF(SYSTEM_CALCULATION!U246="SI",SYSTEM_CALCULATION!O246,"")</f>
        <v/>
      </c>
      <c r="D257" s="62">
        <f>IF(SYSTEM_CALCULATION!U246="SI",SYSTEM_CALCULATION!G246,"")</f>
        <v/>
      </c>
      <c r="E257" s="63">
        <f>IF(SYSTEM_CALCULATION!U246&lt;&gt;"SI","",IF(INPUT_SYSTEM!B255="USD",SYSTEM_CALCULATION!R246*CONFIG!B246,SYSTEM_CALCULATION!R246))</f>
        <v/>
      </c>
      <c r="F257" s="63">
        <f>IF(SYSTEM_CALCULATION!U246&lt;&gt;"SI","",IF(INPUT_SYSTEM!B255="USD",SYSTEM_CALCULATION!T246*CONFIG!B246,SYSTEM_CALCULATION!T246))</f>
        <v/>
      </c>
    </row>
    <row r="258" ht="15.75" customHeight="1" s="125">
      <c r="A258" s="62">
        <f>IF(SYSTEM_CALCULATION!U247="SI",SYSTEM_CALCULATION!B247,"")</f>
        <v/>
      </c>
      <c r="B258" s="62">
        <f>IF(SYSTEM_CALCULATION!U247="SI",SYSTEM_CALCULATION!E247,"")</f>
        <v/>
      </c>
      <c r="C258" s="62">
        <f>IF(SYSTEM_CALCULATION!U247="SI",SYSTEM_CALCULATION!O247,"")</f>
        <v/>
      </c>
      <c r="D258" s="62">
        <f>IF(SYSTEM_CALCULATION!U247="SI",SYSTEM_CALCULATION!G247,"")</f>
        <v/>
      </c>
      <c r="E258" s="63">
        <f>IF(SYSTEM_CALCULATION!U247&lt;&gt;"SI","",IF(INPUT_SYSTEM!B256="USD",SYSTEM_CALCULATION!R247*CONFIG!B247,SYSTEM_CALCULATION!R247))</f>
        <v/>
      </c>
      <c r="F258" s="63">
        <f>IF(SYSTEM_CALCULATION!U247&lt;&gt;"SI","",IF(INPUT_SYSTEM!B256="USD",SYSTEM_CALCULATION!T247*CONFIG!B247,SYSTEM_CALCULATION!T247))</f>
        <v/>
      </c>
    </row>
    <row r="259" ht="15.75" customHeight="1" s="125">
      <c r="A259" s="62">
        <f>IF(SYSTEM_CALCULATION!U248="SI",SYSTEM_CALCULATION!B248,"")</f>
        <v/>
      </c>
      <c r="B259" s="62">
        <f>IF(SYSTEM_CALCULATION!U248="SI",SYSTEM_CALCULATION!E248,"")</f>
        <v/>
      </c>
      <c r="C259" s="62">
        <f>IF(SYSTEM_CALCULATION!U248="SI",SYSTEM_CALCULATION!O248,"")</f>
        <v/>
      </c>
      <c r="D259" s="62">
        <f>IF(SYSTEM_CALCULATION!U248="SI",SYSTEM_CALCULATION!G248,"")</f>
        <v/>
      </c>
      <c r="E259" s="63">
        <f>IF(SYSTEM_CALCULATION!U248&lt;&gt;"SI","",IF(INPUT_SYSTEM!B257="USD",SYSTEM_CALCULATION!R248*CONFIG!B248,SYSTEM_CALCULATION!R248))</f>
        <v/>
      </c>
      <c r="F259" s="63">
        <f>IF(SYSTEM_CALCULATION!U248&lt;&gt;"SI","",IF(INPUT_SYSTEM!B257="USD",SYSTEM_CALCULATION!T248*CONFIG!B248,SYSTEM_CALCULATION!T248))</f>
        <v/>
      </c>
    </row>
    <row r="260" ht="15.75" customHeight="1" s="125">
      <c r="A260" s="62">
        <f>IF(SYSTEM_CALCULATION!U249="SI",SYSTEM_CALCULATION!B249,"")</f>
        <v/>
      </c>
      <c r="B260" s="62">
        <f>IF(SYSTEM_CALCULATION!U249="SI",SYSTEM_CALCULATION!E249,"")</f>
        <v/>
      </c>
      <c r="C260" s="62">
        <f>IF(SYSTEM_CALCULATION!U249="SI",SYSTEM_CALCULATION!O249,"")</f>
        <v/>
      </c>
      <c r="D260" s="62">
        <f>IF(SYSTEM_CALCULATION!U249="SI",SYSTEM_CALCULATION!G249,"")</f>
        <v/>
      </c>
      <c r="E260" s="63">
        <f>IF(SYSTEM_CALCULATION!U249&lt;&gt;"SI","",IF(INPUT_SYSTEM!B258="USD",SYSTEM_CALCULATION!R249*CONFIG!B249,SYSTEM_CALCULATION!R249))</f>
        <v/>
      </c>
      <c r="F260" s="63">
        <f>IF(SYSTEM_CALCULATION!U249&lt;&gt;"SI","",IF(INPUT_SYSTEM!B258="USD",SYSTEM_CALCULATION!T249*CONFIG!B249,SYSTEM_CALCULATION!T249))</f>
        <v/>
      </c>
    </row>
    <row r="261" ht="15.75" customHeight="1" s="125">
      <c r="A261" s="62">
        <f>IF(SYSTEM_CALCULATION!U250="SI",SYSTEM_CALCULATION!B250,"")</f>
        <v/>
      </c>
      <c r="B261" s="62">
        <f>IF(SYSTEM_CALCULATION!U250="SI",SYSTEM_CALCULATION!E250,"")</f>
        <v/>
      </c>
      <c r="C261" s="62">
        <f>IF(SYSTEM_CALCULATION!U250="SI",SYSTEM_CALCULATION!O250,"")</f>
        <v/>
      </c>
      <c r="D261" s="62">
        <f>IF(SYSTEM_CALCULATION!U250="SI",SYSTEM_CALCULATION!G250,"")</f>
        <v/>
      </c>
      <c r="E261" s="63">
        <f>IF(SYSTEM_CALCULATION!U250&lt;&gt;"SI","",IF(INPUT_SYSTEM!B259="USD",SYSTEM_CALCULATION!R250*CONFIG!B250,SYSTEM_CALCULATION!R250))</f>
        <v/>
      </c>
      <c r="F261" s="63">
        <f>IF(SYSTEM_CALCULATION!U250&lt;&gt;"SI","",IF(INPUT_SYSTEM!B259="USD",SYSTEM_CALCULATION!T250*CONFIG!B250,SYSTEM_CALCULATION!T250))</f>
        <v/>
      </c>
    </row>
    <row r="262" ht="15.75" customHeight="1" s="125">
      <c r="A262" s="62">
        <f>IF(SYSTEM_CALCULATION!U251="SI",SYSTEM_CALCULATION!B251,"")</f>
        <v/>
      </c>
      <c r="B262" s="62">
        <f>IF(SYSTEM_CALCULATION!U251="SI",SYSTEM_CALCULATION!E251,"")</f>
        <v/>
      </c>
      <c r="C262" s="62">
        <f>IF(SYSTEM_CALCULATION!U251="SI",SYSTEM_CALCULATION!O251,"")</f>
        <v/>
      </c>
      <c r="D262" s="62">
        <f>IF(SYSTEM_CALCULATION!U251="SI",SYSTEM_CALCULATION!G251,"")</f>
        <v/>
      </c>
      <c r="E262" s="63">
        <f>IF(SYSTEM_CALCULATION!U251&lt;&gt;"SI","",IF(INPUT_SYSTEM!B260="USD",SYSTEM_CALCULATION!R251*CONFIG!B251,SYSTEM_CALCULATION!R251))</f>
        <v/>
      </c>
      <c r="F262" s="63">
        <f>IF(SYSTEM_CALCULATION!U251&lt;&gt;"SI","",IF(INPUT_SYSTEM!B260="USD",SYSTEM_CALCULATION!T251*CONFIG!B251,SYSTEM_CALCULATION!T251))</f>
        <v/>
      </c>
    </row>
    <row r="263" ht="15.75" customHeight="1" s="125">
      <c r="A263" s="62">
        <f>IF(SYSTEM_CALCULATION!U252="SI",SYSTEM_CALCULATION!B252,"")</f>
        <v/>
      </c>
      <c r="B263" s="62">
        <f>IF(SYSTEM_CALCULATION!U252="SI",SYSTEM_CALCULATION!E252,"")</f>
        <v/>
      </c>
      <c r="C263" s="62">
        <f>IF(SYSTEM_CALCULATION!U252="SI",SYSTEM_CALCULATION!O252,"")</f>
        <v/>
      </c>
      <c r="D263" s="62">
        <f>IF(SYSTEM_CALCULATION!U252="SI",SYSTEM_CALCULATION!G252,"")</f>
        <v/>
      </c>
      <c r="E263" s="63">
        <f>IF(SYSTEM_CALCULATION!U252&lt;&gt;"SI","",IF(INPUT_SYSTEM!B261="USD",SYSTEM_CALCULATION!R252*CONFIG!B252,SYSTEM_CALCULATION!R252))</f>
        <v/>
      </c>
      <c r="F263" s="63">
        <f>IF(SYSTEM_CALCULATION!U252&lt;&gt;"SI","",IF(INPUT_SYSTEM!B261="USD",SYSTEM_CALCULATION!T252*CONFIG!B252,SYSTEM_CALCULATION!T252))</f>
        <v/>
      </c>
    </row>
    <row r="264" ht="15.75" customHeight="1" s="125">
      <c r="A264" s="62">
        <f>IF(SYSTEM_CALCULATION!U253="SI",SYSTEM_CALCULATION!B253,"")</f>
        <v/>
      </c>
      <c r="B264" s="62">
        <f>IF(SYSTEM_CALCULATION!U253="SI",SYSTEM_CALCULATION!E253,"")</f>
        <v/>
      </c>
      <c r="C264" s="62">
        <f>IF(SYSTEM_CALCULATION!U253="SI",SYSTEM_CALCULATION!O253,"")</f>
        <v/>
      </c>
      <c r="D264" s="62">
        <f>IF(SYSTEM_CALCULATION!U253="SI",SYSTEM_CALCULATION!G253,"")</f>
        <v/>
      </c>
      <c r="E264" s="63">
        <f>IF(SYSTEM_CALCULATION!U253&lt;&gt;"SI","",IF(INPUT_SYSTEM!B262="USD",SYSTEM_CALCULATION!R253*CONFIG!B253,SYSTEM_CALCULATION!R253))</f>
        <v/>
      </c>
      <c r="F264" s="63">
        <f>IF(SYSTEM_CALCULATION!U253&lt;&gt;"SI","",IF(INPUT_SYSTEM!B262="USD",SYSTEM_CALCULATION!T253*CONFIG!B253,SYSTEM_CALCULATION!T253))</f>
        <v/>
      </c>
    </row>
    <row r="265" ht="15.75" customHeight="1" s="125">
      <c r="A265" s="62">
        <f>IF(SYSTEM_CALCULATION!U254="SI",SYSTEM_CALCULATION!B254,"")</f>
        <v/>
      </c>
      <c r="B265" s="62">
        <f>IF(SYSTEM_CALCULATION!U254="SI",SYSTEM_CALCULATION!E254,"")</f>
        <v/>
      </c>
      <c r="C265" s="62">
        <f>IF(SYSTEM_CALCULATION!U254="SI",SYSTEM_CALCULATION!O254,"")</f>
        <v/>
      </c>
      <c r="D265" s="62">
        <f>IF(SYSTEM_CALCULATION!U254="SI",SYSTEM_CALCULATION!G254,"")</f>
        <v/>
      </c>
      <c r="E265" s="63">
        <f>IF(SYSTEM_CALCULATION!U254&lt;&gt;"SI","",IF(INPUT_SYSTEM!B263="USD",SYSTEM_CALCULATION!R254*CONFIG!B254,SYSTEM_CALCULATION!R254))</f>
        <v/>
      </c>
      <c r="F265" s="63">
        <f>IF(SYSTEM_CALCULATION!U254&lt;&gt;"SI","",IF(INPUT_SYSTEM!B263="USD",SYSTEM_CALCULATION!T254*CONFIG!B254,SYSTEM_CALCULATION!T254))</f>
        <v/>
      </c>
    </row>
    <row r="266" ht="15.75" customHeight="1" s="125">
      <c r="A266" s="62">
        <f>IF(SYSTEM_CALCULATION!U255="SI",SYSTEM_CALCULATION!B255,"")</f>
        <v/>
      </c>
      <c r="B266" s="62">
        <f>IF(SYSTEM_CALCULATION!U255="SI",SYSTEM_CALCULATION!E255,"")</f>
        <v/>
      </c>
      <c r="C266" s="62">
        <f>IF(SYSTEM_CALCULATION!U255="SI",SYSTEM_CALCULATION!O255,"")</f>
        <v/>
      </c>
      <c r="D266" s="62">
        <f>IF(SYSTEM_CALCULATION!U255="SI",SYSTEM_CALCULATION!G255,"")</f>
        <v/>
      </c>
      <c r="E266" s="63">
        <f>IF(SYSTEM_CALCULATION!U255&lt;&gt;"SI","",IF(INPUT_SYSTEM!B264="USD",SYSTEM_CALCULATION!R255*CONFIG!B255,SYSTEM_CALCULATION!R255))</f>
        <v/>
      </c>
      <c r="F266" s="63">
        <f>IF(SYSTEM_CALCULATION!U255&lt;&gt;"SI","",IF(INPUT_SYSTEM!B264="USD",SYSTEM_CALCULATION!T255*CONFIG!B255,SYSTEM_CALCULATION!T255))</f>
        <v/>
      </c>
    </row>
    <row r="267" ht="15.75" customHeight="1" s="125">
      <c r="A267" s="62">
        <f>IF(SYSTEM_CALCULATION!U256="SI",SYSTEM_CALCULATION!B256,"")</f>
        <v/>
      </c>
      <c r="B267" s="62">
        <f>IF(SYSTEM_CALCULATION!U256="SI",SYSTEM_CALCULATION!E256,"")</f>
        <v/>
      </c>
      <c r="C267" s="62">
        <f>IF(SYSTEM_CALCULATION!U256="SI",SYSTEM_CALCULATION!O256,"")</f>
        <v/>
      </c>
      <c r="D267" s="62">
        <f>IF(SYSTEM_CALCULATION!U256="SI",SYSTEM_CALCULATION!G256,"")</f>
        <v/>
      </c>
      <c r="E267" s="63">
        <f>IF(SYSTEM_CALCULATION!U256&lt;&gt;"SI","",IF(INPUT_SYSTEM!B265="USD",SYSTEM_CALCULATION!R256*CONFIG!B256,SYSTEM_CALCULATION!R256))</f>
        <v/>
      </c>
      <c r="F267" s="63">
        <f>IF(SYSTEM_CALCULATION!U256&lt;&gt;"SI","",IF(INPUT_SYSTEM!B265="USD",SYSTEM_CALCULATION!T256*CONFIG!B256,SYSTEM_CALCULATION!T256))</f>
        <v/>
      </c>
    </row>
    <row r="268" ht="15.75" customHeight="1" s="125">
      <c r="A268" s="62">
        <f>IF(SYSTEM_CALCULATION!U257="SI",SYSTEM_CALCULATION!B257,"")</f>
        <v/>
      </c>
      <c r="B268" s="62">
        <f>IF(SYSTEM_CALCULATION!U257="SI",SYSTEM_CALCULATION!E257,"")</f>
        <v/>
      </c>
      <c r="C268" s="62">
        <f>IF(SYSTEM_CALCULATION!U257="SI",SYSTEM_CALCULATION!O257,"")</f>
        <v/>
      </c>
      <c r="D268" s="62">
        <f>IF(SYSTEM_CALCULATION!U257="SI",SYSTEM_CALCULATION!G257,"")</f>
        <v/>
      </c>
      <c r="E268" s="63">
        <f>IF(SYSTEM_CALCULATION!U257&lt;&gt;"SI","",IF(INPUT_SYSTEM!B266="USD",SYSTEM_CALCULATION!R257*CONFIG!B257,SYSTEM_CALCULATION!R257))</f>
        <v/>
      </c>
      <c r="F268" s="63">
        <f>IF(SYSTEM_CALCULATION!U257&lt;&gt;"SI","",IF(INPUT_SYSTEM!B266="USD",SYSTEM_CALCULATION!T257*CONFIG!B257,SYSTEM_CALCULATION!T257))</f>
        <v/>
      </c>
    </row>
    <row r="269" ht="15.75" customHeight="1" s="125">
      <c r="A269" s="62">
        <f>IF(SYSTEM_CALCULATION!U258="SI",SYSTEM_CALCULATION!B258,"")</f>
        <v/>
      </c>
      <c r="B269" s="62">
        <f>IF(SYSTEM_CALCULATION!U258="SI",SYSTEM_CALCULATION!E258,"")</f>
        <v/>
      </c>
      <c r="C269" s="62">
        <f>IF(SYSTEM_CALCULATION!U258="SI",SYSTEM_CALCULATION!O258,"")</f>
        <v/>
      </c>
      <c r="D269" s="62">
        <f>IF(SYSTEM_CALCULATION!U258="SI",SYSTEM_CALCULATION!G258,"")</f>
        <v/>
      </c>
      <c r="E269" s="63">
        <f>IF(SYSTEM_CALCULATION!U258&lt;&gt;"SI","",IF(INPUT_SYSTEM!B267="USD",SYSTEM_CALCULATION!R258*CONFIG!B258,SYSTEM_CALCULATION!R258))</f>
        <v/>
      </c>
      <c r="F269" s="63">
        <f>IF(SYSTEM_CALCULATION!U258&lt;&gt;"SI","",IF(INPUT_SYSTEM!B267="USD",SYSTEM_CALCULATION!T258*CONFIG!B258,SYSTEM_CALCULATION!T258))</f>
        <v/>
      </c>
    </row>
    <row r="270" ht="15.75" customHeight="1" s="125">
      <c r="A270" s="62">
        <f>IF(SYSTEM_CALCULATION!U259="SI",SYSTEM_CALCULATION!B259,"")</f>
        <v/>
      </c>
      <c r="B270" s="62">
        <f>IF(SYSTEM_CALCULATION!U259="SI",SYSTEM_CALCULATION!E259,"")</f>
        <v/>
      </c>
      <c r="C270" s="62">
        <f>IF(SYSTEM_CALCULATION!U259="SI",SYSTEM_CALCULATION!O259,"")</f>
        <v/>
      </c>
      <c r="D270" s="62">
        <f>IF(SYSTEM_CALCULATION!U259="SI",SYSTEM_CALCULATION!G259,"")</f>
        <v/>
      </c>
      <c r="E270" s="63">
        <f>IF(SYSTEM_CALCULATION!U259&lt;&gt;"SI","",IF(INPUT_SYSTEM!B268="USD",SYSTEM_CALCULATION!R259*CONFIG!B259,SYSTEM_CALCULATION!R259))</f>
        <v/>
      </c>
      <c r="F270" s="63">
        <f>IF(SYSTEM_CALCULATION!U259&lt;&gt;"SI","",IF(INPUT_SYSTEM!B268="USD",SYSTEM_CALCULATION!T259*CONFIG!B259,SYSTEM_CALCULATION!T259))</f>
        <v/>
      </c>
    </row>
    <row r="271" ht="15.75" customHeight="1" s="125">
      <c r="A271" s="62">
        <f>IF(SYSTEM_CALCULATION!U260="SI",SYSTEM_CALCULATION!B260,"")</f>
        <v/>
      </c>
      <c r="B271" s="62">
        <f>IF(SYSTEM_CALCULATION!U260="SI",SYSTEM_CALCULATION!E260,"")</f>
        <v/>
      </c>
      <c r="C271" s="62">
        <f>IF(SYSTEM_CALCULATION!U260="SI",SYSTEM_CALCULATION!O260,"")</f>
        <v/>
      </c>
      <c r="D271" s="62">
        <f>IF(SYSTEM_CALCULATION!U260="SI",SYSTEM_CALCULATION!G260,"")</f>
        <v/>
      </c>
      <c r="E271" s="63">
        <f>IF(SYSTEM_CALCULATION!U260&lt;&gt;"SI","",IF(INPUT_SYSTEM!B269="USD",SYSTEM_CALCULATION!R260*CONFIG!B260,SYSTEM_CALCULATION!R260))</f>
        <v/>
      </c>
      <c r="F271" s="63">
        <f>IF(SYSTEM_CALCULATION!U260&lt;&gt;"SI","",IF(INPUT_SYSTEM!B269="USD",SYSTEM_CALCULATION!T260*CONFIG!B260,SYSTEM_CALCULATION!T260))</f>
        <v/>
      </c>
    </row>
    <row r="272" ht="15.75" customHeight="1" s="125">
      <c r="A272" s="62">
        <f>IF(SYSTEM_CALCULATION!U261="SI",SYSTEM_CALCULATION!B261,"")</f>
        <v/>
      </c>
      <c r="B272" s="62">
        <f>IF(SYSTEM_CALCULATION!U261="SI",SYSTEM_CALCULATION!E261,"")</f>
        <v/>
      </c>
      <c r="C272" s="62">
        <f>IF(SYSTEM_CALCULATION!U261="SI",SYSTEM_CALCULATION!O261,"")</f>
        <v/>
      </c>
      <c r="D272" s="62">
        <f>IF(SYSTEM_CALCULATION!U261="SI",SYSTEM_CALCULATION!G261,"")</f>
        <v/>
      </c>
      <c r="E272" s="63">
        <f>IF(SYSTEM_CALCULATION!U261&lt;&gt;"SI","",IF(INPUT_SYSTEM!B270="USD",SYSTEM_CALCULATION!R261*CONFIG!B261,SYSTEM_CALCULATION!R261))</f>
        <v/>
      </c>
      <c r="F272" s="63">
        <f>IF(SYSTEM_CALCULATION!U261&lt;&gt;"SI","",IF(INPUT_SYSTEM!B270="USD",SYSTEM_CALCULATION!T261*CONFIG!B261,SYSTEM_CALCULATION!T261))</f>
        <v/>
      </c>
    </row>
    <row r="273" ht="15.75" customHeight="1" s="125">
      <c r="A273" s="62">
        <f>IF(SYSTEM_CALCULATION!U262="SI",SYSTEM_CALCULATION!B262,"")</f>
        <v/>
      </c>
      <c r="B273" s="62">
        <f>IF(SYSTEM_CALCULATION!U262="SI",SYSTEM_CALCULATION!E262,"")</f>
        <v/>
      </c>
      <c r="C273" s="62">
        <f>IF(SYSTEM_CALCULATION!U262="SI",SYSTEM_CALCULATION!O262,"")</f>
        <v/>
      </c>
      <c r="D273" s="62">
        <f>IF(SYSTEM_CALCULATION!U262="SI",SYSTEM_CALCULATION!G262,"")</f>
        <v/>
      </c>
      <c r="E273" s="63">
        <f>IF(SYSTEM_CALCULATION!U262&lt;&gt;"SI","",IF(INPUT_SYSTEM!B271="USD",SYSTEM_CALCULATION!R262*CONFIG!B262,SYSTEM_CALCULATION!R262))</f>
        <v/>
      </c>
      <c r="F273" s="63">
        <f>IF(SYSTEM_CALCULATION!U262&lt;&gt;"SI","",IF(INPUT_SYSTEM!B271="USD",SYSTEM_CALCULATION!T262*CONFIG!B262,SYSTEM_CALCULATION!T262))</f>
        <v/>
      </c>
    </row>
    <row r="274" ht="15.75" customHeight="1" s="125">
      <c r="A274" s="62">
        <f>IF(SYSTEM_CALCULATION!U263="SI",SYSTEM_CALCULATION!B263,"")</f>
        <v/>
      </c>
      <c r="B274" s="62">
        <f>IF(SYSTEM_CALCULATION!U263="SI",SYSTEM_CALCULATION!E263,"")</f>
        <v/>
      </c>
      <c r="C274" s="62">
        <f>IF(SYSTEM_CALCULATION!U263="SI",SYSTEM_CALCULATION!O263,"")</f>
        <v/>
      </c>
      <c r="D274" s="62">
        <f>IF(SYSTEM_CALCULATION!U263="SI",SYSTEM_CALCULATION!G263,"")</f>
        <v/>
      </c>
      <c r="E274" s="63">
        <f>IF(SYSTEM_CALCULATION!U263&lt;&gt;"SI","",IF(INPUT_SYSTEM!B272="USD",SYSTEM_CALCULATION!R263*CONFIG!B263,SYSTEM_CALCULATION!R263))</f>
        <v/>
      </c>
      <c r="F274" s="63">
        <f>IF(SYSTEM_CALCULATION!U263&lt;&gt;"SI","",IF(INPUT_SYSTEM!B272="USD",SYSTEM_CALCULATION!T263*CONFIG!B263,SYSTEM_CALCULATION!T263))</f>
        <v/>
      </c>
    </row>
    <row r="275" ht="15.75" customHeight="1" s="125">
      <c r="A275" s="62">
        <f>IF(SYSTEM_CALCULATION!U264="SI",SYSTEM_CALCULATION!B264,"")</f>
        <v/>
      </c>
      <c r="B275" s="62">
        <f>IF(SYSTEM_CALCULATION!U264="SI",SYSTEM_CALCULATION!E264,"")</f>
        <v/>
      </c>
      <c r="C275" s="62">
        <f>IF(SYSTEM_CALCULATION!U264="SI",SYSTEM_CALCULATION!O264,"")</f>
        <v/>
      </c>
      <c r="D275" s="62">
        <f>IF(SYSTEM_CALCULATION!U264="SI",SYSTEM_CALCULATION!G264,"")</f>
        <v/>
      </c>
      <c r="E275" s="63">
        <f>IF(SYSTEM_CALCULATION!U264&lt;&gt;"SI","",IF(INPUT_SYSTEM!B273="USD",SYSTEM_CALCULATION!R264*CONFIG!B264,SYSTEM_CALCULATION!R264))</f>
        <v/>
      </c>
      <c r="F275" s="63">
        <f>IF(SYSTEM_CALCULATION!U264&lt;&gt;"SI","",IF(INPUT_SYSTEM!B273="USD",SYSTEM_CALCULATION!T264*CONFIG!B264,SYSTEM_CALCULATION!T264))</f>
        <v/>
      </c>
    </row>
    <row r="276" ht="15.75" customHeight="1" s="125">
      <c r="A276" s="62">
        <f>IF(SYSTEM_CALCULATION!U265="SI",SYSTEM_CALCULATION!B265,"")</f>
        <v/>
      </c>
      <c r="B276" s="62">
        <f>IF(SYSTEM_CALCULATION!U265="SI",SYSTEM_CALCULATION!E265,"")</f>
        <v/>
      </c>
      <c r="C276" s="62">
        <f>IF(SYSTEM_CALCULATION!U265="SI",SYSTEM_CALCULATION!O265,"")</f>
        <v/>
      </c>
      <c r="D276" s="62">
        <f>IF(SYSTEM_CALCULATION!U265="SI",SYSTEM_CALCULATION!G265,"")</f>
        <v/>
      </c>
      <c r="E276" s="63">
        <f>IF(SYSTEM_CALCULATION!U265&lt;&gt;"SI","",IF(INPUT_SYSTEM!B274="USD",SYSTEM_CALCULATION!R265*CONFIG!B265,SYSTEM_CALCULATION!R265))</f>
        <v/>
      </c>
      <c r="F276" s="63">
        <f>IF(SYSTEM_CALCULATION!U265&lt;&gt;"SI","",IF(INPUT_SYSTEM!B274="USD",SYSTEM_CALCULATION!T265*CONFIG!B265,SYSTEM_CALCULATION!T265))</f>
        <v/>
      </c>
    </row>
    <row r="277" ht="15.75" customHeight="1" s="125">
      <c r="A277" s="62">
        <f>IF(SYSTEM_CALCULATION!U266="SI",SYSTEM_CALCULATION!B266,"")</f>
        <v/>
      </c>
      <c r="B277" s="62">
        <f>IF(SYSTEM_CALCULATION!U266="SI",SYSTEM_CALCULATION!E266,"")</f>
        <v/>
      </c>
      <c r="C277" s="62">
        <f>IF(SYSTEM_CALCULATION!U266="SI",SYSTEM_CALCULATION!O266,"")</f>
        <v/>
      </c>
      <c r="D277" s="62">
        <f>IF(SYSTEM_CALCULATION!U266="SI",SYSTEM_CALCULATION!G266,"")</f>
        <v/>
      </c>
      <c r="E277" s="63">
        <f>IF(SYSTEM_CALCULATION!U266&lt;&gt;"SI","",IF(INPUT_SYSTEM!B275="USD",SYSTEM_CALCULATION!R266*CONFIG!B266,SYSTEM_CALCULATION!R266))</f>
        <v/>
      </c>
      <c r="F277" s="63">
        <f>IF(SYSTEM_CALCULATION!U266&lt;&gt;"SI","",IF(INPUT_SYSTEM!B275="USD",SYSTEM_CALCULATION!T266*CONFIG!B266,SYSTEM_CALCULATION!T266))</f>
        <v/>
      </c>
    </row>
    <row r="278" ht="15.75" customHeight="1" s="125">
      <c r="A278" s="62">
        <f>IF(SYSTEM_CALCULATION!U267="SI",SYSTEM_CALCULATION!B267,"")</f>
        <v/>
      </c>
      <c r="B278" s="62">
        <f>IF(SYSTEM_CALCULATION!U267="SI",SYSTEM_CALCULATION!E267,"")</f>
        <v/>
      </c>
      <c r="C278" s="62">
        <f>IF(SYSTEM_CALCULATION!U267="SI",SYSTEM_CALCULATION!O267,"")</f>
        <v/>
      </c>
      <c r="D278" s="62">
        <f>IF(SYSTEM_CALCULATION!U267="SI",SYSTEM_CALCULATION!G267,"")</f>
        <v/>
      </c>
      <c r="E278" s="63">
        <f>IF(SYSTEM_CALCULATION!U267&lt;&gt;"SI","",IF(INPUT_SYSTEM!B276="USD",SYSTEM_CALCULATION!R267*CONFIG!B267,SYSTEM_CALCULATION!R267))</f>
        <v/>
      </c>
      <c r="F278" s="63">
        <f>IF(SYSTEM_CALCULATION!U267&lt;&gt;"SI","",IF(INPUT_SYSTEM!B276="USD",SYSTEM_CALCULATION!T267*CONFIG!B267,SYSTEM_CALCULATION!T267))</f>
        <v/>
      </c>
    </row>
    <row r="279" ht="15.75" customHeight="1" s="125">
      <c r="A279" s="62">
        <f>IF(SYSTEM_CALCULATION!U268="SI",SYSTEM_CALCULATION!B268,"")</f>
        <v/>
      </c>
      <c r="B279" s="62">
        <f>IF(SYSTEM_CALCULATION!U268="SI",SYSTEM_CALCULATION!E268,"")</f>
        <v/>
      </c>
      <c r="C279" s="62">
        <f>IF(SYSTEM_CALCULATION!U268="SI",SYSTEM_CALCULATION!O268,"")</f>
        <v/>
      </c>
      <c r="D279" s="62">
        <f>IF(SYSTEM_CALCULATION!U268="SI",SYSTEM_CALCULATION!G268,"")</f>
        <v/>
      </c>
      <c r="E279" s="63">
        <f>IF(SYSTEM_CALCULATION!U268&lt;&gt;"SI","",IF(INPUT_SYSTEM!B277="USD",SYSTEM_CALCULATION!R268*CONFIG!B268,SYSTEM_CALCULATION!R268))</f>
        <v/>
      </c>
      <c r="F279" s="63">
        <f>IF(SYSTEM_CALCULATION!U268&lt;&gt;"SI","",IF(INPUT_SYSTEM!B277="USD",SYSTEM_CALCULATION!T268*CONFIG!B268,SYSTEM_CALCULATION!T268))</f>
        <v/>
      </c>
    </row>
    <row r="280" ht="15.75" customHeight="1" s="125">
      <c r="A280" s="62">
        <f>IF(SYSTEM_CALCULATION!U269="SI",SYSTEM_CALCULATION!B269,"")</f>
        <v/>
      </c>
      <c r="B280" s="62">
        <f>IF(SYSTEM_CALCULATION!U269="SI",SYSTEM_CALCULATION!E269,"")</f>
        <v/>
      </c>
      <c r="C280" s="62">
        <f>IF(SYSTEM_CALCULATION!U269="SI",SYSTEM_CALCULATION!O269,"")</f>
        <v/>
      </c>
      <c r="D280" s="62">
        <f>IF(SYSTEM_CALCULATION!U269="SI",SYSTEM_CALCULATION!G269,"")</f>
        <v/>
      </c>
      <c r="E280" s="63">
        <f>IF(SYSTEM_CALCULATION!U269&lt;&gt;"SI","",IF(INPUT_SYSTEM!B278="USD",SYSTEM_CALCULATION!R269*CONFIG!B269,SYSTEM_CALCULATION!R269))</f>
        <v/>
      </c>
      <c r="F280" s="63">
        <f>IF(SYSTEM_CALCULATION!U269&lt;&gt;"SI","",IF(INPUT_SYSTEM!B278="USD",SYSTEM_CALCULATION!T269*CONFIG!B269,SYSTEM_CALCULATION!T269))</f>
        <v/>
      </c>
    </row>
    <row r="281" ht="15.75" customHeight="1" s="125">
      <c r="A281" s="62">
        <f>IF(SYSTEM_CALCULATION!U270="SI",SYSTEM_CALCULATION!B270,"")</f>
        <v/>
      </c>
      <c r="B281" s="62">
        <f>IF(SYSTEM_CALCULATION!U270="SI",SYSTEM_CALCULATION!E270,"")</f>
        <v/>
      </c>
      <c r="C281" s="62">
        <f>IF(SYSTEM_CALCULATION!U270="SI",SYSTEM_CALCULATION!O270,"")</f>
        <v/>
      </c>
      <c r="D281" s="62">
        <f>IF(SYSTEM_CALCULATION!U270="SI",SYSTEM_CALCULATION!G270,"")</f>
        <v/>
      </c>
      <c r="E281" s="63">
        <f>IF(SYSTEM_CALCULATION!U270&lt;&gt;"SI","",IF(INPUT_SYSTEM!B279="USD",SYSTEM_CALCULATION!R270*CONFIG!B270,SYSTEM_CALCULATION!R270))</f>
        <v/>
      </c>
      <c r="F281" s="63">
        <f>IF(SYSTEM_CALCULATION!U270&lt;&gt;"SI","",IF(INPUT_SYSTEM!B279="USD",SYSTEM_CALCULATION!T270*CONFIG!B270,SYSTEM_CALCULATION!T270))</f>
        <v/>
      </c>
    </row>
    <row r="282" ht="15.75" customHeight="1" s="125">
      <c r="A282" s="62">
        <f>IF(SYSTEM_CALCULATION!U271="SI",SYSTEM_CALCULATION!B271,"")</f>
        <v/>
      </c>
      <c r="B282" s="62">
        <f>IF(SYSTEM_CALCULATION!U271="SI",SYSTEM_CALCULATION!E271,"")</f>
        <v/>
      </c>
      <c r="C282" s="62">
        <f>IF(SYSTEM_CALCULATION!U271="SI",SYSTEM_CALCULATION!O271,"")</f>
        <v/>
      </c>
      <c r="D282" s="62">
        <f>IF(SYSTEM_CALCULATION!U271="SI",SYSTEM_CALCULATION!G271,"")</f>
        <v/>
      </c>
      <c r="E282" s="63">
        <f>IF(SYSTEM_CALCULATION!U271&lt;&gt;"SI","",IF(INPUT_SYSTEM!B280="USD",SYSTEM_CALCULATION!R271*CONFIG!B271,SYSTEM_CALCULATION!R271))</f>
        <v/>
      </c>
      <c r="F282" s="63">
        <f>IF(SYSTEM_CALCULATION!U271&lt;&gt;"SI","",IF(INPUT_SYSTEM!B280="USD",SYSTEM_CALCULATION!T271*CONFIG!B271,SYSTEM_CALCULATION!T271))</f>
        <v/>
      </c>
    </row>
    <row r="283" ht="15.75" customHeight="1" s="125">
      <c r="A283" s="62">
        <f>IF(SYSTEM_CALCULATION!U272="SI",SYSTEM_CALCULATION!B272,"")</f>
        <v/>
      </c>
      <c r="B283" s="62">
        <f>IF(SYSTEM_CALCULATION!U272="SI",SYSTEM_CALCULATION!E272,"")</f>
        <v/>
      </c>
      <c r="C283" s="62">
        <f>IF(SYSTEM_CALCULATION!U272="SI",SYSTEM_CALCULATION!O272,"")</f>
        <v/>
      </c>
      <c r="D283" s="62">
        <f>IF(SYSTEM_CALCULATION!U272="SI",SYSTEM_CALCULATION!G272,"")</f>
        <v/>
      </c>
      <c r="E283" s="63">
        <f>IF(SYSTEM_CALCULATION!U272&lt;&gt;"SI","",IF(INPUT_SYSTEM!B281="USD",SYSTEM_CALCULATION!R272*CONFIG!B272,SYSTEM_CALCULATION!R272))</f>
        <v/>
      </c>
      <c r="F283" s="63">
        <f>IF(SYSTEM_CALCULATION!U272&lt;&gt;"SI","",IF(INPUT_SYSTEM!B281="USD",SYSTEM_CALCULATION!T272*CONFIG!B272,SYSTEM_CALCULATION!T272))</f>
        <v/>
      </c>
    </row>
    <row r="284" ht="15.75" customHeight="1" s="125">
      <c r="A284" s="62">
        <f>IF(SYSTEM_CALCULATION!U273="SI",SYSTEM_CALCULATION!B273,"")</f>
        <v/>
      </c>
      <c r="B284" s="62">
        <f>IF(SYSTEM_CALCULATION!U273="SI",SYSTEM_CALCULATION!E273,"")</f>
        <v/>
      </c>
      <c r="C284" s="62">
        <f>IF(SYSTEM_CALCULATION!U273="SI",SYSTEM_CALCULATION!O273,"")</f>
        <v/>
      </c>
      <c r="D284" s="62">
        <f>IF(SYSTEM_CALCULATION!U273="SI",SYSTEM_CALCULATION!G273,"")</f>
        <v/>
      </c>
      <c r="E284" s="63">
        <f>IF(SYSTEM_CALCULATION!U273&lt;&gt;"SI","",IF(INPUT_SYSTEM!B282="USD",SYSTEM_CALCULATION!R273*CONFIG!B273,SYSTEM_CALCULATION!R273))</f>
        <v/>
      </c>
      <c r="F284" s="63">
        <f>IF(SYSTEM_CALCULATION!U273&lt;&gt;"SI","",IF(INPUT_SYSTEM!B282="USD",SYSTEM_CALCULATION!T273*CONFIG!B273,SYSTEM_CALCULATION!T273))</f>
        <v/>
      </c>
    </row>
    <row r="285" ht="15.75" customHeight="1" s="125">
      <c r="A285" s="62">
        <f>IF(SYSTEM_CALCULATION!U274="SI",SYSTEM_CALCULATION!B274,"")</f>
        <v/>
      </c>
      <c r="B285" s="62">
        <f>IF(SYSTEM_CALCULATION!U274="SI",SYSTEM_CALCULATION!E274,"")</f>
        <v/>
      </c>
      <c r="C285" s="62">
        <f>IF(SYSTEM_CALCULATION!U274="SI",SYSTEM_CALCULATION!O274,"")</f>
        <v/>
      </c>
      <c r="D285" s="62">
        <f>IF(SYSTEM_CALCULATION!U274="SI",SYSTEM_CALCULATION!G274,"")</f>
        <v/>
      </c>
      <c r="E285" s="63">
        <f>IF(SYSTEM_CALCULATION!U274&lt;&gt;"SI","",IF(INPUT_SYSTEM!B283="USD",SYSTEM_CALCULATION!R274*CONFIG!B274,SYSTEM_CALCULATION!R274))</f>
        <v/>
      </c>
      <c r="F285" s="63">
        <f>IF(SYSTEM_CALCULATION!U274&lt;&gt;"SI","",IF(INPUT_SYSTEM!B283="USD",SYSTEM_CALCULATION!T274*CONFIG!B274,SYSTEM_CALCULATION!T274))</f>
        <v/>
      </c>
    </row>
    <row r="286" ht="15.75" customHeight="1" s="125">
      <c r="A286" s="62">
        <f>IF(SYSTEM_CALCULATION!U275="SI",SYSTEM_CALCULATION!B275,"")</f>
        <v/>
      </c>
      <c r="B286" s="62">
        <f>IF(SYSTEM_CALCULATION!U275="SI",SYSTEM_CALCULATION!E275,"")</f>
        <v/>
      </c>
      <c r="C286" s="62">
        <f>IF(SYSTEM_CALCULATION!U275="SI",SYSTEM_CALCULATION!O275,"")</f>
        <v/>
      </c>
      <c r="D286" s="62">
        <f>IF(SYSTEM_CALCULATION!U275="SI",SYSTEM_CALCULATION!G275,"")</f>
        <v/>
      </c>
      <c r="E286" s="63">
        <f>IF(SYSTEM_CALCULATION!U275&lt;&gt;"SI","",IF(INPUT_SYSTEM!B284="USD",SYSTEM_CALCULATION!R275*CONFIG!B275,SYSTEM_CALCULATION!R275))</f>
        <v/>
      </c>
      <c r="F286" s="63">
        <f>IF(SYSTEM_CALCULATION!U275&lt;&gt;"SI","",IF(INPUT_SYSTEM!B284="USD",SYSTEM_CALCULATION!T275*CONFIG!B275,SYSTEM_CALCULATION!T275))</f>
        <v/>
      </c>
    </row>
    <row r="287" ht="15.75" customHeight="1" s="125">
      <c r="A287" s="62">
        <f>IF(SYSTEM_CALCULATION!U276="SI",SYSTEM_CALCULATION!B276,"")</f>
        <v/>
      </c>
      <c r="B287" s="62">
        <f>IF(SYSTEM_CALCULATION!U276="SI",SYSTEM_CALCULATION!E276,"")</f>
        <v/>
      </c>
      <c r="C287" s="62">
        <f>IF(SYSTEM_CALCULATION!U276="SI",SYSTEM_CALCULATION!O276,"")</f>
        <v/>
      </c>
      <c r="D287" s="62">
        <f>IF(SYSTEM_CALCULATION!U276="SI",SYSTEM_CALCULATION!G276,"")</f>
        <v/>
      </c>
      <c r="E287" s="63">
        <f>IF(SYSTEM_CALCULATION!U276&lt;&gt;"SI","",IF(INPUT_SYSTEM!B285="USD",SYSTEM_CALCULATION!R276*CONFIG!B276,SYSTEM_CALCULATION!R276))</f>
        <v/>
      </c>
      <c r="F287" s="63">
        <f>IF(SYSTEM_CALCULATION!U276&lt;&gt;"SI","",IF(INPUT_SYSTEM!B285="USD",SYSTEM_CALCULATION!T276*CONFIG!B276,SYSTEM_CALCULATION!T276))</f>
        <v/>
      </c>
    </row>
    <row r="288" ht="15.75" customHeight="1" s="125">
      <c r="A288" s="62">
        <f>IF(SYSTEM_CALCULATION!U277="SI",SYSTEM_CALCULATION!B277,"")</f>
        <v/>
      </c>
      <c r="B288" s="62">
        <f>IF(SYSTEM_CALCULATION!U277="SI",SYSTEM_CALCULATION!E277,"")</f>
        <v/>
      </c>
      <c r="C288" s="62">
        <f>IF(SYSTEM_CALCULATION!U277="SI",SYSTEM_CALCULATION!O277,"")</f>
        <v/>
      </c>
      <c r="D288" s="62">
        <f>IF(SYSTEM_CALCULATION!U277="SI",SYSTEM_CALCULATION!G277,"")</f>
        <v/>
      </c>
      <c r="E288" s="63">
        <f>IF(SYSTEM_CALCULATION!U277&lt;&gt;"SI","",IF(INPUT_SYSTEM!B286="USD",SYSTEM_CALCULATION!R277*CONFIG!B277,SYSTEM_CALCULATION!R277))</f>
        <v/>
      </c>
      <c r="F288" s="63">
        <f>IF(SYSTEM_CALCULATION!U277&lt;&gt;"SI","",IF(INPUT_SYSTEM!B286="USD",SYSTEM_CALCULATION!T277*CONFIG!B277,SYSTEM_CALCULATION!T277))</f>
        <v/>
      </c>
    </row>
    <row r="289" ht="15.75" customHeight="1" s="125">
      <c r="A289" s="62">
        <f>IF(SYSTEM_CALCULATION!U278="SI",SYSTEM_CALCULATION!B278,"")</f>
        <v/>
      </c>
      <c r="B289" s="62">
        <f>IF(SYSTEM_CALCULATION!U278="SI",SYSTEM_CALCULATION!E278,"")</f>
        <v/>
      </c>
      <c r="C289" s="62">
        <f>IF(SYSTEM_CALCULATION!U278="SI",SYSTEM_CALCULATION!O278,"")</f>
        <v/>
      </c>
      <c r="D289" s="62">
        <f>IF(SYSTEM_CALCULATION!U278="SI",SYSTEM_CALCULATION!G278,"")</f>
        <v/>
      </c>
      <c r="E289" s="63">
        <f>IF(SYSTEM_CALCULATION!U278&lt;&gt;"SI","",IF(INPUT_SYSTEM!B287="USD",SYSTEM_CALCULATION!R278*CONFIG!B278,SYSTEM_CALCULATION!R278))</f>
        <v/>
      </c>
      <c r="F289" s="63">
        <f>IF(SYSTEM_CALCULATION!U278&lt;&gt;"SI","",IF(INPUT_SYSTEM!B287="USD",SYSTEM_CALCULATION!T278*CONFIG!B278,SYSTEM_CALCULATION!T278))</f>
        <v/>
      </c>
    </row>
    <row r="290" ht="15.75" customHeight="1" s="125">
      <c r="A290" s="62">
        <f>IF(SYSTEM_CALCULATION!U279="SI",SYSTEM_CALCULATION!B279,"")</f>
        <v/>
      </c>
      <c r="B290" s="62">
        <f>IF(SYSTEM_CALCULATION!U279="SI",SYSTEM_CALCULATION!E279,"")</f>
        <v/>
      </c>
      <c r="C290" s="62">
        <f>IF(SYSTEM_CALCULATION!U279="SI",SYSTEM_CALCULATION!O279,"")</f>
        <v/>
      </c>
      <c r="D290" s="62">
        <f>IF(SYSTEM_CALCULATION!U279="SI",SYSTEM_CALCULATION!G279,"")</f>
        <v/>
      </c>
      <c r="E290" s="63">
        <f>IF(SYSTEM_CALCULATION!U279&lt;&gt;"SI","",IF(INPUT_SYSTEM!B288="USD",SYSTEM_CALCULATION!R279*CONFIG!B279,SYSTEM_CALCULATION!R279))</f>
        <v/>
      </c>
      <c r="F290" s="63">
        <f>IF(SYSTEM_CALCULATION!U279&lt;&gt;"SI","",IF(INPUT_SYSTEM!B288="USD",SYSTEM_CALCULATION!T279*CONFIG!B279,SYSTEM_CALCULATION!T279))</f>
        <v/>
      </c>
    </row>
    <row r="291" ht="15.75" customHeight="1" s="125">
      <c r="A291" s="62">
        <f>IF(SYSTEM_CALCULATION!U280="SI",SYSTEM_CALCULATION!B280,"")</f>
        <v/>
      </c>
      <c r="B291" s="62">
        <f>IF(SYSTEM_CALCULATION!U280="SI",SYSTEM_CALCULATION!E280,"")</f>
        <v/>
      </c>
      <c r="C291" s="62">
        <f>IF(SYSTEM_CALCULATION!U280="SI",SYSTEM_CALCULATION!O280,"")</f>
        <v/>
      </c>
      <c r="D291" s="62">
        <f>IF(SYSTEM_CALCULATION!U280="SI",SYSTEM_CALCULATION!G280,"")</f>
        <v/>
      </c>
      <c r="E291" s="63">
        <f>IF(SYSTEM_CALCULATION!U280&lt;&gt;"SI","",IF(INPUT_SYSTEM!B289="USD",SYSTEM_CALCULATION!R280*CONFIG!B280,SYSTEM_CALCULATION!R280))</f>
        <v/>
      </c>
      <c r="F291" s="63">
        <f>IF(SYSTEM_CALCULATION!U280&lt;&gt;"SI","",IF(INPUT_SYSTEM!B289="USD",SYSTEM_CALCULATION!T280*CONFIG!B280,SYSTEM_CALCULATION!T280))</f>
        <v/>
      </c>
    </row>
    <row r="292" ht="15.75" customHeight="1" s="125">
      <c r="A292" s="62">
        <f>IF(SYSTEM_CALCULATION!U281="SI",SYSTEM_CALCULATION!B281,"")</f>
        <v/>
      </c>
      <c r="B292" s="62">
        <f>IF(SYSTEM_CALCULATION!U281="SI",SYSTEM_CALCULATION!E281,"")</f>
        <v/>
      </c>
      <c r="C292" s="62">
        <f>IF(SYSTEM_CALCULATION!U281="SI",SYSTEM_CALCULATION!O281,"")</f>
        <v/>
      </c>
      <c r="D292" s="62">
        <f>IF(SYSTEM_CALCULATION!U281="SI",SYSTEM_CALCULATION!G281,"")</f>
        <v/>
      </c>
      <c r="E292" s="63">
        <f>IF(SYSTEM_CALCULATION!U281&lt;&gt;"SI","",IF(INPUT_SYSTEM!B290="USD",SYSTEM_CALCULATION!R281*CONFIG!B281,SYSTEM_CALCULATION!R281))</f>
        <v/>
      </c>
      <c r="F292" s="63">
        <f>IF(SYSTEM_CALCULATION!U281&lt;&gt;"SI","",IF(INPUT_SYSTEM!B290="USD",SYSTEM_CALCULATION!T281*CONFIG!B281,SYSTEM_CALCULATION!T281))</f>
        <v/>
      </c>
    </row>
    <row r="293" ht="15.75" customHeight="1" s="125">
      <c r="A293" s="62">
        <f>IF(SYSTEM_CALCULATION!U282="SI",SYSTEM_CALCULATION!B282,"")</f>
        <v/>
      </c>
      <c r="B293" s="62">
        <f>IF(SYSTEM_CALCULATION!U282="SI",SYSTEM_CALCULATION!E282,"")</f>
        <v/>
      </c>
      <c r="C293" s="62">
        <f>IF(SYSTEM_CALCULATION!U282="SI",SYSTEM_CALCULATION!O282,"")</f>
        <v/>
      </c>
      <c r="D293" s="62">
        <f>IF(SYSTEM_CALCULATION!U282="SI",SYSTEM_CALCULATION!G282,"")</f>
        <v/>
      </c>
      <c r="E293" s="63">
        <f>IF(SYSTEM_CALCULATION!U282&lt;&gt;"SI","",IF(INPUT_SYSTEM!B291="USD",SYSTEM_CALCULATION!R282*CONFIG!B282,SYSTEM_CALCULATION!R282))</f>
        <v/>
      </c>
      <c r="F293" s="63">
        <f>IF(SYSTEM_CALCULATION!U282&lt;&gt;"SI","",IF(INPUT_SYSTEM!B291="USD",SYSTEM_CALCULATION!T282*CONFIG!B282,SYSTEM_CALCULATION!T282))</f>
        <v/>
      </c>
    </row>
    <row r="294" ht="15.75" customHeight="1" s="125">
      <c r="A294" s="62">
        <f>IF(SYSTEM_CALCULATION!U283="SI",SYSTEM_CALCULATION!B283,"")</f>
        <v/>
      </c>
      <c r="B294" s="62">
        <f>IF(SYSTEM_CALCULATION!U283="SI",SYSTEM_CALCULATION!E283,"")</f>
        <v/>
      </c>
      <c r="C294" s="62">
        <f>IF(SYSTEM_CALCULATION!U283="SI",SYSTEM_CALCULATION!O283,"")</f>
        <v/>
      </c>
      <c r="D294" s="62">
        <f>IF(SYSTEM_CALCULATION!U283="SI",SYSTEM_CALCULATION!G283,"")</f>
        <v/>
      </c>
      <c r="E294" s="63">
        <f>IF(SYSTEM_CALCULATION!U283&lt;&gt;"SI","",IF(INPUT_SYSTEM!B292="USD",SYSTEM_CALCULATION!R283*CONFIG!B283,SYSTEM_CALCULATION!R283))</f>
        <v/>
      </c>
      <c r="F294" s="63">
        <f>IF(SYSTEM_CALCULATION!U283&lt;&gt;"SI","",IF(INPUT_SYSTEM!B292="USD",SYSTEM_CALCULATION!T283*CONFIG!B283,SYSTEM_CALCULATION!T283))</f>
        <v/>
      </c>
    </row>
    <row r="295" ht="15.75" customHeight="1" s="125">
      <c r="A295" s="62">
        <f>IF(SYSTEM_CALCULATION!U284="SI",SYSTEM_CALCULATION!B284,"")</f>
        <v/>
      </c>
      <c r="B295" s="62">
        <f>IF(SYSTEM_CALCULATION!U284="SI",SYSTEM_CALCULATION!E284,"")</f>
        <v/>
      </c>
      <c r="C295" s="62">
        <f>IF(SYSTEM_CALCULATION!U284="SI",SYSTEM_CALCULATION!O284,"")</f>
        <v/>
      </c>
      <c r="D295" s="62">
        <f>IF(SYSTEM_CALCULATION!U284="SI",SYSTEM_CALCULATION!G284,"")</f>
        <v/>
      </c>
      <c r="E295" s="63">
        <f>IF(SYSTEM_CALCULATION!U284&lt;&gt;"SI","",IF(INPUT_SYSTEM!B293="USD",SYSTEM_CALCULATION!R284*CONFIG!B284,SYSTEM_CALCULATION!R284))</f>
        <v/>
      </c>
      <c r="F295" s="63">
        <f>IF(SYSTEM_CALCULATION!U284&lt;&gt;"SI","",IF(INPUT_SYSTEM!B293="USD",SYSTEM_CALCULATION!T284*CONFIG!B284,SYSTEM_CALCULATION!T284))</f>
        <v/>
      </c>
    </row>
    <row r="296" ht="15.75" customHeight="1" s="125">
      <c r="A296" s="62">
        <f>IF(SYSTEM_CALCULATION!U285="SI",SYSTEM_CALCULATION!B285,"")</f>
        <v/>
      </c>
      <c r="B296" s="62">
        <f>IF(SYSTEM_CALCULATION!U285="SI",SYSTEM_CALCULATION!E285,"")</f>
        <v/>
      </c>
      <c r="C296" s="62">
        <f>IF(SYSTEM_CALCULATION!U285="SI",SYSTEM_CALCULATION!O285,"")</f>
        <v/>
      </c>
      <c r="D296" s="62">
        <f>IF(SYSTEM_CALCULATION!U285="SI",SYSTEM_CALCULATION!G285,"")</f>
        <v/>
      </c>
      <c r="E296" s="63">
        <f>IF(SYSTEM_CALCULATION!U285&lt;&gt;"SI","",IF(INPUT_SYSTEM!B294="USD",SYSTEM_CALCULATION!R285*CONFIG!B285,SYSTEM_CALCULATION!R285))</f>
        <v/>
      </c>
      <c r="F296" s="63">
        <f>IF(SYSTEM_CALCULATION!U285&lt;&gt;"SI","",IF(INPUT_SYSTEM!B294="USD",SYSTEM_CALCULATION!T285*CONFIG!B285,SYSTEM_CALCULATION!T285))</f>
        <v/>
      </c>
    </row>
    <row r="297" ht="15.75" customHeight="1" s="125">
      <c r="A297" s="62">
        <f>IF(SYSTEM_CALCULATION!U286="SI",SYSTEM_CALCULATION!B286,"")</f>
        <v/>
      </c>
      <c r="B297" s="62">
        <f>IF(SYSTEM_CALCULATION!U286="SI",SYSTEM_CALCULATION!E286,"")</f>
        <v/>
      </c>
      <c r="C297" s="62">
        <f>IF(SYSTEM_CALCULATION!U286="SI",SYSTEM_CALCULATION!O286,"")</f>
        <v/>
      </c>
      <c r="D297" s="62">
        <f>IF(SYSTEM_CALCULATION!U286="SI",SYSTEM_CALCULATION!G286,"")</f>
        <v/>
      </c>
      <c r="E297" s="63">
        <f>IF(SYSTEM_CALCULATION!U286&lt;&gt;"SI","",IF(INPUT_SYSTEM!B295="USD",SYSTEM_CALCULATION!R286*CONFIG!B286,SYSTEM_CALCULATION!R286))</f>
        <v/>
      </c>
      <c r="F297" s="63">
        <f>IF(SYSTEM_CALCULATION!U286&lt;&gt;"SI","",IF(INPUT_SYSTEM!B295="USD",SYSTEM_CALCULATION!T286*CONFIG!B286,SYSTEM_CALCULATION!T286))</f>
        <v/>
      </c>
    </row>
    <row r="298" ht="15.75" customHeight="1" s="125">
      <c r="A298" s="62">
        <f>IF(SYSTEM_CALCULATION!U287="SI",SYSTEM_CALCULATION!B287,"")</f>
        <v/>
      </c>
      <c r="B298" s="62">
        <f>IF(SYSTEM_CALCULATION!U287="SI",SYSTEM_CALCULATION!E287,"")</f>
        <v/>
      </c>
      <c r="C298" s="62">
        <f>IF(SYSTEM_CALCULATION!U287="SI",SYSTEM_CALCULATION!O287,"")</f>
        <v/>
      </c>
      <c r="D298" s="62">
        <f>IF(SYSTEM_CALCULATION!U287="SI",SYSTEM_CALCULATION!G287,"")</f>
        <v/>
      </c>
      <c r="E298" s="63">
        <f>IF(SYSTEM_CALCULATION!U287&lt;&gt;"SI","",IF(INPUT_SYSTEM!B296="USD",SYSTEM_CALCULATION!R287*CONFIG!B287,SYSTEM_CALCULATION!R287))</f>
        <v/>
      </c>
      <c r="F298" s="63">
        <f>IF(SYSTEM_CALCULATION!U287&lt;&gt;"SI","",IF(INPUT_SYSTEM!B296="USD",SYSTEM_CALCULATION!T287*CONFIG!B287,SYSTEM_CALCULATION!T287))</f>
        <v/>
      </c>
    </row>
    <row r="299" ht="15.75" customHeight="1" s="125">
      <c r="A299" s="62">
        <f>IF(SYSTEM_CALCULATION!U288="SI",SYSTEM_CALCULATION!B288,"")</f>
        <v/>
      </c>
      <c r="B299" s="62">
        <f>IF(SYSTEM_CALCULATION!U288="SI",SYSTEM_CALCULATION!E288,"")</f>
        <v/>
      </c>
      <c r="C299" s="62">
        <f>IF(SYSTEM_CALCULATION!U288="SI",SYSTEM_CALCULATION!O288,"")</f>
        <v/>
      </c>
      <c r="D299" s="62">
        <f>IF(SYSTEM_CALCULATION!U288="SI",SYSTEM_CALCULATION!G288,"")</f>
        <v/>
      </c>
      <c r="E299" s="63">
        <f>IF(SYSTEM_CALCULATION!U288&lt;&gt;"SI","",IF(INPUT_SYSTEM!B297="USD",SYSTEM_CALCULATION!R288*CONFIG!B288,SYSTEM_CALCULATION!R288))</f>
        <v/>
      </c>
      <c r="F299" s="63">
        <f>IF(SYSTEM_CALCULATION!U288&lt;&gt;"SI","",IF(INPUT_SYSTEM!B297="USD",SYSTEM_CALCULATION!T288*CONFIG!B288,SYSTEM_CALCULATION!T288))</f>
        <v/>
      </c>
    </row>
    <row r="300" ht="15.75" customHeight="1" s="125">
      <c r="A300" s="62">
        <f>IF(SYSTEM_CALCULATION!U289="SI",SYSTEM_CALCULATION!B289,"")</f>
        <v/>
      </c>
      <c r="B300" s="62">
        <f>IF(SYSTEM_CALCULATION!U289="SI",SYSTEM_CALCULATION!E289,"")</f>
        <v/>
      </c>
      <c r="C300" s="62">
        <f>IF(SYSTEM_CALCULATION!U289="SI",SYSTEM_CALCULATION!O289,"")</f>
        <v/>
      </c>
      <c r="D300" s="62">
        <f>IF(SYSTEM_CALCULATION!U289="SI",SYSTEM_CALCULATION!G289,"")</f>
        <v/>
      </c>
      <c r="E300" s="63">
        <f>IF(SYSTEM_CALCULATION!U289&lt;&gt;"SI","",IF(INPUT_SYSTEM!B298="USD",SYSTEM_CALCULATION!R289*CONFIG!B289,SYSTEM_CALCULATION!R289))</f>
        <v/>
      </c>
      <c r="F300" s="63">
        <f>IF(SYSTEM_CALCULATION!U289&lt;&gt;"SI","",IF(INPUT_SYSTEM!B298="USD",SYSTEM_CALCULATION!T289*CONFIG!B289,SYSTEM_CALCULATION!T289))</f>
        <v/>
      </c>
    </row>
    <row r="301" ht="15.75" customHeight="1" s="125">
      <c r="A301" s="62">
        <f>IF(SYSTEM_CALCULATION!U290="SI",SYSTEM_CALCULATION!B290,"")</f>
        <v/>
      </c>
      <c r="B301" s="62">
        <f>IF(SYSTEM_CALCULATION!U290="SI",SYSTEM_CALCULATION!E290,"")</f>
        <v/>
      </c>
      <c r="C301" s="62">
        <f>IF(SYSTEM_CALCULATION!U290="SI",SYSTEM_CALCULATION!O290,"")</f>
        <v/>
      </c>
      <c r="D301" s="62">
        <f>IF(SYSTEM_CALCULATION!U290="SI",SYSTEM_CALCULATION!G290,"")</f>
        <v/>
      </c>
      <c r="E301" s="63">
        <f>IF(SYSTEM_CALCULATION!U290&lt;&gt;"SI","",IF(INPUT_SYSTEM!B299="USD",SYSTEM_CALCULATION!R290*CONFIG!B290,SYSTEM_CALCULATION!R290))</f>
        <v/>
      </c>
      <c r="F301" s="63">
        <f>IF(SYSTEM_CALCULATION!U290&lt;&gt;"SI","",IF(INPUT_SYSTEM!B299="USD",SYSTEM_CALCULATION!T290*CONFIG!B290,SYSTEM_CALCULATION!T290))</f>
        <v/>
      </c>
    </row>
    <row r="302" ht="15.75" customHeight="1" s="125">
      <c r="A302" s="62">
        <f>IF(SYSTEM_CALCULATION!U291="SI",SYSTEM_CALCULATION!B291,"")</f>
        <v/>
      </c>
      <c r="B302" s="62">
        <f>IF(SYSTEM_CALCULATION!U291="SI",SYSTEM_CALCULATION!E291,"")</f>
        <v/>
      </c>
      <c r="C302" s="62">
        <f>IF(SYSTEM_CALCULATION!U291="SI",SYSTEM_CALCULATION!O291,"")</f>
        <v/>
      </c>
      <c r="D302" s="62">
        <f>IF(SYSTEM_CALCULATION!U291="SI",SYSTEM_CALCULATION!G291,"")</f>
        <v/>
      </c>
      <c r="E302" s="63">
        <f>IF(SYSTEM_CALCULATION!U291&lt;&gt;"SI","",IF(INPUT_SYSTEM!B300="USD",SYSTEM_CALCULATION!R291*CONFIG!B291,SYSTEM_CALCULATION!R291))</f>
        <v/>
      </c>
      <c r="F302" s="63">
        <f>IF(SYSTEM_CALCULATION!U291&lt;&gt;"SI","",IF(INPUT_SYSTEM!B300="USD",SYSTEM_CALCULATION!T291*CONFIG!B291,SYSTEM_CALCULATION!T291))</f>
        <v/>
      </c>
    </row>
    <row r="303" ht="15.75" customHeight="1" s="125">
      <c r="A303" s="62">
        <f>IF(SYSTEM_CALCULATION!U292="SI",SYSTEM_CALCULATION!B292,"")</f>
        <v/>
      </c>
      <c r="B303" s="62">
        <f>IF(SYSTEM_CALCULATION!U292="SI",SYSTEM_CALCULATION!E292,"")</f>
        <v/>
      </c>
      <c r="C303" s="62">
        <f>IF(SYSTEM_CALCULATION!U292="SI",SYSTEM_CALCULATION!O292,"")</f>
        <v/>
      </c>
      <c r="D303" s="62">
        <f>IF(SYSTEM_CALCULATION!U292="SI",SYSTEM_CALCULATION!G292,"")</f>
        <v/>
      </c>
      <c r="E303" s="63">
        <f>IF(SYSTEM_CALCULATION!U292&lt;&gt;"SI","",IF(INPUT_SYSTEM!B301="USD",SYSTEM_CALCULATION!R292*CONFIG!B292,SYSTEM_CALCULATION!R292))</f>
        <v/>
      </c>
      <c r="F303" s="63">
        <f>IF(SYSTEM_CALCULATION!U292&lt;&gt;"SI","",IF(INPUT_SYSTEM!B301="USD",SYSTEM_CALCULATION!T292*CONFIG!B292,SYSTEM_CALCULATION!T292))</f>
        <v/>
      </c>
    </row>
    <row r="304" ht="15.75" customHeight="1" s="125">
      <c r="A304" s="62">
        <f>IF(SYSTEM_CALCULATION!U293="SI",SYSTEM_CALCULATION!B293,"")</f>
        <v/>
      </c>
      <c r="B304" s="62">
        <f>IF(SYSTEM_CALCULATION!U293="SI",SYSTEM_CALCULATION!E293,"")</f>
        <v/>
      </c>
      <c r="C304" s="62">
        <f>IF(SYSTEM_CALCULATION!U293="SI",SYSTEM_CALCULATION!O293,"")</f>
        <v/>
      </c>
      <c r="D304" s="62">
        <f>IF(SYSTEM_CALCULATION!U293="SI",SYSTEM_CALCULATION!G293,"")</f>
        <v/>
      </c>
      <c r="E304" s="63">
        <f>IF(SYSTEM_CALCULATION!U293&lt;&gt;"SI","",IF(INPUT_SYSTEM!B302="USD",SYSTEM_CALCULATION!R293*CONFIG!B293,SYSTEM_CALCULATION!R293))</f>
        <v/>
      </c>
      <c r="F304" s="63">
        <f>IF(SYSTEM_CALCULATION!U293&lt;&gt;"SI","",IF(INPUT_SYSTEM!B302="USD",SYSTEM_CALCULATION!T293*CONFIG!B293,SYSTEM_CALCULATION!T293))</f>
        <v/>
      </c>
    </row>
    <row r="305" ht="15.75" customHeight="1" s="125">
      <c r="A305" s="62">
        <f>IF(SYSTEM_CALCULATION!U294="SI",SYSTEM_CALCULATION!B294,"")</f>
        <v/>
      </c>
      <c r="B305" s="62">
        <f>IF(SYSTEM_CALCULATION!U294="SI",SYSTEM_CALCULATION!E294,"")</f>
        <v/>
      </c>
      <c r="C305" s="62">
        <f>IF(SYSTEM_CALCULATION!U294="SI",SYSTEM_CALCULATION!O294,"")</f>
        <v/>
      </c>
      <c r="D305" s="62">
        <f>IF(SYSTEM_CALCULATION!U294="SI",SYSTEM_CALCULATION!G294,"")</f>
        <v/>
      </c>
      <c r="E305" s="63">
        <f>IF(SYSTEM_CALCULATION!U294&lt;&gt;"SI","",IF(INPUT_SYSTEM!B303="USD",SYSTEM_CALCULATION!R294*CONFIG!B294,SYSTEM_CALCULATION!R294))</f>
        <v/>
      </c>
      <c r="F305" s="63">
        <f>IF(SYSTEM_CALCULATION!U294&lt;&gt;"SI","",IF(INPUT_SYSTEM!B303="USD",SYSTEM_CALCULATION!T294*CONFIG!B294,SYSTEM_CALCULATION!T294))</f>
        <v/>
      </c>
    </row>
    <row r="306" ht="15.75" customHeight="1" s="125">
      <c r="A306" s="62">
        <f>IF(SYSTEM_CALCULATION!U295="SI",SYSTEM_CALCULATION!B295,"")</f>
        <v/>
      </c>
      <c r="B306" s="62">
        <f>IF(SYSTEM_CALCULATION!U295="SI",SYSTEM_CALCULATION!E295,"")</f>
        <v/>
      </c>
      <c r="C306" s="62">
        <f>IF(SYSTEM_CALCULATION!U295="SI",SYSTEM_CALCULATION!O295,"")</f>
        <v/>
      </c>
      <c r="D306" s="62">
        <f>IF(SYSTEM_CALCULATION!U295="SI",SYSTEM_CALCULATION!G295,"")</f>
        <v/>
      </c>
      <c r="E306" s="63">
        <f>IF(SYSTEM_CALCULATION!U295&lt;&gt;"SI","",IF(INPUT_SYSTEM!B304="USD",SYSTEM_CALCULATION!R295*CONFIG!B295,SYSTEM_CALCULATION!R295))</f>
        <v/>
      </c>
      <c r="F306" s="63">
        <f>IF(SYSTEM_CALCULATION!U295&lt;&gt;"SI","",IF(INPUT_SYSTEM!B304="USD",SYSTEM_CALCULATION!T295*CONFIG!B295,SYSTEM_CALCULATION!T295))</f>
        <v/>
      </c>
    </row>
    <row r="307" ht="15.75" customHeight="1" s="125">
      <c r="A307" s="62">
        <f>IF(SYSTEM_CALCULATION!U296="SI",SYSTEM_CALCULATION!B296,"")</f>
        <v/>
      </c>
      <c r="B307" s="62">
        <f>IF(SYSTEM_CALCULATION!U296="SI",SYSTEM_CALCULATION!E296,"")</f>
        <v/>
      </c>
      <c r="C307" s="62">
        <f>IF(SYSTEM_CALCULATION!U296="SI",SYSTEM_CALCULATION!O296,"")</f>
        <v/>
      </c>
      <c r="D307" s="62">
        <f>IF(SYSTEM_CALCULATION!U296="SI",SYSTEM_CALCULATION!G296,"")</f>
        <v/>
      </c>
      <c r="E307" s="63">
        <f>IF(SYSTEM_CALCULATION!U296&lt;&gt;"SI","",IF(INPUT_SYSTEM!B305="USD",SYSTEM_CALCULATION!R296*CONFIG!B296,SYSTEM_CALCULATION!R296))</f>
        <v/>
      </c>
      <c r="F307" s="63">
        <f>IF(SYSTEM_CALCULATION!U296&lt;&gt;"SI","",IF(INPUT_SYSTEM!B305="USD",SYSTEM_CALCULATION!T296*CONFIG!B296,SYSTEM_CALCULATION!T296))</f>
        <v/>
      </c>
    </row>
    <row r="308" ht="15.75" customHeight="1" s="125">
      <c r="A308" s="62">
        <f>IF(SYSTEM_CALCULATION!U297="SI",SYSTEM_CALCULATION!B297,"")</f>
        <v/>
      </c>
      <c r="B308" s="62">
        <f>IF(SYSTEM_CALCULATION!U297="SI",SYSTEM_CALCULATION!E297,"")</f>
        <v/>
      </c>
      <c r="C308" s="62">
        <f>IF(SYSTEM_CALCULATION!U297="SI",SYSTEM_CALCULATION!O297,"")</f>
        <v/>
      </c>
      <c r="D308" s="62">
        <f>IF(SYSTEM_CALCULATION!U297="SI",SYSTEM_CALCULATION!G297,"")</f>
        <v/>
      </c>
      <c r="E308" s="63">
        <f>IF(SYSTEM_CALCULATION!U297&lt;&gt;"SI","",IF(INPUT_SYSTEM!B306="USD",SYSTEM_CALCULATION!R297*CONFIG!B297,SYSTEM_CALCULATION!R297))</f>
        <v/>
      </c>
      <c r="F308" s="63">
        <f>IF(SYSTEM_CALCULATION!U297&lt;&gt;"SI","",IF(INPUT_SYSTEM!B306="USD",SYSTEM_CALCULATION!T297*CONFIG!B297,SYSTEM_CALCULATION!T297))</f>
        <v/>
      </c>
    </row>
    <row r="309" ht="15.75" customHeight="1" s="125">
      <c r="A309" s="62">
        <f>IF(SYSTEM_CALCULATION!U298="SI",SYSTEM_CALCULATION!B298,"")</f>
        <v/>
      </c>
      <c r="B309" s="62">
        <f>IF(SYSTEM_CALCULATION!U298="SI",SYSTEM_CALCULATION!E298,"")</f>
        <v/>
      </c>
      <c r="C309" s="62">
        <f>IF(SYSTEM_CALCULATION!U298="SI",SYSTEM_CALCULATION!O298,"")</f>
        <v/>
      </c>
      <c r="D309" s="62">
        <f>IF(SYSTEM_CALCULATION!U298="SI",SYSTEM_CALCULATION!G298,"")</f>
        <v/>
      </c>
      <c r="E309" s="63">
        <f>IF(SYSTEM_CALCULATION!U298&lt;&gt;"SI","",IF(INPUT_SYSTEM!B307="USD",SYSTEM_CALCULATION!R298*CONFIG!B298,SYSTEM_CALCULATION!R298))</f>
        <v/>
      </c>
      <c r="F309" s="63">
        <f>IF(SYSTEM_CALCULATION!U298&lt;&gt;"SI","",IF(INPUT_SYSTEM!B307="USD",SYSTEM_CALCULATION!T298*CONFIG!B298,SYSTEM_CALCULATION!T298))</f>
        <v/>
      </c>
    </row>
    <row r="310" ht="15.75" customHeight="1" s="125">
      <c r="A310" s="62">
        <f>IF(SYSTEM_CALCULATION!U299="SI",SYSTEM_CALCULATION!B299,"")</f>
        <v/>
      </c>
      <c r="B310" s="62">
        <f>IF(SYSTEM_CALCULATION!U299="SI",SYSTEM_CALCULATION!E299,"")</f>
        <v/>
      </c>
      <c r="C310" s="62">
        <f>IF(SYSTEM_CALCULATION!U299="SI",SYSTEM_CALCULATION!O299,"")</f>
        <v/>
      </c>
      <c r="D310" s="62">
        <f>IF(SYSTEM_CALCULATION!U299="SI",SYSTEM_CALCULATION!G299,"")</f>
        <v/>
      </c>
      <c r="E310" s="63">
        <f>IF(SYSTEM_CALCULATION!U299&lt;&gt;"SI","",IF(INPUT_SYSTEM!B308="USD",SYSTEM_CALCULATION!R299*CONFIG!B299,SYSTEM_CALCULATION!R299))</f>
        <v/>
      </c>
      <c r="F310" s="63">
        <f>IF(SYSTEM_CALCULATION!U299&lt;&gt;"SI","",IF(INPUT_SYSTEM!B308="USD",SYSTEM_CALCULATION!T299*CONFIG!B299,SYSTEM_CALCULATION!T299))</f>
        <v/>
      </c>
    </row>
    <row r="311" ht="15.75" customHeight="1" s="125">
      <c r="A311" s="62">
        <f>IF(SYSTEM_CALCULATION!U300="SI",SYSTEM_CALCULATION!B300,"")</f>
        <v/>
      </c>
      <c r="B311" s="62">
        <f>IF(SYSTEM_CALCULATION!U300="SI",SYSTEM_CALCULATION!E300,"")</f>
        <v/>
      </c>
      <c r="C311" s="62">
        <f>IF(SYSTEM_CALCULATION!U300="SI",SYSTEM_CALCULATION!O300,"")</f>
        <v/>
      </c>
      <c r="D311" s="62">
        <f>IF(SYSTEM_CALCULATION!U300="SI",SYSTEM_CALCULATION!G300,"")</f>
        <v/>
      </c>
      <c r="E311" s="63">
        <f>IF(SYSTEM_CALCULATION!U300&lt;&gt;"SI","",IF(INPUT_SYSTEM!B309="USD",SYSTEM_CALCULATION!R300*CONFIG!B300,SYSTEM_CALCULATION!R300))</f>
        <v/>
      </c>
      <c r="F311" s="63">
        <f>IF(SYSTEM_CALCULATION!U300&lt;&gt;"SI","",IF(INPUT_SYSTEM!B309="USD",SYSTEM_CALCULATION!T300*CONFIG!B300,SYSTEM_CALCULATION!T300))</f>
        <v/>
      </c>
    </row>
    <row r="312" ht="15.75" customHeight="1" s="125">
      <c r="A312" s="62">
        <f>IF(SYSTEM_CALCULATION!U301="SI",SYSTEM_CALCULATION!B301,"")</f>
        <v/>
      </c>
      <c r="B312" s="62">
        <f>IF(SYSTEM_CALCULATION!U301="SI",SYSTEM_CALCULATION!E301,"")</f>
        <v/>
      </c>
      <c r="C312" s="62">
        <f>IF(SYSTEM_CALCULATION!U301="SI",SYSTEM_CALCULATION!O301,"")</f>
        <v/>
      </c>
      <c r="D312" s="62">
        <f>IF(SYSTEM_CALCULATION!U301="SI",SYSTEM_CALCULATION!G301,"")</f>
        <v/>
      </c>
      <c r="E312" s="63">
        <f>IF(SYSTEM_CALCULATION!U301&lt;&gt;"SI","",IF(INPUT_SYSTEM!B310="USD",SYSTEM_CALCULATION!R301*CONFIG!B301,SYSTEM_CALCULATION!R301))</f>
        <v/>
      </c>
      <c r="F312" s="63">
        <f>IF(SYSTEM_CALCULATION!U301&lt;&gt;"SI","",IF(INPUT_SYSTEM!B310="USD",SYSTEM_CALCULATION!T301*CONFIG!B301,SYSTEM_CALCULATION!T301))</f>
        <v/>
      </c>
    </row>
    <row r="313" ht="15.75" customHeight="1" s="125">
      <c r="A313" s="62">
        <f>IF(SYSTEM_CALCULATION!U302="SI",SYSTEM_CALCULATION!B302,"")</f>
        <v/>
      </c>
      <c r="B313" s="62">
        <f>IF(SYSTEM_CALCULATION!U302="SI",SYSTEM_CALCULATION!E302,"")</f>
        <v/>
      </c>
      <c r="C313" s="62">
        <f>IF(SYSTEM_CALCULATION!U302="SI",SYSTEM_CALCULATION!O302,"")</f>
        <v/>
      </c>
      <c r="D313" s="62">
        <f>IF(SYSTEM_CALCULATION!U302="SI",SYSTEM_CALCULATION!G302,"")</f>
        <v/>
      </c>
      <c r="E313" s="63">
        <f>IF(SYSTEM_CALCULATION!U302&lt;&gt;"SI","",IF(INPUT_SYSTEM!B311="USD",SYSTEM_CALCULATION!R302*CONFIG!B302,SYSTEM_CALCULATION!R302))</f>
        <v/>
      </c>
      <c r="F313" s="63">
        <f>IF(SYSTEM_CALCULATION!U302&lt;&gt;"SI","",IF(INPUT_SYSTEM!B311="USD",SYSTEM_CALCULATION!T302*CONFIG!B302,SYSTEM_CALCULATION!T302))</f>
        <v/>
      </c>
    </row>
    <row r="314" ht="15.75" customHeight="1" s="125">
      <c r="A314" s="62">
        <f>IF(SYSTEM_CALCULATION!U303="SI",SYSTEM_CALCULATION!B303,"")</f>
        <v/>
      </c>
      <c r="B314" s="62">
        <f>IF(SYSTEM_CALCULATION!U303="SI",SYSTEM_CALCULATION!E303,"")</f>
        <v/>
      </c>
      <c r="C314" s="62">
        <f>IF(SYSTEM_CALCULATION!U303="SI",SYSTEM_CALCULATION!O303,"")</f>
        <v/>
      </c>
      <c r="D314" s="62">
        <f>IF(SYSTEM_CALCULATION!U303="SI",SYSTEM_CALCULATION!G303,"")</f>
        <v/>
      </c>
      <c r="E314" s="63">
        <f>IF(SYSTEM_CALCULATION!U303&lt;&gt;"SI","",IF(INPUT_SYSTEM!B312="USD",SYSTEM_CALCULATION!R303*CONFIG!B303,SYSTEM_CALCULATION!R303))</f>
        <v/>
      </c>
      <c r="F314" s="63">
        <f>IF(SYSTEM_CALCULATION!U303&lt;&gt;"SI","",IF(INPUT_SYSTEM!B312="USD",SYSTEM_CALCULATION!T303*CONFIG!B303,SYSTEM_CALCULATION!T303))</f>
        <v/>
      </c>
    </row>
    <row r="315" ht="15.75" customHeight="1" s="125">
      <c r="A315" s="62">
        <f>IF(SYSTEM_CALCULATION!U304="SI",SYSTEM_CALCULATION!B304,"")</f>
        <v/>
      </c>
      <c r="B315" s="62">
        <f>IF(SYSTEM_CALCULATION!U304="SI",SYSTEM_CALCULATION!E304,"")</f>
        <v/>
      </c>
      <c r="C315" s="62">
        <f>IF(SYSTEM_CALCULATION!U304="SI",SYSTEM_CALCULATION!O304,"")</f>
        <v/>
      </c>
      <c r="D315" s="62">
        <f>IF(SYSTEM_CALCULATION!U304="SI",SYSTEM_CALCULATION!G304,"")</f>
        <v/>
      </c>
      <c r="E315" s="63">
        <f>IF(SYSTEM_CALCULATION!U304&lt;&gt;"SI","",IF(INPUT_SYSTEM!B313="USD",SYSTEM_CALCULATION!R304*CONFIG!B304,SYSTEM_CALCULATION!R304))</f>
        <v/>
      </c>
      <c r="F315" s="63">
        <f>IF(SYSTEM_CALCULATION!U304&lt;&gt;"SI","",IF(INPUT_SYSTEM!B313="USD",SYSTEM_CALCULATION!T304*CONFIG!B304,SYSTEM_CALCULATION!T304))</f>
        <v/>
      </c>
    </row>
    <row r="316" ht="15.75" customHeight="1" s="125">
      <c r="A316" s="62">
        <f>IF(SYSTEM_CALCULATION!U305="SI",SYSTEM_CALCULATION!B305,"")</f>
        <v/>
      </c>
      <c r="B316" s="62">
        <f>IF(SYSTEM_CALCULATION!U305="SI",SYSTEM_CALCULATION!E305,"")</f>
        <v/>
      </c>
      <c r="C316" s="62">
        <f>IF(SYSTEM_CALCULATION!U305="SI",SYSTEM_CALCULATION!O305,"")</f>
        <v/>
      </c>
      <c r="D316" s="62">
        <f>IF(SYSTEM_CALCULATION!U305="SI",SYSTEM_CALCULATION!G305,"")</f>
        <v/>
      </c>
      <c r="E316" s="63">
        <f>IF(SYSTEM_CALCULATION!U305&lt;&gt;"SI","",IF(INPUT_SYSTEM!B314="USD",SYSTEM_CALCULATION!R305*CONFIG!B305,SYSTEM_CALCULATION!R305))</f>
        <v/>
      </c>
      <c r="F316" s="63">
        <f>IF(SYSTEM_CALCULATION!U305&lt;&gt;"SI","",IF(INPUT_SYSTEM!B314="USD",SYSTEM_CALCULATION!T305*CONFIG!B305,SYSTEM_CALCULATION!T305))</f>
        <v/>
      </c>
    </row>
    <row r="317" ht="15.75" customHeight="1" s="125">
      <c r="A317" s="62">
        <f>IF(SYSTEM_CALCULATION!U306="SI",SYSTEM_CALCULATION!B306,"")</f>
        <v/>
      </c>
      <c r="B317" s="62">
        <f>IF(SYSTEM_CALCULATION!U306="SI",SYSTEM_CALCULATION!E306,"")</f>
        <v/>
      </c>
      <c r="C317" s="62">
        <f>IF(SYSTEM_CALCULATION!U306="SI",SYSTEM_CALCULATION!O306,"")</f>
        <v/>
      </c>
      <c r="D317" s="62">
        <f>IF(SYSTEM_CALCULATION!U306="SI",SYSTEM_CALCULATION!G306,"")</f>
        <v/>
      </c>
      <c r="E317" s="63">
        <f>IF(SYSTEM_CALCULATION!U306&lt;&gt;"SI","",IF(INPUT_SYSTEM!B315="USD",SYSTEM_CALCULATION!R306*CONFIG!B306,SYSTEM_CALCULATION!R306))</f>
        <v/>
      </c>
      <c r="F317" s="63">
        <f>IF(SYSTEM_CALCULATION!U306&lt;&gt;"SI","",IF(INPUT_SYSTEM!B315="USD",SYSTEM_CALCULATION!T306*CONFIG!B306,SYSTEM_CALCULATION!T306))</f>
        <v/>
      </c>
    </row>
    <row r="318" ht="15.75" customHeight="1" s="125">
      <c r="A318" s="62">
        <f>IF(SYSTEM_CALCULATION!U307="SI",SYSTEM_CALCULATION!B307,"")</f>
        <v/>
      </c>
      <c r="B318" s="62">
        <f>IF(SYSTEM_CALCULATION!U307="SI",SYSTEM_CALCULATION!E307,"")</f>
        <v/>
      </c>
      <c r="C318" s="62">
        <f>IF(SYSTEM_CALCULATION!U307="SI",SYSTEM_CALCULATION!O307,"")</f>
        <v/>
      </c>
      <c r="D318" s="62">
        <f>IF(SYSTEM_CALCULATION!U307="SI",SYSTEM_CALCULATION!G307,"")</f>
        <v/>
      </c>
      <c r="E318" s="63">
        <f>IF(SYSTEM_CALCULATION!U307&lt;&gt;"SI","",IF(INPUT_SYSTEM!B316="USD",SYSTEM_CALCULATION!R307*CONFIG!B307,SYSTEM_CALCULATION!R307))</f>
        <v/>
      </c>
      <c r="F318" s="63">
        <f>IF(SYSTEM_CALCULATION!U307&lt;&gt;"SI","",IF(INPUT_SYSTEM!B316="USD",SYSTEM_CALCULATION!T307*CONFIG!B307,SYSTEM_CALCULATION!T307))</f>
        <v/>
      </c>
    </row>
    <row r="319" ht="15.75" customHeight="1" s="125">
      <c r="A319" s="62">
        <f>IF(SYSTEM_CALCULATION!U308="SI",SYSTEM_CALCULATION!B308,"")</f>
        <v/>
      </c>
      <c r="B319" s="62">
        <f>IF(SYSTEM_CALCULATION!U308="SI",SYSTEM_CALCULATION!E308,"")</f>
        <v/>
      </c>
      <c r="C319" s="62">
        <f>IF(SYSTEM_CALCULATION!U308="SI",SYSTEM_CALCULATION!O308,"")</f>
        <v/>
      </c>
      <c r="D319" s="62">
        <f>IF(SYSTEM_CALCULATION!U308="SI",SYSTEM_CALCULATION!G308,"")</f>
        <v/>
      </c>
      <c r="E319" s="63">
        <f>IF(SYSTEM_CALCULATION!U308&lt;&gt;"SI","",IF(INPUT_SYSTEM!B317="USD",SYSTEM_CALCULATION!R308*CONFIG!B308,SYSTEM_CALCULATION!R308))</f>
        <v/>
      </c>
      <c r="F319" s="63">
        <f>IF(SYSTEM_CALCULATION!U308&lt;&gt;"SI","",IF(INPUT_SYSTEM!B317="USD",SYSTEM_CALCULATION!T308*CONFIG!B308,SYSTEM_CALCULATION!T308))</f>
        <v/>
      </c>
    </row>
    <row r="320" ht="15.75" customHeight="1" s="125">
      <c r="A320" s="62">
        <f>IF(SYSTEM_CALCULATION!U309="SI",SYSTEM_CALCULATION!B309,"")</f>
        <v/>
      </c>
      <c r="B320" s="62">
        <f>IF(SYSTEM_CALCULATION!U309="SI",SYSTEM_CALCULATION!E309,"")</f>
        <v/>
      </c>
      <c r="C320" s="62">
        <f>IF(SYSTEM_CALCULATION!U309="SI",SYSTEM_CALCULATION!O309,"")</f>
        <v/>
      </c>
      <c r="D320" s="62">
        <f>IF(SYSTEM_CALCULATION!U309="SI",SYSTEM_CALCULATION!G309,"")</f>
        <v/>
      </c>
      <c r="E320" s="63">
        <f>IF(SYSTEM_CALCULATION!U309&lt;&gt;"SI","",IF(INPUT_SYSTEM!B318="USD",SYSTEM_CALCULATION!R309*CONFIG!B309,SYSTEM_CALCULATION!R309))</f>
        <v/>
      </c>
      <c r="F320" s="63">
        <f>IF(SYSTEM_CALCULATION!U309&lt;&gt;"SI","",IF(INPUT_SYSTEM!B318="USD",SYSTEM_CALCULATION!T309*CONFIG!B309,SYSTEM_CALCULATION!T309))</f>
        <v/>
      </c>
    </row>
    <row r="321" ht="15.75" customHeight="1" s="125">
      <c r="A321" s="62">
        <f>IF(SYSTEM_CALCULATION!U310="SI",SYSTEM_CALCULATION!B310,"")</f>
        <v/>
      </c>
      <c r="B321" s="62">
        <f>IF(SYSTEM_CALCULATION!U310="SI",SYSTEM_CALCULATION!E310,"")</f>
        <v/>
      </c>
      <c r="C321" s="62">
        <f>IF(SYSTEM_CALCULATION!U310="SI",SYSTEM_CALCULATION!O310,"")</f>
        <v/>
      </c>
      <c r="D321" s="62">
        <f>IF(SYSTEM_CALCULATION!U310="SI",SYSTEM_CALCULATION!G310,"")</f>
        <v/>
      </c>
      <c r="E321" s="63">
        <f>IF(SYSTEM_CALCULATION!U310&lt;&gt;"SI","",IF(INPUT_SYSTEM!B319="USD",SYSTEM_CALCULATION!R310*CONFIG!B310,SYSTEM_CALCULATION!R310))</f>
        <v/>
      </c>
      <c r="F321" s="63">
        <f>IF(SYSTEM_CALCULATION!U310&lt;&gt;"SI","",IF(INPUT_SYSTEM!B319="USD",SYSTEM_CALCULATION!T310*CONFIG!B310,SYSTEM_CALCULATION!T310))</f>
        <v/>
      </c>
    </row>
    <row r="322" ht="15.75" customHeight="1" s="125">
      <c r="A322" s="62">
        <f>IF(SYSTEM_CALCULATION!U311="SI",SYSTEM_CALCULATION!B311,"")</f>
        <v/>
      </c>
      <c r="B322" s="62">
        <f>IF(SYSTEM_CALCULATION!U311="SI",SYSTEM_CALCULATION!E311,"")</f>
        <v/>
      </c>
      <c r="C322" s="62">
        <f>IF(SYSTEM_CALCULATION!U311="SI",SYSTEM_CALCULATION!O311,"")</f>
        <v/>
      </c>
      <c r="D322" s="62">
        <f>IF(SYSTEM_CALCULATION!U311="SI",SYSTEM_CALCULATION!G311,"")</f>
        <v/>
      </c>
      <c r="E322" s="63">
        <f>IF(SYSTEM_CALCULATION!U311&lt;&gt;"SI","",IF(INPUT_SYSTEM!B320="USD",SYSTEM_CALCULATION!R311*CONFIG!B311,SYSTEM_CALCULATION!R311))</f>
        <v/>
      </c>
      <c r="F322" s="63">
        <f>IF(SYSTEM_CALCULATION!U311&lt;&gt;"SI","",IF(INPUT_SYSTEM!B320="USD",SYSTEM_CALCULATION!T311*CONFIG!B311,SYSTEM_CALCULATION!T311))</f>
        <v/>
      </c>
    </row>
    <row r="323" ht="15.75" customHeight="1" s="125">
      <c r="A323" s="62">
        <f>IF(SYSTEM_CALCULATION!U312="SI",SYSTEM_CALCULATION!B312,"")</f>
        <v/>
      </c>
      <c r="B323" s="62">
        <f>IF(SYSTEM_CALCULATION!U312="SI",SYSTEM_CALCULATION!E312,"")</f>
        <v/>
      </c>
      <c r="C323" s="62">
        <f>IF(SYSTEM_CALCULATION!U312="SI",SYSTEM_CALCULATION!O312,"")</f>
        <v/>
      </c>
      <c r="D323" s="62">
        <f>IF(SYSTEM_CALCULATION!U312="SI",SYSTEM_CALCULATION!G312,"")</f>
        <v/>
      </c>
      <c r="E323" s="63">
        <f>IF(SYSTEM_CALCULATION!U312&lt;&gt;"SI","",IF(INPUT_SYSTEM!B321="USD",SYSTEM_CALCULATION!R312*CONFIG!B312,SYSTEM_CALCULATION!R312))</f>
        <v/>
      </c>
      <c r="F323" s="63">
        <f>IF(SYSTEM_CALCULATION!U312&lt;&gt;"SI","",IF(INPUT_SYSTEM!B321="USD",SYSTEM_CALCULATION!T312*CONFIG!B312,SYSTEM_CALCULATION!T312))</f>
        <v/>
      </c>
    </row>
    <row r="324" ht="15.75" customHeight="1" s="125">
      <c r="A324" s="62">
        <f>IF(SYSTEM_CALCULATION!U313="SI",SYSTEM_CALCULATION!B313,"")</f>
        <v/>
      </c>
      <c r="B324" s="62">
        <f>IF(SYSTEM_CALCULATION!U313="SI",SYSTEM_CALCULATION!E313,"")</f>
        <v/>
      </c>
      <c r="C324" s="62">
        <f>IF(SYSTEM_CALCULATION!U313="SI",SYSTEM_CALCULATION!O313,"")</f>
        <v/>
      </c>
      <c r="D324" s="62">
        <f>IF(SYSTEM_CALCULATION!U313="SI",SYSTEM_CALCULATION!G313,"")</f>
        <v/>
      </c>
      <c r="E324" s="63">
        <f>IF(SYSTEM_CALCULATION!U313&lt;&gt;"SI","",IF(INPUT_SYSTEM!B322="USD",SYSTEM_CALCULATION!R313*CONFIG!B313,SYSTEM_CALCULATION!R313))</f>
        <v/>
      </c>
      <c r="F324" s="63">
        <f>IF(SYSTEM_CALCULATION!U313&lt;&gt;"SI","",IF(INPUT_SYSTEM!B322="USD",SYSTEM_CALCULATION!T313*CONFIG!B313,SYSTEM_CALCULATION!T313))</f>
        <v/>
      </c>
    </row>
    <row r="325" ht="15.75" customHeight="1" s="125">
      <c r="A325" s="62">
        <f>IF(SYSTEM_CALCULATION!U314="SI",SYSTEM_CALCULATION!B314,"")</f>
        <v/>
      </c>
      <c r="B325" s="62">
        <f>IF(SYSTEM_CALCULATION!U314="SI",SYSTEM_CALCULATION!E314,"")</f>
        <v/>
      </c>
      <c r="C325" s="62">
        <f>IF(SYSTEM_CALCULATION!U314="SI",SYSTEM_CALCULATION!O314,"")</f>
        <v/>
      </c>
      <c r="D325" s="62">
        <f>IF(SYSTEM_CALCULATION!U314="SI",SYSTEM_CALCULATION!G314,"")</f>
        <v/>
      </c>
      <c r="E325" s="63">
        <f>IF(SYSTEM_CALCULATION!U314&lt;&gt;"SI","",IF(INPUT_SYSTEM!B323="USD",SYSTEM_CALCULATION!R314*CONFIG!B314,SYSTEM_CALCULATION!R314))</f>
        <v/>
      </c>
      <c r="F325" s="63">
        <f>IF(SYSTEM_CALCULATION!U314&lt;&gt;"SI","",IF(INPUT_SYSTEM!B323="USD",SYSTEM_CALCULATION!T314*CONFIG!B314,SYSTEM_CALCULATION!T314))</f>
        <v/>
      </c>
    </row>
    <row r="326" ht="15.75" customHeight="1" s="125">
      <c r="A326" s="62">
        <f>IF(SYSTEM_CALCULATION!U315="SI",SYSTEM_CALCULATION!B315,"")</f>
        <v/>
      </c>
      <c r="B326" s="62">
        <f>IF(SYSTEM_CALCULATION!U315="SI",SYSTEM_CALCULATION!E315,"")</f>
        <v/>
      </c>
      <c r="C326" s="62">
        <f>IF(SYSTEM_CALCULATION!U315="SI",SYSTEM_CALCULATION!O315,"")</f>
        <v/>
      </c>
      <c r="D326" s="62">
        <f>IF(SYSTEM_CALCULATION!U315="SI",SYSTEM_CALCULATION!G315,"")</f>
        <v/>
      </c>
      <c r="E326" s="63">
        <f>IF(SYSTEM_CALCULATION!U315&lt;&gt;"SI","",IF(INPUT_SYSTEM!B324="USD",SYSTEM_CALCULATION!R315*CONFIG!B315,SYSTEM_CALCULATION!R315))</f>
        <v/>
      </c>
      <c r="F326" s="63">
        <f>IF(SYSTEM_CALCULATION!U315&lt;&gt;"SI","",IF(INPUT_SYSTEM!B324="USD",SYSTEM_CALCULATION!T315*CONFIG!B315,SYSTEM_CALCULATION!T315))</f>
        <v/>
      </c>
    </row>
    <row r="327" ht="15.75" customHeight="1" s="125">
      <c r="A327" s="62">
        <f>IF(SYSTEM_CALCULATION!U316="SI",SYSTEM_CALCULATION!B316,"")</f>
        <v/>
      </c>
      <c r="B327" s="62">
        <f>IF(SYSTEM_CALCULATION!U316="SI",SYSTEM_CALCULATION!E316,"")</f>
        <v/>
      </c>
      <c r="C327" s="62">
        <f>IF(SYSTEM_CALCULATION!U316="SI",SYSTEM_CALCULATION!O316,"")</f>
        <v/>
      </c>
      <c r="D327" s="62">
        <f>IF(SYSTEM_CALCULATION!U316="SI",SYSTEM_CALCULATION!G316,"")</f>
        <v/>
      </c>
      <c r="E327" s="63">
        <f>IF(SYSTEM_CALCULATION!U316&lt;&gt;"SI","",IF(INPUT_SYSTEM!B325="USD",SYSTEM_CALCULATION!R316*CONFIG!B316,SYSTEM_CALCULATION!R316))</f>
        <v/>
      </c>
      <c r="F327" s="63">
        <f>IF(SYSTEM_CALCULATION!U316&lt;&gt;"SI","",IF(INPUT_SYSTEM!B325="USD",SYSTEM_CALCULATION!T316*CONFIG!B316,SYSTEM_CALCULATION!T316))</f>
        <v/>
      </c>
    </row>
    <row r="328" ht="15.75" customHeight="1" s="125">
      <c r="A328" s="62">
        <f>IF(SYSTEM_CALCULATION!U317="SI",SYSTEM_CALCULATION!B317,"")</f>
        <v/>
      </c>
      <c r="B328" s="62">
        <f>IF(SYSTEM_CALCULATION!U317="SI",SYSTEM_CALCULATION!E317,"")</f>
        <v/>
      </c>
      <c r="C328" s="62">
        <f>IF(SYSTEM_CALCULATION!U317="SI",SYSTEM_CALCULATION!O317,"")</f>
        <v/>
      </c>
      <c r="D328" s="62">
        <f>IF(SYSTEM_CALCULATION!U317="SI",SYSTEM_CALCULATION!G317,"")</f>
        <v/>
      </c>
      <c r="E328" s="63">
        <f>IF(SYSTEM_CALCULATION!U317&lt;&gt;"SI","",IF(INPUT_SYSTEM!B326="USD",SYSTEM_CALCULATION!R317*CONFIG!B317,SYSTEM_CALCULATION!R317))</f>
        <v/>
      </c>
      <c r="F328" s="63">
        <f>IF(SYSTEM_CALCULATION!U317&lt;&gt;"SI","",IF(INPUT_SYSTEM!B326="USD",SYSTEM_CALCULATION!T317*CONFIG!B317,SYSTEM_CALCULATION!T317))</f>
        <v/>
      </c>
    </row>
    <row r="329" ht="15.75" customHeight="1" s="125">
      <c r="A329" s="62">
        <f>IF(SYSTEM_CALCULATION!U318="SI",SYSTEM_CALCULATION!B318,"")</f>
        <v/>
      </c>
      <c r="B329" s="62">
        <f>IF(SYSTEM_CALCULATION!U318="SI",SYSTEM_CALCULATION!E318,"")</f>
        <v/>
      </c>
      <c r="C329" s="62">
        <f>IF(SYSTEM_CALCULATION!U318="SI",SYSTEM_CALCULATION!O318,"")</f>
        <v/>
      </c>
      <c r="D329" s="62">
        <f>IF(SYSTEM_CALCULATION!U318="SI",SYSTEM_CALCULATION!G318,"")</f>
        <v/>
      </c>
      <c r="E329" s="63">
        <f>IF(SYSTEM_CALCULATION!U318&lt;&gt;"SI","",IF(INPUT_SYSTEM!B327="USD",SYSTEM_CALCULATION!R318*CONFIG!B318,SYSTEM_CALCULATION!R318))</f>
        <v/>
      </c>
      <c r="F329" s="63">
        <f>IF(SYSTEM_CALCULATION!U318&lt;&gt;"SI","",IF(INPUT_SYSTEM!B327="USD",SYSTEM_CALCULATION!T318*CONFIG!B318,SYSTEM_CALCULATION!T318))</f>
        <v/>
      </c>
    </row>
    <row r="330" ht="15.75" customHeight="1" s="125">
      <c r="A330" s="62">
        <f>IF(SYSTEM_CALCULATION!U319="SI",SYSTEM_CALCULATION!B319,"")</f>
        <v/>
      </c>
      <c r="B330" s="62">
        <f>IF(SYSTEM_CALCULATION!U319="SI",SYSTEM_CALCULATION!E319,"")</f>
        <v/>
      </c>
      <c r="C330" s="62">
        <f>IF(SYSTEM_CALCULATION!U319="SI",SYSTEM_CALCULATION!O319,"")</f>
        <v/>
      </c>
      <c r="D330" s="62">
        <f>IF(SYSTEM_CALCULATION!U319="SI",SYSTEM_CALCULATION!G319,"")</f>
        <v/>
      </c>
      <c r="E330" s="63">
        <f>IF(SYSTEM_CALCULATION!U319&lt;&gt;"SI","",IF(INPUT_SYSTEM!B328="USD",SYSTEM_CALCULATION!R319*CONFIG!B319,SYSTEM_CALCULATION!R319))</f>
        <v/>
      </c>
      <c r="F330" s="63">
        <f>IF(SYSTEM_CALCULATION!U319&lt;&gt;"SI","",IF(INPUT_SYSTEM!B328="USD",SYSTEM_CALCULATION!T319*CONFIG!B319,SYSTEM_CALCULATION!T319))</f>
        <v/>
      </c>
    </row>
    <row r="331" ht="15.75" customHeight="1" s="125">
      <c r="A331" s="62">
        <f>IF(SYSTEM_CALCULATION!U320="SI",SYSTEM_CALCULATION!B320,"")</f>
        <v/>
      </c>
      <c r="B331" s="62">
        <f>IF(SYSTEM_CALCULATION!U320="SI",SYSTEM_CALCULATION!E320,"")</f>
        <v/>
      </c>
      <c r="C331" s="62">
        <f>IF(SYSTEM_CALCULATION!U320="SI",SYSTEM_CALCULATION!O320,"")</f>
        <v/>
      </c>
      <c r="D331" s="62">
        <f>IF(SYSTEM_CALCULATION!U320="SI",SYSTEM_CALCULATION!G320,"")</f>
        <v/>
      </c>
      <c r="E331" s="63">
        <f>IF(SYSTEM_CALCULATION!U320&lt;&gt;"SI","",IF(INPUT_SYSTEM!B329="USD",SYSTEM_CALCULATION!R320*CONFIG!B320,SYSTEM_CALCULATION!R320))</f>
        <v/>
      </c>
      <c r="F331" s="63">
        <f>IF(SYSTEM_CALCULATION!U320&lt;&gt;"SI","",IF(INPUT_SYSTEM!B329="USD",SYSTEM_CALCULATION!T320*CONFIG!B320,SYSTEM_CALCULATION!T320))</f>
        <v/>
      </c>
    </row>
    <row r="332" ht="15.75" customHeight="1" s="125">
      <c r="A332" s="62">
        <f>IF(SYSTEM_CALCULATION!U321="SI",SYSTEM_CALCULATION!B321,"")</f>
        <v/>
      </c>
      <c r="B332" s="62">
        <f>IF(SYSTEM_CALCULATION!U321="SI",SYSTEM_CALCULATION!E321,"")</f>
        <v/>
      </c>
      <c r="C332" s="62">
        <f>IF(SYSTEM_CALCULATION!U321="SI",SYSTEM_CALCULATION!O321,"")</f>
        <v/>
      </c>
      <c r="D332" s="62">
        <f>IF(SYSTEM_CALCULATION!U321="SI",SYSTEM_CALCULATION!G321,"")</f>
        <v/>
      </c>
      <c r="E332" s="63">
        <f>IF(SYSTEM_CALCULATION!U321&lt;&gt;"SI","",IF(INPUT_SYSTEM!B330="USD",SYSTEM_CALCULATION!R321*CONFIG!B321,SYSTEM_CALCULATION!R321))</f>
        <v/>
      </c>
      <c r="F332" s="63">
        <f>IF(SYSTEM_CALCULATION!U321&lt;&gt;"SI","",IF(INPUT_SYSTEM!B330="USD",SYSTEM_CALCULATION!T321*CONFIG!B321,SYSTEM_CALCULATION!T321))</f>
        <v/>
      </c>
    </row>
    <row r="333" ht="15.75" customHeight="1" s="125">
      <c r="A333" s="62">
        <f>IF(SYSTEM_CALCULATION!U322="SI",SYSTEM_CALCULATION!B322,"")</f>
        <v/>
      </c>
      <c r="B333" s="62">
        <f>IF(SYSTEM_CALCULATION!U322="SI",SYSTEM_CALCULATION!E322,"")</f>
        <v/>
      </c>
      <c r="C333" s="62">
        <f>IF(SYSTEM_CALCULATION!U322="SI",SYSTEM_CALCULATION!O322,"")</f>
        <v/>
      </c>
      <c r="D333" s="62">
        <f>IF(SYSTEM_CALCULATION!U322="SI",SYSTEM_CALCULATION!G322,"")</f>
        <v/>
      </c>
      <c r="E333" s="63">
        <f>IF(SYSTEM_CALCULATION!U322&lt;&gt;"SI","",IF(INPUT_SYSTEM!B331="USD",SYSTEM_CALCULATION!R322*CONFIG!B322,SYSTEM_CALCULATION!R322))</f>
        <v/>
      </c>
      <c r="F333" s="63">
        <f>IF(SYSTEM_CALCULATION!U322&lt;&gt;"SI","",IF(INPUT_SYSTEM!B331="USD",SYSTEM_CALCULATION!T322*CONFIG!B322,SYSTEM_CALCULATION!T322))</f>
        <v/>
      </c>
    </row>
    <row r="334" ht="15.75" customHeight="1" s="125">
      <c r="A334" s="62">
        <f>IF(SYSTEM_CALCULATION!U323="SI",SYSTEM_CALCULATION!B323,"")</f>
        <v/>
      </c>
      <c r="B334" s="62">
        <f>IF(SYSTEM_CALCULATION!U323="SI",SYSTEM_CALCULATION!E323,"")</f>
        <v/>
      </c>
      <c r="C334" s="62">
        <f>IF(SYSTEM_CALCULATION!U323="SI",SYSTEM_CALCULATION!O323,"")</f>
        <v/>
      </c>
      <c r="D334" s="62">
        <f>IF(SYSTEM_CALCULATION!U323="SI",SYSTEM_CALCULATION!G323,"")</f>
        <v/>
      </c>
      <c r="E334" s="63">
        <f>IF(SYSTEM_CALCULATION!U323&lt;&gt;"SI","",IF(INPUT_SYSTEM!B332="USD",SYSTEM_CALCULATION!R323*CONFIG!B323,SYSTEM_CALCULATION!R323))</f>
        <v/>
      </c>
      <c r="F334" s="63">
        <f>IF(SYSTEM_CALCULATION!U323&lt;&gt;"SI","",IF(INPUT_SYSTEM!B332="USD",SYSTEM_CALCULATION!T323*CONFIG!B323,SYSTEM_CALCULATION!T323))</f>
        <v/>
      </c>
    </row>
    <row r="335" ht="15.75" customHeight="1" s="125">
      <c r="A335" s="62">
        <f>IF(SYSTEM_CALCULATION!U324="SI",SYSTEM_CALCULATION!B324,"")</f>
        <v/>
      </c>
      <c r="B335" s="62">
        <f>IF(SYSTEM_CALCULATION!U324="SI",SYSTEM_CALCULATION!E324,"")</f>
        <v/>
      </c>
      <c r="C335" s="62">
        <f>IF(SYSTEM_CALCULATION!U324="SI",SYSTEM_CALCULATION!O324,"")</f>
        <v/>
      </c>
      <c r="D335" s="62">
        <f>IF(SYSTEM_CALCULATION!U324="SI",SYSTEM_CALCULATION!G324,"")</f>
        <v/>
      </c>
      <c r="E335" s="63">
        <f>IF(SYSTEM_CALCULATION!U324&lt;&gt;"SI","",IF(INPUT_SYSTEM!B333="USD",SYSTEM_CALCULATION!R324*CONFIG!B324,SYSTEM_CALCULATION!R324))</f>
        <v/>
      </c>
      <c r="F335" s="63">
        <f>IF(SYSTEM_CALCULATION!U324&lt;&gt;"SI","",IF(INPUT_SYSTEM!B333="USD",SYSTEM_CALCULATION!T324*CONFIG!B324,SYSTEM_CALCULATION!T324))</f>
        <v/>
      </c>
    </row>
    <row r="336" ht="15.75" customHeight="1" s="125">
      <c r="A336" s="62">
        <f>IF(SYSTEM_CALCULATION!U325="SI",SYSTEM_CALCULATION!B325,"")</f>
        <v/>
      </c>
      <c r="B336" s="62">
        <f>IF(SYSTEM_CALCULATION!U325="SI",SYSTEM_CALCULATION!E325,"")</f>
        <v/>
      </c>
      <c r="C336" s="62">
        <f>IF(SYSTEM_CALCULATION!U325="SI",SYSTEM_CALCULATION!O325,"")</f>
        <v/>
      </c>
      <c r="D336" s="62">
        <f>IF(SYSTEM_CALCULATION!U325="SI",SYSTEM_CALCULATION!G325,"")</f>
        <v/>
      </c>
      <c r="E336" s="63">
        <f>IF(SYSTEM_CALCULATION!U325&lt;&gt;"SI","",IF(INPUT_SYSTEM!B334="USD",SYSTEM_CALCULATION!R325*CONFIG!B325,SYSTEM_CALCULATION!R325))</f>
        <v/>
      </c>
      <c r="F336" s="63">
        <f>IF(SYSTEM_CALCULATION!U325&lt;&gt;"SI","",IF(INPUT_SYSTEM!B334="USD",SYSTEM_CALCULATION!T325*CONFIG!B325,SYSTEM_CALCULATION!T325))</f>
        <v/>
      </c>
    </row>
    <row r="337" ht="15.75" customHeight="1" s="125">
      <c r="A337" s="62">
        <f>IF(SYSTEM_CALCULATION!U326="SI",SYSTEM_CALCULATION!B326,"")</f>
        <v/>
      </c>
      <c r="B337" s="62">
        <f>IF(SYSTEM_CALCULATION!U326="SI",SYSTEM_CALCULATION!E326,"")</f>
        <v/>
      </c>
      <c r="C337" s="62">
        <f>IF(SYSTEM_CALCULATION!U326="SI",SYSTEM_CALCULATION!O326,"")</f>
        <v/>
      </c>
      <c r="D337" s="62">
        <f>IF(SYSTEM_CALCULATION!U326="SI",SYSTEM_CALCULATION!G326,"")</f>
        <v/>
      </c>
      <c r="E337" s="63">
        <f>IF(SYSTEM_CALCULATION!U326&lt;&gt;"SI","",IF(INPUT_SYSTEM!B335="USD",SYSTEM_CALCULATION!R326*CONFIG!B326,SYSTEM_CALCULATION!R326))</f>
        <v/>
      </c>
      <c r="F337" s="63">
        <f>IF(SYSTEM_CALCULATION!U326&lt;&gt;"SI","",IF(INPUT_SYSTEM!B335="USD",SYSTEM_CALCULATION!T326*CONFIG!B326,SYSTEM_CALCULATION!T326))</f>
        <v/>
      </c>
    </row>
    <row r="338" ht="15.75" customHeight="1" s="125">
      <c r="A338" s="62">
        <f>IF(SYSTEM_CALCULATION!U327="SI",SYSTEM_CALCULATION!B327,"")</f>
        <v/>
      </c>
      <c r="B338" s="62">
        <f>IF(SYSTEM_CALCULATION!U327="SI",SYSTEM_CALCULATION!E327,"")</f>
        <v/>
      </c>
      <c r="C338" s="62">
        <f>IF(SYSTEM_CALCULATION!U327="SI",SYSTEM_CALCULATION!O327,"")</f>
        <v/>
      </c>
      <c r="D338" s="62">
        <f>IF(SYSTEM_CALCULATION!U327="SI",SYSTEM_CALCULATION!G327,"")</f>
        <v/>
      </c>
      <c r="E338" s="63">
        <f>IF(SYSTEM_CALCULATION!U327&lt;&gt;"SI","",IF(INPUT_SYSTEM!B336="USD",SYSTEM_CALCULATION!R327*CONFIG!B327,SYSTEM_CALCULATION!R327))</f>
        <v/>
      </c>
      <c r="F338" s="63">
        <f>IF(SYSTEM_CALCULATION!U327&lt;&gt;"SI","",IF(INPUT_SYSTEM!B336="USD",SYSTEM_CALCULATION!T327*CONFIG!B327,SYSTEM_CALCULATION!T327))</f>
        <v/>
      </c>
    </row>
    <row r="339" ht="15.75" customHeight="1" s="125">
      <c r="A339" s="62">
        <f>IF(SYSTEM_CALCULATION!U328="SI",SYSTEM_CALCULATION!B328,"")</f>
        <v/>
      </c>
      <c r="B339" s="62">
        <f>IF(SYSTEM_CALCULATION!U328="SI",SYSTEM_CALCULATION!E328,"")</f>
        <v/>
      </c>
      <c r="C339" s="62">
        <f>IF(SYSTEM_CALCULATION!U328="SI",SYSTEM_CALCULATION!O328,"")</f>
        <v/>
      </c>
      <c r="D339" s="62">
        <f>IF(SYSTEM_CALCULATION!U328="SI",SYSTEM_CALCULATION!G328,"")</f>
        <v/>
      </c>
      <c r="E339" s="63">
        <f>IF(SYSTEM_CALCULATION!U328&lt;&gt;"SI","",IF(INPUT_SYSTEM!B337="USD",SYSTEM_CALCULATION!R328*CONFIG!B328,SYSTEM_CALCULATION!R328))</f>
        <v/>
      </c>
      <c r="F339" s="63">
        <f>IF(SYSTEM_CALCULATION!U328&lt;&gt;"SI","",IF(INPUT_SYSTEM!B337="USD",SYSTEM_CALCULATION!T328*CONFIG!B328,SYSTEM_CALCULATION!T328))</f>
        <v/>
      </c>
    </row>
    <row r="340" ht="15.75" customHeight="1" s="125">
      <c r="A340" s="62">
        <f>IF(SYSTEM_CALCULATION!U329="SI",SYSTEM_CALCULATION!B329,"")</f>
        <v/>
      </c>
      <c r="B340" s="62">
        <f>IF(SYSTEM_CALCULATION!U329="SI",SYSTEM_CALCULATION!E329,"")</f>
        <v/>
      </c>
      <c r="C340" s="62">
        <f>IF(SYSTEM_CALCULATION!U329="SI",SYSTEM_CALCULATION!O329,"")</f>
        <v/>
      </c>
      <c r="D340" s="62">
        <f>IF(SYSTEM_CALCULATION!U329="SI",SYSTEM_CALCULATION!G329,"")</f>
        <v/>
      </c>
      <c r="E340" s="63">
        <f>IF(SYSTEM_CALCULATION!U329&lt;&gt;"SI","",IF(INPUT_SYSTEM!B338="USD",SYSTEM_CALCULATION!R329*CONFIG!B329,SYSTEM_CALCULATION!R329))</f>
        <v/>
      </c>
      <c r="F340" s="63">
        <f>IF(SYSTEM_CALCULATION!U329&lt;&gt;"SI","",IF(INPUT_SYSTEM!B338="USD",SYSTEM_CALCULATION!T329*CONFIG!B329,SYSTEM_CALCULATION!T329))</f>
        <v/>
      </c>
    </row>
    <row r="341" ht="15.75" customHeight="1" s="125">
      <c r="A341" s="62">
        <f>IF(SYSTEM_CALCULATION!U330="SI",SYSTEM_CALCULATION!B330,"")</f>
        <v/>
      </c>
      <c r="B341" s="62">
        <f>IF(SYSTEM_CALCULATION!U330="SI",SYSTEM_CALCULATION!E330,"")</f>
        <v/>
      </c>
      <c r="C341" s="62">
        <f>IF(SYSTEM_CALCULATION!U330="SI",SYSTEM_CALCULATION!O330,"")</f>
        <v/>
      </c>
      <c r="D341" s="62">
        <f>IF(SYSTEM_CALCULATION!U330="SI",SYSTEM_CALCULATION!G330,"")</f>
        <v/>
      </c>
      <c r="E341" s="63">
        <f>IF(SYSTEM_CALCULATION!U330&lt;&gt;"SI","",IF(INPUT_SYSTEM!B339="USD",SYSTEM_CALCULATION!R330*CONFIG!B330,SYSTEM_CALCULATION!R330))</f>
        <v/>
      </c>
      <c r="F341" s="63">
        <f>IF(SYSTEM_CALCULATION!U330&lt;&gt;"SI","",IF(INPUT_SYSTEM!B339="USD",SYSTEM_CALCULATION!T330*CONFIG!B330,SYSTEM_CALCULATION!T330))</f>
        <v/>
      </c>
    </row>
    <row r="342" ht="15.75" customHeight="1" s="125">
      <c r="A342" s="62">
        <f>IF(SYSTEM_CALCULATION!U331="SI",SYSTEM_CALCULATION!B331,"")</f>
        <v/>
      </c>
      <c r="B342" s="62">
        <f>IF(SYSTEM_CALCULATION!U331="SI",SYSTEM_CALCULATION!E331,"")</f>
        <v/>
      </c>
      <c r="C342" s="62">
        <f>IF(SYSTEM_CALCULATION!U331="SI",SYSTEM_CALCULATION!O331,"")</f>
        <v/>
      </c>
      <c r="D342" s="62">
        <f>IF(SYSTEM_CALCULATION!U331="SI",SYSTEM_CALCULATION!G331,"")</f>
        <v/>
      </c>
      <c r="E342" s="63">
        <f>IF(SYSTEM_CALCULATION!U331&lt;&gt;"SI","",IF(INPUT_SYSTEM!B340="USD",SYSTEM_CALCULATION!R331*CONFIG!B331,SYSTEM_CALCULATION!R331))</f>
        <v/>
      </c>
      <c r="F342" s="63">
        <f>IF(SYSTEM_CALCULATION!U331&lt;&gt;"SI","",IF(INPUT_SYSTEM!B340="USD",SYSTEM_CALCULATION!T331*CONFIG!B331,SYSTEM_CALCULATION!T331))</f>
        <v/>
      </c>
    </row>
    <row r="343" ht="15.75" customHeight="1" s="125">
      <c r="A343" s="62">
        <f>IF(SYSTEM_CALCULATION!U332="SI",SYSTEM_CALCULATION!B332,"")</f>
        <v/>
      </c>
      <c r="B343" s="62">
        <f>IF(SYSTEM_CALCULATION!U332="SI",SYSTEM_CALCULATION!E332,"")</f>
        <v/>
      </c>
      <c r="C343" s="62">
        <f>IF(SYSTEM_CALCULATION!U332="SI",SYSTEM_CALCULATION!O332,"")</f>
        <v/>
      </c>
      <c r="D343" s="62">
        <f>IF(SYSTEM_CALCULATION!U332="SI",SYSTEM_CALCULATION!G332,"")</f>
        <v/>
      </c>
      <c r="E343" s="63">
        <f>IF(SYSTEM_CALCULATION!U332&lt;&gt;"SI","",IF(INPUT_SYSTEM!B341="USD",SYSTEM_CALCULATION!R332*CONFIG!B332,SYSTEM_CALCULATION!R332))</f>
        <v/>
      </c>
      <c r="F343" s="63">
        <f>IF(SYSTEM_CALCULATION!U332&lt;&gt;"SI","",IF(INPUT_SYSTEM!B341="USD",SYSTEM_CALCULATION!T332*CONFIG!B332,SYSTEM_CALCULATION!T332))</f>
        <v/>
      </c>
    </row>
    <row r="344" ht="15.75" customHeight="1" s="125">
      <c r="A344" s="62">
        <f>IF(SYSTEM_CALCULATION!U333="SI",SYSTEM_CALCULATION!B333,"")</f>
        <v/>
      </c>
      <c r="B344" s="62">
        <f>IF(SYSTEM_CALCULATION!U333="SI",SYSTEM_CALCULATION!E333,"")</f>
        <v/>
      </c>
      <c r="C344" s="62">
        <f>IF(SYSTEM_CALCULATION!U333="SI",SYSTEM_CALCULATION!O333,"")</f>
        <v/>
      </c>
      <c r="D344" s="62">
        <f>IF(SYSTEM_CALCULATION!U333="SI",SYSTEM_CALCULATION!G333,"")</f>
        <v/>
      </c>
      <c r="E344" s="63">
        <f>IF(SYSTEM_CALCULATION!U333&lt;&gt;"SI","",IF(INPUT_SYSTEM!B342="USD",SYSTEM_CALCULATION!R333*CONFIG!B333,SYSTEM_CALCULATION!R333))</f>
        <v/>
      </c>
      <c r="F344" s="63">
        <f>IF(SYSTEM_CALCULATION!U333&lt;&gt;"SI","",IF(INPUT_SYSTEM!B342="USD",SYSTEM_CALCULATION!T333*CONFIG!B333,SYSTEM_CALCULATION!T333))</f>
        <v/>
      </c>
    </row>
    <row r="345" ht="15.75" customHeight="1" s="125">
      <c r="A345" s="62">
        <f>IF(SYSTEM_CALCULATION!U334="SI",SYSTEM_CALCULATION!B334,"")</f>
        <v/>
      </c>
      <c r="B345" s="62">
        <f>IF(SYSTEM_CALCULATION!U334="SI",SYSTEM_CALCULATION!E334,"")</f>
        <v/>
      </c>
      <c r="C345" s="62">
        <f>IF(SYSTEM_CALCULATION!U334="SI",SYSTEM_CALCULATION!O334,"")</f>
        <v/>
      </c>
      <c r="D345" s="62">
        <f>IF(SYSTEM_CALCULATION!U334="SI",SYSTEM_CALCULATION!G334,"")</f>
        <v/>
      </c>
      <c r="E345" s="63">
        <f>IF(SYSTEM_CALCULATION!U334&lt;&gt;"SI","",IF(INPUT_SYSTEM!B343="USD",SYSTEM_CALCULATION!R334*CONFIG!B334,SYSTEM_CALCULATION!R334))</f>
        <v/>
      </c>
      <c r="F345" s="63">
        <f>IF(SYSTEM_CALCULATION!U334&lt;&gt;"SI","",IF(INPUT_SYSTEM!B343="USD",SYSTEM_CALCULATION!T334*CONFIG!B334,SYSTEM_CALCULATION!T334))</f>
        <v/>
      </c>
    </row>
    <row r="346" ht="15.75" customHeight="1" s="125">
      <c r="A346" s="62">
        <f>IF(SYSTEM_CALCULATION!U335="SI",SYSTEM_CALCULATION!B335,"")</f>
        <v/>
      </c>
      <c r="B346" s="62">
        <f>IF(SYSTEM_CALCULATION!U335="SI",SYSTEM_CALCULATION!E335,"")</f>
        <v/>
      </c>
      <c r="C346" s="62">
        <f>IF(SYSTEM_CALCULATION!U335="SI",SYSTEM_CALCULATION!O335,"")</f>
        <v/>
      </c>
      <c r="D346" s="62">
        <f>IF(SYSTEM_CALCULATION!U335="SI",SYSTEM_CALCULATION!G335,"")</f>
        <v/>
      </c>
      <c r="E346" s="63">
        <f>IF(SYSTEM_CALCULATION!U335&lt;&gt;"SI","",IF(INPUT_SYSTEM!B344="USD",SYSTEM_CALCULATION!R335*CONFIG!B335,SYSTEM_CALCULATION!R335))</f>
        <v/>
      </c>
      <c r="F346" s="63">
        <f>IF(SYSTEM_CALCULATION!U335&lt;&gt;"SI","",IF(INPUT_SYSTEM!B344="USD",SYSTEM_CALCULATION!T335*CONFIG!B335,SYSTEM_CALCULATION!T335))</f>
        <v/>
      </c>
    </row>
    <row r="347" ht="15.75" customHeight="1" s="125">
      <c r="A347" s="62">
        <f>IF(SYSTEM_CALCULATION!U336="SI",SYSTEM_CALCULATION!B336,"")</f>
        <v/>
      </c>
      <c r="B347" s="62">
        <f>IF(SYSTEM_CALCULATION!U336="SI",SYSTEM_CALCULATION!E336,"")</f>
        <v/>
      </c>
      <c r="C347" s="62">
        <f>IF(SYSTEM_CALCULATION!U336="SI",SYSTEM_CALCULATION!O336,"")</f>
        <v/>
      </c>
      <c r="D347" s="62">
        <f>IF(SYSTEM_CALCULATION!U336="SI",SYSTEM_CALCULATION!G336,"")</f>
        <v/>
      </c>
      <c r="E347" s="63">
        <f>IF(SYSTEM_CALCULATION!U336&lt;&gt;"SI","",IF(INPUT_SYSTEM!B345="USD",SYSTEM_CALCULATION!R336*CONFIG!B336,SYSTEM_CALCULATION!R336))</f>
        <v/>
      </c>
      <c r="F347" s="63">
        <f>IF(SYSTEM_CALCULATION!U336&lt;&gt;"SI","",IF(INPUT_SYSTEM!B345="USD",SYSTEM_CALCULATION!T336*CONFIG!B336,SYSTEM_CALCULATION!T336))</f>
        <v/>
      </c>
    </row>
    <row r="348" ht="15.75" customHeight="1" s="125">
      <c r="A348" s="62">
        <f>IF(SYSTEM_CALCULATION!U337="SI",SYSTEM_CALCULATION!B337,"")</f>
        <v/>
      </c>
      <c r="B348" s="62">
        <f>IF(SYSTEM_CALCULATION!U337="SI",SYSTEM_CALCULATION!E337,"")</f>
        <v/>
      </c>
      <c r="C348" s="62">
        <f>IF(SYSTEM_CALCULATION!U337="SI",SYSTEM_CALCULATION!O337,"")</f>
        <v/>
      </c>
      <c r="D348" s="62">
        <f>IF(SYSTEM_CALCULATION!U337="SI",SYSTEM_CALCULATION!G337,"")</f>
        <v/>
      </c>
      <c r="E348" s="63">
        <f>IF(SYSTEM_CALCULATION!U337&lt;&gt;"SI","",IF(INPUT_SYSTEM!B346="USD",SYSTEM_CALCULATION!R337*CONFIG!B337,SYSTEM_CALCULATION!R337))</f>
        <v/>
      </c>
      <c r="F348" s="63">
        <f>IF(SYSTEM_CALCULATION!U337&lt;&gt;"SI","",IF(INPUT_SYSTEM!B346="USD",SYSTEM_CALCULATION!T337*CONFIG!B337,SYSTEM_CALCULATION!T337))</f>
        <v/>
      </c>
    </row>
    <row r="349" ht="15.75" customHeight="1" s="125">
      <c r="A349" s="62">
        <f>IF(SYSTEM_CALCULATION!U338="SI",SYSTEM_CALCULATION!B338,"")</f>
        <v/>
      </c>
      <c r="B349" s="62">
        <f>IF(SYSTEM_CALCULATION!U338="SI",SYSTEM_CALCULATION!E338,"")</f>
        <v/>
      </c>
      <c r="C349" s="62">
        <f>IF(SYSTEM_CALCULATION!U338="SI",SYSTEM_CALCULATION!O338,"")</f>
        <v/>
      </c>
      <c r="D349" s="62">
        <f>IF(SYSTEM_CALCULATION!U338="SI",SYSTEM_CALCULATION!G338,"")</f>
        <v/>
      </c>
      <c r="E349" s="63">
        <f>IF(SYSTEM_CALCULATION!U338&lt;&gt;"SI","",IF(INPUT_SYSTEM!B347="USD",SYSTEM_CALCULATION!R338*CONFIG!B338,SYSTEM_CALCULATION!R338))</f>
        <v/>
      </c>
      <c r="F349" s="63">
        <f>IF(SYSTEM_CALCULATION!U338&lt;&gt;"SI","",IF(INPUT_SYSTEM!B347="USD",SYSTEM_CALCULATION!T338*CONFIG!B338,SYSTEM_CALCULATION!T338))</f>
        <v/>
      </c>
    </row>
    <row r="350" ht="15.75" customHeight="1" s="125">
      <c r="A350" s="62">
        <f>IF(SYSTEM_CALCULATION!U339="SI",SYSTEM_CALCULATION!B339,"")</f>
        <v/>
      </c>
      <c r="B350" s="62">
        <f>IF(SYSTEM_CALCULATION!U339="SI",SYSTEM_CALCULATION!E339,"")</f>
        <v/>
      </c>
      <c r="C350" s="62">
        <f>IF(SYSTEM_CALCULATION!U339="SI",SYSTEM_CALCULATION!O339,"")</f>
        <v/>
      </c>
      <c r="D350" s="62">
        <f>IF(SYSTEM_CALCULATION!U339="SI",SYSTEM_CALCULATION!G339,"")</f>
        <v/>
      </c>
      <c r="E350" s="63">
        <f>IF(SYSTEM_CALCULATION!U339&lt;&gt;"SI","",IF(INPUT_SYSTEM!B348="USD",SYSTEM_CALCULATION!R339*CONFIG!B339,SYSTEM_CALCULATION!R339))</f>
        <v/>
      </c>
      <c r="F350" s="63">
        <f>IF(SYSTEM_CALCULATION!U339&lt;&gt;"SI","",IF(INPUT_SYSTEM!B348="USD",SYSTEM_CALCULATION!T339*CONFIG!B339,SYSTEM_CALCULATION!T339))</f>
        <v/>
      </c>
    </row>
    <row r="351" ht="15.75" customHeight="1" s="125">
      <c r="A351" s="62">
        <f>IF(SYSTEM_CALCULATION!U340="SI",SYSTEM_CALCULATION!B340,"")</f>
        <v/>
      </c>
      <c r="B351" s="62">
        <f>IF(SYSTEM_CALCULATION!U340="SI",SYSTEM_CALCULATION!E340,"")</f>
        <v/>
      </c>
      <c r="C351" s="62">
        <f>IF(SYSTEM_CALCULATION!U340="SI",SYSTEM_CALCULATION!O340,"")</f>
        <v/>
      </c>
      <c r="D351" s="62">
        <f>IF(SYSTEM_CALCULATION!U340="SI",SYSTEM_CALCULATION!G340,"")</f>
        <v/>
      </c>
      <c r="E351" s="63">
        <f>IF(SYSTEM_CALCULATION!U340&lt;&gt;"SI","",IF(INPUT_SYSTEM!B349="USD",SYSTEM_CALCULATION!R340*CONFIG!B340,SYSTEM_CALCULATION!R340))</f>
        <v/>
      </c>
      <c r="F351" s="63">
        <f>IF(SYSTEM_CALCULATION!U340&lt;&gt;"SI","",IF(INPUT_SYSTEM!B349="USD",SYSTEM_CALCULATION!T340*CONFIG!B340,SYSTEM_CALCULATION!T340))</f>
        <v/>
      </c>
    </row>
    <row r="352" ht="15.75" customHeight="1" s="125">
      <c r="A352" s="62">
        <f>IF(SYSTEM_CALCULATION!U341="SI",SYSTEM_CALCULATION!B341,"")</f>
        <v/>
      </c>
      <c r="B352" s="62">
        <f>IF(SYSTEM_CALCULATION!U341="SI",SYSTEM_CALCULATION!E341,"")</f>
        <v/>
      </c>
      <c r="C352" s="62">
        <f>IF(SYSTEM_CALCULATION!U341="SI",SYSTEM_CALCULATION!O341,"")</f>
        <v/>
      </c>
      <c r="D352" s="62">
        <f>IF(SYSTEM_CALCULATION!U341="SI",SYSTEM_CALCULATION!G341,"")</f>
        <v/>
      </c>
      <c r="E352" s="63">
        <f>IF(SYSTEM_CALCULATION!U341&lt;&gt;"SI","",IF(INPUT_SYSTEM!B350="USD",SYSTEM_CALCULATION!R341*CONFIG!B341,SYSTEM_CALCULATION!R341))</f>
        <v/>
      </c>
      <c r="F352" s="63">
        <f>IF(SYSTEM_CALCULATION!U341&lt;&gt;"SI","",IF(INPUT_SYSTEM!B350="USD",SYSTEM_CALCULATION!T341*CONFIG!B341,SYSTEM_CALCULATION!T341))</f>
        <v/>
      </c>
    </row>
    <row r="353" ht="15.75" customHeight="1" s="125">
      <c r="A353" s="62">
        <f>IF(SYSTEM_CALCULATION!U342="SI",SYSTEM_CALCULATION!B342,"")</f>
        <v/>
      </c>
      <c r="B353" s="62">
        <f>IF(SYSTEM_CALCULATION!U342="SI",SYSTEM_CALCULATION!E342,"")</f>
        <v/>
      </c>
      <c r="C353" s="62">
        <f>IF(SYSTEM_CALCULATION!U342="SI",SYSTEM_CALCULATION!O342,"")</f>
        <v/>
      </c>
      <c r="D353" s="62">
        <f>IF(SYSTEM_CALCULATION!U342="SI",SYSTEM_CALCULATION!G342,"")</f>
        <v/>
      </c>
      <c r="E353" s="63">
        <f>IF(SYSTEM_CALCULATION!U342&lt;&gt;"SI","",IF(INPUT_SYSTEM!B351="USD",SYSTEM_CALCULATION!R342*CONFIG!B342,SYSTEM_CALCULATION!R342))</f>
        <v/>
      </c>
      <c r="F353" s="63">
        <f>IF(SYSTEM_CALCULATION!U342&lt;&gt;"SI","",IF(INPUT_SYSTEM!B351="USD",SYSTEM_CALCULATION!T342*CONFIG!B342,SYSTEM_CALCULATION!T342))</f>
        <v/>
      </c>
    </row>
    <row r="354" ht="15.75" customHeight="1" s="125">
      <c r="A354" s="62">
        <f>IF(SYSTEM_CALCULATION!U343="SI",SYSTEM_CALCULATION!B343,"")</f>
        <v/>
      </c>
      <c r="B354" s="62">
        <f>IF(SYSTEM_CALCULATION!U343="SI",SYSTEM_CALCULATION!E343,"")</f>
        <v/>
      </c>
      <c r="C354" s="62">
        <f>IF(SYSTEM_CALCULATION!U343="SI",SYSTEM_CALCULATION!O343,"")</f>
        <v/>
      </c>
      <c r="D354" s="62">
        <f>IF(SYSTEM_CALCULATION!U343="SI",SYSTEM_CALCULATION!G343,"")</f>
        <v/>
      </c>
      <c r="E354" s="63">
        <f>IF(SYSTEM_CALCULATION!U343&lt;&gt;"SI","",IF(INPUT_SYSTEM!B352="USD",SYSTEM_CALCULATION!R343*CONFIG!B343,SYSTEM_CALCULATION!R343))</f>
        <v/>
      </c>
      <c r="F354" s="63">
        <f>IF(SYSTEM_CALCULATION!U343&lt;&gt;"SI","",IF(INPUT_SYSTEM!B352="USD",SYSTEM_CALCULATION!T343*CONFIG!B343,SYSTEM_CALCULATION!T343))</f>
        <v/>
      </c>
    </row>
    <row r="355" ht="15.75" customHeight="1" s="125">
      <c r="A355" s="62">
        <f>IF(SYSTEM_CALCULATION!U344="SI",SYSTEM_CALCULATION!B344,"")</f>
        <v/>
      </c>
      <c r="B355" s="62">
        <f>IF(SYSTEM_CALCULATION!U344="SI",SYSTEM_CALCULATION!E344,"")</f>
        <v/>
      </c>
      <c r="C355" s="62">
        <f>IF(SYSTEM_CALCULATION!U344="SI",SYSTEM_CALCULATION!O344,"")</f>
        <v/>
      </c>
      <c r="D355" s="62">
        <f>IF(SYSTEM_CALCULATION!U344="SI",SYSTEM_CALCULATION!G344,"")</f>
        <v/>
      </c>
      <c r="E355" s="63">
        <f>IF(SYSTEM_CALCULATION!U344&lt;&gt;"SI","",IF(INPUT_SYSTEM!B353="USD",SYSTEM_CALCULATION!R344*CONFIG!B344,SYSTEM_CALCULATION!R344))</f>
        <v/>
      </c>
      <c r="F355" s="63">
        <f>IF(SYSTEM_CALCULATION!U344&lt;&gt;"SI","",IF(INPUT_SYSTEM!B353="USD",SYSTEM_CALCULATION!T344*CONFIG!B344,SYSTEM_CALCULATION!T344))</f>
        <v/>
      </c>
    </row>
    <row r="356" ht="15.75" customHeight="1" s="125">
      <c r="A356" s="62">
        <f>IF(SYSTEM_CALCULATION!U345="SI",SYSTEM_CALCULATION!B345,"")</f>
        <v/>
      </c>
      <c r="B356" s="62">
        <f>IF(SYSTEM_CALCULATION!U345="SI",SYSTEM_CALCULATION!E345,"")</f>
        <v/>
      </c>
      <c r="C356" s="62">
        <f>IF(SYSTEM_CALCULATION!U345="SI",SYSTEM_CALCULATION!O345,"")</f>
        <v/>
      </c>
      <c r="D356" s="62">
        <f>IF(SYSTEM_CALCULATION!U345="SI",SYSTEM_CALCULATION!G345,"")</f>
        <v/>
      </c>
      <c r="E356" s="63">
        <f>IF(SYSTEM_CALCULATION!U345&lt;&gt;"SI","",IF(INPUT_SYSTEM!B354="USD",SYSTEM_CALCULATION!R345*CONFIG!B345,SYSTEM_CALCULATION!R345))</f>
        <v/>
      </c>
      <c r="F356" s="63">
        <f>IF(SYSTEM_CALCULATION!U345&lt;&gt;"SI","",IF(INPUT_SYSTEM!B354="USD",SYSTEM_CALCULATION!T345*CONFIG!B345,SYSTEM_CALCULATION!T345))</f>
        <v/>
      </c>
    </row>
    <row r="357" ht="15.75" customHeight="1" s="125">
      <c r="A357" s="62">
        <f>IF(SYSTEM_CALCULATION!U346="SI",SYSTEM_CALCULATION!B346,"")</f>
        <v/>
      </c>
      <c r="B357" s="62">
        <f>IF(SYSTEM_CALCULATION!U346="SI",SYSTEM_CALCULATION!E346,"")</f>
        <v/>
      </c>
      <c r="C357" s="62">
        <f>IF(SYSTEM_CALCULATION!U346="SI",SYSTEM_CALCULATION!O346,"")</f>
        <v/>
      </c>
      <c r="D357" s="62">
        <f>IF(SYSTEM_CALCULATION!U346="SI",SYSTEM_CALCULATION!G346,"")</f>
        <v/>
      </c>
      <c r="E357" s="63">
        <f>IF(SYSTEM_CALCULATION!U346&lt;&gt;"SI","",IF(INPUT_SYSTEM!B355="USD",SYSTEM_CALCULATION!R346*CONFIG!B346,SYSTEM_CALCULATION!R346))</f>
        <v/>
      </c>
      <c r="F357" s="63">
        <f>IF(SYSTEM_CALCULATION!U346&lt;&gt;"SI","",IF(INPUT_SYSTEM!B355="USD",SYSTEM_CALCULATION!T346*CONFIG!B346,SYSTEM_CALCULATION!T346))</f>
        <v/>
      </c>
    </row>
    <row r="358" ht="15.75" customHeight="1" s="125">
      <c r="A358" s="62">
        <f>IF(SYSTEM_CALCULATION!U347="SI",SYSTEM_CALCULATION!B347,"")</f>
        <v/>
      </c>
      <c r="B358" s="62">
        <f>IF(SYSTEM_CALCULATION!U347="SI",SYSTEM_CALCULATION!E347,"")</f>
        <v/>
      </c>
      <c r="C358" s="62">
        <f>IF(SYSTEM_CALCULATION!U347="SI",SYSTEM_CALCULATION!O347,"")</f>
        <v/>
      </c>
      <c r="D358" s="62">
        <f>IF(SYSTEM_CALCULATION!U347="SI",SYSTEM_CALCULATION!G347,"")</f>
        <v/>
      </c>
      <c r="E358" s="63">
        <f>IF(SYSTEM_CALCULATION!U347&lt;&gt;"SI","",IF(INPUT_SYSTEM!B356="USD",SYSTEM_CALCULATION!R347*CONFIG!B347,SYSTEM_CALCULATION!R347))</f>
        <v/>
      </c>
      <c r="F358" s="63">
        <f>IF(SYSTEM_CALCULATION!U347&lt;&gt;"SI","",IF(INPUT_SYSTEM!B356="USD",SYSTEM_CALCULATION!T347*CONFIG!B347,SYSTEM_CALCULATION!T347))</f>
        <v/>
      </c>
    </row>
    <row r="359" ht="15.75" customHeight="1" s="125">
      <c r="A359" s="62">
        <f>IF(SYSTEM_CALCULATION!U348="SI",SYSTEM_CALCULATION!B348,"")</f>
        <v/>
      </c>
      <c r="B359" s="62">
        <f>IF(SYSTEM_CALCULATION!U348="SI",SYSTEM_CALCULATION!E348,"")</f>
        <v/>
      </c>
      <c r="C359" s="62">
        <f>IF(SYSTEM_CALCULATION!U348="SI",SYSTEM_CALCULATION!O348,"")</f>
        <v/>
      </c>
      <c r="D359" s="62">
        <f>IF(SYSTEM_CALCULATION!U348="SI",SYSTEM_CALCULATION!G348,"")</f>
        <v/>
      </c>
      <c r="E359" s="63">
        <f>IF(SYSTEM_CALCULATION!U348&lt;&gt;"SI","",IF(INPUT_SYSTEM!B357="USD",SYSTEM_CALCULATION!R348*CONFIG!B348,SYSTEM_CALCULATION!R348))</f>
        <v/>
      </c>
      <c r="F359" s="63">
        <f>IF(SYSTEM_CALCULATION!U348&lt;&gt;"SI","",IF(INPUT_SYSTEM!B357="USD",SYSTEM_CALCULATION!T348*CONFIG!B348,SYSTEM_CALCULATION!T348))</f>
        <v/>
      </c>
    </row>
    <row r="360" ht="15.75" customHeight="1" s="125">
      <c r="A360" s="62">
        <f>IF(SYSTEM_CALCULATION!U349="SI",SYSTEM_CALCULATION!B349,"")</f>
        <v/>
      </c>
      <c r="B360" s="62">
        <f>IF(SYSTEM_CALCULATION!U349="SI",SYSTEM_CALCULATION!E349,"")</f>
        <v/>
      </c>
      <c r="C360" s="62">
        <f>IF(SYSTEM_CALCULATION!U349="SI",SYSTEM_CALCULATION!O349,"")</f>
        <v/>
      </c>
      <c r="D360" s="62">
        <f>IF(SYSTEM_CALCULATION!U349="SI",SYSTEM_CALCULATION!G349,"")</f>
        <v/>
      </c>
      <c r="E360" s="63">
        <f>IF(SYSTEM_CALCULATION!U349&lt;&gt;"SI","",IF(INPUT_SYSTEM!B358="USD",SYSTEM_CALCULATION!R349*CONFIG!B349,SYSTEM_CALCULATION!R349))</f>
        <v/>
      </c>
      <c r="F360" s="63">
        <f>IF(SYSTEM_CALCULATION!U349&lt;&gt;"SI","",IF(INPUT_SYSTEM!B358="USD",SYSTEM_CALCULATION!T349*CONFIG!B349,SYSTEM_CALCULATION!T349))</f>
        <v/>
      </c>
    </row>
    <row r="361" ht="15.75" customHeight="1" s="125">
      <c r="A361" s="62">
        <f>IF(SYSTEM_CALCULATION!U350="SI",SYSTEM_CALCULATION!B350,"")</f>
        <v/>
      </c>
      <c r="B361" s="62">
        <f>IF(SYSTEM_CALCULATION!U350="SI",SYSTEM_CALCULATION!E350,"")</f>
        <v/>
      </c>
      <c r="C361" s="62">
        <f>IF(SYSTEM_CALCULATION!U350="SI",SYSTEM_CALCULATION!O350,"")</f>
        <v/>
      </c>
      <c r="D361" s="62">
        <f>IF(SYSTEM_CALCULATION!U350="SI",SYSTEM_CALCULATION!G350,"")</f>
        <v/>
      </c>
      <c r="E361" s="63">
        <f>IF(SYSTEM_CALCULATION!U350&lt;&gt;"SI","",IF(INPUT_SYSTEM!B359="USD",SYSTEM_CALCULATION!R350*CONFIG!B350,SYSTEM_CALCULATION!R350))</f>
        <v/>
      </c>
      <c r="F361" s="63">
        <f>IF(SYSTEM_CALCULATION!U350&lt;&gt;"SI","",IF(INPUT_SYSTEM!B359="USD",SYSTEM_CALCULATION!T350*CONFIG!B350,SYSTEM_CALCULATION!T350))</f>
        <v/>
      </c>
    </row>
    <row r="362" ht="15.75" customHeight="1" s="125">
      <c r="A362" s="62">
        <f>IF(SYSTEM_CALCULATION!U351="SI",SYSTEM_CALCULATION!B351,"")</f>
        <v/>
      </c>
      <c r="B362" s="62">
        <f>IF(SYSTEM_CALCULATION!U351="SI",SYSTEM_CALCULATION!E351,"")</f>
        <v/>
      </c>
      <c r="C362" s="62">
        <f>IF(SYSTEM_CALCULATION!U351="SI",SYSTEM_CALCULATION!O351,"")</f>
        <v/>
      </c>
      <c r="D362" s="62">
        <f>IF(SYSTEM_CALCULATION!U351="SI",SYSTEM_CALCULATION!G351,"")</f>
        <v/>
      </c>
      <c r="E362" s="63">
        <f>IF(SYSTEM_CALCULATION!U351&lt;&gt;"SI","",IF(INPUT_SYSTEM!B360="USD",SYSTEM_CALCULATION!R351*CONFIG!B351,SYSTEM_CALCULATION!R351))</f>
        <v/>
      </c>
      <c r="F362" s="63">
        <f>IF(SYSTEM_CALCULATION!U351&lt;&gt;"SI","",IF(INPUT_SYSTEM!B360="USD",SYSTEM_CALCULATION!T351*CONFIG!B351,SYSTEM_CALCULATION!T351))</f>
        <v/>
      </c>
    </row>
    <row r="363" ht="15.75" customHeight="1" s="125">
      <c r="A363" s="62">
        <f>IF(SYSTEM_CALCULATION!U352="SI",SYSTEM_CALCULATION!B352,"")</f>
        <v/>
      </c>
      <c r="B363" s="62">
        <f>IF(SYSTEM_CALCULATION!U352="SI",SYSTEM_CALCULATION!E352,"")</f>
        <v/>
      </c>
      <c r="C363" s="62">
        <f>IF(SYSTEM_CALCULATION!U352="SI",SYSTEM_CALCULATION!O352,"")</f>
        <v/>
      </c>
      <c r="D363" s="62">
        <f>IF(SYSTEM_CALCULATION!U352="SI",SYSTEM_CALCULATION!G352,"")</f>
        <v/>
      </c>
      <c r="E363" s="63">
        <f>IF(SYSTEM_CALCULATION!U352&lt;&gt;"SI","",IF(INPUT_SYSTEM!B361="USD",SYSTEM_CALCULATION!R352*CONFIG!B352,SYSTEM_CALCULATION!R352))</f>
        <v/>
      </c>
      <c r="F363" s="63">
        <f>IF(SYSTEM_CALCULATION!U352&lt;&gt;"SI","",IF(INPUT_SYSTEM!B361="USD",SYSTEM_CALCULATION!T352*CONFIG!B352,SYSTEM_CALCULATION!T352))</f>
        <v/>
      </c>
    </row>
    <row r="364" ht="15.75" customHeight="1" s="125">
      <c r="A364" s="62">
        <f>IF(SYSTEM_CALCULATION!U353="SI",SYSTEM_CALCULATION!B353,"")</f>
        <v/>
      </c>
      <c r="B364" s="62">
        <f>IF(SYSTEM_CALCULATION!U353="SI",SYSTEM_CALCULATION!E353,"")</f>
        <v/>
      </c>
      <c r="C364" s="62">
        <f>IF(SYSTEM_CALCULATION!U353="SI",SYSTEM_CALCULATION!O353,"")</f>
        <v/>
      </c>
      <c r="D364" s="62">
        <f>IF(SYSTEM_CALCULATION!U353="SI",SYSTEM_CALCULATION!G353,"")</f>
        <v/>
      </c>
      <c r="E364" s="63">
        <f>IF(SYSTEM_CALCULATION!U353&lt;&gt;"SI","",IF(INPUT_SYSTEM!B362="USD",SYSTEM_CALCULATION!R353*CONFIG!B353,SYSTEM_CALCULATION!R353))</f>
        <v/>
      </c>
      <c r="F364" s="63">
        <f>IF(SYSTEM_CALCULATION!U353&lt;&gt;"SI","",IF(INPUT_SYSTEM!B362="USD",SYSTEM_CALCULATION!T353*CONFIG!B353,SYSTEM_CALCULATION!T353))</f>
        <v/>
      </c>
    </row>
    <row r="365" ht="15.75" customHeight="1" s="125">
      <c r="A365" s="62">
        <f>IF(SYSTEM_CALCULATION!U354="SI",SYSTEM_CALCULATION!B354,"")</f>
        <v/>
      </c>
      <c r="B365" s="62">
        <f>IF(SYSTEM_CALCULATION!U354="SI",SYSTEM_CALCULATION!E354,"")</f>
        <v/>
      </c>
      <c r="C365" s="62">
        <f>IF(SYSTEM_CALCULATION!U354="SI",SYSTEM_CALCULATION!O354,"")</f>
        <v/>
      </c>
      <c r="D365" s="62">
        <f>IF(SYSTEM_CALCULATION!U354="SI",SYSTEM_CALCULATION!G354,"")</f>
        <v/>
      </c>
      <c r="E365" s="63">
        <f>IF(SYSTEM_CALCULATION!U354&lt;&gt;"SI","",IF(INPUT_SYSTEM!B363="USD",SYSTEM_CALCULATION!R354*CONFIG!B354,SYSTEM_CALCULATION!R354))</f>
        <v/>
      </c>
      <c r="F365" s="63">
        <f>IF(SYSTEM_CALCULATION!U354&lt;&gt;"SI","",IF(INPUT_SYSTEM!B363="USD",SYSTEM_CALCULATION!T354*CONFIG!B354,SYSTEM_CALCULATION!T354))</f>
        <v/>
      </c>
    </row>
    <row r="366" ht="15.75" customHeight="1" s="125">
      <c r="A366" s="62">
        <f>IF(SYSTEM_CALCULATION!U355="SI",SYSTEM_CALCULATION!B355,"")</f>
        <v/>
      </c>
      <c r="B366" s="62">
        <f>IF(SYSTEM_CALCULATION!U355="SI",SYSTEM_CALCULATION!E355,"")</f>
        <v/>
      </c>
      <c r="C366" s="62">
        <f>IF(SYSTEM_CALCULATION!U355="SI",SYSTEM_CALCULATION!O355,"")</f>
        <v/>
      </c>
      <c r="D366" s="62">
        <f>IF(SYSTEM_CALCULATION!U355="SI",SYSTEM_CALCULATION!G355,"")</f>
        <v/>
      </c>
      <c r="E366" s="63">
        <f>IF(SYSTEM_CALCULATION!U355&lt;&gt;"SI","",IF(INPUT_SYSTEM!B364="USD",SYSTEM_CALCULATION!R355*CONFIG!B355,SYSTEM_CALCULATION!R355))</f>
        <v/>
      </c>
      <c r="F366" s="63">
        <f>IF(SYSTEM_CALCULATION!U355&lt;&gt;"SI","",IF(INPUT_SYSTEM!B364="USD",SYSTEM_CALCULATION!T355*CONFIG!B355,SYSTEM_CALCULATION!T355))</f>
        <v/>
      </c>
    </row>
    <row r="367" ht="15.75" customHeight="1" s="125">
      <c r="A367" s="62">
        <f>IF(SYSTEM_CALCULATION!U356="SI",SYSTEM_CALCULATION!B356,"")</f>
        <v/>
      </c>
      <c r="B367" s="62">
        <f>IF(SYSTEM_CALCULATION!U356="SI",SYSTEM_CALCULATION!E356,"")</f>
        <v/>
      </c>
      <c r="C367" s="62">
        <f>IF(SYSTEM_CALCULATION!U356="SI",SYSTEM_CALCULATION!O356,"")</f>
        <v/>
      </c>
      <c r="D367" s="62">
        <f>IF(SYSTEM_CALCULATION!U356="SI",SYSTEM_CALCULATION!G356,"")</f>
        <v/>
      </c>
      <c r="E367" s="63">
        <f>IF(SYSTEM_CALCULATION!U356&lt;&gt;"SI","",IF(INPUT_SYSTEM!B365="USD",SYSTEM_CALCULATION!R356*CONFIG!B356,SYSTEM_CALCULATION!R356))</f>
        <v/>
      </c>
      <c r="F367" s="63">
        <f>IF(SYSTEM_CALCULATION!U356&lt;&gt;"SI","",IF(INPUT_SYSTEM!B365="USD",SYSTEM_CALCULATION!T356*CONFIG!B356,SYSTEM_CALCULATION!T356))</f>
        <v/>
      </c>
    </row>
    <row r="368" ht="15.75" customHeight="1" s="125">
      <c r="A368" s="62">
        <f>IF(SYSTEM_CALCULATION!U357="SI",SYSTEM_CALCULATION!B357,"")</f>
        <v/>
      </c>
      <c r="B368" s="62">
        <f>IF(SYSTEM_CALCULATION!U357="SI",SYSTEM_CALCULATION!E357,"")</f>
        <v/>
      </c>
      <c r="C368" s="62">
        <f>IF(SYSTEM_CALCULATION!U357="SI",SYSTEM_CALCULATION!O357,"")</f>
        <v/>
      </c>
      <c r="D368" s="62">
        <f>IF(SYSTEM_CALCULATION!U357="SI",SYSTEM_CALCULATION!G357,"")</f>
        <v/>
      </c>
      <c r="E368" s="63">
        <f>IF(SYSTEM_CALCULATION!U357&lt;&gt;"SI","",IF(INPUT_SYSTEM!B366="USD",SYSTEM_CALCULATION!R357*CONFIG!B357,SYSTEM_CALCULATION!R357))</f>
        <v/>
      </c>
      <c r="F368" s="63">
        <f>IF(SYSTEM_CALCULATION!U357&lt;&gt;"SI","",IF(INPUT_SYSTEM!B366="USD",SYSTEM_CALCULATION!T357*CONFIG!B357,SYSTEM_CALCULATION!T357))</f>
        <v/>
      </c>
    </row>
    <row r="369" ht="15.75" customHeight="1" s="125">
      <c r="A369" s="62">
        <f>IF(SYSTEM_CALCULATION!U358="SI",SYSTEM_CALCULATION!B358,"")</f>
        <v/>
      </c>
      <c r="B369" s="62">
        <f>IF(SYSTEM_CALCULATION!U358="SI",SYSTEM_CALCULATION!E358,"")</f>
        <v/>
      </c>
      <c r="C369" s="62">
        <f>IF(SYSTEM_CALCULATION!U358="SI",SYSTEM_CALCULATION!O358,"")</f>
        <v/>
      </c>
      <c r="D369" s="62">
        <f>IF(SYSTEM_CALCULATION!U358="SI",SYSTEM_CALCULATION!G358,"")</f>
        <v/>
      </c>
      <c r="E369" s="63">
        <f>IF(SYSTEM_CALCULATION!U358&lt;&gt;"SI","",IF(INPUT_SYSTEM!B367="USD",SYSTEM_CALCULATION!R358*CONFIG!B358,SYSTEM_CALCULATION!R358))</f>
        <v/>
      </c>
      <c r="F369" s="63">
        <f>IF(SYSTEM_CALCULATION!U358&lt;&gt;"SI","",IF(INPUT_SYSTEM!B367="USD",SYSTEM_CALCULATION!T358*CONFIG!B358,SYSTEM_CALCULATION!T358))</f>
        <v/>
      </c>
    </row>
    <row r="370" ht="15.75" customHeight="1" s="125">
      <c r="A370" s="62">
        <f>IF(SYSTEM_CALCULATION!U359="SI",SYSTEM_CALCULATION!B359,"")</f>
        <v/>
      </c>
      <c r="B370" s="62">
        <f>IF(SYSTEM_CALCULATION!U359="SI",SYSTEM_CALCULATION!E359,"")</f>
        <v/>
      </c>
      <c r="C370" s="62">
        <f>IF(SYSTEM_CALCULATION!U359="SI",SYSTEM_CALCULATION!O359,"")</f>
        <v/>
      </c>
      <c r="D370" s="62">
        <f>IF(SYSTEM_CALCULATION!U359="SI",SYSTEM_CALCULATION!G359,"")</f>
        <v/>
      </c>
      <c r="E370" s="63">
        <f>IF(SYSTEM_CALCULATION!U359&lt;&gt;"SI","",IF(INPUT_SYSTEM!B368="USD",SYSTEM_CALCULATION!R359*CONFIG!B359,SYSTEM_CALCULATION!R359))</f>
        <v/>
      </c>
      <c r="F370" s="63">
        <f>IF(SYSTEM_CALCULATION!U359&lt;&gt;"SI","",IF(INPUT_SYSTEM!B368="USD",SYSTEM_CALCULATION!T359*CONFIG!B359,SYSTEM_CALCULATION!T359))</f>
        <v/>
      </c>
    </row>
    <row r="371" ht="15.75" customHeight="1" s="125">
      <c r="A371" s="62">
        <f>IF(SYSTEM_CALCULATION!U360="SI",SYSTEM_CALCULATION!B360,"")</f>
        <v/>
      </c>
      <c r="B371" s="62">
        <f>IF(SYSTEM_CALCULATION!U360="SI",SYSTEM_CALCULATION!E360,"")</f>
        <v/>
      </c>
      <c r="C371" s="62">
        <f>IF(SYSTEM_CALCULATION!U360="SI",SYSTEM_CALCULATION!O360,"")</f>
        <v/>
      </c>
      <c r="D371" s="62">
        <f>IF(SYSTEM_CALCULATION!U360="SI",SYSTEM_CALCULATION!G360,"")</f>
        <v/>
      </c>
      <c r="E371" s="63">
        <f>IF(SYSTEM_CALCULATION!U360&lt;&gt;"SI","",IF(INPUT_SYSTEM!B369="USD",SYSTEM_CALCULATION!R360*CONFIG!B360,SYSTEM_CALCULATION!R360))</f>
        <v/>
      </c>
      <c r="F371" s="63">
        <f>IF(SYSTEM_CALCULATION!U360&lt;&gt;"SI","",IF(INPUT_SYSTEM!B369="USD",SYSTEM_CALCULATION!T360*CONFIG!B360,SYSTEM_CALCULATION!T360))</f>
        <v/>
      </c>
    </row>
    <row r="372" ht="15.75" customHeight="1" s="125">
      <c r="A372" s="62">
        <f>IF(SYSTEM_CALCULATION!U361="SI",SYSTEM_CALCULATION!B361,"")</f>
        <v/>
      </c>
      <c r="B372" s="62">
        <f>IF(SYSTEM_CALCULATION!U361="SI",SYSTEM_CALCULATION!E361,"")</f>
        <v/>
      </c>
      <c r="C372" s="62">
        <f>IF(SYSTEM_CALCULATION!U361="SI",SYSTEM_CALCULATION!O361,"")</f>
        <v/>
      </c>
      <c r="D372" s="62">
        <f>IF(SYSTEM_CALCULATION!U361="SI",SYSTEM_CALCULATION!G361,"")</f>
        <v/>
      </c>
      <c r="E372" s="63">
        <f>IF(SYSTEM_CALCULATION!U361&lt;&gt;"SI","",IF(INPUT_SYSTEM!B370="USD",SYSTEM_CALCULATION!R361*CONFIG!B361,SYSTEM_CALCULATION!R361))</f>
        <v/>
      </c>
      <c r="F372" s="63">
        <f>IF(SYSTEM_CALCULATION!U361&lt;&gt;"SI","",IF(INPUT_SYSTEM!B370="USD",SYSTEM_CALCULATION!T361*CONFIG!B361,SYSTEM_CALCULATION!T361))</f>
        <v/>
      </c>
    </row>
    <row r="373" ht="15.75" customHeight="1" s="125">
      <c r="A373" s="62">
        <f>IF(SYSTEM_CALCULATION!U362="SI",SYSTEM_CALCULATION!B362,"")</f>
        <v/>
      </c>
      <c r="B373" s="62">
        <f>IF(SYSTEM_CALCULATION!U362="SI",SYSTEM_CALCULATION!E362,"")</f>
        <v/>
      </c>
      <c r="C373" s="62">
        <f>IF(SYSTEM_CALCULATION!U362="SI",SYSTEM_CALCULATION!O362,"")</f>
        <v/>
      </c>
      <c r="D373" s="62">
        <f>IF(SYSTEM_CALCULATION!U362="SI",SYSTEM_CALCULATION!G362,"")</f>
        <v/>
      </c>
      <c r="E373" s="63">
        <f>IF(SYSTEM_CALCULATION!U362&lt;&gt;"SI","",IF(INPUT_SYSTEM!B371="USD",SYSTEM_CALCULATION!R362*CONFIG!B362,SYSTEM_CALCULATION!R362))</f>
        <v/>
      </c>
      <c r="F373" s="63">
        <f>IF(SYSTEM_CALCULATION!U362&lt;&gt;"SI","",IF(INPUT_SYSTEM!B371="USD",SYSTEM_CALCULATION!T362*CONFIG!B362,SYSTEM_CALCULATION!T362))</f>
        <v/>
      </c>
    </row>
    <row r="374" ht="15.75" customHeight="1" s="125">
      <c r="A374" s="62">
        <f>IF(SYSTEM_CALCULATION!U363="SI",SYSTEM_CALCULATION!B363,"")</f>
        <v/>
      </c>
      <c r="B374" s="62">
        <f>IF(SYSTEM_CALCULATION!U363="SI",SYSTEM_CALCULATION!E363,"")</f>
        <v/>
      </c>
      <c r="C374" s="62">
        <f>IF(SYSTEM_CALCULATION!U363="SI",SYSTEM_CALCULATION!O363,"")</f>
        <v/>
      </c>
      <c r="D374" s="62">
        <f>IF(SYSTEM_CALCULATION!U363="SI",SYSTEM_CALCULATION!G363,"")</f>
        <v/>
      </c>
      <c r="E374" s="63">
        <f>IF(SYSTEM_CALCULATION!U363&lt;&gt;"SI","",IF(INPUT_SYSTEM!B372="USD",SYSTEM_CALCULATION!R363*CONFIG!B363,SYSTEM_CALCULATION!R363))</f>
        <v/>
      </c>
      <c r="F374" s="63">
        <f>IF(SYSTEM_CALCULATION!U363&lt;&gt;"SI","",IF(INPUT_SYSTEM!B372="USD",SYSTEM_CALCULATION!T363*CONFIG!B363,SYSTEM_CALCULATION!T363))</f>
        <v/>
      </c>
    </row>
    <row r="375" ht="15.75" customHeight="1" s="125">
      <c r="A375" s="62">
        <f>IF(SYSTEM_CALCULATION!U364="SI",SYSTEM_CALCULATION!B364,"")</f>
        <v/>
      </c>
      <c r="B375" s="62">
        <f>IF(SYSTEM_CALCULATION!U364="SI",SYSTEM_CALCULATION!E364,"")</f>
        <v/>
      </c>
      <c r="C375" s="62">
        <f>IF(SYSTEM_CALCULATION!U364="SI",SYSTEM_CALCULATION!O364,"")</f>
        <v/>
      </c>
      <c r="D375" s="62">
        <f>IF(SYSTEM_CALCULATION!U364="SI",SYSTEM_CALCULATION!G364,"")</f>
        <v/>
      </c>
      <c r="E375" s="63">
        <f>IF(SYSTEM_CALCULATION!U364&lt;&gt;"SI","",IF(INPUT_SYSTEM!B373="USD",SYSTEM_CALCULATION!R364*CONFIG!B364,SYSTEM_CALCULATION!R364))</f>
        <v/>
      </c>
      <c r="F375" s="63">
        <f>IF(SYSTEM_CALCULATION!U364&lt;&gt;"SI","",IF(INPUT_SYSTEM!B373="USD",SYSTEM_CALCULATION!T364*CONFIG!B364,SYSTEM_CALCULATION!T364))</f>
        <v/>
      </c>
    </row>
    <row r="376" ht="15.75" customHeight="1" s="125">
      <c r="A376" s="62">
        <f>IF(SYSTEM_CALCULATION!U365="SI",SYSTEM_CALCULATION!B365,"")</f>
        <v/>
      </c>
      <c r="B376" s="62">
        <f>IF(SYSTEM_CALCULATION!U365="SI",SYSTEM_CALCULATION!E365,"")</f>
        <v/>
      </c>
      <c r="C376" s="62">
        <f>IF(SYSTEM_CALCULATION!U365="SI",SYSTEM_CALCULATION!O365,"")</f>
        <v/>
      </c>
      <c r="D376" s="62">
        <f>IF(SYSTEM_CALCULATION!U365="SI",SYSTEM_CALCULATION!G365,"")</f>
        <v/>
      </c>
      <c r="E376" s="63">
        <f>IF(SYSTEM_CALCULATION!U365&lt;&gt;"SI","",IF(INPUT_SYSTEM!B374="USD",SYSTEM_CALCULATION!R365*CONFIG!B365,SYSTEM_CALCULATION!R365))</f>
        <v/>
      </c>
      <c r="F376" s="63">
        <f>IF(SYSTEM_CALCULATION!U365&lt;&gt;"SI","",IF(INPUT_SYSTEM!B374="USD",SYSTEM_CALCULATION!T365*CONFIG!B365,SYSTEM_CALCULATION!T365))</f>
        <v/>
      </c>
    </row>
    <row r="377" ht="15.75" customHeight="1" s="125">
      <c r="A377" s="62">
        <f>IF(SYSTEM_CALCULATION!U366="SI",SYSTEM_CALCULATION!B366,"")</f>
        <v/>
      </c>
      <c r="B377" s="62">
        <f>IF(SYSTEM_CALCULATION!U366="SI",SYSTEM_CALCULATION!E366,"")</f>
        <v/>
      </c>
      <c r="C377" s="62">
        <f>IF(SYSTEM_CALCULATION!U366="SI",SYSTEM_CALCULATION!O366,"")</f>
        <v/>
      </c>
      <c r="D377" s="62">
        <f>IF(SYSTEM_CALCULATION!U366="SI",SYSTEM_CALCULATION!G366,"")</f>
        <v/>
      </c>
      <c r="E377" s="63">
        <f>IF(SYSTEM_CALCULATION!U366&lt;&gt;"SI","",IF(INPUT_SYSTEM!B375="USD",SYSTEM_CALCULATION!R366*CONFIG!B366,SYSTEM_CALCULATION!R366))</f>
        <v/>
      </c>
      <c r="F377" s="63">
        <f>IF(SYSTEM_CALCULATION!U366&lt;&gt;"SI","",IF(INPUT_SYSTEM!B375="USD",SYSTEM_CALCULATION!T366*CONFIG!B366,SYSTEM_CALCULATION!T366))</f>
        <v/>
      </c>
    </row>
    <row r="378" ht="15.75" customHeight="1" s="125">
      <c r="A378" s="62">
        <f>IF(SYSTEM_CALCULATION!U367="SI",SYSTEM_CALCULATION!B367,"")</f>
        <v/>
      </c>
      <c r="B378" s="62">
        <f>IF(SYSTEM_CALCULATION!U367="SI",SYSTEM_CALCULATION!E367,"")</f>
        <v/>
      </c>
      <c r="C378" s="62">
        <f>IF(SYSTEM_CALCULATION!U367="SI",SYSTEM_CALCULATION!O367,"")</f>
        <v/>
      </c>
      <c r="D378" s="62">
        <f>IF(SYSTEM_CALCULATION!U367="SI",SYSTEM_CALCULATION!G367,"")</f>
        <v/>
      </c>
      <c r="E378" s="63">
        <f>IF(SYSTEM_CALCULATION!U367&lt;&gt;"SI","",IF(INPUT_SYSTEM!B376="USD",SYSTEM_CALCULATION!R367*CONFIG!B367,SYSTEM_CALCULATION!R367))</f>
        <v/>
      </c>
      <c r="F378" s="63">
        <f>IF(SYSTEM_CALCULATION!U367&lt;&gt;"SI","",IF(INPUT_SYSTEM!B376="USD",SYSTEM_CALCULATION!T367*CONFIG!B367,SYSTEM_CALCULATION!T367))</f>
        <v/>
      </c>
    </row>
    <row r="379" ht="15.75" customHeight="1" s="125">
      <c r="A379" s="62">
        <f>IF(SYSTEM_CALCULATION!U368="SI",SYSTEM_CALCULATION!B368,"")</f>
        <v/>
      </c>
      <c r="B379" s="62">
        <f>IF(SYSTEM_CALCULATION!U368="SI",SYSTEM_CALCULATION!E368,"")</f>
        <v/>
      </c>
      <c r="C379" s="62">
        <f>IF(SYSTEM_CALCULATION!U368="SI",SYSTEM_CALCULATION!O368,"")</f>
        <v/>
      </c>
      <c r="D379" s="62">
        <f>IF(SYSTEM_CALCULATION!U368="SI",SYSTEM_CALCULATION!G368,"")</f>
        <v/>
      </c>
      <c r="E379" s="63">
        <f>IF(SYSTEM_CALCULATION!U368&lt;&gt;"SI","",IF(INPUT_SYSTEM!B377="USD",SYSTEM_CALCULATION!R368*CONFIG!B368,SYSTEM_CALCULATION!R368))</f>
        <v/>
      </c>
      <c r="F379" s="63">
        <f>IF(SYSTEM_CALCULATION!U368&lt;&gt;"SI","",IF(INPUT_SYSTEM!B377="USD",SYSTEM_CALCULATION!T368*CONFIG!B368,SYSTEM_CALCULATION!T368))</f>
        <v/>
      </c>
    </row>
    <row r="380" ht="15.75" customHeight="1" s="125">
      <c r="A380" s="62">
        <f>IF(SYSTEM_CALCULATION!U369="SI",SYSTEM_CALCULATION!B369,"")</f>
        <v/>
      </c>
      <c r="B380" s="62">
        <f>IF(SYSTEM_CALCULATION!U369="SI",SYSTEM_CALCULATION!E369,"")</f>
        <v/>
      </c>
      <c r="C380" s="62">
        <f>IF(SYSTEM_CALCULATION!U369="SI",SYSTEM_CALCULATION!O369,"")</f>
        <v/>
      </c>
      <c r="D380" s="62">
        <f>IF(SYSTEM_CALCULATION!U369="SI",SYSTEM_CALCULATION!G369,"")</f>
        <v/>
      </c>
      <c r="E380" s="63">
        <f>IF(SYSTEM_CALCULATION!U369&lt;&gt;"SI","",IF(INPUT_SYSTEM!B378="USD",SYSTEM_CALCULATION!R369*CONFIG!B369,SYSTEM_CALCULATION!R369))</f>
        <v/>
      </c>
      <c r="F380" s="63">
        <f>IF(SYSTEM_CALCULATION!U369&lt;&gt;"SI","",IF(INPUT_SYSTEM!B378="USD",SYSTEM_CALCULATION!T369*CONFIG!B369,SYSTEM_CALCULATION!T369))</f>
        <v/>
      </c>
    </row>
    <row r="381" ht="15.75" customHeight="1" s="125">
      <c r="A381" s="62">
        <f>IF(SYSTEM_CALCULATION!U370="SI",SYSTEM_CALCULATION!B370,"")</f>
        <v/>
      </c>
      <c r="B381" s="62">
        <f>IF(SYSTEM_CALCULATION!U370="SI",SYSTEM_CALCULATION!E370,"")</f>
        <v/>
      </c>
      <c r="C381" s="62">
        <f>IF(SYSTEM_CALCULATION!U370="SI",SYSTEM_CALCULATION!O370,"")</f>
        <v/>
      </c>
      <c r="D381" s="62">
        <f>IF(SYSTEM_CALCULATION!U370="SI",SYSTEM_CALCULATION!G370,"")</f>
        <v/>
      </c>
      <c r="E381" s="63">
        <f>IF(SYSTEM_CALCULATION!U370&lt;&gt;"SI","",IF(INPUT_SYSTEM!B379="USD",SYSTEM_CALCULATION!R370*CONFIG!B370,SYSTEM_CALCULATION!R370))</f>
        <v/>
      </c>
      <c r="F381" s="63">
        <f>IF(SYSTEM_CALCULATION!U370&lt;&gt;"SI","",IF(INPUT_SYSTEM!B379="USD",SYSTEM_CALCULATION!T370*CONFIG!B370,SYSTEM_CALCULATION!T370))</f>
        <v/>
      </c>
    </row>
    <row r="382" ht="15.75" customHeight="1" s="125">
      <c r="A382" s="62">
        <f>IF(SYSTEM_CALCULATION!U371="SI",SYSTEM_CALCULATION!B371,"")</f>
        <v/>
      </c>
      <c r="B382" s="62">
        <f>IF(SYSTEM_CALCULATION!U371="SI",SYSTEM_CALCULATION!E371,"")</f>
        <v/>
      </c>
      <c r="C382" s="62">
        <f>IF(SYSTEM_CALCULATION!U371="SI",SYSTEM_CALCULATION!O371,"")</f>
        <v/>
      </c>
      <c r="D382" s="62">
        <f>IF(SYSTEM_CALCULATION!U371="SI",SYSTEM_CALCULATION!G371,"")</f>
        <v/>
      </c>
      <c r="E382" s="63">
        <f>IF(SYSTEM_CALCULATION!U371&lt;&gt;"SI","",IF(INPUT_SYSTEM!B380="USD",SYSTEM_CALCULATION!R371*CONFIG!B371,SYSTEM_CALCULATION!R371))</f>
        <v/>
      </c>
      <c r="F382" s="63">
        <f>IF(SYSTEM_CALCULATION!U371&lt;&gt;"SI","",IF(INPUT_SYSTEM!B380="USD",SYSTEM_CALCULATION!T371*CONFIG!B371,SYSTEM_CALCULATION!T371))</f>
        <v/>
      </c>
    </row>
    <row r="383" ht="15.75" customHeight="1" s="125">
      <c r="A383" s="62">
        <f>IF(SYSTEM_CALCULATION!U372="SI",SYSTEM_CALCULATION!B372,"")</f>
        <v/>
      </c>
      <c r="B383" s="62">
        <f>IF(SYSTEM_CALCULATION!U372="SI",SYSTEM_CALCULATION!E372,"")</f>
        <v/>
      </c>
      <c r="C383" s="62">
        <f>IF(SYSTEM_CALCULATION!U372="SI",SYSTEM_CALCULATION!O372,"")</f>
        <v/>
      </c>
      <c r="D383" s="62">
        <f>IF(SYSTEM_CALCULATION!U372="SI",SYSTEM_CALCULATION!G372,"")</f>
        <v/>
      </c>
      <c r="E383" s="63">
        <f>IF(SYSTEM_CALCULATION!U372&lt;&gt;"SI","",IF(INPUT_SYSTEM!B381="USD",SYSTEM_CALCULATION!R372*CONFIG!B372,SYSTEM_CALCULATION!R372))</f>
        <v/>
      </c>
      <c r="F383" s="63">
        <f>IF(SYSTEM_CALCULATION!U372&lt;&gt;"SI","",IF(INPUT_SYSTEM!B381="USD",SYSTEM_CALCULATION!T372*CONFIG!B372,SYSTEM_CALCULATION!T372))</f>
        <v/>
      </c>
    </row>
    <row r="384" ht="15.75" customHeight="1" s="125">
      <c r="A384" s="62">
        <f>IF(SYSTEM_CALCULATION!U373="SI",SYSTEM_CALCULATION!B373,"")</f>
        <v/>
      </c>
      <c r="B384" s="62">
        <f>IF(SYSTEM_CALCULATION!U373="SI",SYSTEM_CALCULATION!E373,"")</f>
        <v/>
      </c>
      <c r="C384" s="62">
        <f>IF(SYSTEM_CALCULATION!U373="SI",SYSTEM_CALCULATION!O373,"")</f>
        <v/>
      </c>
      <c r="D384" s="62">
        <f>IF(SYSTEM_CALCULATION!U373="SI",SYSTEM_CALCULATION!G373,"")</f>
        <v/>
      </c>
      <c r="E384" s="63">
        <f>IF(SYSTEM_CALCULATION!U373&lt;&gt;"SI","",IF(INPUT_SYSTEM!B382="USD",SYSTEM_CALCULATION!R373*CONFIG!B373,SYSTEM_CALCULATION!R373))</f>
        <v/>
      </c>
      <c r="F384" s="63">
        <f>IF(SYSTEM_CALCULATION!U373&lt;&gt;"SI","",IF(INPUT_SYSTEM!B382="USD",SYSTEM_CALCULATION!T373*CONFIG!B373,SYSTEM_CALCULATION!T373))</f>
        <v/>
      </c>
    </row>
    <row r="385" ht="15.75" customHeight="1" s="125">
      <c r="A385" s="62">
        <f>IF(SYSTEM_CALCULATION!U374="SI",SYSTEM_CALCULATION!B374,"")</f>
        <v/>
      </c>
      <c r="B385" s="62">
        <f>IF(SYSTEM_CALCULATION!U374="SI",SYSTEM_CALCULATION!E374,"")</f>
        <v/>
      </c>
      <c r="C385" s="62">
        <f>IF(SYSTEM_CALCULATION!U374="SI",SYSTEM_CALCULATION!O374,"")</f>
        <v/>
      </c>
      <c r="D385" s="62">
        <f>IF(SYSTEM_CALCULATION!U374="SI",SYSTEM_CALCULATION!G374,"")</f>
        <v/>
      </c>
      <c r="E385" s="63">
        <f>IF(SYSTEM_CALCULATION!U374&lt;&gt;"SI","",IF(INPUT_SYSTEM!B383="USD",SYSTEM_CALCULATION!R374*CONFIG!B374,SYSTEM_CALCULATION!R374))</f>
        <v/>
      </c>
      <c r="F385" s="63">
        <f>IF(SYSTEM_CALCULATION!U374&lt;&gt;"SI","",IF(INPUT_SYSTEM!B383="USD",SYSTEM_CALCULATION!T374*CONFIG!B374,SYSTEM_CALCULATION!T374))</f>
        <v/>
      </c>
    </row>
    <row r="386" ht="15.75" customHeight="1" s="125">
      <c r="A386" s="62">
        <f>IF(SYSTEM_CALCULATION!U375="SI",SYSTEM_CALCULATION!B375,"")</f>
        <v/>
      </c>
      <c r="B386" s="62">
        <f>IF(SYSTEM_CALCULATION!U375="SI",SYSTEM_CALCULATION!E375,"")</f>
        <v/>
      </c>
      <c r="C386" s="62">
        <f>IF(SYSTEM_CALCULATION!U375="SI",SYSTEM_CALCULATION!O375,"")</f>
        <v/>
      </c>
      <c r="D386" s="62">
        <f>IF(SYSTEM_CALCULATION!U375="SI",SYSTEM_CALCULATION!G375,"")</f>
        <v/>
      </c>
      <c r="E386" s="63">
        <f>IF(SYSTEM_CALCULATION!U375&lt;&gt;"SI","",IF(INPUT_SYSTEM!B384="USD",SYSTEM_CALCULATION!R375*CONFIG!B375,SYSTEM_CALCULATION!R375))</f>
        <v/>
      </c>
      <c r="F386" s="63">
        <f>IF(SYSTEM_CALCULATION!U375&lt;&gt;"SI","",IF(INPUT_SYSTEM!B384="USD",SYSTEM_CALCULATION!T375*CONFIG!B375,SYSTEM_CALCULATION!T375))</f>
        <v/>
      </c>
    </row>
    <row r="387" ht="15.75" customHeight="1" s="125">
      <c r="A387" s="62">
        <f>IF(SYSTEM_CALCULATION!U376="SI",SYSTEM_CALCULATION!B376,"")</f>
        <v/>
      </c>
      <c r="B387" s="62">
        <f>IF(SYSTEM_CALCULATION!U376="SI",SYSTEM_CALCULATION!E376,"")</f>
        <v/>
      </c>
      <c r="C387" s="62">
        <f>IF(SYSTEM_CALCULATION!U376="SI",SYSTEM_CALCULATION!O376,"")</f>
        <v/>
      </c>
      <c r="D387" s="62">
        <f>IF(SYSTEM_CALCULATION!U376="SI",SYSTEM_CALCULATION!G376,"")</f>
        <v/>
      </c>
      <c r="E387" s="63">
        <f>IF(SYSTEM_CALCULATION!U376&lt;&gt;"SI","",IF(INPUT_SYSTEM!B385="USD",SYSTEM_CALCULATION!R376*CONFIG!B376,SYSTEM_CALCULATION!R376))</f>
        <v/>
      </c>
      <c r="F387" s="63">
        <f>IF(SYSTEM_CALCULATION!U376&lt;&gt;"SI","",IF(INPUT_SYSTEM!B385="USD",SYSTEM_CALCULATION!T376*CONFIG!B376,SYSTEM_CALCULATION!T376))</f>
        <v/>
      </c>
    </row>
    <row r="388" ht="15.75" customHeight="1" s="125">
      <c r="A388" s="62">
        <f>IF(SYSTEM_CALCULATION!U377="SI",SYSTEM_CALCULATION!B377,"")</f>
        <v/>
      </c>
      <c r="B388" s="62">
        <f>IF(SYSTEM_CALCULATION!U377="SI",SYSTEM_CALCULATION!E377,"")</f>
        <v/>
      </c>
      <c r="C388" s="62">
        <f>IF(SYSTEM_CALCULATION!U377="SI",SYSTEM_CALCULATION!O377,"")</f>
        <v/>
      </c>
      <c r="D388" s="62">
        <f>IF(SYSTEM_CALCULATION!U377="SI",SYSTEM_CALCULATION!G377,"")</f>
        <v/>
      </c>
      <c r="E388" s="63">
        <f>IF(SYSTEM_CALCULATION!U377&lt;&gt;"SI","",IF(INPUT_SYSTEM!B386="USD",SYSTEM_CALCULATION!R377*CONFIG!B377,SYSTEM_CALCULATION!R377))</f>
        <v/>
      </c>
      <c r="F388" s="63">
        <f>IF(SYSTEM_CALCULATION!U377&lt;&gt;"SI","",IF(INPUT_SYSTEM!B386="USD",SYSTEM_CALCULATION!T377*CONFIG!B377,SYSTEM_CALCULATION!T377))</f>
        <v/>
      </c>
    </row>
    <row r="389" ht="15.75" customHeight="1" s="125">
      <c r="A389" s="62">
        <f>IF(SYSTEM_CALCULATION!U378="SI",SYSTEM_CALCULATION!B378,"")</f>
        <v/>
      </c>
      <c r="B389" s="62">
        <f>IF(SYSTEM_CALCULATION!U378="SI",SYSTEM_CALCULATION!E378,"")</f>
        <v/>
      </c>
      <c r="C389" s="62">
        <f>IF(SYSTEM_CALCULATION!U378="SI",SYSTEM_CALCULATION!O378,"")</f>
        <v/>
      </c>
      <c r="D389" s="62">
        <f>IF(SYSTEM_CALCULATION!U378="SI",SYSTEM_CALCULATION!G378,"")</f>
        <v/>
      </c>
      <c r="E389" s="63">
        <f>IF(SYSTEM_CALCULATION!U378&lt;&gt;"SI","",IF(INPUT_SYSTEM!B387="USD",SYSTEM_CALCULATION!R378*CONFIG!B378,SYSTEM_CALCULATION!R378))</f>
        <v/>
      </c>
      <c r="F389" s="63">
        <f>IF(SYSTEM_CALCULATION!U378&lt;&gt;"SI","",IF(INPUT_SYSTEM!B387="USD",SYSTEM_CALCULATION!T378*CONFIG!B378,SYSTEM_CALCULATION!T378))</f>
        <v/>
      </c>
    </row>
    <row r="390" ht="15.75" customHeight="1" s="125">
      <c r="A390" s="62">
        <f>IF(SYSTEM_CALCULATION!U379="SI",SYSTEM_CALCULATION!B379,"")</f>
        <v/>
      </c>
      <c r="B390" s="62">
        <f>IF(SYSTEM_CALCULATION!U379="SI",SYSTEM_CALCULATION!E379,"")</f>
        <v/>
      </c>
      <c r="C390" s="62">
        <f>IF(SYSTEM_CALCULATION!U379="SI",SYSTEM_CALCULATION!O379,"")</f>
        <v/>
      </c>
      <c r="D390" s="62">
        <f>IF(SYSTEM_CALCULATION!U379="SI",SYSTEM_CALCULATION!G379,"")</f>
        <v/>
      </c>
      <c r="E390" s="63">
        <f>IF(SYSTEM_CALCULATION!U379&lt;&gt;"SI","",IF(INPUT_SYSTEM!B388="USD",SYSTEM_CALCULATION!R379*CONFIG!B379,SYSTEM_CALCULATION!R379))</f>
        <v/>
      </c>
      <c r="F390" s="63">
        <f>IF(SYSTEM_CALCULATION!U379&lt;&gt;"SI","",IF(INPUT_SYSTEM!B388="USD",SYSTEM_CALCULATION!T379*CONFIG!B379,SYSTEM_CALCULATION!T379))</f>
        <v/>
      </c>
    </row>
    <row r="391" ht="15.75" customHeight="1" s="125">
      <c r="A391" s="62">
        <f>IF(SYSTEM_CALCULATION!U380="SI",SYSTEM_CALCULATION!B380,"")</f>
        <v/>
      </c>
      <c r="B391" s="62">
        <f>IF(SYSTEM_CALCULATION!U380="SI",SYSTEM_CALCULATION!E380,"")</f>
        <v/>
      </c>
      <c r="C391" s="62">
        <f>IF(SYSTEM_CALCULATION!U380="SI",SYSTEM_CALCULATION!O380,"")</f>
        <v/>
      </c>
      <c r="D391" s="62">
        <f>IF(SYSTEM_CALCULATION!U380="SI",SYSTEM_CALCULATION!G380,"")</f>
        <v/>
      </c>
      <c r="E391" s="63">
        <f>IF(SYSTEM_CALCULATION!U380&lt;&gt;"SI","",IF(INPUT_SYSTEM!B389="USD",SYSTEM_CALCULATION!R380*CONFIG!B380,SYSTEM_CALCULATION!R380))</f>
        <v/>
      </c>
      <c r="F391" s="63">
        <f>IF(SYSTEM_CALCULATION!U380&lt;&gt;"SI","",IF(INPUT_SYSTEM!B389="USD",SYSTEM_CALCULATION!T380*CONFIG!B380,SYSTEM_CALCULATION!T380))</f>
        <v/>
      </c>
    </row>
    <row r="392" ht="15.75" customHeight="1" s="125">
      <c r="A392" s="62">
        <f>IF(SYSTEM_CALCULATION!U381="SI",SYSTEM_CALCULATION!B381,"")</f>
        <v/>
      </c>
      <c r="B392" s="62">
        <f>IF(SYSTEM_CALCULATION!U381="SI",SYSTEM_CALCULATION!E381,"")</f>
        <v/>
      </c>
      <c r="C392" s="62">
        <f>IF(SYSTEM_CALCULATION!U381="SI",SYSTEM_CALCULATION!O381,"")</f>
        <v/>
      </c>
      <c r="D392" s="62">
        <f>IF(SYSTEM_CALCULATION!U381="SI",SYSTEM_CALCULATION!G381,"")</f>
        <v/>
      </c>
      <c r="E392" s="63">
        <f>IF(SYSTEM_CALCULATION!U381&lt;&gt;"SI","",IF(INPUT_SYSTEM!B390="USD",SYSTEM_CALCULATION!R381*CONFIG!B381,SYSTEM_CALCULATION!R381))</f>
        <v/>
      </c>
      <c r="F392" s="63">
        <f>IF(SYSTEM_CALCULATION!U381&lt;&gt;"SI","",IF(INPUT_SYSTEM!B390="USD",SYSTEM_CALCULATION!T381*CONFIG!B381,SYSTEM_CALCULATION!T381))</f>
        <v/>
      </c>
    </row>
    <row r="393" ht="15.75" customHeight="1" s="125">
      <c r="A393" s="62">
        <f>IF(SYSTEM_CALCULATION!U382="SI",SYSTEM_CALCULATION!B382,"")</f>
        <v/>
      </c>
      <c r="B393" s="62">
        <f>IF(SYSTEM_CALCULATION!U382="SI",SYSTEM_CALCULATION!E382,"")</f>
        <v/>
      </c>
      <c r="C393" s="62">
        <f>IF(SYSTEM_CALCULATION!U382="SI",SYSTEM_CALCULATION!O382,"")</f>
        <v/>
      </c>
      <c r="D393" s="62">
        <f>IF(SYSTEM_CALCULATION!U382="SI",SYSTEM_CALCULATION!G382,"")</f>
        <v/>
      </c>
      <c r="E393" s="63">
        <f>IF(SYSTEM_CALCULATION!U382&lt;&gt;"SI","",IF(INPUT_SYSTEM!B391="USD",SYSTEM_CALCULATION!R382*CONFIG!B382,SYSTEM_CALCULATION!R382))</f>
        <v/>
      </c>
      <c r="F393" s="63">
        <f>IF(SYSTEM_CALCULATION!U382&lt;&gt;"SI","",IF(INPUT_SYSTEM!B391="USD",SYSTEM_CALCULATION!T382*CONFIG!B382,SYSTEM_CALCULATION!T382))</f>
        <v/>
      </c>
    </row>
    <row r="394" ht="15.75" customHeight="1" s="125">
      <c r="A394" s="62">
        <f>IF(SYSTEM_CALCULATION!U383="SI",SYSTEM_CALCULATION!B383,"")</f>
        <v/>
      </c>
      <c r="B394" s="62">
        <f>IF(SYSTEM_CALCULATION!U383="SI",SYSTEM_CALCULATION!E383,"")</f>
        <v/>
      </c>
      <c r="C394" s="62">
        <f>IF(SYSTEM_CALCULATION!U383="SI",SYSTEM_CALCULATION!O383,"")</f>
        <v/>
      </c>
      <c r="D394" s="62">
        <f>IF(SYSTEM_CALCULATION!U383="SI",SYSTEM_CALCULATION!G383,"")</f>
        <v/>
      </c>
      <c r="E394" s="63">
        <f>IF(SYSTEM_CALCULATION!U383&lt;&gt;"SI","",IF(INPUT_SYSTEM!B392="USD",SYSTEM_CALCULATION!R383*CONFIG!B383,SYSTEM_CALCULATION!R383))</f>
        <v/>
      </c>
      <c r="F394" s="63">
        <f>IF(SYSTEM_CALCULATION!U383&lt;&gt;"SI","",IF(INPUT_SYSTEM!B392="USD",SYSTEM_CALCULATION!T383*CONFIG!B383,SYSTEM_CALCULATION!T383))</f>
        <v/>
      </c>
    </row>
    <row r="395" ht="15.75" customHeight="1" s="125">
      <c r="A395" s="62">
        <f>IF(SYSTEM_CALCULATION!U384="SI",SYSTEM_CALCULATION!B384,"")</f>
        <v/>
      </c>
      <c r="B395" s="62">
        <f>IF(SYSTEM_CALCULATION!U384="SI",SYSTEM_CALCULATION!E384,"")</f>
        <v/>
      </c>
      <c r="C395" s="62">
        <f>IF(SYSTEM_CALCULATION!U384="SI",SYSTEM_CALCULATION!O384,"")</f>
        <v/>
      </c>
      <c r="D395" s="62">
        <f>IF(SYSTEM_CALCULATION!U384="SI",SYSTEM_CALCULATION!G384,"")</f>
        <v/>
      </c>
      <c r="E395" s="63">
        <f>IF(SYSTEM_CALCULATION!U384&lt;&gt;"SI","",IF(INPUT_SYSTEM!B393="USD",SYSTEM_CALCULATION!R384*CONFIG!B384,SYSTEM_CALCULATION!R384))</f>
        <v/>
      </c>
      <c r="F395" s="63">
        <f>IF(SYSTEM_CALCULATION!U384&lt;&gt;"SI","",IF(INPUT_SYSTEM!B393="USD",SYSTEM_CALCULATION!T384*CONFIG!B384,SYSTEM_CALCULATION!T384))</f>
        <v/>
      </c>
    </row>
    <row r="396" ht="15.75" customHeight="1" s="125">
      <c r="A396" s="62">
        <f>IF(SYSTEM_CALCULATION!U385="SI",SYSTEM_CALCULATION!B385,"")</f>
        <v/>
      </c>
      <c r="B396" s="62">
        <f>IF(SYSTEM_CALCULATION!U385="SI",SYSTEM_CALCULATION!E385,"")</f>
        <v/>
      </c>
      <c r="C396" s="62">
        <f>IF(SYSTEM_CALCULATION!U385="SI",SYSTEM_CALCULATION!O385,"")</f>
        <v/>
      </c>
      <c r="D396" s="62">
        <f>IF(SYSTEM_CALCULATION!U385="SI",SYSTEM_CALCULATION!G385,"")</f>
        <v/>
      </c>
      <c r="E396" s="63">
        <f>IF(SYSTEM_CALCULATION!U385&lt;&gt;"SI","",IF(INPUT_SYSTEM!B394="USD",SYSTEM_CALCULATION!R385*CONFIG!B385,SYSTEM_CALCULATION!R385))</f>
        <v/>
      </c>
      <c r="F396" s="63">
        <f>IF(SYSTEM_CALCULATION!U385&lt;&gt;"SI","",IF(INPUT_SYSTEM!B394="USD",SYSTEM_CALCULATION!T385*CONFIG!B385,SYSTEM_CALCULATION!T385))</f>
        <v/>
      </c>
    </row>
    <row r="397" ht="15.75" customHeight="1" s="125">
      <c r="A397" s="62">
        <f>IF(SYSTEM_CALCULATION!U386="SI",SYSTEM_CALCULATION!B386,"")</f>
        <v/>
      </c>
      <c r="B397" s="62">
        <f>IF(SYSTEM_CALCULATION!U386="SI",SYSTEM_CALCULATION!E386,"")</f>
        <v/>
      </c>
      <c r="C397" s="62">
        <f>IF(SYSTEM_CALCULATION!U386="SI",SYSTEM_CALCULATION!O386,"")</f>
        <v/>
      </c>
      <c r="D397" s="62">
        <f>IF(SYSTEM_CALCULATION!U386="SI",SYSTEM_CALCULATION!G386,"")</f>
        <v/>
      </c>
      <c r="E397" s="63">
        <f>IF(SYSTEM_CALCULATION!U386&lt;&gt;"SI","",IF(INPUT_SYSTEM!B395="USD",SYSTEM_CALCULATION!R386*CONFIG!B386,SYSTEM_CALCULATION!R386))</f>
        <v/>
      </c>
      <c r="F397" s="63">
        <f>IF(SYSTEM_CALCULATION!U386&lt;&gt;"SI","",IF(INPUT_SYSTEM!B395="USD",SYSTEM_CALCULATION!T386*CONFIG!B386,SYSTEM_CALCULATION!T386))</f>
        <v/>
      </c>
    </row>
    <row r="398" ht="15.75" customHeight="1" s="125">
      <c r="A398" s="62">
        <f>IF(SYSTEM_CALCULATION!U387="SI",SYSTEM_CALCULATION!B387,"")</f>
        <v/>
      </c>
      <c r="B398" s="62">
        <f>IF(SYSTEM_CALCULATION!U387="SI",SYSTEM_CALCULATION!E387,"")</f>
        <v/>
      </c>
      <c r="C398" s="62">
        <f>IF(SYSTEM_CALCULATION!U387="SI",SYSTEM_CALCULATION!O387,"")</f>
        <v/>
      </c>
      <c r="D398" s="62">
        <f>IF(SYSTEM_CALCULATION!U387="SI",SYSTEM_CALCULATION!G387,"")</f>
        <v/>
      </c>
      <c r="E398" s="63">
        <f>IF(SYSTEM_CALCULATION!U387&lt;&gt;"SI","",IF(INPUT_SYSTEM!B396="USD",SYSTEM_CALCULATION!R387*CONFIG!B387,SYSTEM_CALCULATION!R387))</f>
        <v/>
      </c>
      <c r="F398" s="63">
        <f>IF(SYSTEM_CALCULATION!U387&lt;&gt;"SI","",IF(INPUT_SYSTEM!B396="USD",SYSTEM_CALCULATION!T387*CONFIG!B387,SYSTEM_CALCULATION!T387))</f>
        <v/>
      </c>
    </row>
    <row r="399" ht="15.75" customHeight="1" s="125">
      <c r="A399" s="62">
        <f>IF(SYSTEM_CALCULATION!U388="SI",SYSTEM_CALCULATION!B388,"")</f>
        <v/>
      </c>
      <c r="B399" s="62">
        <f>IF(SYSTEM_CALCULATION!U388="SI",SYSTEM_CALCULATION!E388,"")</f>
        <v/>
      </c>
      <c r="C399" s="62">
        <f>IF(SYSTEM_CALCULATION!U388="SI",SYSTEM_CALCULATION!O388,"")</f>
        <v/>
      </c>
      <c r="D399" s="62">
        <f>IF(SYSTEM_CALCULATION!U388="SI",SYSTEM_CALCULATION!G388,"")</f>
        <v/>
      </c>
      <c r="E399" s="63">
        <f>IF(SYSTEM_CALCULATION!U388&lt;&gt;"SI","",IF(INPUT_SYSTEM!B397="USD",SYSTEM_CALCULATION!R388*CONFIG!B388,SYSTEM_CALCULATION!R388))</f>
        <v/>
      </c>
      <c r="F399" s="63">
        <f>IF(SYSTEM_CALCULATION!U388&lt;&gt;"SI","",IF(INPUT_SYSTEM!B397="USD",SYSTEM_CALCULATION!T388*CONFIG!B388,SYSTEM_CALCULATION!T388))</f>
        <v/>
      </c>
    </row>
    <row r="400" ht="15.75" customHeight="1" s="125">
      <c r="A400" s="62">
        <f>IF(SYSTEM_CALCULATION!U389="SI",SYSTEM_CALCULATION!B389,"")</f>
        <v/>
      </c>
      <c r="B400" s="62">
        <f>IF(SYSTEM_CALCULATION!U389="SI",SYSTEM_CALCULATION!E389,"")</f>
        <v/>
      </c>
      <c r="C400" s="62">
        <f>IF(SYSTEM_CALCULATION!U389="SI",SYSTEM_CALCULATION!O389,"")</f>
        <v/>
      </c>
      <c r="D400" s="62">
        <f>IF(SYSTEM_CALCULATION!U389="SI",SYSTEM_CALCULATION!G389,"")</f>
        <v/>
      </c>
      <c r="E400" s="63">
        <f>IF(SYSTEM_CALCULATION!U389&lt;&gt;"SI","",IF(INPUT_SYSTEM!B398="USD",SYSTEM_CALCULATION!R389*CONFIG!B389,SYSTEM_CALCULATION!R389))</f>
        <v/>
      </c>
      <c r="F400" s="63">
        <f>IF(SYSTEM_CALCULATION!U389&lt;&gt;"SI","",IF(INPUT_SYSTEM!B398="USD",SYSTEM_CALCULATION!T389*CONFIG!B389,SYSTEM_CALCULATION!T389))</f>
        <v/>
      </c>
    </row>
    <row r="401" ht="15.75" customHeight="1" s="125">
      <c r="A401" s="62">
        <f>IF(SYSTEM_CALCULATION!U390="SI",SYSTEM_CALCULATION!B390,"")</f>
        <v/>
      </c>
      <c r="B401" s="62">
        <f>IF(SYSTEM_CALCULATION!U390="SI",SYSTEM_CALCULATION!E390,"")</f>
        <v/>
      </c>
      <c r="C401" s="62">
        <f>IF(SYSTEM_CALCULATION!U390="SI",SYSTEM_CALCULATION!O390,"")</f>
        <v/>
      </c>
      <c r="D401" s="62">
        <f>IF(SYSTEM_CALCULATION!U390="SI",SYSTEM_CALCULATION!G390,"")</f>
        <v/>
      </c>
      <c r="E401" s="63">
        <f>IF(SYSTEM_CALCULATION!U390&lt;&gt;"SI","",IF(INPUT_SYSTEM!B399="USD",SYSTEM_CALCULATION!R390*CONFIG!B390,SYSTEM_CALCULATION!R390))</f>
        <v/>
      </c>
      <c r="F401" s="63">
        <f>IF(SYSTEM_CALCULATION!U390&lt;&gt;"SI","",IF(INPUT_SYSTEM!B399="USD",SYSTEM_CALCULATION!T390*CONFIG!B390,SYSTEM_CALCULATION!T390))</f>
        <v/>
      </c>
    </row>
    <row r="402" ht="15.75" customHeight="1" s="125">
      <c r="A402" s="62">
        <f>IF(SYSTEM_CALCULATION!U391="SI",SYSTEM_CALCULATION!B391,"")</f>
        <v/>
      </c>
      <c r="B402" s="62">
        <f>IF(SYSTEM_CALCULATION!U391="SI",SYSTEM_CALCULATION!E391,"")</f>
        <v/>
      </c>
      <c r="C402" s="62">
        <f>IF(SYSTEM_CALCULATION!U391="SI",SYSTEM_CALCULATION!O391,"")</f>
        <v/>
      </c>
      <c r="D402" s="62">
        <f>IF(SYSTEM_CALCULATION!U391="SI",SYSTEM_CALCULATION!G391,"")</f>
        <v/>
      </c>
      <c r="E402" s="63">
        <f>IF(SYSTEM_CALCULATION!U391&lt;&gt;"SI","",IF(INPUT_SYSTEM!B400="USD",SYSTEM_CALCULATION!R391*CONFIG!B391,SYSTEM_CALCULATION!R391))</f>
        <v/>
      </c>
      <c r="F402" s="63">
        <f>IF(SYSTEM_CALCULATION!U391&lt;&gt;"SI","",IF(INPUT_SYSTEM!B400="USD",SYSTEM_CALCULATION!T391*CONFIG!B391,SYSTEM_CALCULATION!T391))</f>
        <v/>
      </c>
    </row>
    <row r="403" ht="15.75" customHeight="1" s="125">
      <c r="A403" s="62">
        <f>IF(SYSTEM_CALCULATION!U392="SI",SYSTEM_CALCULATION!B392,"")</f>
        <v/>
      </c>
      <c r="B403" s="62">
        <f>IF(SYSTEM_CALCULATION!U392="SI",SYSTEM_CALCULATION!E392,"")</f>
        <v/>
      </c>
      <c r="C403" s="62">
        <f>IF(SYSTEM_CALCULATION!U392="SI",SYSTEM_CALCULATION!O392,"")</f>
        <v/>
      </c>
      <c r="D403" s="62">
        <f>IF(SYSTEM_CALCULATION!U392="SI",SYSTEM_CALCULATION!G392,"")</f>
        <v/>
      </c>
      <c r="E403" s="63">
        <f>IF(SYSTEM_CALCULATION!U392&lt;&gt;"SI","",IF(INPUT_SYSTEM!B401="USD",SYSTEM_CALCULATION!R392*CONFIG!B392,SYSTEM_CALCULATION!R392))</f>
        <v/>
      </c>
      <c r="F403" s="63">
        <f>IF(SYSTEM_CALCULATION!U392&lt;&gt;"SI","",IF(INPUT_SYSTEM!B401="USD",SYSTEM_CALCULATION!T392*CONFIG!B392,SYSTEM_CALCULATION!T392))</f>
        <v/>
      </c>
    </row>
    <row r="404" ht="15.75" customHeight="1" s="125">
      <c r="A404" s="62">
        <f>IF(SYSTEM_CALCULATION!U393="SI",SYSTEM_CALCULATION!B393,"")</f>
        <v/>
      </c>
      <c r="B404" s="62">
        <f>IF(SYSTEM_CALCULATION!U393="SI",SYSTEM_CALCULATION!E393,"")</f>
        <v/>
      </c>
      <c r="C404" s="62">
        <f>IF(SYSTEM_CALCULATION!U393="SI",SYSTEM_CALCULATION!O393,"")</f>
        <v/>
      </c>
      <c r="D404" s="62">
        <f>IF(SYSTEM_CALCULATION!U393="SI",SYSTEM_CALCULATION!G393,"")</f>
        <v/>
      </c>
      <c r="E404" s="63">
        <f>IF(SYSTEM_CALCULATION!U393&lt;&gt;"SI","",IF(INPUT_SYSTEM!B402="USD",SYSTEM_CALCULATION!R393*CONFIG!B393,SYSTEM_CALCULATION!R393))</f>
        <v/>
      </c>
      <c r="F404" s="63">
        <f>IF(SYSTEM_CALCULATION!U393&lt;&gt;"SI","",IF(INPUT_SYSTEM!B402="USD",SYSTEM_CALCULATION!T393*CONFIG!B393,SYSTEM_CALCULATION!T393))</f>
        <v/>
      </c>
    </row>
    <row r="405" ht="15.75" customHeight="1" s="125">
      <c r="A405" s="62">
        <f>IF(SYSTEM_CALCULATION!U394="SI",SYSTEM_CALCULATION!B394,"")</f>
        <v/>
      </c>
      <c r="B405" s="62">
        <f>IF(SYSTEM_CALCULATION!U394="SI",SYSTEM_CALCULATION!E394,"")</f>
        <v/>
      </c>
      <c r="C405" s="62">
        <f>IF(SYSTEM_CALCULATION!U394="SI",SYSTEM_CALCULATION!O394,"")</f>
        <v/>
      </c>
      <c r="D405" s="62">
        <f>IF(SYSTEM_CALCULATION!U394="SI",SYSTEM_CALCULATION!G394,"")</f>
        <v/>
      </c>
      <c r="E405" s="63">
        <f>IF(SYSTEM_CALCULATION!U394&lt;&gt;"SI","",IF(INPUT_SYSTEM!B403="USD",SYSTEM_CALCULATION!R394*CONFIG!B394,SYSTEM_CALCULATION!R394))</f>
        <v/>
      </c>
      <c r="F405" s="63">
        <f>IF(SYSTEM_CALCULATION!U394&lt;&gt;"SI","",IF(INPUT_SYSTEM!B403="USD",SYSTEM_CALCULATION!T394*CONFIG!B394,SYSTEM_CALCULATION!T394))</f>
        <v/>
      </c>
    </row>
    <row r="406" ht="15.75" customHeight="1" s="125">
      <c r="A406" s="62">
        <f>IF(SYSTEM_CALCULATION!U395="SI",SYSTEM_CALCULATION!B395,"")</f>
        <v/>
      </c>
      <c r="B406" s="62">
        <f>IF(SYSTEM_CALCULATION!U395="SI",SYSTEM_CALCULATION!E395,"")</f>
        <v/>
      </c>
      <c r="C406" s="62">
        <f>IF(SYSTEM_CALCULATION!U395="SI",SYSTEM_CALCULATION!O395,"")</f>
        <v/>
      </c>
      <c r="D406" s="62">
        <f>IF(SYSTEM_CALCULATION!U395="SI",SYSTEM_CALCULATION!G395,"")</f>
        <v/>
      </c>
      <c r="E406" s="63">
        <f>IF(SYSTEM_CALCULATION!U395&lt;&gt;"SI","",IF(INPUT_SYSTEM!B404="USD",SYSTEM_CALCULATION!R395*CONFIG!B395,SYSTEM_CALCULATION!R395))</f>
        <v/>
      </c>
      <c r="F406" s="63">
        <f>IF(SYSTEM_CALCULATION!U395&lt;&gt;"SI","",IF(INPUT_SYSTEM!B404="USD",SYSTEM_CALCULATION!T395*CONFIG!B395,SYSTEM_CALCULATION!T395))</f>
        <v/>
      </c>
    </row>
    <row r="407" ht="15.75" customHeight="1" s="125">
      <c r="A407" s="62">
        <f>IF(SYSTEM_CALCULATION!U396="SI",SYSTEM_CALCULATION!B396,"")</f>
        <v/>
      </c>
      <c r="B407" s="62">
        <f>IF(SYSTEM_CALCULATION!U396="SI",SYSTEM_CALCULATION!E396,"")</f>
        <v/>
      </c>
      <c r="C407" s="62">
        <f>IF(SYSTEM_CALCULATION!U396="SI",SYSTEM_CALCULATION!O396,"")</f>
        <v/>
      </c>
      <c r="D407" s="62">
        <f>IF(SYSTEM_CALCULATION!U396="SI",SYSTEM_CALCULATION!G396,"")</f>
        <v/>
      </c>
      <c r="E407" s="63">
        <f>IF(SYSTEM_CALCULATION!U396&lt;&gt;"SI","",IF(INPUT_SYSTEM!B405="USD",SYSTEM_CALCULATION!R396*CONFIG!B396,SYSTEM_CALCULATION!R396))</f>
        <v/>
      </c>
      <c r="F407" s="63">
        <f>IF(SYSTEM_CALCULATION!U396&lt;&gt;"SI","",IF(INPUT_SYSTEM!B405="USD",SYSTEM_CALCULATION!T396*CONFIG!B396,SYSTEM_CALCULATION!T396))</f>
        <v/>
      </c>
    </row>
    <row r="408" ht="15.75" customHeight="1" s="125">
      <c r="A408" s="62">
        <f>IF(SYSTEM_CALCULATION!U397="SI",SYSTEM_CALCULATION!B397,"")</f>
        <v/>
      </c>
      <c r="B408" s="62">
        <f>IF(SYSTEM_CALCULATION!U397="SI",SYSTEM_CALCULATION!E397,"")</f>
        <v/>
      </c>
      <c r="C408" s="62">
        <f>IF(SYSTEM_CALCULATION!U397="SI",SYSTEM_CALCULATION!O397,"")</f>
        <v/>
      </c>
      <c r="D408" s="62">
        <f>IF(SYSTEM_CALCULATION!U397="SI",SYSTEM_CALCULATION!G397,"")</f>
        <v/>
      </c>
      <c r="E408" s="63">
        <f>IF(SYSTEM_CALCULATION!U397&lt;&gt;"SI","",IF(INPUT_SYSTEM!B406="USD",SYSTEM_CALCULATION!R397*CONFIG!B397,SYSTEM_CALCULATION!R397))</f>
        <v/>
      </c>
      <c r="F408" s="63">
        <f>IF(SYSTEM_CALCULATION!U397&lt;&gt;"SI","",IF(INPUT_SYSTEM!B406="USD",SYSTEM_CALCULATION!T397*CONFIG!B397,SYSTEM_CALCULATION!T397))</f>
        <v/>
      </c>
    </row>
    <row r="409" ht="15.75" customHeight="1" s="125">
      <c r="A409" s="62">
        <f>IF(SYSTEM_CALCULATION!U398="SI",SYSTEM_CALCULATION!B398,"")</f>
        <v/>
      </c>
      <c r="B409" s="62">
        <f>IF(SYSTEM_CALCULATION!U398="SI",SYSTEM_CALCULATION!E398,"")</f>
        <v/>
      </c>
      <c r="C409" s="62">
        <f>IF(SYSTEM_CALCULATION!U398="SI",SYSTEM_CALCULATION!O398,"")</f>
        <v/>
      </c>
      <c r="D409" s="62">
        <f>IF(SYSTEM_CALCULATION!U398="SI",SYSTEM_CALCULATION!G398,"")</f>
        <v/>
      </c>
      <c r="E409" s="63">
        <f>IF(SYSTEM_CALCULATION!U398&lt;&gt;"SI","",IF(INPUT_SYSTEM!B407="USD",SYSTEM_CALCULATION!R398*CONFIG!B398,SYSTEM_CALCULATION!R398))</f>
        <v/>
      </c>
      <c r="F409" s="63">
        <f>IF(SYSTEM_CALCULATION!U398&lt;&gt;"SI","",IF(INPUT_SYSTEM!B407="USD",SYSTEM_CALCULATION!T398*CONFIG!B398,SYSTEM_CALCULATION!T398))</f>
        <v/>
      </c>
    </row>
    <row r="410" ht="15.75" customHeight="1" s="125">
      <c r="A410" s="62">
        <f>IF(SYSTEM_CALCULATION!U399="SI",SYSTEM_CALCULATION!B399,"")</f>
        <v/>
      </c>
      <c r="B410" s="62">
        <f>IF(SYSTEM_CALCULATION!U399="SI",SYSTEM_CALCULATION!E399,"")</f>
        <v/>
      </c>
      <c r="C410" s="62">
        <f>IF(SYSTEM_CALCULATION!U399="SI",SYSTEM_CALCULATION!O399,"")</f>
        <v/>
      </c>
      <c r="D410" s="62">
        <f>IF(SYSTEM_CALCULATION!U399="SI",SYSTEM_CALCULATION!G399,"")</f>
        <v/>
      </c>
      <c r="E410" s="63">
        <f>IF(SYSTEM_CALCULATION!U399&lt;&gt;"SI","",IF(INPUT_SYSTEM!B408="USD",SYSTEM_CALCULATION!R399*CONFIG!B399,SYSTEM_CALCULATION!R399))</f>
        <v/>
      </c>
      <c r="F410" s="63">
        <f>IF(SYSTEM_CALCULATION!U399&lt;&gt;"SI","",IF(INPUT_SYSTEM!B408="USD",SYSTEM_CALCULATION!T399*CONFIG!B399,SYSTEM_CALCULATION!T399))</f>
        <v/>
      </c>
    </row>
    <row r="411" ht="15.75" customHeight="1" s="125">
      <c r="A411" s="62">
        <f>IF(SYSTEM_CALCULATION!U400="SI",SYSTEM_CALCULATION!B400,"")</f>
        <v/>
      </c>
      <c r="B411" s="62">
        <f>IF(SYSTEM_CALCULATION!U400="SI",SYSTEM_CALCULATION!E400,"")</f>
        <v/>
      </c>
      <c r="C411" s="62">
        <f>IF(SYSTEM_CALCULATION!U400="SI",SYSTEM_CALCULATION!O400,"")</f>
        <v/>
      </c>
      <c r="D411" s="62">
        <f>IF(SYSTEM_CALCULATION!U400="SI",SYSTEM_CALCULATION!G400,"")</f>
        <v/>
      </c>
      <c r="E411" s="63">
        <f>IF(SYSTEM_CALCULATION!U400&lt;&gt;"SI","",IF(INPUT_SYSTEM!B409="USD",SYSTEM_CALCULATION!R400*CONFIG!B400,SYSTEM_CALCULATION!R400))</f>
        <v/>
      </c>
      <c r="F411" s="63">
        <f>IF(SYSTEM_CALCULATION!U400&lt;&gt;"SI","",IF(INPUT_SYSTEM!B409="USD",SYSTEM_CALCULATION!T400*CONFIG!B400,SYSTEM_CALCULATION!T400))</f>
        <v/>
      </c>
    </row>
    <row r="412" ht="15.75" customHeight="1" s="125">
      <c r="A412" s="62">
        <f>IF(SYSTEM_CALCULATION!U401="SI",SYSTEM_CALCULATION!B401,"")</f>
        <v/>
      </c>
      <c r="B412" s="62">
        <f>IF(SYSTEM_CALCULATION!U401="SI",SYSTEM_CALCULATION!E401,"")</f>
        <v/>
      </c>
      <c r="C412" s="62">
        <f>IF(SYSTEM_CALCULATION!U401="SI",SYSTEM_CALCULATION!O401,"")</f>
        <v/>
      </c>
      <c r="D412" s="62">
        <f>IF(SYSTEM_CALCULATION!U401="SI",SYSTEM_CALCULATION!G401,"")</f>
        <v/>
      </c>
      <c r="E412" s="63">
        <f>IF(SYSTEM_CALCULATION!U401&lt;&gt;"SI","",IF(INPUT_SYSTEM!B410="USD",SYSTEM_CALCULATION!R401*CONFIG!B401,SYSTEM_CALCULATION!R401))</f>
        <v/>
      </c>
      <c r="F412" s="63">
        <f>IF(SYSTEM_CALCULATION!U401&lt;&gt;"SI","",IF(INPUT_SYSTEM!B410="USD",SYSTEM_CALCULATION!T401*CONFIG!B401,SYSTEM_CALCULATION!T401))</f>
        <v/>
      </c>
    </row>
    <row r="413" ht="15.75" customHeight="1" s="125">
      <c r="A413" s="62">
        <f>IF(SYSTEM_CALCULATION!U402="SI",SYSTEM_CALCULATION!B402,"")</f>
        <v/>
      </c>
      <c r="B413" s="62">
        <f>IF(SYSTEM_CALCULATION!U402="SI",SYSTEM_CALCULATION!E402,"")</f>
        <v/>
      </c>
      <c r="C413" s="62">
        <f>IF(SYSTEM_CALCULATION!U402="SI",SYSTEM_CALCULATION!O402,"")</f>
        <v/>
      </c>
      <c r="D413" s="62">
        <f>IF(SYSTEM_CALCULATION!U402="SI",SYSTEM_CALCULATION!G402,"")</f>
        <v/>
      </c>
      <c r="E413" s="63">
        <f>IF(SYSTEM_CALCULATION!U402&lt;&gt;"SI","",IF(INPUT_SYSTEM!B411="USD",SYSTEM_CALCULATION!R402*CONFIG!B402,SYSTEM_CALCULATION!R402))</f>
        <v/>
      </c>
      <c r="F413" s="63">
        <f>IF(SYSTEM_CALCULATION!U402&lt;&gt;"SI","",IF(INPUT_SYSTEM!B411="USD",SYSTEM_CALCULATION!T402*CONFIG!B402,SYSTEM_CALCULATION!T402))</f>
        <v/>
      </c>
    </row>
    <row r="414" ht="15.75" customHeight="1" s="125">
      <c r="A414" s="62">
        <f>IF(SYSTEM_CALCULATION!U403="SI",SYSTEM_CALCULATION!B403,"")</f>
        <v/>
      </c>
      <c r="B414" s="62">
        <f>IF(SYSTEM_CALCULATION!U403="SI",SYSTEM_CALCULATION!E403,"")</f>
        <v/>
      </c>
      <c r="C414" s="62">
        <f>IF(SYSTEM_CALCULATION!U403="SI",SYSTEM_CALCULATION!O403,"")</f>
        <v/>
      </c>
      <c r="D414" s="62">
        <f>IF(SYSTEM_CALCULATION!U403="SI",SYSTEM_CALCULATION!G403,"")</f>
        <v/>
      </c>
      <c r="E414" s="63">
        <f>IF(SYSTEM_CALCULATION!U403&lt;&gt;"SI","",IF(INPUT_SYSTEM!B412="USD",SYSTEM_CALCULATION!R403*CONFIG!B403,SYSTEM_CALCULATION!R403))</f>
        <v/>
      </c>
      <c r="F414" s="63">
        <f>IF(SYSTEM_CALCULATION!U403&lt;&gt;"SI","",IF(INPUT_SYSTEM!B412="USD",SYSTEM_CALCULATION!T403*CONFIG!B403,SYSTEM_CALCULATION!T403))</f>
        <v/>
      </c>
    </row>
    <row r="415" ht="15.75" customHeight="1" s="125">
      <c r="A415" s="62">
        <f>IF(SYSTEM_CALCULATION!U404="SI",SYSTEM_CALCULATION!B404,"")</f>
        <v/>
      </c>
      <c r="B415" s="62">
        <f>IF(SYSTEM_CALCULATION!U404="SI",SYSTEM_CALCULATION!E404,"")</f>
        <v/>
      </c>
      <c r="C415" s="62">
        <f>IF(SYSTEM_CALCULATION!U404="SI",SYSTEM_CALCULATION!O404,"")</f>
        <v/>
      </c>
      <c r="D415" s="62">
        <f>IF(SYSTEM_CALCULATION!U404="SI",SYSTEM_CALCULATION!G404,"")</f>
        <v/>
      </c>
      <c r="E415" s="63">
        <f>IF(SYSTEM_CALCULATION!U404&lt;&gt;"SI","",IF(INPUT_SYSTEM!B413="USD",SYSTEM_CALCULATION!R404*CONFIG!B404,SYSTEM_CALCULATION!R404))</f>
        <v/>
      </c>
      <c r="F415" s="63">
        <f>IF(SYSTEM_CALCULATION!U404&lt;&gt;"SI","",IF(INPUT_SYSTEM!B413="USD",SYSTEM_CALCULATION!T404*CONFIG!B404,SYSTEM_CALCULATION!T404))</f>
        <v/>
      </c>
    </row>
    <row r="416" ht="15.75" customHeight="1" s="125">
      <c r="A416" s="62">
        <f>IF(SYSTEM_CALCULATION!U405="SI",SYSTEM_CALCULATION!B405,"")</f>
        <v/>
      </c>
      <c r="B416" s="62">
        <f>IF(SYSTEM_CALCULATION!U405="SI",SYSTEM_CALCULATION!E405,"")</f>
        <v/>
      </c>
      <c r="C416" s="62">
        <f>IF(SYSTEM_CALCULATION!U405="SI",SYSTEM_CALCULATION!O405,"")</f>
        <v/>
      </c>
      <c r="D416" s="62">
        <f>IF(SYSTEM_CALCULATION!U405="SI",SYSTEM_CALCULATION!G405,"")</f>
        <v/>
      </c>
      <c r="E416" s="63">
        <f>IF(SYSTEM_CALCULATION!U405&lt;&gt;"SI","",IF(INPUT_SYSTEM!B414="USD",SYSTEM_CALCULATION!R405*CONFIG!B405,SYSTEM_CALCULATION!R405))</f>
        <v/>
      </c>
      <c r="F416" s="63">
        <f>IF(SYSTEM_CALCULATION!U405&lt;&gt;"SI","",IF(INPUT_SYSTEM!B414="USD",SYSTEM_CALCULATION!T405*CONFIG!B405,SYSTEM_CALCULATION!T405))</f>
        <v/>
      </c>
    </row>
    <row r="417" ht="15.75" customHeight="1" s="125">
      <c r="A417" s="62">
        <f>IF(SYSTEM_CALCULATION!U406="SI",SYSTEM_CALCULATION!B406,"")</f>
        <v/>
      </c>
      <c r="B417" s="62">
        <f>IF(SYSTEM_CALCULATION!U406="SI",SYSTEM_CALCULATION!E406,"")</f>
        <v/>
      </c>
      <c r="C417" s="62">
        <f>IF(SYSTEM_CALCULATION!U406="SI",SYSTEM_CALCULATION!O406,"")</f>
        <v/>
      </c>
      <c r="D417" s="62">
        <f>IF(SYSTEM_CALCULATION!U406="SI",SYSTEM_CALCULATION!G406,"")</f>
        <v/>
      </c>
      <c r="E417" s="63">
        <f>IF(SYSTEM_CALCULATION!U406&lt;&gt;"SI","",IF(INPUT_SYSTEM!B415="USD",SYSTEM_CALCULATION!R406*CONFIG!B406,SYSTEM_CALCULATION!R406))</f>
        <v/>
      </c>
      <c r="F417" s="63">
        <f>IF(SYSTEM_CALCULATION!U406&lt;&gt;"SI","",IF(INPUT_SYSTEM!B415="USD",SYSTEM_CALCULATION!T406*CONFIG!B406,SYSTEM_CALCULATION!T406))</f>
        <v/>
      </c>
    </row>
    <row r="418" ht="15.75" customHeight="1" s="125">
      <c r="A418" s="62">
        <f>IF(SYSTEM_CALCULATION!U407="SI",SYSTEM_CALCULATION!B407,"")</f>
        <v/>
      </c>
      <c r="B418" s="62">
        <f>IF(SYSTEM_CALCULATION!U407="SI",SYSTEM_CALCULATION!E407,"")</f>
        <v/>
      </c>
      <c r="C418" s="62">
        <f>IF(SYSTEM_CALCULATION!U407="SI",SYSTEM_CALCULATION!O407,"")</f>
        <v/>
      </c>
      <c r="D418" s="62">
        <f>IF(SYSTEM_CALCULATION!U407="SI",SYSTEM_CALCULATION!G407,"")</f>
        <v/>
      </c>
      <c r="E418" s="63">
        <f>IF(SYSTEM_CALCULATION!U407&lt;&gt;"SI","",IF(INPUT_SYSTEM!B416="USD",SYSTEM_CALCULATION!R407*CONFIG!B407,SYSTEM_CALCULATION!R407))</f>
        <v/>
      </c>
      <c r="F418" s="63">
        <f>IF(SYSTEM_CALCULATION!U407&lt;&gt;"SI","",IF(INPUT_SYSTEM!B416="USD",SYSTEM_CALCULATION!T407*CONFIG!B407,SYSTEM_CALCULATION!T407))</f>
        <v/>
      </c>
    </row>
    <row r="419" ht="15.75" customHeight="1" s="125">
      <c r="A419" s="62">
        <f>IF(SYSTEM_CALCULATION!U408="SI",SYSTEM_CALCULATION!B408,"")</f>
        <v/>
      </c>
      <c r="B419" s="62">
        <f>IF(SYSTEM_CALCULATION!U408="SI",SYSTEM_CALCULATION!E408,"")</f>
        <v/>
      </c>
      <c r="C419" s="62">
        <f>IF(SYSTEM_CALCULATION!U408="SI",SYSTEM_CALCULATION!O408,"")</f>
        <v/>
      </c>
      <c r="D419" s="62">
        <f>IF(SYSTEM_CALCULATION!U408="SI",SYSTEM_CALCULATION!G408,"")</f>
        <v/>
      </c>
      <c r="E419" s="63">
        <f>IF(SYSTEM_CALCULATION!U408&lt;&gt;"SI","",IF(INPUT_SYSTEM!B417="USD",SYSTEM_CALCULATION!R408*CONFIG!B408,SYSTEM_CALCULATION!R408))</f>
        <v/>
      </c>
      <c r="F419" s="63">
        <f>IF(SYSTEM_CALCULATION!U408&lt;&gt;"SI","",IF(INPUT_SYSTEM!B417="USD",SYSTEM_CALCULATION!T408*CONFIG!B408,SYSTEM_CALCULATION!T408))</f>
        <v/>
      </c>
    </row>
    <row r="420" ht="15.75" customHeight="1" s="125">
      <c r="A420" s="62">
        <f>IF(SYSTEM_CALCULATION!U409="SI",SYSTEM_CALCULATION!B409,"")</f>
        <v/>
      </c>
      <c r="B420" s="62">
        <f>IF(SYSTEM_CALCULATION!U409="SI",SYSTEM_CALCULATION!E409,"")</f>
        <v/>
      </c>
      <c r="C420" s="62">
        <f>IF(SYSTEM_CALCULATION!U409="SI",SYSTEM_CALCULATION!O409,"")</f>
        <v/>
      </c>
      <c r="D420" s="62">
        <f>IF(SYSTEM_CALCULATION!U409="SI",SYSTEM_CALCULATION!G409,"")</f>
        <v/>
      </c>
      <c r="E420" s="63">
        <f>IF(SYSTEM_CALCULATION!U409&lt;&gt;"SI","",IF(INPUT_SYSTEM!B418="USD",SYSTEM_CALCULATION!R409*CONFIG!B409,SYSTEM_CALCULATION!R409))</f>
        <v/>
      </c>
      <c r="F420" s="63">
        <f>IF(SYSTEM_CALCULATION!U409&lt;&gt;"SI","",IF(INPUT_SYSTEM!B418="USD",SYSTEM_CALCULATION!T409*CONFIG!B409,SYSTEM_CALCULATION!T409))</f>
        <v/>
      </c>
    </row>
    <row r="421" ht="15.75" customHeight="1" s="125">
      <c r="A421" s="62">
        <f>IF(SYSTEM_CALCULATION!U410="SI",SYSTEM_CALCULATION!B410,"")</f>
        <v/>
      </c>
      <c r="B421" s="62">
        <f>IF(SYSTEM_CALCULATION!U410="SI",SYSTEM_CALCULATION!E410,"")</f>
        <v/>
      </c>
      <c r="C421" s="62">
        <f>IF(SYSTEM_CALCULATION!U410="SI",SYSTEM_CALCULATION!O410,"")</f>
        <v/>
      </c>
      <c r="D421" s="62">
        <f>IF(SYSTEM_CALCULATION!U410="SI",SYSTEM_CALCULATION!G410,"")</f>
        <v/>
      </c>
      <c r="E421" s="63">
        <f>IF(SYSTEM_CALCULATION!U410&lt;&gt;"SI","",IF(INPUT_SYSTEM!B419="USD",SYSTEM_CALCULATION!R410*CONFIG!B410,SYSTEM_CALCULATION!R410))</f>
        <v/>
      </c>
      <c r="F421" s="63">
        <f>IF(SYSTEM_CALCULATION!U410&lt;&gt;"SI","",IF(INPUT_SYSTEM!B419="USD",SYSTEM_CALCULATION!T410*CONFIG!B410,SYSTEM_CALCULATION!T410))</f>
        <v/>
      </c>
    </row>
    <row r="422" ht="15.75" customHeight="1" s="125">
      <c r="A422" s="62">
        <f>IF(SYSTEM_CALCULATION!U411="SI",SYSTEM_CALCULATION!B411,"")</f>
        <v/>
      </c>
      <c r="B422" s="62">
        <f>IF(SYSTEM_CALCULATION!U411="SI",SYSTEM_CALCULATION!E411,"")</f>
        <v/>
      </c>
      <c r="C422" s="62">
        <f>IF(SYSTEM_CALCULATION!U411="SI",SYSTEM_CALCULATION!O411,"")</f>
        <v/>
      </c>
      <c r="D422" s="62">
        <f>IF(SYSTEM_CALCULATION!U411="SI",SYSTEM_CALCULATION!G411,"")</f>
        <v/>
      </c>
      <c r="E422" s="63">
        <f>IF(SYSTEM_CALCULATION!U411&lt;&gt;"SI","",IF(INPUT_SYSTEM!B420="USD",SYSTEM_CALCULATION!R411*CONFIG!B411,SYSTEM_CALCULATION!R411))</f>
        <v/>
      </c>
      <c r="F422" s="63">
        <f>IF(SYSTEM_CALCULATION!U411&lt;&gt;"SI","",IF(INPUT_SYSTEM!B420="USD",SYSTEM_CALCULATION!T411*CONFIG!B411,SYSTEM_CALCULATION!T411))</f>
        <v/>
      </c>
    </row>
    <row r="423" ht="15.75" customHeight="1" s="125">
      <c r="A423" s="62">
        <f>IF(SYSTEM_CALCULATION!U412="SI",SYSTEM_CALCULATION!B412,"")</f>
        <v/>
      </c>
      <c r="B423" s="62">
        <f>IF(SYSTEM_CALCULATION!U412="SI",SYSTEM_CALCULATION!E412,"")</f>
        <v/>
      </c>
      <c r="C423" s="62">
        <f>IF(SYSTEM_CALCULATION!U412="SI",SYSTEM_CALCULATION!O412,"")</f>
        <v/>
      </c>
      <c r="D423" s="62">
        <f>IF(SYSTEM_CALCULATION!U412="SI",SYSTEM_CALCULATION!G412,"")</f>
        <v/>
      </c>
      <c r="E423" s="63">
        <f>IF(SYSTEM_CALCULATION!U412&lt;&gt;"SI","",IF(INPUT_SYSTEM!B421="USD",SYSTEM_CALCULATION!R412*CONFIG!B412,SYSTEM_CALCULATION!R412))</f>
        <v/>
      </c>
      <c r="F423" s="63">
        <f>IF(SYSTEM_CALCULATION!U412&lt;&gt;"SI","",IF(INPUT_SYSTEM!B421="USD",SYSTEM_CALCULATION!T412*CONFIG!B412,SYSTEM_CALCULATION!T412))</f>
        <v/>
      </c>
    </row>
    <row r="424" ht="15.75" customHeight="1" s="125">
      <c r="A424" s="62">
        <f>IF(SYSTEM_CALCULATION!U413="SI",SYSTEM_CALCULATION!B413,"")</f>
        <v/>
      </c>
      <c r="B424" s="62">
        <f>IF(SYSTEM_CALCULATION!U413="SI",SYSTEM_CALCULATION!E413,"")</f>
        <v/>
      </c>
      <c r="C424" s="62">
        <f>IF(SYSTEM_CALCULATION!U413="SI",SYSTEM_CALCULATION!O413,"")</f>
        <v/>
      </c>
      <c r="D424" s="62">
        <f>IF(SYSTEM_CALCULATION!U413="SI",SYSTEM_CALCULATION!G413,"")</f>
        <v/>
      </c>
      <c r="E424" s="63">
        <f>IF(SYSTEM_CALCULATION!U413&lt;&gt;"SI","",IF(INPUT_SYSTEM!B422="USD",SYSTEM_CALCULATION!R413*CONFIG!B413,SYSTEM_CALCULATION!R413))</f>
        <v/>
      </c>
      <c r="F424" s="63">
        <f>IF(SYSTEM_CALCULATION!U413&lt;&gt;"SI","",IF(INPUT_SYSTEM!B422="USD",SYSTEM_CALCULATION!T413*CONFIG!B413,SYSTEM_CALCULATION!T413))</f>
        <v/>
      </c>
    </row>
    <row r="425" ht="15.75" customHeight="1" s="125">
      <c r="A425" s="62">
        <f>IF(SYSTEM_CALCULATION!U414="SI",SYSTEM_CALCULATION!B414,"")</f>
        <v/>
      </c>
      <c r="B425" s="62">
        <f>IF(SYSTEM_CALCULATION!U414="SI",SYSTEM_CALCULATION!E414,"")</f>
        <v/>
      </c>
      <c r="C425" s="62">
        <f>IF(SYSTEM_CALCULATION!U414="SI",SYSTEM_CALCULATION!O414,"")</f>
        <v/>
      </c>
      <c r="D425" s="62">
        <f>IF(SYSTEM_CALCULATION!U414="SI",SYSTEM_CALCULATION!G414,"")</f>
        <v/>
      </c>
      <c r="E425" s="63">
        <f>IF(SYSTEM_CALCULATION!U414&lt;&gt;"SI","",IF(INPUT_SYSTEM!B423="USD",SYSTEM_CALCULATION!R414*CONFIG!B414,SYSTEM_CALCULATION!R414))</f>
        <v/>
      </c>
      <c r="F425" s="63">
        <f>IF(SYSTEM_CALCULATION!U414&lt;&gt;"SI","",IF(INPUT_SYSTEM!B423="USD",SYSTEM_CALCULATION!T414*CONFIG!B414,SYSTEM_CALCULATION!T414))</f>
        <v/>
      </c>
    </row>
    <row r="426" ht="15.75" customHeight="1" s="125">
      <c r="A426" s="62">
        <f>IF(SYSTEM_CALCULATION!U415="SI",SYSTEM_CALCULATION!B415,"")</f>
        <v/>
      </c>
      <c r="B426" s="62">
        <f>IF(SYSTEM_CALCULATION!U415="SI",SYSTEM_CALCULATION!E415,"")</f>
        <v/>
      </c>
      <c r="C426" s="62">
        <f>IF(SYSTEM_CALCULATION!U415="SI",SYSTEM_CALCULATION!O415,"")</f>
        <v/>
      </c>
      <c r="D426" s="62">
        <f>IF(SYSTEM_CALCULATION!U415="SI",SYSTEM_CALCULATION!G415,"")</f>
        <v/>
      </c>
      <c r="E426" s="63">
        <f>IF(SYSTEM_CALCULATION!U415&lt;&gt;"SI","",IF(INPUT_SYSTEM!B424="USD",SYSTEM_CALCULATION!R415*CONFIG!B415,SYSTEM_CALCULATION!R415))</f>
        <v/>
      </c>
      <c r="F426" s="63">
        <f>IF(SYSTEM_CALCULATION!U415&lt;&gt;"SI","",IF(INPUT_SYSTEM!B424="USD",SYSTEM_CALCULATION!T415*CONFIG!B415,SYSTEM_CALCULATION!T415))</f>
        <v/>
      </c>
    </row>
    <row r="427" ht="15.75" customHeight="1" s="125">
      <c r="A427" s="62">
        <f>IF(SYSTEM_CALCULATION!U416="SI",SYSTEM_CALCULATION!B416,"")</f>
        <v/>
      </c>
      <c r="B427" s="62">
        <f>IF(SYSTEM_CALCULATION!U416="SI",SYSTEM_CALCULATION!E416,"")</f>
        <v/>
      </c>
      <c r="C427" s="62">
        <f>IF(SYSTEM_CALCULATION!U416="SI",SYSTEM_CALCULATION!O416,"")</f>
        <v/>
      </c>
      <c r="D427" s="62">
        <f>IF(SYSTEM_CALCULATION!U416="SI",SYSTEM_CALCULATION!G416,"")</f>
        <v/>
      </c>
      <c r="E427" s="63">
        <f>IF(SYSTEM_CALCULATION!U416&lt;&gt;"SI","",IF(INPUT_SYSTEM!B425="USD",SYSTEM_CALCULATION!R416*CONFIG!B416,SYSTEM_CALCULATION!R416))</f>
        <v/>
      </c>
      <c r="F427" s="63">
        <f>IF(SYSTEM_CALCULATION!U416&lt;&gt;"SI","",IF(INPUT_SYSTEM!B425="USD",SYSTEM_CALCULATION!T416*CONFIG!B416,SYSTEM_CALCULATION!T416))</f>
        <v/>
      </c>
    </row>
    <row r="428" ht="15.75" customHeight="1" s="125">
      <c r="A428" s="62">
        <f>IF(SYSTEM_CALCULATION!U417="SI",SYSTEM_CALCULATION!B417,"")</f>
        <v/>
      </c>
      <c r="B428" s="62">
        <f>IF(SYSTEM_CALCULATION!U417="SI",SYSTEM_CALCULATION!E417,"")</f>
        <v/>
      </c>
      <c r="C428" s="62">
        <f>IF(SYSTEM_CALCULATION!U417="SI",SYSTEM_CALCULATION!O417,"")</f>
        <v/>
      </c>
      <c r="D428" s="62">
        <f>IF(SYSTEM_CALCULATION!U417="SI",SYSTEM_CALCULATION!G417,"")</f>
        <v/>
      </c>
      <c r="E428" s="63">
        <f>IF(SYSTEM_CALCULATION!U417&lt;&gt;"SI","",IF(INPUT_SYSTEM!B426="USD",SYSTEM_CALCULATION!R417*CONFIG!B417,SYSTEM_CALCULATION!R417))</f>
        <v/>
      </c>
      <c r="F428" s="63">
        <f>IF(SYSTEM_CALCULATION!U417&lt;&gt;"SI","",IF(INPUT_SYSTEM!B426="USD",SYSTEM_CALCULATION!T417*CONFIG!B417,SYSTEM_CALCULATION!T417))</f>
        <v/>
      </c>
    </row>
    <row r="429" ht="15.75" customHeight="1" s="125">
      <c r="A429" s="62">
        <f>IF(SYSTEM_CALCULATION!U418="SI",SYSTEM_CALCULATION!B418,"")</f>
        <v/>
      </c>
      <c r="B429" s="62">
        <f>IF(SYSTEM_CALCULATION!U418="SI",SYSTEM_CALCULATION!E418,"")</f>
        <v/>
      </c>
      <c r="C429" s="62">
        <f>IF(SYSTEM_CALCULATION!U418="SI",SYSTEM_CALCULATION!O418,"")</f>
        <v/>
      </c>
      <c r="D429" s="62">
        <f>IF(SYSTEM_CALCULATION!U418="SI",SYSTEM_CALCULATION!G418,"")</f>
        <v/>
      </c>
      <c r="E429" s="63">
        <f>IF(SYSTEM_CALCULATION!U418&lt;&gt;"SI","",IF(INPUT_SYSTEM!B427="USD",SYSTEM_CALCULATION!R418*CONFIG!B418,SYSTEM_CALCULATION!R418))</f>
        <v/>
      </c>
      <c r="F429" s="63">
        <f>IF(SYSTEM_CALCULATION!U418&lt;&gt;"SI","",IF(INPUT_SYSTEM!B427="USD",SYSTEM_CALCULATION!T418*CONFIG!B418,SYSTEM_CALCULATION!T418))</f>
        <v/>
      </c>
    </row>
    <row r="430" ht="15.75" customHeight="1" s="125">
      <c r="A430" s="62">
        <f>IF(SYSTEM_CALCULATION!U419="SI",SYSTEM_CALCULATION!B419,"")</f>
        <v/>
      </c>
      <c r="B430" s="62">
        <f>IF(SYSTEM_CALCULATION!U419="SI",SYSTEM_CALCULATION!E419,"")</f>
        <v/>
      </c>
      <c r="C430" s="62">
        <f>IF(SYSTEM_CALCULATION!U419="SI",SYSTEM_CALCULATION!O419,"")</f>
        <v/>
      </c>
      <c r="D430" s="62">
        <f>IF(SYSTEM_CALCULATION!U419="SI",SYSTEM_CALCULATION!G419,"")</f>
        <v/>
      </c>
      <c r="E430" s="63">
        <f>IF(SYSTEM_CALCULATION!U419&lt;&gt;"SI","",IF(INPUT_SYSTEM!B428="USD",SYSTEM_CALCULATION!R419*CONFIG!B419,SYSTEM_CALCULATION!R419))</f>
        <v/>
      </c>
      <c r="F430" s="63">
        <f>IF(SYSTEM_CALCULATION!U419&lt;&gt;"SI","",IF(INPUT_SYSTEM!B428="USD",SYSTEM_CALCULATION!T419*CONFIG!B419,SYSTEM_CALCULATION!T419))</f>
        <v/>
      </c>
    </row>
    <row r="431" ht="15.75" customHeight="1" s="125">
      <c r="A431" s="62">
        <f>IF(SYSTEM_CALCULATION!U420="SI",SYSTEM_CALCULATION!B420,"")</f>
        <v/>
      </c>
      <c r="B431" s="62">
        <f>IF(SYSTEM_CALCULATION!U420="SI",SYSTEM_CALCULATION!E420,"")</f>
        <v/>
      </c>
      <c r="C431" s="62">
        <f>IF(SYSTEM_CALCULATION!U420="SI",SYSTEM_CALCULATION!O420,"")</f>
        <v/>
      </c>
      <c r="D431" s="62">
        <f>IF(SYSTEM_CALCULATION!U420="SI",SYSTEM_CALCULATION!G420,"")</f>
        <v/>
      </c>
      <c r="E431" s="63">
        <f>IF(SYSTEM_CALCULATION!U420&lt;&gt;"SI","",IF(INPUT_SYSTEM!B429="USD",SYSTEM_CALCULATION!R420*CONFIG!B420,SYSTEM_CALCULATION!R420))</f>
        <v/>
      </c>
      <c r="F431" s="63">
        <f>IF(SYSTEM_CALCULATION!U420&lt;&gt;"SI","",IF(INPUT_SYSTEM!B429="USD",SYSTEM_CALCULATION!T420*CONFIG!B420,SYSTEM_CALCULATION!T420))</f>
        <v/>
      </c>
    </row>
    <row r="432" ht="15.75" customHeight="1" s="125">
      <c r="A432" s="62">
        <f>IF(SYSTEM_CALCULATION!U421="SI",SYSTEM_CALCULATION!B421,"")</f>
        <v/>
      </c>
      <c r="B432" s="62">
        <f>IF(SYSTEM_CALCULATION!U421="SI",SYSTEM_CALCULATION!E421,"")</f>
        <v/>
      </c>
      <c r="C432" s="62">
        <f>IF(SYSTEM_CALCULATION!U421="SI",SYSTEM_CALCULATION!O421,"")</f>
        <v/>
      </c>
      <c r="D432" s="62">
        <f>IF(SYSTEM_CALCULATION!U421="SI",SYSTEM_CALCULATION!G421,"")</f>
        <v/>
      </c>
      <c r="E432" s="63">
        <f>IF(SYSTEM_CALCULATION!U421&lt;&gt;"SI","",IF(INPUT_SYSTEM!B430="USD",SYSTEM_CALCULATION!R421*CONFIG!B421,SYSTEM_CALCULATION!R421))</f>
        <v/>
      </c>
      <c r="F432" s="63">
        <f>IF(SYSTEM_CALCULATION!U421&lt;&gt;"SI","",IF(INPUT_SYSTEM!B430="USD",SYSTEM_CALCULATION!T421*CONFIG!B421,SYSTEM_CALCULATION!T421))</f>
        <v/>
      </c>
    </row>
    <row r="433" ht="15.75" customHeight="1" s="125">
      <c r="A433" s="62">
        <f>IF(SYSTEM_CALCULATION!U422="SI",SYSTEM_CALCULATION!B422,"")</f>
        <v/>
      </c>
      <c r="B433" s="62">
        <f>IF(SYSTEM_CALCULATION!U422="SI",SYSTEM_CALCULATION!E422,"")</f>
        <v/>
      </c>
      <c r="C433" s="62">
        <f>IF(SYSTEM_CALCULATION!U422="SI",SYSTEM_CALCULATION!O422,"")</f>
        <v/>
      </c>
      <c r="D433" s="62">
        <f>IF(SYSTEM_CALCULATION!U422="SI",SYSTEM_CALCULATION!G422,"")</f>
        <v/>
      </c>
      <c r="E433" s="63">
        <f>IF(SYSTEM_CALCULATION!U422&lt;&gt;"SI","",IF(INPUT_SYSTEM!B431="USD",SYSTEM_CALCULATION!R422*CONFIG!B422,SYSTEM_CALCULATION!R422))</f>
        <v/>
      </c>
      <c r="F433" s="63">
        <f>IF(SYSTEM_CALCULATION!U422&lt;&gt;"SI","",IF(INPUT_SYSTEM!B431="USD",SYSTEM_CALCULATION!T422*CONFIG!B422,SYSTEM_CALCULATION!T422))</f>
        <v/>
      </c>
    </row>
    <row r="434" ht="15.75" customHeight="1" s="125">
      <c r="A434" s="62">
        <f>IF(SYSTEM_CALCULATION!U423="SI",SYSTEM_CALCULATION!B423,"")</f>
        <v/>
      </c>
      <c r="B434" s="62">
        <f>IF(SYSTEM_CALCULATION!U423="SI",SYSTEM_CALCULATION!E423,"")</f>
        <v/>
      </c>
      <c r="C434" s="62">
        <f>IF(SYSTEM_CALCULATION!U423="SI",SYSTEM_CALCULATION!O423,"")</f>
        <v/>
      </c>
      <c r="D434" s="62">
        <f>IF(SYSTEM_CALCULATION!U423="SI",SYSTEM_CALCULATION!G423,"")</f>
        <v/>
      </c>
      <c r="E434" s="63">
        <f>IF(SYSTEM_CALCULATION!U423&lt;&gt;"SI","",IF(INPUT_SYSTEM!B432="USD",SYSTEM_CALCULATION!R423*CONFIG!B423,SYSTEM_CALCULATION!R423))</f>
        <v/>
      </c>
      <c r="F434" s="63">
        <f>IF(SYSTEM_CALCULATION!U423&lt;&gt;"SI","",IF(INPUT_SYSTEM!B432="USD",SYSTEM_CALCULATION!T423*CONFIG!B423,SYSTEM_CALCULATION!T423))</f>
        <v/>
      </c>
    </row>
    <row r="435" ht="15.75" customHeight="1" s="125">
      <c r="A435" s="62">
        <f>IF(SYSTEM_CALCULATION!U424="SI",SYSTEM_CALCULATION!B424,"")</f>
        <v/>
      </c>
      <c r="B435" s="62">
        <f>IF(SYSTEM_CALCULATION!U424="SI",SYSTEM_CALCULATION!E424,"")</f>
        <v/>
      </c>
      <c r="C435" s="62">
        <f>IF(SYSTEM_CALCULATION!U424="SI",SYSTEM_CALCULATION!O424,"")</f>
        <v/>
      </c>
      <c r="D435" s="62">
        <f>IF(SYSTEM_CALCULATION!U424="SI",SYSTEM_CALCULATION!G424,"")</f>
        <v/>
      </c>
      <c r="E435" s="63">
        <f>IF(SYSTEM_CALCULATION!U424&lt;&gt;"SI","",IF(INPUT_SYSTEM!B433="USD",SYSTEM_CALCULATION!R424*CONFIG!B424,SYSTEM_CALCULATION!R424))</f>
        <v/>
      </c>
      <c r="F435" s="63">
        <f>IF(SYSTEM_CALCULATION!U424&lt;&gt;"SI","",IF(INPUT_SYSTEM!B433="USD",SYSTEM_CALCULATION!T424*CONFIG!B424,SYSTEM_CALCULATION!T424))</f>
        <v/>
      </c>
    </row>
    <row r="436" ht="15.75" customHeight="1" s="125">
      <c r="A436" s="62">
        <f>IF(SYSTEM_CALCULATION!U425="SI",SYSTEM_CALCULATION!B425,"")</f>
        <v/>
      </c>
      <c r="B436" s="62">
        <f>IF(SYSTEM_CALCULATION!U425="SI",SYSTEM_CALCULATION!E425,"")</f>
        <v/>
      </c>
      <c r="C436" s="62">
        <f>IF(SYSTEM_CALCULATION!U425="SI",SYSTEM_CALCULATION!O425,"")</f>
        <v/>
      </c>
      <c r="D436" s="62">
        <f>IF(SYSTEM_CALCULATION!U425="SI",SYSTEM_CALCULATION!G425,"")</f>
        <v/>
      </c>
      <c r="E436" s="63">
        <f>IF(SYSTEM_CALCULATION!U425&lt;&gt;"SI","",IF(INPUT_SYSTEM!B434="USD",SYSTEM_CALCULATION!R425*CONFIG!B425,SYSTEM_CALCULATION!R425))</f>
        <v/>
      </c>
      <c r="F436" s="63">
        <f>IF(SYSTEM_CALCULATION!U425&lt;&gt;"SI","",IF(INPUT_SYSTEM!B434="USD",SYSTEM_CALCULATION!T425*CONFIG!B425,SYSTEM_CALCULATION!T425))</f>
        <v/>
      </c>
    </row>
    <row r="437" ht="15.75" customHeight="1" s="125">
      <c r="A437" s="62">
        <f>IF(SYSTEM_CALCULATION!U426="SI",SYSTEM_CALCULATION!B426,"")</f>
        <v/>
      </c>
      <c r="B437" s="62">
        <f>IF(SYSTEM_CALCULATION!U426="SI",SYSTEM_CALCULATION!E426,"")</f>
        <v/>
      </c>
      <c r="C437" s="62">
        <f>IF(SYSTEM_CALCULATION!U426="SI",SYSTEM_CALCULATION!O426,"")</f>
        <v/>
      </c>
      <c r="D437" s="62">
        <f>IF(SYSTEM_CALCULATION!U426="SI",SYSTEM_CALCULATION!G426,"")</f>
        <v/>
      </c>
      <c r="E437" s="63">
        <f>IF(SYSTEM_CALCULATION!U426&lt;&gt;"SI","",IF(INPUT_SYSTEM!B435="USD",SYSTEM_CALCULATION!R426*CONFIG!B426,SYSTEM_CALCULATION!R426))</f>
        <v/>
      </c>
      <c r="F437" s="63">
        <f>IF(SYSTEM_CALCULATION!U426&lt;&gt;"SI","",IF(INPUT_SYSTEM!B435="USD",SYSTEM_CALCULATION!T426*CONFIG!B426,SYSTEM_CALCULATION!T426))</f>
        <v/>
      </c>
    </row>
    <row r="438" ht="15.75" customHeight="1" s="125">
      <c r="A438" s="62">
        <f>IF(SYSTEM_CALCULATION!U427="SI",SYSTEM_CALCULATION!B427,"")</f>
        <v/>
      </c>
      <c r="B438" s="62">
        <f>IF(SYSTEM_CALCULATION!U427="SI",SYSTEM_CALCULATION!E427,"")</f>
        <v/>
      </c>
      <c r="C438" s="62">
        <f>IF(SYSTEM_CALCULATION!U427="SI",SYSTEM_CALCULATION!O427,"")</f>
        <v/>
      </c>
      <c r="D438" s="62">
        <f>IF(SYSTEM_CALCULATION!U427="SI",SYSTEM_CALCULATION!G427,"")</f>
        <v/>
      </c>
      <c r="E438" s="63">
        <f>IF(SYSTEM_CALCULATION!U427&lt;&gt;"SI","",IF(INPUT_SYSTEM!B436="USD",SYSTEM_CALCULATION!R427*CONFIG!B427,SYSTEM_CALCULATION!R427))</f>
        <v/>
      </c>
      <c r="F438" s="63">
        <f>IF(SYSTEM_CALCULATION!U427&lt;&gt;"SI","",IF(INPUT_SYSTEM!B436="USD",SYSTEM_CALCULATION!T427*CONFIG!B427,SYSTEM_CALCULATION!T427))</f>
        <v/>
      </c>
    </row>
    <row r="439" ht="15.75" customHeight="1" s="125">
      <c r="A439" s="62">
        <f>IF(SYSTEM_CALCULATION!U428="SI",SYSTEM_CALCULATION!B428,"")</f>
        <v/>
      </c>
      <c r="B439" s="62">
        <f>IF(SYSTEM_CALCULATION!U428="SI",SYSTEM_CALCULATION!E428,"")</f>
        <v/>
      </c>
      <c r="C439" s="62">
        <f>IF(SYSTEM_CALCULATION!U428="SI",SYSTEM_CALCULATION!O428,"")</f>
        <v/>
      </c>
      <c r="D439" s="62">
        <f>IF(SYSTEM_CALCULATION!U428="SI",SYSTEM_CALCULATION!G428,"")</f>
        <v/>
      </c>
      <c r="E439" s="63">
        <f>IF(SYSTEM_CALCULATION!U428&lt;&gt;"SI","",IF(INPUT_SYSTEM!B437="USD",SYSTEM_CALCULATION!R428*CONFIG!B428,SYSTEM_CALCULATION!R428))</f>
        <v/>
      </c>
      <c r="F439" s="63">
        <f>IF(SYSTEM_CALCULATION!U428&lt;&gt;"SI","",IF(INPUT_SYSTEM!B437="USD",SYSTEM_CALCULATION!T428*CONFIG!B428,SYSTEM_CALCULATION!T428))</f>
        <v/>
      </c>
    </row>
    <row r="440" ht="15.75" customHeight="1" s="125">
      <c r="A440" s="62">
        <f>IF(SYSTEM_CALCULATION!U429="SI",SYSTEM_CALCULATION!B429,"")</f>
        <v/>
      </c>
      <c r="B440" s="62">
        <f>IF(SYSTEM_CALCULATION!U429="SI",SYSTEM_CALCULATION!E429,"")</f>
        <v/>
      </c>
      <c r="C440" s="62">
        <f>IF(SYSTEM_CALCULATION!U429="SI",SYSTEM_CALCULATION!O429,"")</f>
        <v/>
      </c>
      <c r="D440" s="62">
        <f>IF(SYSTEM_CALCULATION!U429="SI",SYSTEM_CALCULATION!G429,"")</f>
        <v/>
      </c>
      <c r="E440" s="63">
        <f>IF(SYSTEM_CALCULATION!U429&lt;&gt;"SI","",IF(INPUT_SYSTEM!B438="USD",SYSTEM_CALCULATION!R429*CONFIG!B429,SYSTEM_CALCULATION!R429))</f>
        <v/>
      </c>
      <c r="F440" s="63">
        <f>IF(SYSTEM_CALCULATION!U429&lt;&gt;"SI","",IF(INPUT_SYSTEM!B438="USD",SYSTEM_CALCULATION!T429*CONFIG!B429,SYSTEM_CALCULATION!T429))</f>
        <v/>
      </c>
    </row>
    <row r="441" ht="15.75" customHeight="1" s="125">
      <c r="A441" s="62">
        <f>IF(SYSTEM_CALCULATION!U430="SI",SYSTEM_CALCULATION!B430,"")</f>
        <v/>
      </c>
      <c r="B441" s="62">
        <f>IF(SYSTEM_CALCULATION!U430="SI",SYSTEM_CALCULATION!E430,"")</f>
        <v/>
      </c>
      <c r="C441" s="62">
        <f>IF(SYSTEM_CALCULATION!U430="SI",SYSTEM_CALCULATION!O430,"")</f>
        <v/>
      </c>
      <c r="D441" s="62">
        <f>IF(SYSTEM_CALCULATION!U430="SI",SYSTEM_CALCULATION!G430,"")</f>
        <v/>
      </c>
      <c r="E441" s="63">
        <f>IF(SYSTEM_CALCULATION!U430&lt;&gt;"SI","",IF(INPUT_SYSTEM!B439="USD",SYSTEM_CALCULATION!R430*CONFIG!B430,SYSTEM_CALCULATION!R430))</f>
        <v/>
      </c>
      <c r="F441" s="63">
        <f>IF(SYSTEM_CALCULATION!U430&lt;&gt;"SI","",IF(INPUT_SYSTEM!B439="USD",SYSTEM_CALCULATION!T430*CONFIG!B430,SYSTEM_CALCULATION!T430))</f>
        <v/>
      </c>
    </row>
    <row r="442" ht="15.75" customHeight="1" s="125">
      <c r="A442" s="62">
        <f>IF(SYSTEM_CALCULATION!U431="SI",SYSTEM_CALCULATION!B431,"")</f>
        <v/>
      </c>
      <c r="B442" s="62">
        <f>IF(SYSTEM_CALCULATION!U431="SI",SYSTEM_CALCULATION!E431,"")</f>
        <v/>
      </c>
      <c r="C442" s="62">
        <f>IF(SYSTEM_CALCULATION!U431="SI",SYSTEM_CALCULATION!O431,"")</f>
        <v/>
      </c>
      <c r="D442" s="62">
        <f>IF(SYSTEM_CALCULATION!U431="SI",SYSTEM_CALCULATION!G431,"")</f>
        <v/>
      </c>
      <c r="E442" s="63">
        <f>IF(SYSTEM_CALCULATION!U431&lt;&gt;"SI","",IF(INPUT_SYSTEM!B440="USD",SYSTEM_CALCULATION!R431*CONFIG!B431,SYSTEM_CALCULATION!R431))</f>
        <v/>
      </c>
      <c r="F442" s="63">
        <f>IF(SYSTEM_CALCULATION!U431&lt;&gt;"SI","",IF(INPUT_SYSTEM!B440="USD",SYSTEM_CALCULATION!T431*CONFIG!B431,SYSTEM_CALCULATION!T431))</f>
        <v/>
      </c>
    </row>
    <row r="443" ht="15.75" customHeight="1" s="125">
      <c r="A443" s="62">
        <f>IF(SYSTEM_CALCULATION!U432="SI",SYSTEM_CALCULATION!B432,"")</f>
        <v/>
      </c>
      <c r="B443" s="62">
        <f>IF(SYSTEM_CALCULATION!U432="SI",SYSTEM_CALCULATION!E432,"")</f>
        <v/>
      </c>
      <c r="C443" s="62">
        <f>IF(SYSTEM_CALCULATION!U432="SI",SYSTEM_CALCULATION!O432,"")</f>
        <v/>
      </c>
      <c r="D443" s="62">
        <f>IF(SYSTEM_CALCULATION!U432="SI",SYSTEM_CALCULATION!G432,"")</f>
        <v/>
      </c>
      <c r="E443" s="63">
        <f>IF(SYSTEM_CALCULATION!U432&lt;&gt;"SI","",IF(INPUT_SYSTEM!B441="USD",SYSTEM_CALCULATION!R432*CONFIG!B432,SYSTEM_CALCULATION!R432))</f>
        <v/>
      </c>
      <c r="F443" s="63">
        <f>IF(SYSTEM_CALCULATION!U432&lt;&gt;"SI","",IF(INPUT_SYSTEM!B441="USD",SYSTEM_CALCULATION!T432*CONFIG!B432,SYSTEM_CALCULATION!T432))</f>
        <v/>
      </c>
    </row>
    <row r="444" ht="15.75" customHeight="1" s="125">
      <c r="A444" s="62">
        <f>IF(SYSTEM_CALCULATION!U433="SI",SYSTEM_CALCULATION!B433,"")</f>
        <v/>
      </c>
      <c r="B444" s="62">
        <f>IF(SYSTEM_CALCULATION!U433="SI",SYSTEM_CALCULATION!E433,"")</f>
        <v/>
      </c>
      <c r="C444" s="62">
        <f>IF(SYSTEM_CALCULATION!U433="SI",SYSTEM_CALCULATION!O433,"")</f>
        <v/>
      </c>
      <c r="D444" s="62">
        <f>IF(SYSTEM_CALCULATION!U433="SI",SYSTEM_CALCULATION!G433,"")</f>
        <v/>
      </c>
      <c r="E444" s="63">
        <f>IF(SYSTEM_CALCULATION!U433&lt;&gt;"SI","",IF(INPUT_SYSTEM!B442="USD",SYSTEM_CALCULATION!R433*CONFIG!B433,SYSTEM_CALCULATION!R433))</f>
        <v/>
      </c>
      <c r="F444" s="63">
        <f>IF(SYSTEM_CALCULATION!U433&lt;&gt;"SI","",IF(INPUT_SYSTEM!B442="USD",SYSTEM_CALCULATION!T433*CONFIG!B433,SYSTEM_CALCULATION!T433))</f>
        <v/>
      </c>
    </row>
    <row r="445" ht="15.75" customHeight="1" s="125">
      <c r="A445" s="62">
        <f>IF(SYSTEM_CALCULATION!U434="SI",SYSTEM_CALCULATION!B434,"")</f>
        <v/>
      </c>
      <c r="B445" s="62">
        <f>IF(SYSTEM_CALCULATION!U434="SI",SYSTEM_CALCULATION!E434,"")</f>
        <v/>
      </c>
      <c r="C445" s="62">
        <f>IF(SYSTEM_CALCULATION!U434="SI",SYSTEM_CALCULATION!O434,"")</f>
        <v/>
      </c>
      <c r="D445" s="62">
        <f>IF(SYSTEM_CALCULATION!U434="SI",SYSTEM_CALCULATION!G434,"")</f>
        <v/>
      </c>
      <c r="E445" s="63">
        <f>IF(SYSTEM_CALCULATION!U434&lt;&gt;"SI","",IF(INPUT_SYSTEM!B443="USD",SYSTEM_CALCULATION!R434*CONFIG!B434,SYSTEM_CALCULATION!R434))</f>
        <v/>
      </c>
      <c r="F445" s="63">
        <f>IF(SYSTEM_CALCULATION!U434&lt;&gt;"SI","",IF(INPUT_SYSTEM!B443="USD",SYSTEM_CALCULATION!T434*CONFIG!B434,SYSTEM_CALCULATION!T434))</f>
        <v/>
      </c>
    </row>
    <row r="446" ht="15.75" customHeight="1" s="125">
      <c r="A446" s="62">
        <f>IF(SYSTEM_CALCULATION!U435="SI",SYSTEM_CALCULATION!B435,"")</f>
        <v/>
      </c>
      <c r="B446" s="62">
        <f>IF(SYSTEM_CALCULATION!U435="SI",SYSTEM_CALCULATION!E435,"")</f>
        <v/>
      </c>
      <c r="C446" s="62">
        <f>IF(SYSTEM_CALCULATION!U435="SI",SYSTEM_CALCULATION!O435,"")</f>
        <v/>
      </c>
      <c r="D446" s="62">
        <f>IF(SYSTEM_CALCULATION!U435="SI",SYSTEM_CALCULATION!G435,"")</f>
        <v/>
      </c>
      <c r="E446" s="63">
        <f>IF(SYSTEM_CALCULATION!U435&lt;&gt;"SI","",IF(INPUT_SYSTEM!B444="USD",SYSTEM_CALCULATION!R435*CONFIG!B435,SYSTEM_CALCULATION!R435))</f>
        <v/>
      </c>
      <c r="F446" s="63">
        <f>IF(SYSTEM_CALCULATION!U435&lt;&gt;"SI","",IF(INPUT_SYSTEM!B444="USD",SYSTEM_CALCULATION!T435*CONFIG!B435,SYSTEM_CALCULATION!T435))</f>
        <v/>
      </c>
    </row>
    <row r="447" ht="15.75" customHeight="1" s="125">
      <c r="A447" s="62">
        <f>IF(SYSTEM_CALCULATION!U436="SI",SYSTEM_CALCULATION!B436,"")</f>
        <v/>
      </c>
      <c r="B447" s="62">
        <f>IF(SYSTEM_CALCULATION!U436="SI",SYSTEM_CALCULATION!E436,"")</f>
        <v/>
      </c>
      <c r="C447" s="62">
        <f>IF(SYSTEM_CALCULATION!U436="SI",SYSTEM_CALCULATION!O436,"")</f>
        <v/>
      </c>
      <c r="D447" s="62">
        <f>IF(SYSTEM_CALCULATION!U436="SI",SYSTEM_CALCULATION!G436,"")</f>
        <v/>
      </c>
      <c r="E447" s="63">
        <f>IF(SYSTEM_CALCULATION!U436&lt;&gt;"SI","",IF(INPUT_SYSTEM!B445="USD",SYSTEM_CALCULATION!R436*CONFIG!B436,SYSTEM_CALCULATION!R436))</f>
        <v/>
      </c>
      <c r="F447" s="63">
        <f>IF(SYSTEM_CALCULATION!U436&lt;&gt;"SI","",IF(INPUT_SYSTEM!B445="USD",SYSTEM_CALCULATION!T436*CONFIG!B436,SYSTEM_CALCULATION!T436))</f>
        <v/>
      </c>
    </row>
    <row r="448" ht="15.75" customHeight="1" s="125">
      <c r="A448" s="62">
        <f>IF(SYSTEM_CALCULATION!U437="SI",SYSTEM_CALCULATION!B437,"")</f>
        <v/>
      </c>
      <c r="B448" s="62">
        <f>IF(SYSTEM_CALCULATION!U437="SI",SYSTEM_CALCULATION!E437,"")</f>
        <v/>
      </c>
      <c r="C448" s="62">
        <f>IF(SYSTEM_CALCULATION!U437="SI",SYSTEM_CALCULATION!O437,"")</f>
        <v/>
      </c>
      <c r="D448" s="62">
        <f>IF(SYSTEM_CALCULATION!U437="SI",SYSTEM_CALCULATION!G437,"")</f>
        <v/>
      </c>
      <c r="E448" s="63">
        <f>IF(SYSTEM_CALCULATION!U437&lt;&gt;"SI","",IF(INPUT_SYSTEM!B446="USD",SYSTEM_CALCULATION!R437*CONFIG!B437,SYSTEM_CALCULATION!R437))</f>
        <v/>
      </c>
      <c r="F448" s="63">
        <f>IF(SYSTEM_CALCULATION!U437&lt;&gt;"SI","",IF(INPUT_SYSTEM!B446="USD",SYSTEM_CALCULATION!T437*CONFIG!B437,SYSTEM_CALCULATION!T437))</f>
        <v/>
      </c>
    </row>
    <row r="449" ht="15.75" customHeight="1" s="125">
      <c r="A449" s="62">
        <f>IF(SYSTEM_CALCULATION!U438="SI",SYSTEM_CALCULATION!B438,"")</f>
        <v/>
      </c>
      <c r="B449" s="62">
        <f>IF(SYSTEM_CALCULATION!U438="SI",SYSTEM_CALCULATION!E438,"")</f>
        <v/>
      </c>
      <c r="C449" s="62">
        <f>IF(SYSTEM_CALCULATION!U438="SI",SYSTEM_CALCULATION!O438,"")</f>
        <v/>
      </c>
      <c r="D449" s="62">
        <f>IF(SYSTEM_CALCULATION!U438="SI",SYSTEM_CALCULATION!G438,"")</f>
        <v/>
      </c>
      <c r="E449" s="63">
        <f>IF(SYSTEM_CALCULATION!U438&lt;&gt;"SI","",IF(INPUT_SYSTEM!B447="USD",SYSTEM_CALCULATION!R438*CONFIG!B438,SYSTEM_CALCULATION!R438))</f>
        <v/>
      </c>
      <c r="F449" s="63">
        <f>IF(SYSTEM_CALCULATION!U438&lt;&gt;"SI","",IF(INPUT_SYSTEM!B447="USD",SYSTEM_CALCULATION!T438*CONFIG!B438,SYSTEM_CALCULATION!T438))</f>
        <v/>
      </c>
    </row>
    <row r="450" ht="15.75" customHeight="1" s="125">
      <c r="A450" s="62">
        <f>IF(SYSTEM_CALCULATION!U439="SI",SYSTEM_CALCULATION!B439,"")</f>
        <v/>
      </c>
      <c r="B450" s="62">
        <f>IF(SYSTEM_CALCULATION!U439="SI",SYSTEM_CALCULATION!E439,"")</f>
        <v/>
      </c>
      <c r="C450" s="62">
        <f>IF(SYSTEM_CALCULATION!U439="SI",SYSTEM_CALCULATION!O439,"")</f>
        <v/>
      </c>
      <c r="D450" s="62">
        <f>IF(SYSTEM_CALCULATION!U439="SI",SYSTEM_CALCULATION!G439,"")</f>
        <v/>
      </c>
      <c r="E450" s="63">
        <f>IF(SYSTEM_CALCULATION!U439&lt;&gt;"SI","",IF(INPUT_SYSTEM!B448="USD",SYSTEM_CALCULATION!R439*CONFIG!B439,SYSTEM_CALCULATION!R439))</f>
        <v/>
      </c>
      <c r="F450" s="63">
        <f>IF(SYSTEM_CALCULATION!U439&lt;&gt;"SI","",IF(INPUT_SYSTEM!B448="USD",SYSTEM_CALCULATION!T439*CONFIG!B439,SYSTEM_CALCULATION!T439))</f>
        <v/>
      </c>
    </row>
    <row r="451" ht="15.75" customHeight="1" s="125">
      <c r="A451" s="62">
        <f>IF(SYSTEM_CALCULATION!U440="SI",SYSTEM_CALCULATION!B440,"")</f>
        <v/>
      </c>
      <c r="B451" s="62">
        <f>IF(SYSTEM_CALCULATION!U440="SI",SYSTEM_CALCULATION!E440,"")</f>
        <v/>
      </c>
      <c r="C451" s="62">
        <f>IF(SYSTEM_CALCULATION!U440="SI",SYSTEM_CALCULATION!O440,"")</f>
        <v/>
      </c>
      <c r="D451" s="62">
        <f>IF(SYSTEM_CALCULATION!U440="SI",SYSTEM_CALCULATION!G440,"")</f>
        <v/>
      </c>
      <c r="E451" s="63">
        <f>IF(SYSTEM_CALCULATION!U440&lt;&gt;"SI","",IF(INPUT_SYSTEM!B449="USD",SYSTEM_CALCULATION!R440*CONFIG!B440,SYSTEM_CALCULATION!R440))</f>
        <v/>
      </c>
      <c r="F451" s="63">
        <f>IF(SYSTEM_CALCULATION!U440&lt;&gt;"SI","",IF(INPUT_SYSTEM!B449="USD",SYSTEM_CALCULATION!T440*CONFIG!B440,SYSTEM_CALCULATION!T440))</f>
        <v/>
      </c>
    </row>
    <row r="452" ht="15.75" customHeight="1" s="125">
      <c r="A452" s="62">
        <f>IF(SYSTEM_CALCULATION!U441="SI",SYSTEM_CALCULATION!B441,"")</f>
        <v/>
      </c>
      <c r="B452" s="62">
        <f>IF(SYSTEM_CALCULATION!U441="SI",SYSTEM_CALCULATION!E441,"")</f>
        <v/>
      </c>
      <c r="C452" s="62">
        <f>IF(SYSTEM_CALCULATION!U441="SI",SYSTEM_CALCULATION!O441,"")</f>
        <v/>
      </c>
      <c r="D452" s="62">
        <f>IF(SYSTEM_CALCULATION!U441="SI",SYSTEM_CALCULATION!G441,"")</f>
        <v/>
      </c>
      <c r="E452" s="63">
        <f>IF(SYSTEM_CALCULATION!U441&lt;&gt;"SI","",IF(INPUT_SYSTEM!B450="USD",SYSTEM_CALCULATION!R441*CONFIG!B441,SYSTEM_CALCULATION!R441))</f>
        <v/>
      </c>
      <c r="F452" s="63">
        <f>IF(SYSTEM_CALCULATION!U441&lt;&gt;"SI","",IF(INPUT_SYSTEM!B450="USD",SYSTEM_CALCULATION!T441*CONFIG!B441,SYSTEM_CALCULATION!T441))</f>
        <v/>
      </c>
    </row>
    <row r="453" ht="15.75" customHeight="1" s="125">
      <c r="A453" s="62">
        <f>IF(SYSTEM_CALCULATION!U442="SI",SYSTEM_CALCULATION!B442,"")</f>
        <v/>
      </c>
      <c r="B453" s="62">
        <f>IF(SYSTEM_CALCULATION!U442="SI",SYSTEM_CALCULATION!E442,"")</f>
        <v/>
      </c>
      <c r="C453" s="62">
        <f>IF(SYSTEM_CALCULATION!U442="SI",SYSTEM_CALCULATION!O442,"")</f>
        <v/>
      </c>
      <c r="D453" s="62">
        <f>IF(SYSTEM_CALCULATION!U442="SI",SYSTEM_CALCULATION!G442,"")</f>
        <v/>
      </c>
      <c r="E453" s="63">
        <f>IF(SYSTEM_CALCULATION!U442&lt;&gt;"SI","",IF(INPUT_SYSTEM!B451="USD",SYSTEM_CALCULATION!R442*CONFIG!B442,SYSTEM_CALCULATION!R442))</f>
        <v/>
      </c>
      <c r="F453" s="63">
        <f>IF(SYSTEM_CALCULATION!U442&lt;&gt;"SI","",IF(INPUT_SYSTEM!B451="USD",SYSTEM_CALCULATION!T442*CONFIG!B442,SYSTEM_CALCULATION!T442))</f>
        <v/>
      </c>
    </row>
    <row r="454" ht="15.75" customHeight="1" s="125">
      <c r="A454" s="62">
        <f>IF(SYSTEM_CALCULATION!U443="SI",SYSTEM_CALCULATION!B443,"")</f>
        <v/>
      </c>
      <c r="B454" s="62">
        <f>IF(SYSTEM_CALCULATION!U443="SI",SYSTEM_CALCULATION!E443,"")</f>
        <v/>
      </c>
      <c r="C454" s="62">
        <f>IF(SYSTEM_CALCULATION!U443="SI",SYSTEM_CALCULATION!O443,"")</f>
        <v/>
      </c>
      <c r="D454" s="62">
        <f>IF(SYSTEM_CALCULATION!U443="SI",SYSTEM_CALCULATION!G443,"")</f>
        <v/>
      </c>
      <c r="E454" s="63">
        <f>IF(SYSTEM_CALCULATION!U443&lt;&gt;"SI","",IF(INPUT_SYSTEM!B452="USD",SYSTEM_CALCULATION!R443*CONFIG!B443,SYSTEM_CALCULATION!R443))</f>
        <v/>
      </c>
      <c r="F454" s="63">
        <f>IF(SYSTEM_CALCULATION!U443&lt;&gt;"SI","",IF(INPUT_SYSTEM!B452="USD",SYSTEM_CALCULATION!T443*CONFIG!B443,SYSTEM_CALCULATION!T443))</f>
        <v/>
      </c>
    </row>
    <row r="455" ht="15.75" customHeight="1" s="125">
      <c r="A455" s="62">
        <f>IF(SYSTEM_CALCULATION!U444="SI",SYSTEM_CALCULATION!B444,"")</f>
        <v/>
      </c>
      <c r="B455" s="62">
        <f>IF(SYSTEM_CALCULATION!U444="SI",SYSTEM_CALCULATION!E444,"")</f>
        <v/>
      </c>
      <c r="C455" s="62">
        <f>IF(SYSTEM_CALCULATION!U444="SI",SYSTEM_CALCULATION!O444,"")</f>
        <v/>
      </c>
      <c r="D455" s="62">
        <f>IF(SYSTEM_CALCULATION!U444="SI",SYSTEM_CALCULATION!G444,"")</f>
        <v/>
      </c>
      <c r="E455" s="63">
        <f>IF(SYSTEM_CALCULATION!U444&lt;&gt;"SI","",IF(INPUT_SYSTEM!B453="USD",SYSTEM_CALCULATION!R444*CONFIG!B444,SYSTEM_CALCULATION!R444))</f>
        <v/>
      </c>
      <c r="F455" s="63">
        <f>IF(SYSTEM_CALCULATION!U444&lt;&gt;"SI","",IF(INPUT_SYSTEM!B453="USD",SYSTEM_CALCULATION!T444*CONFIG!B444,SYSTEM_CALCULATION!T444))</f>
        <v/>
      </c>
    </row>
    <row r="456" ht="15.75" customHeight="1" s="125">
      <c r="A456" s="62">
        <f>IF(SYSTEM_CALCULATION!U445="SI",SYSTEM_CALCULATION!B445,"")</f>
        <v/>
      </c>
      <c r="B456" s="62">
        <f>IF(SYSTEM_CALCULATION!U445="SI",SYSTEM_CALCULATION!E445,"")</f>
        <v/>
      </c>
      <c r="C456" s="62">
        <f>IF(SYSTEM_CALCULATION!U445="SI",SYSTEM_CALCULATION!O445,"")</f>
        <v/>
      </c>
      <c r="D456" s="62">
        <f>IF(SYSTEM_CALCULATION!U445="SI",SYSTEM_CALCULATION!G445,"")</f>
        <v/>
      </c>
      <c r="E456" s="63">
        <f>IF(SYSTEM_CALCULATION!U445&lt;&gt;"SI","",IF(INPUT_SYSTEM!B454="USD",SYSTEM_CALCULATION!R445*CONFIG!B445,SYSTEM_CALCULATION!R445))</f>
        <v/>
      </c>
      <c r="F456" s="63">
        <f>IF(SYSTEM_CALCULATION!U445&lt;&gt;"SI","",IF(INPUT_SYSTEM!B454="USD",SYSTEM_CALCULATION!T445*CONFIG!B445,SYSTEM_CALCULATION!T445))</f>
        <v/>
      </c>
    </row>
    <row r="457" ht="15.75" customHeight="1" s="125">
      <c r="A457" s="62">
        <f>IF(SYSTEM_CALCULATION!U446="SI",SYSTEM_CALCULATION!B446,"")</f>
        <v/>
      </c>
      <c r="B457" s="62">
        <f>IF(SYSTEM_CALCULATION!U446="SI",SYSTEM_CALCULATION!E446,"")</f>
        <v/>
      </c>
      <c r="C457" s="62">
        <f>IF(SYSTEM_CALCULATION!U446="SI",SYSTEM_CALCULATION!O446,"")</f>
        <v/>
      </c>
      <c r="D457" s="62">
        <f>IF(SYSTEM_CALCULATION!U446="SI",SYSTEM_CALCULATION!G446,"")</f>
        <v/>
      </c>
      <c r="E457" s="63">
        <f>IF(SYSTEM_CALCULATION!U446&lt;&gt;"SI","",IF(INPUT_SYSTEM!B455="USD",SYSTEM_CALCULATION!R446*CONFIG!B446,SYSTEM_CALCULATION!R446))</f>
        <v/>
      </c>
      <c r="F457" s="63">
        <f>IF(SYSTEM_CALCULATION!U446&lt;&gt;"SI","",IF(INPUT_SYSTEM!B455="USD",SYSTEM_CALCULATION!T446*CONFIG!B446,SYSTEM_CALCULATION!T446))</f>
        <v/>
      </c>
    </row>
    <row r="458" ht="15.75" customHeight="1" s="125">
      <c r="A458" s="62">
        <f>IF(SYSTEM_CALCULATION!U447="SI",SYSTEM_CALCULATION!B447,"")</f>
        <v/>
      </c>
      <c r="B458" s="62">
        <f>IF(SYSTEM_CALCULATION!U447="SI",SYSTEM_CALCULATION!E447,"")</f>
        <v/>
      </c>
      <c r="C458" s="62">
        <f>IF(SYSTEM_CALCULATION!U447="SI",SYSTEM_CALCULATION!O447,"")</f>
        <v/>
      </c>
      <c r="D458" s="62">
        <f>IF(SYSTEM_CALCULATION!U447="SI",SYSTEM_CALCULATION!G447,"")</f>
        <v/>
      </c>
      <c r="E458" s="63">
        <f>IF(SYSTEM_CALCULATION!U447&lt;&gt;"SI","",IF(INPUT_SYSTEM!B456="USD",SYSTEM_CALCULATION!R447*CONFIG!B447,SYSTEM_CALCULATION!R447))</f>
        <v/>
      </c>
      <c r="F458" s="63">
        <f>IF(SYSTEM_CALCULATION!U447&lt;&gt;"SI","",IF(INPUT_SYSTEM!B456="USD",SYSTEM_CALCULATION!T447*CONFIG!B447,SYSTEM_CALCULATION!T447))</f>
        <v/>
      </c>
    </row>
    <row r="459" ht="15.75" customHeight="1" s="125">
      <c r="A459" s="62">
        <f>IF(SYSTEM_CALCULATION!U448="SI",SYSTEM_CALCULATION!B448,"")</f>
        <v/>
      </c>
      <c r="B459" s="62">
        <f>IF(SYSTEM_CALCULATION!U448="SI",SYSTEM_CALCULATION!E448,"")</f>
        <v/>
      </c>
      <c r="C459" s="62">
        <f>IF(SYSTEM_CALCULATION!U448="SI",SYSTEM_CALCULATION!O448,"")</f>
        <v/>
      </c>
      <c r="D459" s="62">
        <f>IF(SYSTEM_CALCULATION!U448="SI",SYSTEM_CALCULATION!G448,"")</f>
        <v/>
      </c>
      <c r="E459" s="63">
        <f>IF(SYSTEM_CALCULATION!U448&lt;&gt;"SI","",IF(INPUT_SYSTEM!B457="USD",SYSTEM_CALCULATION!R448*CONFIG!B448,SYSTEM_CALCULATION!R448))</f>
        <v/>
      </c>
      <c r="F459" s="63">
        <f>IF(SYSTEM_CALCULATION!U448&lt;&gt;"SI","",IF(INPUT_SYSTEM!B457="USD",SYSTEM_CALCULATION!T448*CONFIG!B448,SYSTEM_CALCULATION!T448))</f>
        <v/>
      </c>
    </row>
    <row r="460" ht="15.75" customHeight="1" s="125">
      <c r="A460" s="62">
        <f>IF(SYSTEM_CALCULATION!U449="SI",SYSTEM_CALCULATION!B449,"")</f>
        <v/>
      </c>
      <c r="B460" s="62">
        <f>IF(SYSTEM_CALCULATION!U449="SI",SYSTEM_CALCULATION!E449,"")</f>
        <v/>
      </c>
      <c r="C460" s="62">
        <f>IF(SYSTEM_CALCULATION!U449="SI",SYSTEM_CALCULATION!O449,"")</f>
        <v/>
      </c>
      <c r="D460" s="62">
        <f>IF(SYSTEM_CALCULATION!U449="SI",SYSTEM_CALCULATION!G449,"")</f>
        <v/>
      </c>
      <c r="E460" s="63">
        <f>IF(SYSTEM_CALCULATION!U449&lt;&gt;"SI","",IF(INPUT_SYSTEM!B458="USD",SYSTEM_CALCULATION!R449*CONFIG!B449,SYSTEM_CALCULATION!R449))</f>
        <v/>
      </c>
      <c r="F460" s="63">
        <f>IF(SYSTEM_CALCULATION!U449&lt;&gt;"SI","",IF(INPUT_SYSTEM!B458="USD",SYSTEM_CALCULATION!T449*CONFIG!B449,SYSTEM_CALCULATION!T449))</f>
        <v/>
      </c>
    </row>
    <row r="461" ht="15.75" customHeight="1" s="125">
      <c r="A461" s="62">
        <f>IF(SYSTEM_CALCULATION!U450="SI",SYSTEM_CALCULATION!B450,"")</f>
        <v/>
      </c>
      <c r="B461" s="62">
        <f>IF(SYSTEM_CALCULATION!U450="SI",SYSTEM_CALCULATION!E450,"")</f>
        <v/>
      </c>
      <c r="C461" s="62">
        <f>IF(SYSTEM_CALCULATION!U450="SI",SYSTEM_CALCULATION!O450,"")</f>
        <v/>
      </c>
      <c r="D461" s="62">
        <f>IF(SYSTEM_CALCULATION!U450="SI",SYSTEM_CALCULATION!G450,"")</f>
        <v/>
      </c>
      <c r="E461" s="63">
        <f>IF(SYSTEM_CALCULATION!U450&lt;&gt;"SI","",IF(INPUT_SYSTEM!B459="USD",SYSTEM_CALCULATION!R450*CONFIG!B450,SYSTEM_CALCULATION!R450))</f>
        <v/>
      </c>
      <c r="F461" s="63">
        <f>IF(SYSTEM_CALCULATION!U450&lt;&gt;"SI","",IF(INPUT_SYSTEM!B459="USD",SYSTEM_CALCULATION!T450*CONFIG!B450,SYSTEM_CALCULATION!T450))</f>
        <v/>
      </c>
    </row>
    <row r="462" ht="15.75" customHeight="1" s="125">
      <c r="A462" s="62">
        <f>IF(SYSTEM_CALCULATION!U451="SI",SYSTEM_CALCULATION!B451,"")</f>
        <v/>
      </c>
      <c r="B462" s="62">
        <f>IF(SYSTEM_CALCULATION!U451="SI",SYSTEM_CALCULATION!E451,"")</f>
        <v/>
      </c>
      <c r="C462" s="62">
        <f>IF(SYSTEM_CALCULATION!U451="SI",SYSTEM_CALCULATION!O451,"")</f>
        <v/>
      </c>
      <c r="D462" s="62">
        <f>IF(SYSTEM_CALCULATION!U451="SI",SYSTEM_CALCULATION!G451,"")</f>
        <v/>
      </c>
      <c r="E462" s="63">
        <f>IF(SYSTEM_CALCULATION!U451&lt;&gt;"SI","",IF(INPUT_SYSTEM!B460="USD",SYSTEM_CALCULATION!R451*CONFIG!B451,SYSTEM_CALCULATION!R451))</f>
        <v/>
      </c>
      <c r="F462" s="63">
        <f>IF(SYSTEM_CALCULATION!U451&lt;&gt;"SI","",IF(INPUT_SYSTEM!B460="USD",SYSTEM_CALCULATION!T451*CONFIG!B451,SYSTEM_CALCULATION!T451))</f>
        <v/>
      </c>
    </row>
    <row r="463" ht="15.75" customHeight="1" s="125">
      <c r="A463" s="62">
        <f>IF(SYSTEM_CALCULATION!U452="SI",SYSTEM_CALCULATION!B452,"")</f>
        <v/>
      </c>
      <c r="B463" s="62">
        <f>IF(SYSTEM_CALCULATION!U452="SI",SYSTEM_CALCULATION!E452,"")</f>
        <v/>
      </c>
      <c r="C463" s="62">
        <f>IF(SYSTEM_CALCULATION!U452="SI",SYSTEM_CALCULATION!O452,"")</f>
        <v/>
      </c>
      <c r="D463" s="62">
        <f>IF(SYSTEM_CALCULATION!U452="SI",SYSTEM_CALCULATION!G452,"")</f>
        <v/>
      </c>
      <c r="E463" s="63">
        <f>IF(SYSTEM_CALCULATION!U452&lt;&gt;"SI","",IF(INPUT_SYSTEM!B461="USD",SYSTEM_CALCULATION!R452*CONFIG!B452,SYSTEM_CALCULATION!R452))</f>
        <v/>
      </c>
      <c r="F463" s="63">
        <f>IF(SYSTEM_CALCULATION!U452&lt;&gt;"SI","",IF(INPUT_SYSTEM!B461="USD",SYSTEM_CALCULATION!T452*CONFIG!B452,SYSTEM_CALCULATION!T452))</f>
        <v/>
      </c>
    </row>
    <row r="464" ht="15.75" customHeight="1" s="125">
      <c r="A464" s="62">
        <f>IF(SYSTEM_CALCULATION!U453="SI",SYSTEM_CALCULATION!B453,"")</f>
        <v/>
      </c>
      <c r="B464" s="62">
        <f>IF(SYSTEM_CALCULATION!U453="SI",SYSTEM_CALCULATION!E453,"")</f>
        <v/>
      </c>
      <c r="C464" s="62">
        <f>IF(SYSTEM_CALCULATION!U453="SI",SYSTEM_CALCULATION!O453,"")</f>
        <v/>
      </c>
      <c r="D464" s="62">
        <f>IF(SYSTEM_CALCULATION!U453="SI",SYSTEM_CALCULATION!G453,"")</f>
        <v/>
      </c>
      <c r="E464" s="63">
        <f>IF(SYSTEM_CALCULATION!U453&lt;&gt;"SI","",IF(INPUT_SYSTEM!B462="USD",SYSTEM_CALCULATION!R453*CONFIG!B453,SYSTEM_CALCULATION!R453))</f>
        <v/>
      </c>
      <c r="F464" s="63">
        <f>IF(SYSTEM_CALCULATION!U453&lt;&gt;"SI","",IF(INPUT_SYSTEM!B462="USD",SYSTEM_CALCULATION!T453*CONFIG!B453,SYSTEM_CALCULATION!T453))</f>
        <v/>
      </c>
    </row>
    <row r="465" ht="15.75" customHeight="1" s="125">
      <c r="A465" s="62">
        <f>IF(SYSTEM_CALCULATION!U454="SI",SYSTEM_CALCULATION!B454,"")</f>
        <v/>
      </c>
      <c r="B465" s="62">
        <f>IF(SYSTEM_CALCULATION!U454="SI",SYSTEM_CALCULATION!E454,"")</f>
        <v/>
      </c>
      <c r="C465" s="62">
        <f>IF(SYSTEM_CALCULATION!U454="SI",SYSTEM_CALCULATION!O454,"")</f>
        <v/>
      </c>
      <c r="D465" s="62">
        <f>IF(SYSTEM_CALCULATION!U454="SI",SYSTEM_CALCULATION!G454,"")</f>
        <v/>
      </c>
      <c r="E465" s="63">
        <f>IF(SYSTEM_CALCULATION!U454&lt;&gt;"SI","",IF(INPUT_SYSTEM!B463="USD",SYSTEM_CALCULATION!R454*CONFIG!B454,SYSTEM_CALCULATION!R454))</f>
        <v/>
      </c>
      <c r="F465" s="63">
        <f>IF(SYSTEM_CALCULATION!U454&lt;&gt;"SI","",IF(INPUT_SYSTEM!B463="USD",SYSTEM_CALCULATION!T454*CONFIG!B454,SYSTEM_CALCULATION!T454))</f>
        <v/>
      </c>
    </row>
    <row r="466" ht="15.75" customHeight="1" s="125">
      <c r="A466" s="62">
        <f>IF(SYSTEM_CALCULATION!U455="SI",SYSTEM_CALCULATION!B455,"")</f>
        <v/>
      </c>
      <c r="B466" s="62">
        <f>IF(SYSTEM_CALCULATION!U455="SI",SYSTEM_CALCULATION!E455,"")</f>
        <v/>
      </c>
      <c r="C466" s="62">
        <f>IF(SYSTEM_CALCULATION!U455="SI",SYSTEM_CALCULATION!O455,"")</f>
        <v/>
      </c>
      <c r="D466" s="62">
        <f>IF(SYSTEM_CALCULATION!U455="SI",SYSTEM_CALCULATION!G455,"")</f>
        <v/>
      </c>
      <c r="E466" s="63">
        <f>IF(SYSTEM_CALCULATION!U455&lt;&gt;"SI","",IF(INPUT_SYSTEM!B464="USD",SYSTEM_CALCULATION!R455*CONFIG!B455,SYSTEM_CALCULATION!R455))</f>
        <v/>
      </c>
      <c r="F466" s="63">
        <f>IF(SYSTEM_CALCULATION!U455&lt;&gt;"SI","",IF(INPUT_SYSTEM!B464="USD",SYSTEM_CALCULATION!T455*CONFIG!B455,SYSTEM_CALCULATION!T455))</f>
        <v/>
      </c>
    </row>
    <row r="467" ht="15.75" customHeight="1" s="125">
      <c r="A467" s="62">
        <f>IF(SYSTEM_CALCULATION!U456="SI",SYSTEM_CALCULATION!B456,"")</f>
        <v/>
      </c>
      <c r="B467" s="62">
        <f>IF(SYSTEM_CALCULATION!U456="SI",SYSTEM_CALCULATION!E456,"")</f>
        <v/>
      </c>
      <c r="C467" s="62">
        <f>IF(SYSTEM_CALCULATION!U456="SI",SYSTEM_CALCULATION!O456,"")</f>
        <v/>
      </c>
      <c r="D467" s="62">
        <f>IF(SYSTEM_CALCULATION!U456="SI",SYSTEM_CALCULATION!G456,"")</f>
        <v/>
      </c>
      <c r="E467" s="63">
        <f>IF(SYSTEM_CALCULATION!U456&lt;&gt;"SI","",IF(INPUT_SYSTEM!B465="USD",SYSTEM_CALCULATION!R456*CONFIG!B456,SYSTEM_CALCULATION!R456))</f>
        <v/>
      </c>
      <c r="F467" s="63">
        <f>IF(SYSTEM_CALCULATION!U456&lt;&gt;"SI","",IF(INPUT_SYSTEM!B465="USD",SYSTEM_CALCULATION!T456*CONFIG!B456,SYSTEM_CALCULATION!T456))</f>
        <v/>
      </c>
    </row>
    <row r="468" ht="15.75" customHeight="1" s="125">
      <c r="A468" s="62">
        <f>IF(SYSTEM_CALCULATION!U457="SI",SYSTEM_CALCULATION!B457,"")</f>
        <v/>
      </c>
      <c r="B468" s="62">
        <f>IF(SYSTEM_CALCULATION!U457="SI",SYSTEM_CALCULATION!E457,"")</f>
        <v/>
      </c>
      <c r="C468" s="62">
        <f>IF(SYSTEM_CALCULATION!U457="SI",SYSTEM_CALCULATION!O457,"")</f>
        <v/>
      </c>
      <c r="D468" s="62">
        <f>IF(SYSTEM_CALCULATION!U457="SI",SYSTEM_CALCULATION!G457,"")</f>
        <v/>
      </c>
      <c r="E468" s="63">
        <f>IF(SYSTEM_CALCULATION!U457&lt;&gt;"SI","",IF(INPUT_SYSTEM!B466="USD",SYSTEM_CALCULATION!R457*CONFIG!B457,SYSTEM_CALCULATION!R457))</f>
        <v/>
      </c>
      <c r="F468" s="63">
        <f>IF(SYSTEM_CALCULATION!U457&lt;&gt;"SI","",IF(INPUT_SYSTEM!B466="USD",SYSTEM_CALCULATION!T457*CONFIG!B457,SYSTEM_CALCULATION!T457))</f>
        <v/>
      </c>
    </row>
    <row r="469" ht="15.75" customHeight="1" s="125">
      <c r="A469" s="62">
        <f>IF(SYSTEM_CALCULATION!U458="SI",SYSTEM_CALCULATION!B458,"")</f>
        <v/>
      </c>
      <c r="B469" s="62">
        <f>IF(SYSTEM_CALCULATION!U458="SI",SYSTEM_CALCULATION!E458,"")</f>
        <v/>
      </c>
      <c r="C469" s="62">
        <f>IF(SYSTEM_CALCULATION!U458="SI",SYSTEM_CALCULATION!O458,"")</f>
        <v/>
      </c>
      <c r="D469" s="62">
        <f>IF(SYSTEM_CALCULATION!U458="SI",SYSTEM_CALCULATION!G458,"")</f>
        <v/>
      </c>
      <c r="E469" s="63">
        <f>IF(SYSTEM_CALCULATION!U458&lt;&gt;"SI","",IF(INPUT_SYSTEM!B467="USD",SYSTEM_CALCULATION!R458*CONFIG!B458,SYSTEM_CALCULATION!R458))</f>
        <v/>
      </c>
      <c r="F469" s="63">
        <f>IF(SYSTEM_CALCULATION!U458&lt;&gt;"SI","",IF(INPUT_SYSTEM!B467="USD",SYSTEM_CALCULATION!T458*CONFIG!B458,SYSTEM_CALCULATION!T458))</f>
        <v/>
      </c>
    </row>
    <row r="470" ht="15.75" customHeight="1" s="125">
      <c r="A470" s="62">
        <f>IF(SYSTEM_CALCULATION!U459="SI",SYSTEM_CALCULATION!B459,"")</f>
        <v/>
      </c>
      <c r="B470" s="62">
        <f>IF(SYSTEM_CALCULATION!U459="SI",SYSTEM_CALCULATION!E459,"")</f>
        <v/>
      </c>
      <c r="C470" s="62">
        <f>IF(SYSTEM_CALCULATION!U459="SI",SYSTEM_CALCULATION!O459,"")</f>
        <v/>
      </c>
      <c r="D470" s="62">
        <f>IF(SYSTEM_CALCULATION!U459="SI",SYSTEM_CALCULATION!G459,"")</f>
        <v/>
      </c>
      <c r="E470" s="63">
        <f>IF(SYSTEM_CALCULATION!U459&lt;&gt;"SI","",IF(INPUT_SYSTEM!B468="USD",SYSTEM_CALCULATION!R459*CONFIG!B459,SYSTEM_CALCULATION!R459))</f>
        <v/>
      </c>
      <c r="F470" s="63">
        <f>IF(SYSTEM_CALCULATION!U459&lt;&gt;"SI","",IF(INPUT_SYSTEM!B468="USD",SYSTEM_CALCULATION!T459*CONFIG!B459,SYSTEM_CALCULATION!T459))</f>
        <v/>
      </c>
    </row>
    <row r="471" ht="15.75" customHeight="1" s="125">
      <c r="A471" s="62">
        <f>IF(SYSTEM_CALCULATION!U460="SI",SYSTEM_CALCULATION!B460,"")</f>
        <v/>
      </c>
      <c r="B471" s="62">
        <f>IF(SYSTEM_CALCULATION!U460="SI",SYSTEM_CALCULATION!E460,"")</f>
        <v/>
      </c>
      <c r="C471" s="62">
        <f>IF(SYSTEM_CALCULATION!U460="SI",SYSTEM_CALCULATION!O460,"")</f>
        <v/>
      </c>
      <c r="D471" s="62">
        <f>IF(SYSTEM_CALCULATION!U460="SI",SYSTEM_CALCULATION!G460,"")</f>
        <v/>
      </c>
      <c r="E471" s="63">
        <f>IF(SYSTEM_CALCULATION!U460&lt;&gt;"SI","",IF(INPUT_SYSTEM!B469="USD",SYSTEM_CALCULATION!R460*CONFIG!B460,SYSTEM_CALCULATION!R460))</f>
        <v/>
      </c>
      <c r="F471" s="63">
        <f>IF(SYSTEM_CALCULATION!U460&lt;&gt;"SI","",IF(INPUT_SYSTEM!B469="USD",SYSTEM_CALCULATION!T460*CONFIG!B460,SYSTEM_CALCULATION!T460))</f>
        <v/>
      </c>
    </row>
    <row r="472" ht="15.75" customHeight="1" s="125">
      <c r="A472" s="62">
        <f>IF(SYSTEM_CALCULATION!U461="SI",SYSTEM_CALCULATION!B461,"")</f>
        <v/>
      </c>
      <c r="B472" s="62">
        <f>IF(SYSTEM_CALCULATION!U461="SI",SYSTEM_CALCULATION!E461,"")</f>
        <v/>
      </c>
      <c r="C472" s="62">
        <f>IF(SYSTEM_CALCULATION!U461="SI",SYSTEM_CALCULATION!O461,"")</f>
        <v/>
      </c>
      <c r="D472" s="62">
        <f>IF(SYSTEM_CALCULATION!U461="SI",SYSTEM_CALCULATION!G461,"")</f>
        <v/>
      </c>
      <c r="E472" s="63">
        <f>IF(SYSTEM_CALCULATION!U461&lt;&gt;"SI","",IF(INPUT_SYSTEM!B470="USD",SYSTEM_CALCULATION!R461*CONFIG!B461,SYSTEM_CALCULATION!R461))</f>
        <v/>
      </c>
      <c r="F472" s="63">
        <f>IF(SYSTEM_CALCULATION!U461&lt;&gt;"SI","",IF(INPUT_SYSTEM!B470="USD",SYSTEM_CALCULATION!T461*CONFIG!B461,SYSTEM_CALCULATION!T461))</f>
        <v/>
      </c>
    </row>
    <row r="473" ht="15.75" customHeight="1" s="125">
      <c r="A473" s="62">
        <f>IF(SYSTEM_CALCULATION!U462="SI",SYSTEM_CALCULATION!B462,"")</f>
        <v/>
      </c>
      <c r="B473" s="62">
        <f>IF(SYSTEM_CALCULATION!U462="SI",SYSTEM_CALCULATION!E462,"")</f>
        <v/>
      </c>
      <c r="C473" s="62">
        <f>IF(SYSTEM_CALCULATION!U462="SI",SYSTEM_CALCULATION!O462,"")</f>
        <v/>
      </c>
      <c r="D473" s="62">
        <f>IF(SYSTEM_CALCULATION!U462="SI",SYSTEM_CALCULATION!G462,"")</f>
        <v/>
      </c>
      <c r="E473" s="63">
        <f>IF(SYSTEM_CALCULATION!U462&lt;&gt;"SI","",IF(INPUT_SYSTEM!B471="USD",SYSTEM_CALCULATION!R462*CONFIG!B462,SYSTEM_CALCULATION!R462))</f>
        <v/>
      </c>
      <c r="F473" s="63">
        <f>IF(SYSTEM_CALCULATION!U462&lt;&gt;"SI","",IF(INPUT_SYSTEM!B471="USD",SYSTEM_CALCULATION!T462*CONFIG!B462,SYSTEM_CALCULATION!T462))</f>
        <v/>
      </c>
    </row>
    <row r="474" ht="15.75" customHeight="1" s="125">
      <c r="A474" s="62">
        <f>IF(SYSTEM_CALCULATION!U463="SI",SYSTEM_CALCULATION!B463,"")</f>
        <v/>
      </c>
      <c r="B474" s="62">
        <f>IF(SYSTEM_CALCULATION!U463="SI",SYSTEM_CALCULATION!E463,"")</f>
        <v/>
      </c>
      <c r="C474" s="62">
        <f>IF(SYSTEM_CALCULATION!U463="SI",SYSTEM_CALCULATION!O463,"")</f>
        <v/>
      </c>
      <c r="D474" s="62">
        <f>IF(SYSTEM_CALCULATION!U463="SI",SYSTEM_CALCULATION!G463,"")</f>
        <v/>
      </c>
      <c r="E474" s="63">
        <f>IF(SYSTEM_CALCULATION!U463&lt;&gt;"SI","",IF(INPUT_SYSTEM!B472="USD",SYSTEM_CALCULATION!R463*CONFIG!B463,SYSTEM_CALCULATION!R463))</f>
        <v/>
      </c>
      <c r="F474" s="63">
        <f>IF(SYSTEM_CALCULATION!U463&lt;&gt;"SI","",IF(INPUT_SYSTEM!B472="USD",SYSTEM_CALCULATION!T463*CONFIG!B463,SYSTEM_CALCULATION!T463))</f>
        <v/>
      </c>
    </row>
    <row r="475" ht="15.75" customHeight="1" s="125">
      <c r="A475" s="62">
        <f>IF(SYSTEM_CALCULATION!U464="SI",SYSTEM_CALCULATION!B464,"")</f>
        <v/>
      </c>
      <c r="B475" s="62">
        <f>IF(SYSTEM_CALCULATION!U464="SI",SYSTEM_CALCULATION!E464,"")</f>
        <v/>
      </c>
      <c r="C475" s="62">
        <f>IF(SYSTEM_CALCULATION!U464="SI",SYSTEM_CALCULATION!O464,"")</f>
        <v/>
      </c>
      <c r="D475" s="62">
        <f>IF(SYSTEM_CALCULATION!U464="SI",SYSTEM_CALCULATION!G464,"")</f>
        <v/>
      </c>
      <c r="E475" s="63">
        <f>IF(SYSTEM_CALCULATION!U464&lt;&gt;"SI","",IF(INPUT_SYSTEM!B473="USD",SYSTEM_CALCULATION!R464*CONFIG!B464,SYSTEM_CALCULATION!R464))</f>
        <v/>
      </c>
      <c r="F475" s="63">
        <f>IF(SYSTEM_CALCULATION!U464&lt;&gt;"SI","",IF(INPUT_SYSTEM!B473="USD",SYSTEM_CALCULATION!T464*CONFIG!B464,SYSTEM_CALCULATION!T464))</f>
        <v/>
      </c>
    </row>
    <row r="476" ht="15.75" customHeight="1" s="125">
      <c r="A476" s="62">
        <f>IF(SYSTEM_CALCULATION!U465="SI",SYSTEM_CALCULATION!B465,"")</f>
        <v/>
      </c>
      <c r="B476" s="62">
        <f>IF(SYSTEM_CALCULATION!U465="SI",SYSTEM_CALCULATION!E465,"")</f>
        <v/>
      </c>
      <c r="C476" s="62">
        <f>IF(SYSTEM_CALCULATION!U465="SI",SYSTEM_CALCULATION!O465,"")</f>
        <v/>
      </c>
      <c r="D476" s="62">
        <f>IF(SYSTEM_CALCULATION!U465="SI",SYSTEM_CALCULATION!G465,"")</f>
        <v/>
      </c>
      <c r="E476" s="63">
        <f>IF(SYSTEM_CALCULATION!U465&lt;&gt;"SI","",IF(INPUT_SYSTEM!B474="USD",SYSTEM_CALCULATION!R465*CONFIG!B465,SYSTEM_CALCULATION!R465))</f>
        <v/>
      </c>
      <c r="F476" s="63">
        <f>IF(SYSTEM_CALCULATION!U465&lt;&gt;"SI","",IF(INPUT_SYSTEM!B474="USD",SYSTEM_CALCULATION!T465*CONFIG!B465,SYSTEM_CALCULATION!T465))</f>
        <v/>
      </c>
    </row>
    <row r="477" ht="15.75" customHeight="1" s="125">
      <c r="A477" s="62">
        <f>IF(SYSTEM_CALCULATION!U466="SI",SYSTEM_CALCULATION!B466,"")</f>
        <v/>
      </c>
      <c r="B477" s="62">
        <f>IF(SYSTEM_CALCULATION!U466="SI",SYSTEM_CALCULATION!E466,"")</f>
        <v/>
      </c>
      <c r="C477" s="62">
        <f>IF(SYSTEM_CALCULATION!U466="SI",SYSTEM_CALCULATION!O466,"")</f>
        <v/>
      </c>
      <c r="D477" s="62">
        <f>IF(SYSTEM_CALCULATION!U466="SI",SYSTEM_CALCULATION!G466,"")</f>
        <v/>
      </c>
      <c r="E477" s="63">
        <f>IF(SYSTEM_CALCULATION!U466&lt;&gt;"SI","",IF(INPUT_SYSTEM!B475="USD",SYSTEM_CALCULATION!R466*CONFIG!B466,SYSTEM_CALCULATION!R466))</f>
        <v/>
      </c>
      <c r="F477" s="63">
        <f>IF(SYSTEM_CALCULATION!U466&lt;&gt;"SI","",IF(INPUT_SYSTEM!B475="USD",SYSTEM_CALCULATION!T466*CONFIG!B466,SYSTEM_CALCULATION!T466))</f>
        <v/>
      </c>
    </row>
    <row r="478" ht="15.75" customHeight="1" s="125">
      <c r="A478" s="62">
        <f>IF(SYSTEM_CALCULATION!U467="SI",SYSTEM_CALCULATION!B467,"")</f>
        <v/>
      </c>
      <c r="B478" s="62">
        <f>IF(SYSTEM_CALCULATION!U467="SI",SYSTEM_CALCULATION!E467,"")</f>
        <v/>
      </c>
      <c r="C478" s="62">
        <f>IF(SYSTEM_CALCULATION!U467="SI",SYSTEM_CALCULATION!O467,"")</f>
        <v/>
      </c>
      <c r="D478" s="62">
        <f>IF(SYSTEM_CALCULATION!U467="SI",SYSTEM_CALCULATION!G467,"")</f>
        <v/>
      </c>
      <c r="E478" s="63">
        <f>IF(SYSTEM_CALCULATION!U467&lt;&gt;"SI","",IF(INPUT_SYSTEM!B476="USD",SYSTEM_CALCULATION!R467*CONFIG!B467,SYSTEM_CALCULATION!R467))</f>
        <v/>
      </c>
      <c r="F478" s="63">
        <f>IF(SYSTEM_CALCULATION!U467&lt;&gt;"SI","",IF(INPUT_SYSTEM!B476="USD",SYSTEM_CALCULATION!T467*CONFIG!B467,SYSTEM_CALCULATION!T467))</f>
        <v/>
      </c>
    </row>
    <row r="479" ht="15.75" customHeight="1" s="125">
      <c r="A479" s="62">
        <f>IF(SYSTEM_CALCULATION!U468="SI",SYSTEM_CALCULATION!B468,"")</f>
        <v/>
      </c>
      <c r="B479" s="62">
        <f>IF(SYSTEM_CALCULATION!U468="SI",SYSTEM_CALCULATION!E468,"")</f>
        <v/>
      </c>
      <c r="C479" s="62">
        <f>IF(SYSTEM_CALCULATION!U468="SI",SYSTEM_CALCULATION!O468,"")</f>
        <v/>
      </c>
      <c r="D479" s="62">
        <f>IF(SYSTEM_CALCULATION!U468="SI",SYSTEM_CALCULATION!G468,"")</f>
        <v/>
      </c>
      <c r="E479" s="63">
        <f>IF(SYSTEM_CALCULATION!U468&lt;&gt;"SI","",IF(INPUT_SYSTEM!B477="USD",SYSTEM_CALCULATION!R468*CONFIG!B468,SYSTEM_CALCULATION!R468))</f>
        <v/>
      </c>
      <c r="F479" s="63">
        <f>IF(SYSTEM_CALCULATION!U468&lt;&gt;"SI","",IF(INPUT_SYSTEM!B477="USD",SYSTEM_CALCULATION!T468*CONFIG!B468,SYSTEM_CALCULATION!T468))</f>
        <v/>
      </c>
    </row>
    <row r="480" ht="15.75" customHeight="1" s="125">
      <c r="A480" s="62">
        <f>IF(SYSTEM_CALCULATION!U469="SI",SYSTEM_CALCULATION!B469,"")</f>
        <v/>
      </c>
      <c r="B480" s="62">
        <f>IF(SYSTEM_CALCULATION!U469="SI",SYSTEM_CALCULATION!E469,"")</f>
        <v/>
      </c>
      <c r="C480" s="62">
        <f>IF(SYSTEM_CALCULATION!U469="SI",SYSTEM_CALCULATION!O469,"")</f>
        <v/>
      </c>
      <c r="D480" s="62">
        <f>IF(SYSTEM_CALCULATION!U469="SI",SYSTEM_CALCULATION!G469,"")</f>
        <v/>
      </c>
      <c r="E480" s="63">
        <f>IF(SYSTEM_CALCULATION!U469&lt;&gt;"SI","",IF(INPUT_SYSTEM!B478="USD",SYSTEM_CALCULATION!R469*CONFIG!B469,SYSTEM_CALCULATION!R469))</f>
        <v/>
      </c>
      <c r="F480" s="63">
        <f>IF(SYSTEM_CALCULATION!U469&lt;&gt;"SI","",IF(INPUT_SYSTEM!B478="USD",SYSTEM_CALCULATION!T469*CONFIG!B469,SYSTEM_CALCULATION!T469))</f>
        <v/>
      </c>
    </row>
    <row r="481" ht="15.75" customHeight="1" s="125">
      <c r="A481" s="62">
        <f>IF(SYSTEM_CALCULATION!U470="SI",SYSTEM_CALCULATION!B470,"")</f>
        <v/>
      </c>
      <c r="B481" s="62">
        <f>IF(SYSTEM_CALCULATION!U470="SI",SYSTEM_CALCULATION!E470,"")</f>
        <v/>
      </c>
      <c r="C481" s="62">
        <f>IF(SYSTEM_CALCULATION!U470="SI",SYSTEM_CALCULATION!O470,"")</f>
        <v/>
      </c>
      <c r="D481" s="62">
        <f>IF(SYSTEM_CALCULATION!U470="SI",SYSTEM_CALCULATION!G470,"")</f>
        <v/>
      </c>
      <c r="E481" s="63">
        <f>IF(SYSTEM_CALCULATION!U470&lt;&gt;"SI","",IF(INPUT_SYSTEM!B479="USD",SYSTEM_CALCULATION!R470*CONFIG!B470,SYSTEM_CALCULATION!R470))</f>
        <v/>
      </c>
      <c r="F481" s="63">
        <f>IF(SYSTEM_CALCULATION!U470&lt;&gt;"SI","",IF(INPUT_SYSTEM!B479="USD",SYSTEM_CALCULATION!T470*CONFIG!B470,SYSTEM_CALCULATION!T470))</f>
        <v/>
      </c>
    </row>
    <row r="482" ht="15.75" customHeight="1" s="125">
      <c r="A482" s="62">
        <f>IF(SYSTEM_CALCULATION!U471="SI",SYSTEM_CALCULATION!B471,"")</f>
        <v/>
      </c>
      <c r="B482" s="62">
        <f>IF(SYSTEM_CALCULATION!U471="SI",SYSTEM_CALCULATION!E471,"")</f>
        <v/>
      </c>
      <c r="C482" s="62">
        <f>IF(SYSTEM_CALCULATION!U471="SI",SYSTEM_CALCULATION!O471,"")</f>
        <v/>
      </c>
      <c r="D482" s="62">
        <f>IF(SYSTEM_CALCULATION!U471="SI",SYSTEM_CALCULATION!G471,"")</f>
        <v/>
      </c>
      <c r="E482" s="63">
        <f>IF(SYSTEM_CALCULATION!U471&lt;&gt;"SI","",IF(INPUT_SYSTEM!B480="USD",SYSTEM_CALCULATION!R471*CONFIG!B471,SYSTEM_CALCULATION!R471))</f>
        <v/>
      </c>
      <c r="F482" s="63">
        <f>IF(SYSTEM_CALCULATION!U471&lt;&gt;"SI","",IF(INPUT_SYSTEM!B480="USD",SYSTEM_CALCULATION!T471*CONFIG!B471,SYSTEM_CALCULATION!T471))</f>
        <v/>
      </c>
    </row>
    <row r="483" ht="15.75" customHeight="1" s="125">
      <c r="A483" s="62">
        <f>IF(SYSTEM_CALCULATION!U472="SI",SYSTEM_CALCULATION!B472,"")</f>
        <v/>
      </c>
      <c r="B483" s="62">
        <f>IF(SYSTEM_CALCULATION!U472="SI",SYSTEM_CALCULATION!E472,"")</f>
        <v/>
      </c>
      <c r="C483" s="62">
        <f>IF(SYSTEM_CALCULATION!U472="SI",SYSTEM_CALCULATION!O472,"")</f>
        <v/>
      </c>
      <c r="D483" s="62">
        <f>IF(SYSTEM_CALCULATION!U472="SI",SYSTEM_CALCULATION!G472,"")</f>
        <v/>
      </c>
      <c r="E483" s="63">
        <f>IF(SYSTEM_CALCULATION!U472&lt;&gt;"SI","",IF(INPUT_SYSTEM!B481="USD",SYSTEM_CALCULATION!R472*CONFIG!B472,SYSTEM_CALCULATION!R472))</f>
        <v/>
      </c>
      <c r="F483" s="63">
        <f>IF(SYSTEM_CALCULATION!U472&lt;&gt;"SI","",IF(INPUT_SYSTEM!B481="USD",SYSTEM_CALCULATION!T472*CONFIG!B472,SYSTEM_CALCULATION!T472))</f>
        <v/>
      </c>
    </row>
    <row r="484" ht="15.75" customHeight="1" s="125">
      <c r="A484" s="62">
        <f>IF(SYSTEM_CALCULATION!U473="SI",SYSTEM_CALCULATION!B473,"")</f>
        <v/>
      </c>
      <c r="B484" s="62">
        <f>IF(SYSTEM_CALCULATION!U473="SI",SYSTEM_CALCULATION!E473,"")</f>
        <v/>
      </c>
      <c r="C484" s="62">
        <f>IF(SYSTEM_CALCULATION!U473="SI",SYSTEM_CALCULATION!O473,"")</f>
        <v/>
      </c>
      <c r="D484" s="62">
        <f>IF(SYSTEM_CALCULATION!U473="SI",SYSTEM_CALCULATION!G473,"")</f>
        <v/>
      </c>
      <c r="E484" s="63">
        <f>IF(SYSTEM_CALCULATION!U473&lt;&gt;"SI","",IF(INPUT_SYSTEM!B482="USD",SYSTEM_CALCULATION!R473*CONFIG!B473,SYSTEM_CALCULATION!R473))</f>
        <v/>
      </c>
      <c r="F484" s="63">
        <f>IF(SYSTEM_CALCULATION!U473&lt;&gt;"SI","",IF(INPUT_SYSTEM!B482="USD",SYSTEM_CALCULATION!T473*CONFIG!B473,SYSTEM_CALCULATION!T473))</f>
        <v/>
      </c>
    </row>
    <row r="485" ht="15.75" customHeight="1" s="125">
      <c r="A485" s="62">
        <f>IF(SYSTEM_CALCULATION!U474="SI",SYSTEM_CALCULATION!B474,"")</f>
        <v/>
      </c>
      <c r="B485" s="62">
        <f>IF(SYSTEM_CALCULATION!U474="SI",SYSTEM_CALCULATION!E474,"")</f>
        <v/>
      </c>
      <c r="C485" s="62">
        <f>IF(SYSTEM_CALCULATION!U474="SI",SYSTEM_CALCULATION!O474,"")</f>
        <v/>
      </c>
      <c r="D485" s="62">
        <f>IF(SYSTEM_CALCULATION!U474="SI",SYSTEM_CALCULATION!G474,"")</f>
        <v/>
      </c>
      <c r="E485" s="63">
        <f>IF(SYSTEM_CALCULATION!U474&lt;&gt;"SI","",IF(INPUT_SYSTEM!B483="USD",SYSTEM_CALCULATION!R474*CONFIG!B474,SYSTEM_CALCULATION!R474))</f>
        <v/>
      </c>
      <c r="F485" s="63">
        <f>IF(SYSTEM_CALCULATION!U474&lt;&gt;"SI","",IF(INPUT_SYSTEM!B483="USD",SYSTEM_CALCULATION!T474*CONFIG!B474,SYSTEM_CALCULATION!T474))</f>
        <v/>
      </c>
    </row>
    <row r="486" ht="15.75" customHeight="1" s="125">
      <c r="A486" s="62">
        <f>IF(SYSTEM_CALCULATION!U475="SI",SYSTEM_CALCULATION!B475,"")</f>
        <v/>
      </c>
      <c r="B486" s="62">
        <f>IF(SYSTEM_CALCULATION!U475="SI",SYSTEM_CALCULATION!E475,"")</f>
        <v/>
      </c>
      <c r="C486" s="62">
        <f>IF(SYSTEM_CALCULATION!U475="SI",SYSTEM_CALCULATION!O475,"")</f>
        <v/>
      </c>
      <c r="D486" s="62">
        <f>IF(SYSTEM_CALCULATION!U475="SI",SYSTEM_CALCULATION!G475,"")</f>
        <v/>
      </c>
      <c r="E486" s="63">
        <f>IF(SYSTEM_CALCULATION!U475&lt;&gt;"SI","",IF(INPUT_SYSTEM!B484="USD",SYSTEM_CALCULATION!R475*CONFIG!B475,SYSTEM_CALCULATION!R475))</f>
        <v/>
      </c>
      <c r="F486" s="63">
        <f>IF(SYSTEM_CALCULATION!U475&lt;&gt;"SI","",IF(INPUT_SYSTEM!B484="USD",SYSTEM_CALCULATION!T475*CONFIG!B475,SYSTEM_CALCULATION!T475))</f>
        <v/>
      </c>
    </row>
    <row r="487" ht="15.75" customHeight="1" s="125">
      <c r="A487" s="62">
        <f>IF(SYSTEM_CALCULATION!U476="SI",SYSTEM_CALCULATION!B476,"")</f>
        <v/>
      </c>
      <c r="B487" s="62">
        <f>IF(SYSTEM_CALCULATION!U476="SI",SYSTEM_CALCULATION!E476,"")</f>
        <v/>
      </c>
      <c r="C487" s="62">
        <f>IF(SYSTEM_CALCULATION!U476="SI",SYSTEM_CALCULATION!O476,"")</f>
        <v/>
      </c>
      <c r="D487" s="62">
        <f>IF(SYSTEM_CALCULATION!U476="SI",SYSTEM_CALCULATION!G476,"")</f>
        <v/>
      </c>
      <c r="E487" s="63">
        <f>IF(SYSTEM_CALCULATION!U476&lt;&gt;"SI","",IF(INPUT_SYSTEM!B485="USD",SYSTEM_CALCULATION!R476*CONFIG!B476,SYSTEM_CALCULATION!R476))</f>
        <v/>
      </c>
      <c r="F487" s="63">
        <f>IF(SYSTEM_CALCULATION!U476&lt;&gt;"SI","",IF(INPUT_SYSTEM!B485="USD",SYSTEM_CALCULATION!T476*CONFIG!B476,SYSTEM_CALCULATION!T476))</f>
        <v/>
      </c>
    </row>
    <row r="488" ht="15.75" customHeight="1" s="125">
      <c r="A488" s="62">
        <f>IF(SYSTEM_CALCULATION!U477="SI",SYSTEM_CALCULATION!B477,"")</f>
        <v/>
      </c>
      <c r="B488" s="62">
        <f>IF(SYSTEM_CALCULATION!U477="SI",SYSTEM_CALCULATION!E477,"")</f>
        <v/>
      </c>
      <c r="C488" s="62">
        <f>IF(SYSTEM_CALCULATION!U477="SI",SYSTEM_CALCULATION!O477,"")</f>
        <v/>
      </c>
      <c r="D488" s="62">
        <f>IF(SYSTEM_CALCULATION!U477="SI",SYSTEM_CALCULATION!G477,"")</f>
        <v/>
      </c>
      <c r="E488" s="63">
        <f>IF(SYSTEM_CALCULATION!U477&lt;&gt;"SI","",IF(INPUT_SYSTEM!B486="USD",SYSTEM_CALCULATION!R477*CONFIG!B477,SYSTEM_CALCULATION!R477))</f>
        <v/>
      </c>
      <c r="F488" s="63">
        <f>IF(SYSTEM_CALCULATION!U477&lt;&gt;"SI","",IF(INPUT_SYSTEM!B486="USD",SYSTEM_CALCULATION!T477*CONFIG!B477,SYSTEM_CALCULATION!T477))</f>
        <v/>
      </c>
    </row>
    <row r="489" ht="15.75" customHeight="1" s="125">
      <c r="A489" s="62">
        <f>IF(SYSTEM_CALCULATION!U478="SI",SYSTEM_CALCULATION!B478,"")</f>
        <v/>
      </c>
      <c r="B489" s="62">
        <f>IF(SYSTEM_CALCULATION!U478="SI",SYSTEM_CALCULATION!E478,"")</f>
        <v/>
      </c>
      <c r="C489" s="62">
        <f>IF(SYSTEM_CALCULATION!U478="SI",SYSTEM_CALCULATION!O478,"")</f>
        <v/>
      </c>
      <c r="D489" s="62">
        <f>IF(SYSTEM_CALCULATION!U478="SI",SYSTEM_CALCULATION!G478,"")</f>
        <v/>
      </c>
      <c r="E489" s="63">
        <f>IF(SYSTEM_CALCULATION!U478&lt;&gt;"SI","",IF(INPUT_SYSTEM!B487="USD",SYSTEM_CALCULATION!R478*CONFIG!B478,SYSTEM_CALCULATION!R478))</f>
        <v/>
      </c>
      <c r="F489" s="63">
        <f>IF(SYSTEM_CALCULATION!U478&lt;&gt;"SI","",IF(INPUT_SYSTEM!B487="USD",SYSTEM_CALCULATION!T478*CONFIG!B478,SYSTEM_CALCULATION!T478))</f>
        <v/>
      </c>
    </row>
    <row r="490" ht="15.75" customHeight="1" s="125">
      <c r="A490" s="62">
        <f>IF(SYSTEM_CALCULATION!U479="SI",SYSTEM_CALCULATION!B479,"")</f>
        <v/>
      </c>
      <c r="B490" s="62">
        <f>IF(SYSTEM_CALCULATION!U479="SI",SYSTEM_CALCULATION!E479,"")</f>
        <v/>
      </c>
      <c r="C490" s="62">
        <f>IF(SYSTEM_CALCULATION!U479="SI",SYSTEM_CALCULATION!O479,"")</f>
        <v/>
      </c>
      <c r="D490" s="62">
        <f>IF(SYSTEM_CALCULATION!U479="SI",SYSTEM_CALCULATION!G479,"")</f>
        <v/>
      </c>
      <c r="E490" s="63">
        <f>IF(SYSTEM_CALCULATION!U479&lt;&gt;"SI","",IF(INPUT_SYSTEM!B488="USD",SYSTEM_CALCULATION!R479*CONFIG!B479,SYSTEM_CALCULATION!R479))</f>
        <v/>
      </c>
      <c r="F490" s="63">
        <f>IF(SYSTEM_CALCULATION!U479&lt;&gt;"SI","",IF(INPUT_SYSTEM!B488="USD",SYSTEM_CALCULATION!T479*CONFIG!B479,SYSTEM_CALCULATION!T479))</f>
        <v/>
      </c>
    </row>
    <row r="491" ht="15.75" customHeight="1" s="125">
      <c r="A491" s="62">
        <f>IF(SYSTEM_CALCULATION!U480="SI",SYSTEM_CALCULATION!B480,"")</f>
        <v/>
      </c>
      <c r="B491" s="62">
        <f>IF(SYSTEM_CALCULATION!U480="SI",SYSTEM_CALCULATION!E480,"")</f>
        <v/>
      </c>
      <c r="C491" s="62">
        <f>IF(SYSTEM_CALCULATION!U480="SI",SYSTEM_CALCULATION!O480,"")</f>
        <v/>
      </c>
      <c r="D491" s="62">
        <f>IF(SYSTEM_CALCULATION!U480="SI",SYSTEM_CALCULATION!G480,"")</f>
        <v/>
      </c>
      <c r="E491" s="63">
        <f>IF(SYSTEM_CALCULATION!U480&lt;&gt;"SI","",IF(INPUT_SYSTEM!B489="USD",SYSTEM_CALCULATION!R480*CONFIG!B480,SYSTEM_CALCULATION!R480))</f>
        <v/>
      </c>
      <c r="F491" s="63">
        <f>IF(SYSTEM_CALCULATION!U480&lt;&gt;"SI","",IF(INPUT_SYSTEM!B489="USD",SYSTEM_CALCULATION!T480*CONFIG!B480,SYSTEM_CALCULATION!T480))</f>
        <v/>
      </c>
    </row>
    <row r="492" ht="15.75" customHeight="1" s="125">
      <c r="A492" s="62">
        <f>IF(SYSTEM_CALCULATION!U481="SI",SYSTEM_CALCULATION!B481,"")</f>
        <v/>
      </c>
      <c r="B492" s="62">
        <f>IF(SYSTEM_CALCULATION!U481="SI",SYSTEM_CALCULATION!E481,"")</f>
        <v/>
      </c>
      <c r="C492" s="62">
        <f>IF(SYSTEM_CALCULATION!U481="SI",SYSTEM_CALCULATION!O481,"")</f>
        <v/>
      </c>
      <c r="D492" s="62">
        <f>IF(SYSTEM_CALCULATION!U481="SI",SYSTEM_CALCULATION!G481,"")</f>
        <v/>
      </c>
      <c r="E492" s="63">
        <f>IF(SYSTEM_CALCULATION!U481&lt;&gt;"SI","",IF(INPUT_SYSTEM!B490="USD",SYSTEM_CALCULATION!R481*CONFIG!B481,SYSTEM_CALCULATION!R481))</f>
        <v/>
      </c>
      <c r="F492" s="63">
        <f>IF(SYSTEM_CALCULATION!U481&lt;&gt;"SI","",IF(INPUT_SYSTEM!B490="USD",SYSTEM_CALCULATION!T481*CONFIG!B481,SYSTEM_CALCULATION!T481))</f>
        <v/>
      </c>
    </row>
    <row r="493" ht="15.75" customHeight="1" s="125">
      <c r="A493" s="62">
        <f>IF(SYSTEM_CALCULATION!U482="SI",SYSTEM_CALCULATION!B482,"")</f>
        <v/>
      </c>
      <c r="B493" s="62">
        <f>IF(SYSTEM_CALCULATION!U482="SI",SYSTEM_CALCULATION!E482,"")</f>
        <v/>
      </c>
      <c r="C493" s="62">
        <f>IF(SYSTEM_CALCULATION!U482="SI",SYSTEM_CALCULATION!O482,"")</f>
        <v/>
      </c>
      <c r="D493" s="62">
        <f>IF(SYSTEM_CALCULATION!U482="SI",SYSTEM_CALCULATION!G482,"")</f>
        <v/>
      </c>
      <c r="E493" s="63">
        <f>IF(SYSTEM_CALCULATION!U482&lt;&gt;"SI","",IF(INPUT_SYSTEM!B491="USD",SYSTEM_CALCULATION!R482*CONFIG!B482,SYSTEM_CALCULATION!R482))</f>
        <v/>
      </c>
      <c r="F493" s="63">
        <f>IF(SYSTEM_CALCULATION!U482&lt;&gt;"SI","",IF(INPUT_SYSTEM!B491="USD",SYSTEM_CALCULATION!T482*CONFIG!B482,SYSTEM_CALCULATION!T482))</f>
        <v/>
      </c>
    </row>
    <row r="494" ht="15.75" customHeight="1" s="125">
      <c r="A494" s="62">
        <f>IF(SYSTEM_CALCULATION!U483="SI",SYSTEM_CALCULATION!B483,"")</f>
        <v/>
      </c>
      <c r="B494" s="62">
        <f>IF(SYSTEM_CALCULATION!U483="SI",SYSTEM_CALCULATION!E483,"")</f>
        <v/>
      </c>
      <c r="C494" s="62">
        <f>IF(SYSTEM_CALCULATION!U483="SI",SYSTEM_CALCULATION!O483,"")</f>
        <v/>
      </c>
      <c r="D494" s="62">
        <f>IF(SYSTEM_CALCULATION!U483="SI",SYSTEM_CALCULATION!G483,"")</f>
        <v/>
      </c>
      <c r="E494" s="63">
        <f>IF(SYSTEM_CALCULATION!U483&lt;&gt;"SI","",IF(INPUT_SYSTEM!B492="USD",SYSTEM_CALCULATION!R483*CONFIG!B483,SYSTEM_CALCULATION!R483))</f>
        <v/>
      </c>
      <c r="F494" s="63">
        <f>IF(SYSTEM_CALCULATION!U483&lt;&gt;"SI","",IF(INPUT_SYSTEM!B492="USD",SYSTEM_CALCULATION!T483*CONFIG!B483,SYSTEM_CALCULATION!T483))</f>
        <v/>
      </c>
    </row>
    <row r="495" ht="15.75" customHeight="1" s="125">
      <c r="A495" s="62">
        <f>IF(SYSTEM_CALCULATION!U484="SI",SYSTEM_CALCULATION!B484,"")</f>
        <v/>
      </c>
      <c r="B495" s="62">
        <f>IF(SYSTEM_CALCULATION!U484="SI",SYSTEM_CALCULATION!E484,"")</f>
        <v/>
      </c>
      <c r="C495" s="62">
        <f>IF(SYSTEM_CALCULATION!U484="SI",SYSTEM_CALCULATION!O484,"")</f>
        <v/>
      </c>
      <c r="D495" s="62">
        <f>IF(SYSTEM_CALCULATION!U484="SI",SYSTEM_CALCULATION!G484,"")</f>
        <v/>
      </c>
      <c r="E495" s="63">
        <f>IF(SYSTEM_CALCULATION!U484&lt;&gt;"SI","",IF(INPUT_SYSTEM!B493="USD",SYSTEM_CALCULATION!R484*CONFIG!B484,SYSTEM_CALCULATION!R484))</f>
        <v/>
      </c>
      <c r="F495" s="63">
        <f>IF(SYSTEM_CALCULATION!U484&lt;&gt;"SI","",IF(INPUT_SYSTEM!B493="USD",SYSTEM_CALCULATION!T484*CONFIG!B484,SYSTEM_CALCULATION!T484))</f>
        <v/>
      </c>
    </row>
    <row r="496" ht="15.75" customHeight="1" s="125">
      <c r="A496" s="62">
        <f>IF(SYSTEM_CALCULATION!U485="SI",SYSTEM_CALCULATION!B485,"")</f>
        <v/>
      </c>
      <c r="B496" s="62">
        <f>IF(SYSTEM_CALCULATION!U485="SI",SYSTEM_CALCULATION!E485,"")</f>
        <v/>
      </c>
      <c r="C496" s="62">
        <f>IF(SYSTEM_CALCULATION!U485="SI",SYSTEM_CALCULATION!O485,"")</f>
        <v/>
      </c>
      <c r="D496" s="62">
        <f>IF(SYSTEM_CALCULATION!U485="SI",SYSTEM_CALCULATION!G485,"")</f>
        <v/>
      </c>
      <c r="E496" s="63">
        <f>IF(SYSTEM_CALCULATION!U485&lt;&gt;"SI","",IF(INPUT_SYSTEM!B494="USD",SYSTEM_CALCULATION!R485*CONFIG!B485,SYSTEM_CALCULATION!R485))</f>
        <v/>
      </c>
      <c r="F496" s="63">
        <f>IF(SYSTEM_CALCULATION!U485&lt;&gt;"SI","",IF(INPUT_SYSTEM!B494="USD",SYSTEM_CALCULATION!T485*CONFIG!B485,SYSTEM_CALCULATION!T485))</f>
        <v/>
      </c>
    </row>
    <row r="497" ht="15.75" customHeight="1" s="125">
      <c r="A497" s="62">
        <f>IF(SYSTEM_CALCULATION!U486="SI",SYSTEM_CALCULATION!B486,"")</f>
        <v/>
      </c>
      <c r="B497" s="62">
        <f>IF(SYSTEM_CALCULATION!U486="SI",SYSTEM_CALCULATION!E486,"")</f>
        <v/>
      </c>
      <c r="C497" s="62">
        <f>IF(SYSTEM_CALCULATION!U486="SI",SYSTEM_CALCULATION!O486,"")</f>
        <v/>
      </c>
      <c r="D497" s="62">
        <f>IF(SYSTEM_CALCULATION!U486="SI",SYSTEM_CALCULATION!G486,"")</f>
        <v/>
      </c>
      <c r="E497" s="63">
        <f>IF(SYSTEM_CALCULATION!U486&lt;&gt;"SI","",IF(INPUT_SYSTEM!B495="USD",SYSTEM_CALCULATION!R486*CONFIG!B486,SYSTEM_CALCULATION!R486))</f>
        <v/>
      </c>
      <c r="F497" s="63">
        <f>IF(SYSTEM_CALCULATION!U486&lt;&gt;"SI","",IF(INPUT_SYSTEM!B495="USD",SYSTEM_CALCULATION!T486*CONFIG!B486,SYSTEM_CALCULATION!T486))</f>
        <v/>
      </c>
    </row>
    <row r="498" ht="15.75" customHeight="1" s="125">
      <c r="A498" s="62">
        <f>IF(SYSTEM_CALCULATION!U487="SI",SYSTEM_CALCULATION!B487,"")</f>
        <v/>
      </c>
      <c r="B498" s="62">
        <f>IF(SYSTEM_CALCULATION!U487="SI",SYSTEM_CALCULATION!E487,"")</f>
        <v/>
      </c>
      <c r="C498" s="62">
        <f>IF(SYSTEM_CALCULATION!U487="SI",SYSTEM_CALCULATION!O487,"")</f>
        <v/>
      </c>
      <c r="D498" s="62">
        <f>IF(SYSTEM_CALCULATION!U487="SI",SYSTEM_CALCULATION!G487,"")</f>
        <v/>
      </c>
      <c r="E498" s="63">
        <f>IF(SYSTEM_CALCULATION!U487&lt;&gt;"SI","",IF(INPUT_SYSTEM!B496="USD",SYSTEM_CALCULATION!R487*CONFIG!B487,SYSTEM_CALCULATION!R487))</f>
        <v/>
      </c>
      <c r="F498" s="63">
        <f>IF(SYSTEM_CALCULATION!U487&lt;&gt;"SI","",IF(INPUT_SYSTEM!B496="USD",SYSTEM_CALCULATION!T487*CONFIG!B487,SYSTEM_CALCULATION!T487))</f>
        <v/>
      </c>
    </row>
    <row r="499" ht="15.75" customHeight="1" s="125">
      <c r="A499" s="62">
        <f>IF(SYSTEM_CALCULATION!U488="SI",SYSTEM_CALCULATION!B488,"")</f>
        <v/>
      </c>
      <c r="B499" s="62">
        <f>IF(SYSTEM_CALCULATION!U488="SI",SYSTEM_CALCULATION!E488,"")</f>
        <v/>
      </c>
      <c r="C499" s="62">
        <f>IF(SYSTEM_CALCULATION!U488="SI",SYSTEM_CALCULATION!O488,"")</f>
        <v/>
      </c>
      <c r="D499" s="62">
        <f>IF(SYSTEM_CALCULATION!U488="SI",SYSTEM_CALCULATION!G488,"")</f>
        <v/>
      </c>
      <c r="E499" s="63">
        <f>IF(SYSTEM_CALCULATION!U488&lt;&gt;"SI","",IF(INPUT_SYSTEM!B497="USD",SYSTEM_CALCULATION!R488*CONFIG!B488,SYSTEM_CALCULATION!R488))</f>
        <v/>
      </c>
      <c r="F499" s="63">
        <f>IF(SYSTEM_CALCULATION!U488&lt;&gt;"SI","",IF(INPUT_SYSTEM!B497="USD",SYSTEM_CALCULATION!T488*CONFIG!B488,SYSTEM_CALCULATION!T488))</f>
        <v/>
      </c>
    </row>
    <row r="500" ht="15.75" customHeight="1" s="125">
      <c r="A500" s="62">
        <f>IF(SYSTEM_CALCULATION!U489="SI",SYSTEM_CALCULATION!B489,"")</f>
        <v/>
      </c>
      <c r="B500" s="62">
        <f>IF(SYSTEM_CALCULATION!U489="SI",SYSTEM_CALCULATION!E489,"")</f>
        <v/>
      </c>
      <c r="C500" s="62">
        <f>IF(SYSTEM_CALCULATION!U489="SI",SYSTEM_CALCULATION!O489,"")</f>
        <v/>
      </c>
      <c r="D500" s="62">
        <f>IF(SYSTEM_CALCULATION!U489="SI",SYSTEM_CALCULATION!G489,"")</f>
        <v/>
      </c>
      <c r="E500" s="63">
        <f>IF(SYSTEM_CALCULATION!U489&lt;&gt;"SI","",IF(INPUT_SYSTEM!B498="USD",SYSTEM_CALCULATION!R489*CONFIG!B489,SYSTEM_CALCULATION!R489))</f>
        <v/>
      </c>
      <c r="F500" s="63">
        <f>IF(SYSTEM_CALCULATION!U489&lt;&gt;"SI","",IF(INPUT_SYSTEM!B498="USD",SYSTEM_CALCULATION!T489*CONFIG!B489,SYSTEM_CALCULATION!T489))</f>
        <v/>
      </c>
    </row>
    <row r="501" ht="15.75" customHeight="1" s="125">
      <c r="A501" s="2" t="n"/>
      <c r="B501" s="2" t="n"/>
      <c r="C501" s="2" t="n"/>
      <c r="D501" s="2" t="n"/>
      <c r="E501" s="2" t="n"/>
      <c r="F501" s="2" t="n"/>
    </row>
    <row r="502" ht="15.75" customHeight="1" s="125">
      <c r="A502" s="2" t="n"/>
      <c r="B502" s="2" t="n"/>
      <c r="C502" s="2" t="n"/>
      <c r="D502" s="2" t="n"/>
      <c r="E502" s="2" t="n"/>
      <c r="F502" s="2" t="n"/>
    </row>
    <row r="503" ht="15.75" customHeight="1" s="125">
      <c r="A503" s="2" t="n"/>
      <c r="B503" s="2" t="n"/>
      <c r="C503" s="2" t="n"/>
      <c r="D503" s="2" t="n"/>
      <c r="E503" s="2" t="n"/>
      <c r="F503" s="2" t="n"/>
    </row>
    <row r="504" ht="15.75" customHeight="1" s="125">
      <c r="A504" s="2" t="n"/>
      <c r="B504" s="2" t="n"/>
      <c r="C504" s="2" t="n"/>
      <c r="D504" s="2" t="n"/>
      <c r="E504" s="2" t="n"/>
      <c r="F504" s="2" t="n"/>
    </row>
    <row r="505" ht="15.75" customHeight="1" s="125">
      <c r="A505" s="2" t="n"/>
      <c r="B505" s="2" t="n"/>
      <c r="C505" s="2" t="n"/>
      <c r="D505" s="2" t="n"/>
      <c r="E505" s="2" t="n"/>
      <c r="F505" s="2" t="n"/>
    </row>
    <row r="506" ht="15.75" customHeight="1" s="125">
      <c r="A506" s="2" t="n"/>
      <c r="B506" s="2" t="n"/>
      <c r="C506" s="2" t="n"/>
      <c r="D506" s="2" t="n"/>
      <c r="E506" s="2" t="n"/>
      <c r="F506" s="2" t="n"/>
    </row>
    <row r="507" ht="15.75" customHeight="1" s="125">
      <c r="A507" s="2" t="n"/>
      <c r="B507" s="2" t="n"/>
      <c r="C507" s="2" t="n"/>
      <c r="D507" s="2" t="n"/>
      <c r="E507" s="2" t="n"/>
      <c r="F507" s="2" t="n"/>
    </row>
    <row r="508" ht="15.75" customHeight="1" s="125">
      <c r="A508" s="2" t="n"/>
      <c r="B508" s="2" t="n"/>
      <c r="C508" s="2" t="n"/>
      <c r="D508" s="2" t="n"/>
      <c r="E508" s="2" t="n"/>
      <c r="F508" s="2" t="n"/>
    </row>
    <row r="509" ht="15.75" customHeight="1" s="125">
      <c r="A509" s="2" t="n"/>
      <c r="B509" s="2" t="n"/>
      <c r="C509" s="2" t="n"/>
      <c r="D509" s="2" t="n"/>
      <c r="E509" s="2" t="n"/>
      <c r="F509" s="2" t="n"/>
    </row>
    <row r="510" ht="15.75" customHeight="1" s="125">
      <c r="A510" s="2" t="n"/>
      <c r="B510" s="2" t="n"/>
      <c r="C510" s="2" t="n"/>
      <c r="D510" s="2" t="n"/>
      <c r="E510" s="2" t="n"/>
      <c r="F510" s="2" t="n"/>
    </row>
    <row r="511" ht="15.75" customHeight="1" s="125">
      <c r="A511" s="2" t="n"/>
      <c r="B511" s="2" t="n"/>
      <c r="C511" s="2" t="n"/>
      <c r="D511" s="2" t="n"/>
      <c r="E511" s="2" t="n"/>
      <c r="F511" s="2" t="n"/>
    </row>
    <row r="512" ht="15.75" customHeight="1" s="125">
      <c r="A512" s="2" t="n"/>
      <c r="B512" s="2" t="n"/>
      <c r="C512" s="2" t="n"/>
      <c r="D512" s="2" t="n"/>
      <c r="E512" s="2" t="n"/>
      <c r="F512" s="2" t="n"/>
    </row>
    <row r="513" ht="15.75" customHeight="1" s="125">
      <c r="A513" s="2" t="n"/>
      <c r="B513" s="2" t="n"/>
      <c r="C513" s="2" t="n"/>
      <c r="D513" s="2" t="n"/>
      <c r="E513" s="2" t="n"/>
      <c r="F513" s="2" t="n"/>
    </row>
    <row r="514" ht="15.75" customHeight="1" s="125">
      <c r="A514" s="2" t="n"/>
      <c r="B514" s="2" t="n"/>
      <c r="C514" s="2" t="n"/>
      <c r="D514" s="2" t="n"/>
      <c r="E514" s="2" t="n"/>
      <c r="F514" s="2" t="n"/>
    </row>
    <row r="515" ht="15.75" customHeight="1" s="125">
      <c r="A515" s="2" t="n"/>
      <c r="B515" s="2" t="n"/>
      <c r="C515" s="2" t="n"/>
      <c r="D515" s="2" t="n"/>
      <c r="E515" s="2" t="n"/>
      <c r="F515" s="2" t="n"/>
    </row>
    <row r="516" ht="15.75" customHeight="1" s="125">
      <c r="A516" s="2" t="n"/>
      <c r="B516" s="2" t="n"/>
      <c r="C516" s="2" t="n"/>
      <c r="D516" s="2" t="n"/>
      <c r="E516" s="2" t="n"/>
      <c r="F516" s="2" t="n"/>
    </row>
    <row r="517" ht="15.75" customHeight="1" s="125">
      <c r="A517" s="2" t="n"/>
      <c r="B517" s="2" t="n"/>
      <c r="C517" s="2" t="n"/>
      <c r="D517" s="2" t="n"/>
      <c r="E517" s="2" t="n"/>
      <c r="F517" s="2" t="n"/>
    </row>
    <row r="518" ht="15.75" customHeight="1" s="125">
      <c r="A518" s="2" t="n"/>
      <c r="B518" s="2" t="n"/>
      <c r="C518" s="2" t="n"/>
      <c r="D518" s="2" t="n"/>
      <c r="E518" s="2" t="n"/>
      <c r="F518" s="2" t="n"/>
    </row>
    <row r="519" ht="15.75" customHeight="1" s="125">
      <c r="A519" s="2" t="n"/>
      <c r="B519" s="2" t="n"/>
      <c r="C519" s="2" t="n"/>
      <c r="D519" s="2" t="n"/>
      <c r="E519" s="2" t="n"/>
      <c r="F519" s="2" t="n"/>
    </row>
    <row r="520" ht="15.75" customHeight="1" s="125">
      <c r="A520" s="2" t="n"/>
      <c r="B520" s="2" t="n"/>
      <c r="C520" s="2" t="n"/>
      <c r="D520" s="2" t="n"/>
      <c r="E520" s="2" t="n"/>
      <c r="F520" s="2" t="n"/>
    </row>
    <row r="521" ht="15.75" customHeight="1" s="125">
      <c r="A521" s="2" t="n"/>
      <c r="B521" s="2" t="n"/>
      <c r="C521" s="2" t="n"/>
      <c r="D521" s="2" t="n"/>
      <c r="E521" s="2" t="n"/>
      <c r="F521" s="2" t="n"/>
    </row>
    <row r="522" ht="15.75" customHeight="1" s="125">
      <c r="A522" s="2" t="n"/>
      <c r="B522" s="2" t="n"/>
      <c r="C522" s="2" t="n"/>
      <c r="D522" s="2" t="n"/>
      <c r="E522" s="2" t="n"/>
      <c r="F522" s="2" t="n"/>
    </row>
    <row r="523" ht="15.75" customHeight="1" s="125">
      <c r="A523" s="2" t="n"/>
      <c r="B523" s="2" t="n"/>
      <c r="C523" s="2" t="n"/>
      <c r="D523" s="2" t="n"/>
      <c r="E523" s="2" t="n"/>
      <c r="F523" s="2" t="n"/>
    </row>
    <row r="524" ht="15.75" customHeight="1" s="125">
      <c r="A524" s="2" t="n"/>
      <c r="B524" s="2" t="n"/>
      <c r="C524" s="2" t="n"/>
      <c r="D524" s="2" t="n"/>
      <c r="E524" s="2" t="n"/>
      <c r="F524" s="2" t="n"/>
    </row>
    <row r="525" ht="15.75" customHeight="1" s="125">
      <c r="A525" s="2" t="n"/>
      <c r="B525" s="2" t="n"/>
      <c r="C525" s="2" t="n"/>
      <c r="D525" s="2" t="n"/>
      <c r="E525" s="2" t="n"/>
      <c r="F525" s="2" t="n"/>
    </row>
    <row r="526" ht="15.75" customHeight="1" s="125">
      <c r="A526" s="2" t="n"/>
      <c r="B526" s="2" t="n"/>
      <c r="C526" s="2" t="n"/>
      <c r="D526" s="2" t="n"/>
      <c r="E526" s="2" t="n"/>
      <c r="F526" s="2" t="n"/>
    </row>
    <row r="527" ht="15.75" customHeight="1" s="125">
      <c r="A527" s="2" t="n"/>
      <c r="B527" s="2" t="n"/>
      <c r="C527" s="2" t="n"/>
      <c r="D527" s="2" t="n"/>
      <c r="E527" s="2" t="n"/>
      <c r="F527" s="2" t="n"/>
    </row>
    <row r="528" ht="15.75" customHeight="1" s="125">
      <c r="A528" s="2" t="n"/>
      <c r="B528" s="2" t="n"/>
      <c r="C528" s="2" t="n"/>
      <c r="D528" s="2" t="n"/>
      <c r="E528" s="2" t="n"/>
      <c r="F528" s="2" t="n"/>
    </row>
    <row r="529" ht="15.75" customHeight="1" s="125">
      <c r="A529" s="2" t="n"/>
      <c r="B529" s="2" t="n"/>
      <c r="C529" s="2" t="n"/>
      <c r="D529" s="2" t="n"/>
      <c r="E529" s="2" t="n"/>
      <c r="F529" s="2" t="n"/>
    </row>
    <row r="530" ht="15.75" customHeight="1" s="125">
      <c r="A530" s="2" t="n"/>
      <c r="B530" s="2" t="n"/>
      <c r="C530" s="2" t="n"/>
      <c r="D530" s="2" t="n"/>
      <c r="E530" s="2" t="n"/>
      <c r="F530" s="2" t="n"/>
    </row>
    <row r="531" ht="15.75" customHeight="1" s="125">
      <c r="A531" s="2" t="n"/>
      <c r="B531" s="2" t="n"/>
      <c r="C531" s="2" t="n"/>
      <c r="D531" s="2" t="n"/>
      <c r="E531" s="2" t="n"/>
      <c r="F531" s="2" t="n"/>
    </row>
    <row r="532" ht="15.75" customHeight="1" s="125">
      <c r="A532" s="2" t="n"/>
      <c r="B532" s="2" t="n"/>
      <c r="C532" s="2" t="n"/>
      <c r="D532" s="2" t="n"/>
      <c r="E532" s="2" t="n"/>
      <c r="F532" s="2" t="n"/>
    </row>
    <row r="533" ht="15.75" customHeight="1" s="125">
      <c r="A533" s="2" t="n"/>
      <c r="B533" s="2" t="n"/>
      <c r="C533" s="2" t="n"/>
      <c r="D533" s="2" t="n"/>
      <c r="E533" s="2" t="n"/>
      <c r="F533" s="2" t="n"/>
    </row>
    <row r="534" ht="15.75" customHeight="1" s="125">
      <c r="A534" s="2" t="n"/>
      <c r="B534" s="2" t="n"/>
      <c r="C534" s="2" t="n"/>
      <c r="D534" s="2" t="n"/>
      <c r="E534" s="2" t="n"/>
      <c r="F534" s="2" t="n"/>
    </row>
    <row r="535" ht="15.75" customHeight="1" s="125">
      <c r="A535" s="2" t="n"/>
      <c r="B535" s="2" t="n"/>
      <c r="C535" s="2" t="n"/>
      <c r="D535" s="2" t="n"/>
      <c r="E535" s="2" t="n"/>
      <c r="F535" s="2" t="n"/>
    </row>
    <row r="536" ht="15.75" customHeight="1" s="125">
      <c r="A536" s="2" t="n"/>
      <c r="B536" s="2" t="n"/>
      <c r="C536" s="2" t="n"/>
      <c r="D536" s="2" t="n"/>
      <c r="E536" s="2" t="n"/>
      <c r="F536" s="2" t="n"/>
    </row>
    <row r="537" ht="15.75" customHeight="1" s="125">
      <c r="A537" s="2" t="n"/>
      <c r="B537" s="2" t="n"/>
      <c r="C537" s="2" t="n"/>
      <c r="D537" s="2" t="n"/>
      <c r="E537" s="2" t="n"/>
      <c r="F537" s="2" t="n"/>
    </row>
    <row r="538" ht="15.75" customHeight="1" s="125">
      <c r="A538" s="2" t="n"/>
      <c r="B538" s="2" t="n"/>
      <c r="C538" s="2" t="n"/>
      <c r="D538" s="2" t="n"/>
      <c r="E538" s="2" t="n"/>
      <c r="F538" s="2" t="n"/>
    </row>
    <row r="539" ht="15.75" customHeight="1" s="125">
      <c r="A539" s="2" t="n"/>
      <c r="B539" s="2" t="n"/>
      <c r="C539" s="2" t="n"/>
      <c r="D539" s="2" t="n"/>
      <c r="E539" s="2" t="n"/>
      <c r="F539" s="2" t="n"/>
    </row>
    <row r="540" ht="15.75" customHeight="1" s="125">
      <c r="A540" s="2" t="n"/>
      <c r="B540" s="2" t="n"/>
      <c r="C540" s="2" t="n"/>
      <c r="D540" s="2" t="n"/>
      <c r="E540" s="2" t="n"/>
      <c r="F540" s="2" t="n"/>
    </row>
    <row r="541" ht="15.75" customHeight="1" s="125">
      <c r="A541" s="2" t="n"/>
      <c r="B541" s="2" t="n"/>
      <c r="C541" s="2" t="n"/>
      <c r="D541" s="2" t="n"/>
      <c r="E541" s="2" t="n"/>
      <c r="F541" s="2" t="n"/>
    </row>
    <row r="542" ht="15.75" customHeight="1" s="125">
      <c r="A542" s="2" t="n"/>
      <c r="B542" s="2" t="n"/>
      <c r="C542" s="2" t="n"/>
      <c r="D542" s="2" t="n"/>
      <c r="E542" s="2" t="n"/>
      <c r="F542" s="2" t="n"/>
    </row>
    <row r="543" ht="15.75" customHeight="1" s="125">
      <c r="A543" s="2" t="n"/>
      <c r="B543" s="2" t="n"/>
      <c r="C543" s="2" t="n"/>
      <c r="D543" s="2" t="n"/>
      <c r="E543" s="2" t="n"/>
      <c r="F543" s="2" t="n"/>
    </row>
    <row r="544" ht="15.75" customHeight="1" s="125">
      <c r="A544" s="2" t="n"/>
      <c r="B544" s="2" t="n"/>
      <c r="C544" s="2" t="n"/>
      <c r="D544" s="2" t="n"/>
      <c r="E544" s="2" t="n"/>
      <c r="F544" s="2" t="n"/>
    </row>
    <row r="545" ht="15.75" customHeight="1" s="125">
      <c r="A545" s="2" t="n"/>
      <c r="B545" s="2" t="n"/>
      <c r="C545" s="2" t="n"/>
      <c r="D545" s="2" t="n"/>
      <c r="E545" s="2" t="n"/>
      <c r="F545" s="2" t="n"/>
    </row>
    <row r="546" ht="15.75" customHeight="1" s="125">
      <c r="A546" s="2" t="n"/>
      <c r="B546" s="2" t="n"/>
      <c r="C546" s="2" t="n"/>
      <c r="D546" s="2" t="n"/>
      <c r="E546" s="2" t="n"/>
      <c r="F546" s="2" t="n"/>
    </row>
    <row r="547" ht="15.75" customHeight="1" s="125">
      <c r="A547" s="2" t="n"/>
      <c r="B547" s="2" t="n"/>
      <c r="C547" s="2" t="n"/>
      <c r="D547" s="2" t="n"/>
      <c r="E547" s="2" t="n"/>
      <c r="F547" s="2" t="n"/>
    </row>
    <row r="548" ht="15.75" customHeight="1" s="125">
      <c r="A548" s="2" t="n"/>
      <c r="B548" s="2" t="n"/>
      <c r="C548" s="2" t="n"/>
      <c r="D548" s="2" t="n"/>
      <c r="E548" s="2" t="n"/>
      <c r="F548" s="2" t="n"/>
    </row>
    <row r="549" ht="15.75" customHeight="1" s="125">
      <c r="A549" s="2" t="n"/>
      <c r="B549" s="2" t="n"/>
      <c r="C549" s="2" t="n"/>
      <c r="D549" s="2" t="n"/>
      <c r="E549" s="2" t="n"/>
      <c r="F549" s="2" t="n"/>
    </row>
    <row r="550" ht="15.75" customHeight="1" s="125">
      <c r="A550" s="2" t="n"/>
      <c r="B550" s="2" t="n"/>
      <c r="C550" s="2" t="n"/>
      <c r="D550" s="2" t="n"/>
      <c r="E550" s="2" t="n"/>
      <c r="F550" s="2" t="n"/>
    </row>
    <row r="551" ht="15.75" customHeight="1" s="125">
      <c r="A551" s="2" t="n"/>
      <c r="B551" s="2" t="n"/>
      <c r="C551" s="2" t="n"/>
      <c r="D551" s="2" t="n"/>
      <c r="E551" s="2" t="n"/>
      <c r="F551" s="2" t="n"/>
    </row>
    <row r="552" ht="15.75" customHeight="1" s="125">
      <c r="A552" s="2" t="n"/>
      <c r="B552" s="2" t="n"/>
      <c r="C552" s="2" t="n"/>
      <c r="D552" s="2" t="n"/>
      <c r="E552" s="2" t="n"/>
      <c r="F552" s="2" t="n"/>
    </row>
    <row r="553" ht="15.75" customHeight="1" s="125">
      <c r="A553" s="2" t="n"/>
      <c r="B553" s="2" t="n"/>
      <c r="C553" s="2" t="n"/>
      <c r="D553" s="2" t="n"/>
      <c r="E553" s="2" t="n"/>
      <c r="F553" s="2" t="n"/>
    </row>
    <row r="554" ht="15.75" customHeight="1" s="125">
      <c r="A554" s="2" t="n"/>
      <c r="B554" s="2" t="n"/>
      <c r="C554" s="2" t="n"/>
      <c r="D554" s="2" t="n"/>
      <c r="E554" s="2" t="n"/>
      <c r="F554" s="2" t="n"/>
    </row>
    <row r="555" ht="15.75" customHeight="1" s="125">
      <c r="A555" s="2" t="n"/>
      <c r="B555" s="2" t="n"/>
      <c r="C555" s="2" t="n"/>
      <c r="D555" s="2" t="n"/>
      <c r="E555" s="2" t="n"/>
      <c r="F555" s="2" t="n"/>
    </row>
    <row r="556" ht="15.75" customHeight="1" s="125">
      <c r="A556" s="2" t="n"/>
      <c r="B556" s="2" t="n"/>
      <c r="C556" s="2" t="n"/>
      <c r="D556" s="2" t="n"/>
      <c r="E556" s="2" t="n"/>
      <c r="F556" s="2" t="n"/>
    </row>
    <row r="557" ht="15.75" customHeight="1" s="125">
      <c r="A557" s="2" t="n"/>
      <c r="B557" s="2" t="n"/>
      <c r="C557" s="2" t="n"/>
      <c r="D557" s="2" t="n"/>
      <c r="E557" s="2" t="n"/>
      <c r="F557" s="2" t="n"/>
    </row>
    <row r="558" ht="15.75" customHeight="1" s="125">
      <c r="A558" s="2" t="n"/>
      <c r="B558" s="2" t="n"/>
      <c r="C558" s="2" t="n"/>
      <c r="D558" s="2" t="n"/>
      <c r="E558" s="2" t="n"/>
      <c r="F558" s="2" t="n"/>
    </row>
    <row r="559" ht="15.75" customHeight="1" s="125">
      <c r="A559" s="2" t="n"/>
      <c r="B559" s="2" t="n"/>
      <c r="C559" s="2" t="n"/>
      <c r="D559" s="2" t="n"/>
      <c r="E559" s="2" t="n"/>
      <c r="F559" s="2" t="n"/>
    </row>
    <row r="560" ht="15.75" customHeight="1" s="125">
      <c r="A560" s="2" t="n"/>
      <c r="B560" s="2" t="n"/>
      <c r="C560" s="2" t="n"/>
      <c r="D560" s="2" t="n"/>
      <c r="E560" s="2" t="n"/>
      <c r="F560" s="2" t="n"/>
    </row>
    <row r="561" ht="15.75" customHeight="1" s="125">
      <c r="A561" s="2" t="n"/>
      <c r="B561" s="2" t="n"/>
      <c r="C561" s="2" t="n"/>
      <c r="D561" s="2" t="n"/>
      <c r="E561" s="2" t="n"/>
      <c r="F561" s="2" t="n"/>
    </row>
    <row r="562" ht="15.75" customHeight="1" s="125">
      <c r="A562" s="2" t="n"/>
      <c r="B562" s="2" t="n"/>
      <c r="C562" s="2" t="n"/>
      <c r="D562" s="2" t="n"/>
      <c r="E562" s="2" t="n"/>
      <c r="F562" s="2" t="n"/>
    </row>
    <row r="563" ht="15.75" customHeight="1" s="125">
      <c r="A563" s="2" t="n"/>
      <c r="B563" s="2" t="n"/>
      <c r="C563" s="2" t="n"/>
      <c r="D563" s="2" t="n"/>
      <c r="E563" s="2" t="n"/>
      <c r="F563" s="2" t="n"/>
    </row>
    <row r="564" ht="15.75" customHeight="1" s="125">
      <c r="A564" s="2" t="n"/>
      <c r="B564" s="2" t="n"/>
      <c r="C564" s="2" t="n"/>
      <c r="D564" s="2" t="n"/>
      <c r="E564" s="2" t="n"/>
      <c r="F564" s="2" t="n"/>
    </row>
    <row r="565" ht="15.75" customHeight="1" s="125">
      <c r="A565" s="2" t="n"/>
      <c r="B565" s="2" t="n"/>
      <c r="C565" s="2" t="n"/>
      <c r="D565" s="2" t="n"/>
      <c r="E565" s="2" t="n"/>
      <c r="F565" s="2" t="n"/>
    </row>
    <row r="566" ht="15.75" customHeight="1" s="125">
      <c r="A566" s="2" t="n"/>
      <c r="B566" s="2" t="n"/>
      <c r="C566" s="2" t="n"/>
      <c r="D566" s="2" t="n"/>
      <c r="E566" s="2" t="n"/>
      <c r="F566" s="2" t="n"/>
    </row>
    <row r="567" ht="15.75" customHeight="1" s="125">
      <c r="A567" s="2" t="n"/>
      <c r="B567" s="2" t="n"/>
      <c r="C567" s="2" t="n"/>
      <c r="D567" s="2" t="n"/>
      <c r="E567" s="2" t="n"/>
      <c r="F567" s="2" t="n"/>
    </row>
    <row r="568" ht="15.75" customHeight="1" s="125">
      <c r="A568" s="2" t="n"/>
      <c r="B568" s="2" t="n"/>
      <c r="C568" s="2" t="n"/>
      <c r="D568" s="2" t="n"/>
      <c r="E568" s="2" t="n"/>
      <c r="F568" s="2" t="n"/>
    </row>
    <row r="569" ht="15.75" customHeight="1" s="125">
      <c r="A569" s="2" t="n"/>
      <c r="B569" s="2" t="n"/>
      <c r="C569" s="2" t="n"/>
      <c r="D569" s="2" t="n"/>
      <c r="E569" s="2" t="n"/>
      <c r="F569" s="2" t="n"/>
    </row>
    <row r="570" ht="15.75" customHeight="1" s="125">
      <c r="A570" s="2" t="n"/>
      <c r="B570" s="2" t="n"/>
      <c r="C570" s="2" t="n"/>
      <c r="D570" s="2" t="n"/>
      <c r="E570" s="2" t="n"/>
      <c r="F570" s="2" t="n"/>
    </row>
    <row r="571" ht="15.75" customHeight="1" s="125">
      <c r="A571" s="2" t="n"/>
      <c r="B571" s="2" t="n"/>
      <c r="C571" s="2" t="n"/>
      <c r="D571" s="2" t="n"/>
      <c r="E571" s="2" t="n"/>
      <c r="F571" s="2" t="n"/>
    </row>
    <row r="572" ht="15.75" customHeight="1" s="125">
      <c r="A572" s="2" t="n"/>
      <c r="B572" s="2" t="n"/>
      <c r="C572" s="2" t="n"/>
      <c r="D572" s="2" t="n"/>
      <c r="E572" s="2" t="n"/>
      <c r="F572" s="2" t="n"/>
    </row>
    <row r="573" ht="15.75" customHeight="1" s="125">
      <c r="A573" s="2" t="n"/>
      <c r="B573" s="2" t="n"/>
      <c r="C573" s="2" t="n"/>
      <c r="D573" s="2" t="n"/>
      <c r="E573" s="2" t="n"/>
      <c r="F573" s="2" t="n"/>
    </row>
    <row r="574" ht="15.75" customHeight="1" s="125">
      <c r="A574" s="2" t="n"/>
      <c r="B574" s="2" t="n"/>
      <c r="C574" s="2" t="n"/>
      <c r="D574" s="2" t="n"/>
      <c r="E574" s="2" t="n"/>
      <c r="F574" s="2" t="n"/>
    </row>
    <row r="575" ht="15.75" customHeight="1" s="125">
      <c r="A575" s="2" t="n"/>
      <c r="B575" s="2" t="n"/>
      <c r="C575" s="2" t="n"/>
      <c r="D575" s="2" t="n"/>
      <c r="E575" s="2" t="n"/>
      <c r="F575" s="2" t="n"/>
    </row>
    <row r="576" ht="15.75" customHeight="1" s="125">
      <c r="A576" s="2" t="n"/>
      <c r="B576" s="2" t="n"/>
      <c r="C576" s="2" t="n"/>
      <c r="D576" s="2" t="n"/>
      <c r="E576" s="2" t="n"/>
      <c r="F576" s="2" t="n"/>
    </row>
    <row r="577" ht="15.75" customHeight="1" s="125">
      <c r="A577" s="2" t="n"/>
      <c r="B577" s="2" t="n"/>
      <c r="C577" s="2" t="n"/>
      <c r="D577" s="2" t="n"/>
      <c r="E577" s="2" t="n"/>
      <c r="F577" s="2" t="n"/>
    </row>
    <row r="578" ht="15.75" customHeight="1" s="125">
      <c r="A578" s="2" t="n"/>
      <c r="B578" s="2" t="n"/>
      <c r="C578" s="2" t="n"/>
      <c r="D578" s="2" t="n"/>
      <c r="E578" s="2" t="n"/>
      <c r="F578" s="2" t="n"/>
    </row>
    <row r="579" ht="15.75" customHeight="1" s="125">
      <c r="A579" s="2" t="n"/>
      <c r="B579" s="2" t="n"/>
      <c r="C579" s="2" t="n"/>
      <c r="D579" s="2" t="n"/>
      <c r="E579" s="2" t="n"/>
      <c r="F579" s="2" t="n"/>
    </row>
    <row r="580" ht="15.75" customHeight="1" s="125">
      <c r="A580" s="2" t="n"/>
      <c r="B580" s="2" t="n"/>
      <c r="C580" s="2" t="n"/>
      <c r="D580" s="2" t="n"/>
      <c r="E580" s="2" t="n"/>
      <c r="F580" s="2" t="n"/>
    </row>
    <row r="581" ht="15.75" customHeight="1" s="125">
      <c r="A581" s="2" t="n"/>
      <c r="B581" s="2" t="n"/>
      <c r="C581" s="2" t="n"/>
      <c r="D581" s="2" t="n"/>
      <c r="E581" s="2" t="n"/>
      <c r="F581" s="2" t="n"/>
    </row>
    <row r="582" ht="15.75" customHeight="1" s="125">
      <c r="A582" s="2" t="n"/>
      <c r="B582" s="2" t="n"/>
      <c r="C582" s="2" t="n"/>
      <c r="D582" s="2" t="n"/>
      <c r="E582" s="2" t="n"/>
      <c r="F582" s="2" t="n"/>
    </row>
    <row r="583" ht="15.75" customHeight="1" s="125">
      <c r="A583" s="2" t="n"/>
      <c r="B583" s="2" t="n"/>
      <c r="C583" s="2" t="n"/>
      <c r="D583" s="2" t="n"/>
      <c r="E583" s="2" t="n"/>
      <c r="F583" s="2" t="n"/>
    </row>
    <row r="584" ht="15.75" customHeight="1" s="125">
      <c r="A584" s="2" t="n"/>
      <c r="B584" s="2" t="n"/>
      <c r="C584" s="2" t="n"/>
      <c r="D584" s="2" t="n"/>
      <c r="E584" s="2" t="n"/>
      <c r="F584" s="2" t="n"/>
    </row>
    <row r="585" ht="15.75" customHeight="1" s="125">
      <c r="A585" s="2" t="n"/>
      <c r="B585" s="2" t="n"/>
      <c r="C585" s="2" t="n"/>
      <c r="D585" s="2" t="n"/>
      <c r="E585" s="2" t="n"/>
      <c r="F585" s="2" t="n"/>
    </row>
    <row r="586" ht="15.75" customHeight="1" s="125">
      <c r="A586" s="2" t="n"/>
      <c r="B586" s="2" t="n"/>
      <c r="C586" s="2" t="n"/>
      <c r="D586" s="2" t="n"/>
      <c r="E586" s="2" t="n"/>
      <c r="F586" s="2" t="n"/>
    </row>
    <row r="587" ht="15.75" customHeight="1" s="125">
      <c r="A587" s="2" t="n"/>
      <c r="B587" s="2" t="n"/>
      <c r="C587" s="2" t="n"/>
      <c r="D587" s="2" t="n"/>
      <c r="E587" s="2" t="n"/>
      <c r="F587" s="2" t="n"/>
    </row>
    <row r="588" ht="15.75" customHeight="1" s="125">
      <c r="A588" s="2" t="n"/>
      <c r="B588" s="2" t="n"/>
      <c r="C588" s="2" t="n"/>
      <c r="D588" s="2" t="n"/>
      <c r="E588" s="2" t="n"/>
      <c r="F588" s="2" t="n"/>
    </row>
    <row r="589" ht="15.75" customHeight="1" s="125">
      <c r="A589" s="2" t="n"/>
      <c r="B589" s="2" t="n"/>
      <c r="C589" s="2" t="n"/>
      <c r="D589" s="2" t="n"/>
      <c r="E589" s="2" t="n"/>
      <c r="F589" s="2" t="n"/>
    </row>
    <row r="590" ht="15.75" customHeight="1" s="125">
      <c r="A590" s="2" t="n"/>
      <c r="B590" s="2" t="n"/>
      <c r="C590" s="2" t="n"/>
      <c r="D590" s="2" t="n"/>
      <c r="E590" s="2" t="n"/>
      <c r="F590" s="2" t="n"/>
    </row>
    <row r="591" ht="15.75" customHeight="1" s="125">
      <c r="A591" s="2" t="n"/>
      <c r="B591" s="2" t="n"/>
      <c r="C591" s="2" t="n"/>
      <c r="D591" s="2" t="n"/>
      <c r="E591" s="2" t="n"/>
      <c r="F591" s="2" t="n"/>
    </row>
    <row r="592" ht="15.75" customHeight="1" s="125">
      <c r="A592" s="2" t="n"/>
      <c r="B592" s="2" t="n"/>
      <c r="C592" s="2" t="n"/>
      <c r="D592" s="2" t="n"/>
      <c r="E592" s="2" t="n"/>
      <c r="F592" s="2" t="n"/>
    </row>
    <row r="593" ht="15.75" customHeight="1" s="125">
      <c r="A593" s="2" t="n"/>
      <c r="B593" s="2" t="n"/>
      <c r="C593" s="2" t="n"/>
      <c r="D593" s="2" t="n"/>
      <c r="E593" s="2" t="n"/>
      <c r="F593" s="2" t="n"/>
    </row>
    <row r="594" ht="15.75" customHeight="1" s="125">
      <c r="A594" s="2" t="n"/>
      <c r="B594" s="2" t="n"/>
      <c r="C594" s="2" t="n"/>
      <c r="D594" s="2" t="n"/>
      <c r="E594" s="2" t="n"/>
      <c r="F594" s="2" t="n"/>
    </row>
    <row r="595" ht="15.75" customHeight="1" s="125">
      <c r="A595" s="2" t="n"/>
      <c r="B595" s="2" t="n"/>
      <c r="C595" s="2" t="n"/>
      <c r="D595" s="2" t="n"/>
      <c r="E595" s="2" t="n"/>
      <c r="F595" s="2" t="n"/>
    </row>
    <row r="596" ht="15.75" customHeight="1" s="125">
      <c r="A596" s="2" t="n"/>
      <c r="B596" s="2" t="n"/>
      <c r="C596" s="2" t="n"/>
      <c r="D596" s="2" t="n"/>
      <c r="E596" s="2" t="n"/>
      <c r="F596" s="2" t="n"/>
    </row>
    <row r="597" ht="15.75" customHeight="1" s="125">
      <c r="A597" s="2" t="n"/>
      <c r="B597" s="2" t="n"/>
      <c r="C597" s="2" t="n"/>
      <c r="D597" s="2" t="n"/>
      <c r="E597" s="2" t="n"/>
      <c r="F597" s="2" t="n"/>
    </row>
    <row r="598" ht="15.75" customHeight="1" s="125">
      <c r="A598" s="2" t="n"/>
      <c r="B598" s="2" t="n"/>
      <c r="C598" s="2" t="n"/>
      <c r="D598" s="2" t="n"/>
      <c r="E598" s="2" t="n"/>
      <c r="F598" s="2" t="n"/>
    </row>
    <row r="599" ht="15.75" customHeight="1" s="125">
      <c r="A599" s="2" t="n"/>
      <c r="B599" s="2" t="n"/>
      <c r="C599" s="2" t="n"/>
      <c r="D599" s="2" t="n"/>
      <c r="E599" s="2" t="n"/>
      <c r="F599" s="2" t="n"/>
    </row>
    <row r="600" ht="15.75" customHeight="1" s="125">
      <c r="A600" s="2" t="n"/>
      <c r="B600" s="2" t="n"/>
      <c r="C600" s="2" t="n"/>
      <c r="D600" s="2" t="n"/>
      <c r="E600" s="2" t="n"/>
      <c r="F600" s="2" t="n"/>
    </row>
    <row r="601" ht="15.75" customHeight="1" s="125">
      <c r="A601" s="2" t="n"/>
      <c r="B601" s="2" t="n"/>
      <c r="C601" s="2" t="n"/>
      <c r="D601" s="2" t="n"/>
      <c r="E601" s="2" t="n"/>
      <c r="F601" s="2" t="n"/>
    </row>
    <row r="602" ht="15.75" customHeight="1" s="125">
      <c r="A602" s="2" t="n"/>
      <c r="B602" s="2" t="n"/>
      <c r="C602" s="2" t="n"/>
      <c r="D602" s="2" t="n"/>
      <c r="E602" s="2" t="n"/>
      <c r="F602" s="2" t="n"/>
    </row>
    <row r="603" ht="15.75" customHeight="1" s="125">
      <c r="A603" s="2" t="n"/>
      <c r="B603" s="2" t="n"/>
      <c r="C603" s="2" t="n"/>
      <c r="D603" s="2" t="n"/>
      <c r="E603" s="2" t="n"/>
      <c r="F603" s="2" t="n"/>
    </row>
    <row r="604" ht="15.75" customHeight="1" s="125">
      <c r="A604" s="2" t="n"/>
      <c r="B604" s="2" t="n"/>
      <c r="C604" s="2" t="n"/>
      <c r="D604" s="2" t="n"/>
      <c r="E604" s="2" t="n"/>
      <c r="F604" s="2" t="n"/>
    </row>
    <row r="605" ht="15.75" customHeight="1" s="125">
      <c r="A605" s="2" t="n"/>
      <c r="B605" s="2" t="n"/>
      <c r="C605" s="2" t="n"/>
      <c r="D605" s="2" t="n"/>
      <c r="E605" s="2" t="n"/>
      <c r="F605" s="2" t="n"/>
    </row>
    <row r="606" ht="15.75" customHeight="1" s="125">
      <c r="A606" s="2" t="n"/>
      <c r="B606" s="2" t="n"/>
      <c r="C606" s="2" t="n"/>
      <c r="D606" s="2" t="n"/>
      <c r="E606" s="2" t="n"/>
      <c r="F606" s="2" t="n"/>
    </row>
    <row r="607" ht="15.75" customHeight="1" s="125">
      <c r="A607" s="2" t="n"/>
      <c r="B607" s="2" t="n"/>
      <c r="C607" s="2" t="n"/>
      <c r="D607" s="2" t="n"/>
      <c r="E607" s="2" t="n"/>
      <c r="F607" s="2" t="n"/>
    </row>
    <row r="608" ht="15.75" customHeight="1" s="125">
      <c r="A608" s="2" t="n"/>
      <c r="B608" s="2" t="n"/>
      <c r="C608" s="2" t="n"/>
      <c r="D608" s="2" t="n"/>
      <c r="E608" s="2" t="n"/>
      <c r="F608" s="2" t="n"/>
    </row>
    <row r="609" ht="15.75" customHeight="1" s="125">
      <c r="A609" s="2" t="n"/>
      <c r="B609" s="2" t="n"/>
      <c r="C609" s="2" t="n"/>
      <c r="D609" s="2" t="n"/>
      <c r="E609" s="2" t="n"/>
      <c r="F609" s="2" t="n"/>
    </row>
    <row r="610" ht="15.75" customHeight="1" s="125">
      <c r="A610" s="2" t="n"/>
      <c r="B610" s="2" t="n"/>
      <c r="C610" s="2" t="n"/>
      <c r="D610" s="2" t="n"/>
      <c r="E610" s="2" t="n"/>
      <c r="F610" s="2" t="n"/>
    </row>
    <row r="611" ht="15.75" customHeight="1" s="125">
      <c r="A611" s="2" t="n"/>
      <c r="B611" s="2" t="n"/>
      <c r="C611" s="2" t="n"/>
      <c r="D611" s="2" t="n"/>
      <c r="E611" s="2" t="n"/>
      <c r="F611" s="2" t="n"/>
    </row>
    <row r="612" ht="15.75" customHeight="1" s="125">
      <c r="A612" s="2" t="n"/>
      <c r="B612" s="2" t="n"/>
      <c r="C612" s="2" t="n"/>
      <c r="D612" s="2" t="n"/>
      <c r="E612" s="2" t="n"/>
      <c r="F612" s="2" t="n"/>
    </row>
    <row r="613" ht="15.75" customHeight="1" s="125">
      <c r="A613" s="2" t="n"/>
      <c r="B613" s="2" t="n"/>
      <c r="C613" s="2" t="n"/>
      <c r="D613" s="2" t="n"/>
      <c r="E613" s="2" t="n"/>
      <c r="F613" s="2" t="n"/>
    </row>
    <row r="614" ht="15.75" customHeight="1" s="125">
      <c r="A614" s="2" t="n"/>
      <c r="B614" s="2" t="n"/>
      <c r="C614" s="2" t="n"/>
      <c r="D614" s="2" t="n"/>
      <c r="E614" s="2" t="n"/>
      <c r="F614" s="2" t="n"/>
    </row>
    <row r="615" ht="15.75" customHeight="1" s="125">
      <c r="A615" s="2" t="n"/>
      <c r="B615" s="2" t="n"/>
      <c r="C615" s="2" t="n"/>
      <c r="D615" s="2" t="n"/>
      <c r="E615" s="2" t="n"/>
      <c r="F615" s="2" t="n"/>
    </row>
    <row r="616" ht="15.75" customHeight="1" s="125">
      <c r="A616" s="2" t="n"/>
      <c r="B616" s="2" t="n"/>
      <c r="C616" s="2" t="n"/>
      <c r="D616" s="2" t="n"/>
      <c r="E616" s="2" t="n"/>
      <c r="F616" s="2" t="n"/>
    </row>
    <row r="617" ht="15.75" customHeight="1" s="125">
      <c r="A617" s="2" t="n"/>
      <c r="B617" s="2" t="n"/>
      <c r="C617" s="2" t="n"/>
      <c r="D617" s="2" t="n"/>
      <c r="E617" s="2" t="n"/>
      <c r="F617" s="2" t="n"/>
    </row>
    <row r="618" ht="15.75" customHeight="1" s="125">
      <c r="A618" s="2" t="n"/>
      <c r="B618" s="2" t="n"/>
      <c r="C618" s="2" t="n"/>
      <c r="D618" s="2" t="n"/>
      <c r="E618" s="2" t="n"/>
      <c r="F618" s="2" t="n"/>
    </row>
    <row r="619" ht="15.75" customHeight="1" s="125">
      <c r="A619" s="2" t="n"/>
      <c r="B619" s="2" t="n"/>
      <c r="C619" s="2" t="n"/>
      <c r="D619" s="2" t="n"/>
      <c r="E619" s="2" t="n"/>
      <c r="F619" s="2" t="n"/>
    </row>
    <row r="620" ht="15.75" customHeight="1" s="125">
      <c r="A620" s="2" t="n"/>
      <c r="B620" s="2" t="n"/>
      <c r="C620" s="2" t="n"/>
      <c r="D620" s="2" t="n"/>
      <c r="E620" s="2" t="n"/>
      <c r="F620" s="2" t="n"/>
    </row>
    <row r="621" ht="15.75" customHeight="1" s="125">
      <c r="A621" s="2" t="n"/>
      <c r="B621" s="2" t="n"/>
      <c r="C621" s="2" t="n"/>
      <c r="D621" s="2" t="n"/>
      <c r="E621" s="2" t="n"/>
      <c r="F621" s="2" t="n"/>
    </row>
    <row r="622" ht="15.75" customHeight="1" s="125">
      <c r="A622" s="2" t="n"/>
      <c r="B622" s="2" t="n"/>
      <c r="C622" s="2" t="n"/>
      <c r="D622" s="2" t="n"/>
      <c r="E622" s="2" t="n"/>
      <c r="F622" s="2" t="n"/>
    </row>
    <row r="623" ht="15.75" customHeight="1" s="125">
      <c r="A623" s="2" t="n"/>
      <c r="B623" s="2" t="n"/>
      <c r="C623" s="2" t="n"/>
      <c r="D623" s="2" t="n"/>
      <c r="E623" s="2" t="n"/>
      <c r="F623" s="2" t="n"/>
    </row>
    <row r="624" ht="15.75" customHeight="1" s="125">
      <c r="A624" s="2" t="n"/>
      <c r="B624" s="2" t="n"/>
      <c r="C624" s="2" t="n"/>
      <c r="D624" s="2" t="n"/>
      <c r="E624" s="2" t="n"/>
      <c r="F624" s="2" t="n"/>
    </row>
    <row r="625" ht="15.75" customHeight="1" s="125">
      <c r="A625" s="2" t="n"/>
      <c r="B625" s="2" t="n"/>
      <c r="C625" s="2" t="n"/>
      <c r="D625" s="2" t="n"/>
      <c r="E625" s="2" t="n"/>
      <c r="F625" s="2" t="n"/>
    </row>
    <row r="626" ht="15.75" customHeight="1" s="125">
      <c r="A626" s="2" t="n"/>
      <c r="B626" s="2" t="n"/>
      <c r="C626" s="2" t="n"/>
      <c r="D626" s="2" t="n"/>
      <c r="E626" s="2" t="n"/>
      <c r="F626" s="2" t="n"/>
    </row>
    <row r="627" ht="15.75" customHeight="1" s="125">
      <c r="A627" s="2" t="n"/>
      <c r="B627" s="2" t="n"/>
      <c r="C627" s="2" t="n"/>
      <c r="D627" s="2" t="n"/>
      <c r="E627" s="2" t="n"/>
      <c r="F627" s="2" t="n"/>
    </row>
    <row r="628" ht="15.75" customHeight="1" s="125">
      <c r="A628" s="2" t="n"/>
      <c r="B628" s="2" t="n"/>
      <c r="C628" s="2" t="n"/>
      <c r="D628" s="2" t="n"/>
      <c r="E628" s="2" t="n"/>
      <c r="F628" s="2" t="n"/>
    </row>
    <row r="629" ht="15.75" customHeight="1" s="125">
      <c r="A629" s="2" t="n"/>
      <c r="B629" s="2" t="n"/>
      <c r="C629" s="2" t="n"/>
      <c r="D629" s="2" t="n"/>
      <c r="E629" s="2" t="n"/>
      <c r="F629" s="2" t="n"/>
    </row>
    <row r="630" ht="15.75" customHeight="1" s="125">
      <c r="A630" s="2" t="n"/>
      <c r="B630" s="2" t="n"/>
      <c r="C630" s="2" t="n"/>
      <c r="D630" s="2" t="n"/>
      <c r="E630" s="2" t="n"/>
      <c r="F630" s="2" t="n"/>
    </row>
    <row r="631" ht="15.75" customHeight="1" s="125">
      <c r="A631" s="2" t="n"/>
      <c r="B631" s="2" t="n"/>
      <c r="C631" s="2" t="n"/>
      <c r="D631" s="2" t="n"/>
      <c r="E631" s="2" t="n"/>
      <c r="F631" s="2" t="n"/>
    </row>
    <row r="632" ht="15.75" customHeight="1" s="125">
      <c r="A632" s="2" t="n"/>
      <c r="B632" s="2" t="n"/>
      <c r="C632" s="2" t="n"/>
      <c r="D632" s="2" t="n"/>
      <c r="E632" s="2" t="n"/>
      <c r="F632" s="2" t="n"/>
    </row>
    <row r="633" ht="15.75" customHeight="1" s="125">
      <c r="A633" s="2" t="n"/>
      <c r="B633" s="2" t="n"/>
      <c r="C633" s="2" t="n"/>
      <c r="D633" s="2" t="n"/>
      <c r="E633" s="2" t="n"/>
      <c r="F633" s="2" t="n"/>
    </row>
    <row r="634" ht="15.75" customHeight="1" s="125">
      <c r="A634" s="2" t="n"/>
      <c r="B634" s="2" t="n"/>
      <c r="C634" s="2" t="n"/>
      <c r="D634" s="2" t="n"/>
      <c r="E634" s="2" t="n"/>
      <c r="F634" s="2" t="n"/>
    </row>
    <row r="635" ht="15.75" customHeight="1" s="125">
      <c r="A635" s="2" t="n"/>
      <c r="B635" s="2" t="n"/>
      <c r="C635" s="2" t="n"/>
      <c r="D635" s="2" t="n"/>
      <c r="E635" s="2" t="n"/>
      <c r="F635" s="2" t="n"/>
    </row>
    <row r="636" ht="15.75" customHeight="1" s="125">
      <c r="A636" s="2" t="n"/>
      <c r="B636" s="2" t="n"/>
      <c r="C636" s="2" t="n"/>
      <c r="D636" s="2" t="n"/>
      <c r="E636" s="2" t="n"/>
      <c r="F636" s="2" t="n"/>
    </row>
    <row r="637" ht="15.75" customHeight="1" s="125">
      <c r="A637" s="2" t="n"/>
      <c r="B637" s="2" t="n"/>
      <c r="C637" s="2" t="n"/>
      <c r="D637" s="2" t="n"/>
      <c r="E637" s="2" t="n"/>
      <c r="F637" s="2" t="n"/>
    </row>
    <row r="638" ht="15.75" customHeight="1" s="125">
      <c r="A638" s="2" t="n"/>
      <c r="B638" s="2" t="n"/>
      <c r="C638" s="2" t="n"/>
      <c r="D638" s="2" t="n"/>
      <c r="E638" s="2" t="n"/>
      <c r="F638" s="2" t="n"/>
    </row>
    <row r="639" ht="15.75" customHeight="1" s="125">
      <c r="A639" s="2" t="n"/>
      <c r="B639" s="2" t="n"/>
      <c r="C639" s="2" t="n"/>
      <c r="D639" s="2" t="n"/>
      <c r="E639" s="2" t="n"/>
      <c r="F639" s="2" t="n"/>
    </row>
    <row r="640" ht="15.75" customHeight="1" s="125">
      <c r="A640" s="2" t="n"/>
      <c r="B640" s="2" t="n"/>
      <c r="C640" s="2" t="n"/>
      <c r="D640" s="2" t="n"/>
      <c r="E640" s="2" t="n"/>
      <c r="F640" s="2" t="n"/>
    </row>
    <row r="641" ht="15.75" customHeight="1" s="125">
      <c r="A641" s="2" t="n"/>
      <c r="B641" s="2" t="n"/>
      <c r="C641" s="2" t="n"/>
      <c r="D641" s="2" t="n"/>
      <c r="E641" s="2" t="n"/>
      <c r="F641" s="2" t="n"/>
    </row>
    <row r="642" ht="15.75" customHeight="1" s="125">
      <c r="A642" s="2" t="n"/>
      <c r="B642" s="2" t="n"/>
      <c r="C642" s="2" t="n"/>
      <c r="D642" s="2" t="n"/>
      <c r="E642" s="2" t="n"/>
      <c r="F642" s="2" t="n"/>
    </row>
    <row r="643" ht="15.75" customHeight="1" s="125">
      <c r="A643" s="2" t="n"/>
      <c r="B643" s="2" t="n"/>
      <c r="C643" s="2" t="n"/>
      <c r="D643" s="2" t="n"/>
      <c r="E643" s="2" t="n"/>
      <c r="F643" s="2" t="n"/>
    </row>
    <row r="644" ht="15.75" customHeight="1" s="125">
      <c r="A644" s="2" t="n"/>
      <c r="B644" s="2" t="n"/>
      <c r="C644" s="2" t="n"/>
      <c r="D644" s="2" t="n"/>
      <c r="E644" s="2" t="n"/>
      <c r="F644" s="2" t="n"/>
    </row>
    <row r="645" ht="15.75" customHeight="1" s="125">
      <c r="A645" s="2" t="n"/>
      <c r="B645" s="2" t="n"/>
      <c r="C645" s="2" t="n"/>
      <c r="D645" s="2" t="n"/>
      <c r="E645" s="2" t="n"/>
      <c r="F645" s="2" t="n"/>
    </row>
    <row r="646" ht="15.75" customHeight="1" s="125">
      <c r="A646" s="2" t="n"/>
      <c r="B646" s="2" t="n"/>
      <c r="C646" s="2" t="n"/>
      <c r="D646" s="2" t="n"/>
      <c r="E646" s="2" t="n"/>
      <c r="F646" s="2" t="n"/>
    </row>
    <row r="647" ht="15.75" customHeight="1" s="125">
      <c r="A647" s="2" t="n"/>
      <c r="B647" s="2" t="n"/>
      <c r="C647" s="2" t="n"/>
      <c r="D647" s="2" t="n"/>
      <c r="E647" s="2" t="n"/>
      <c r="F647" s="2" t="n"/>
    </row>
    <row r="648" ht="15.75" customHeight="1" s="125">
      <c r="A648" s="2" t="n"/>
      <c r="B648" s="2" t="n"/>
      <c r="C648" s="2" t="n"/>
      <c r="D648" s="2" t="n"/>
      <c r="E648" s="2" t="n"/>
      <c r="F648" s="2" t="n"/>
    </row>
    <row r="649" ht="15.75" customHeight="1" s="125">
      <c r="A649" s="2" t="n"/>
      <c r="B649" s="2" t="n"/>
      <c r="C649" s="2" t="n"/>
      <c r="D649" s="2" t="n"/>
      <c r="E649" s="2" t="n"/>
      <c r="F649" s="2" t="n"/>
    </row>
    <row r="650" ht="15.75" customHeight="1" s="125">
      <c r="A650" s="2" t="n"/>
      <c r="B650" s="2" t="n"/>
      <c r="C650" s="2" t="n"/>
      <c r="D650" s="2" t="n"/>
      <c r="E650" s="2" t="n"/>
      <c r="F650" s="2" t="n"/>
    </row>
    <row r="651" ht="15.75" customHeight="1" s="125">
      <c r="A651" s="2" t="n"/>
      <c r="B651" s="2" t="n"/>
      <c r="C651" s="2" t="n"/>
      <c r="D651" s="2" t="n"/>
      <c r="E651" s="2" t="n"/>
      <c r="F651" s="2" t="n"/>
    </row>
    <row r="652" ht="15.75" customHeight="1" s="125">
      <c r="A652" s="2" t="n"/>
      <c r="B652" s="2" t="n"/>
      <c r="C652" s="2" t="n"/>
      <c r="D652" s="2" t="n"/>
      <c r="E652" s="2" t="n"/>
      <c r="F652" s="2" t="n"/>
    </row>
    <row r="653" ht="15.75" customHeight="1" s="125">
      <c r="A653" s="2" t="n"/>
      <c r="B653" s="2" t="n"/>
      <c r="C653" s="2" t="n"/>
      <c r="D653" s="2" t="n"/>
      <c r="E653" s="2" t="n"/>
      <c r="F653" s="2" t="n"/>
    </row>
    <row r="654" ht="15.75" customHeight="1" s="125">
      <c r="A654" s="2" t="n"/>
      <c r="B654" s="2" t="n"/>
      <c r="C654" s="2" t="n"/>
      <c r="D654" s="2" t="n"/>
      <c r="E654" s="2" t="n"/>
      <c r="F654" s="2" t="n"/>
    </row>
    <row r="655" ht="15.75" customHeight="1" s="125">
      <c r="A655" s="2" t="n"/>
      <c r="B655" s="2" t="n"/>
      <c r="C655" s="2" t="n"/>
      <c r="D655" s="2" t="n"/>
      <c r="E655" s="2" t="n"/>
      <c r="F655" s="2" t="n"/>
    </row>
    <row r="656" ht="15.75" customHeight="1" s="125">
      <c r="A656" s="2" t="n"/>
      <c r="B656" s="2" t="n"/>
      <c r="C656" s="2" t="n"/>
      <c r="D656" s="2" t="n"/>
      <c r="E656" s="2" t="n"/>
      <c r="F656" s="2" t="n"/>
    </row>
    <row r="657" ht="15.75" customHeight="1" s="125">
      <c r="A657" s="2" t="n"/>
      <c r="B657" s="2" t="n"/>
      <c r="C657" s="2" t="n"/>
      <c r="D657" s="2" t="n"/>
      <c r="E657" s="2" t="n"/>
      <c r="F657" s="2" t="n"/>
    </row>
    <row r="658" ht="15.75" customHeight="1" s="125">
      <c r="A658" s="2" t="n"/>
      <c r="B658" s="2" t="n"/>
      <c r="C658" s="2" t="n"/>
      <c r="D658" s="2" t="n"/>
      <c r="E658" s="2" t="n"/>
      <c r="F658" s="2" t="n"/>
    </row>
    <row r="659" ht="15.75" customHeight="1" s="125">
      <c r="A659" s="2" t="n"/>
      <c r="B659" s="2" t="n"/>
      <c r="C659" s="2" t="n"/>
      <c r="D659" s="2" t="n"/>
      <c r="E659" s="2" t="n"/>
      <c r="F659" s="2" t="n"/>
    </row>
    <row r="660" ht="15.75" customHeight="1" s="125">
      <c r="A660" s="2" t="n"/>
      <c r="B660" s="2" t="n"/>
      <c r="C660" s="2" t="n"/>
      <c r="D660" s="2" t="n"/>
      <c r="E660" s="2" t="n"/>
      <c r="F660" s="2" t="n"/>
    </row>
    <row r="661" ht="15.75" customHeight="1" s="125">
      <c r="A661" s="2" t="n"/>
      <c r="B661" s="2" t="n"/>
      <c r="C661" s="2" t="n"/>
      <c r="D661" s="2" t="n"/>
      <c r="E661" s="2" t="n"/>
      <c r="F661" s="2" t="n"/>
    </row>
    <row r="662" ht="15.75" customHeight="1" s="125">
      <c r="A662" s="2" t="n"/>
      <c r="B662" s="2" t="n"/>
      <c r="C662" s="2" t="n"/>
      <c r="D662" s="2" t="n"/>
      <c r="E662" s="2" t="n"/>
      <c r="F662" s="2" t="n"/>
    </row>
    <row r="663" ht="15.75" customHeight="1" s="125">
      <c r="A663" s="2" t="n"/>
      <c r="B663" s="2" t="n"/>
      <c r="C663" s="2" t="n"/>
      <c r="D663" s="2" t="n"/>
      <c r="E663" s="2" t="n"/>
      <c r="F663" s="2" t="n"/>
    </row>
    <row r="664" ht="15.75" customHeight="1" s="125">
      <c r="A664" s="2" t="n"/>
      <c r="B664" s="2" t="n"/>
      <c r="C664" s="2" t="n"/>
      <c r="D664" s="2" t="n"/>
      <c r="E664" s="2" t="n"/>
      <c r="F664" s="2" t="n"/>
    </row>
    <row r="665" ht="15.75" customHeight="1" s="125">
      <c r="A665" s="2" t="n"/>
      <c r="B665" s="2" t="n"/>
      <c r="C665" s="2" t="n"/>
      <c r="D665" s="2" t="n"/>
      <c r="E665" s="2" t="n"/>
      <c r="F665" s="2" t="n"/>
    </row>
    <row r="666" ht="15.75" customHeight="1" s="125">
      <c r="A666" s="2" t="n"/>
      <c r="B666" s="2" t="n"/>
      <c r="C666" s="2" t="n"/>
      <c r="D666" s="2" t="n"/>
      <c r="E666" s="2" t="n"/>
      <c r="F666" s="2" t="n"/>
    </row>
    <row r="667" ht="15.75" customHeight="1" s="125">
      <c r="A667" s="2" t="n"/>
      <c r="B667" s="2" t="n"/>
      <c r="C667" s="2" t="n"/>
      <c r="D667" s="2" t="n"/>
      <c r="E667" s="2" t="n"/>
      <c r="F667" s="2" t="n"/>
    </row>
    <row r="668" ht="15.75" customHeight="1" s="125">
      <c r="A668" s="2" t="n"/>
      <c r="B668" s="2" t="n"/>
      <c r="C668" s="2" t="n"/>
      <c r="D668" s="2" t="n"/>
      <c r="E668" s="2" t="n"/>
      <c r="F668" s="2" t="n"/>
    </row>
    <row r="669" ht="15.75" customHeight="1" s="125">
      <c r="A669" s="2" t="n"/>
      <c r="B669" s="2" t="n"/>
      <c r="C669" s="2" t="n"/>
      <c r="D669" s="2" t="n"/>
      <c r="E669" s="2" t="n"/>
      <c r="F669" s="2" t="n"/>
    </row>
    <row r="670" ht="15.75" customHeight="1" s="125">
      <c r="A670" s="2" t="n"/>
      <c r="B670" s="2" t="n"/>
      <c r="C670" s="2" t="n"/>
      <c r="D670" s="2" t="n"/>
      <c r="E670" s="2" t="n"/>
      <c r="F670" s="2" t="n"/>
    </row>
    <row r="671" ht="15.75" customHeight="1" s="125">
      <c r="A671" s="2" t="n"/>
      <c r="B671" s="2" t="n"/>
      <c r="C671" s="2" t="n"/>
      <c r="D671" s="2" t="n"/>
      <c r="E671" s="2" t="n"/>
      <c r="F671" s="2" t="n"/>
    </row>
    <row r="672" ht="15.75" customHeight="1" s="125">
      <c r="A672" s="2" t="n"/>
      <c r="B672" s="2" t="n"/>
      <c r="C672" s="2" t="n"/>
      <c r="D672" s="2" t="n"/>
      <c r="E672" s="2" t="n"/>
      <c r="F672" s="2" t="n"/>
    </row>
    <row r="673" ht="15.75" customHeight="1" s="125">
      <c r="A673" s="2" t="n"/>
      <c r="B673" s="2" t="n"/>
      <c r="C673" s="2" t="n"/>
      <c r="D673" s="2" t="n"/>
      <c r="E673" s="2" t="n"/>
      <c r="F673" s="2" t="n"/>
    </row>
    <row r="674" ht="15.75" customHeight="1" s="125">
      <c r="A674" s="2" t="n"/>
      <c r="B674" s="2" t="n"/>
      <c r="C674" s="2" t="n"/>
      <c r="D674" s="2" t="n"/>
      <c r="E674" s="2" t="n"/>
      <c r="F674" s="2" t="n"/>
    </row>
    <row r="675" ht="15.75" customHeight="1" s="125">
      <c r="A675" s="2" t="n"/>
      <c r="B675" s="2" t="n"/>
      <c r="C675" s="2" t="n"/>
      <c r="D675" s="2" t="n"/>
      <c r="E675" s="2" t="n"/>
      <c r="F675" s="2" t="n"/>
    </row>
    <row r="676" ht="15.75" customHeight="1" s="125">
      <c r="A676" s="2" t="n"/>
      <c r="B676" s="2" t="n"/>
      <c r="C676" s="2" t="n"/>
      <c r="D676" s="2" t="n"/>
      <c r="E676" s="2" t="n"/>
      <c r="F676" s="2" t="n"/>
    </row>
    <row r="677" ht="15.75" customHeight="1" s="125">
      <c r="A677" s="2" t="n"/>
      <c r="B677" s="2" t="n"/>
      <c r="C677" s="2" t="n"/>
      <c r="D677" s="2" t="n"/>
      <c r="E677" s="2" t="n"/>
      <c r="F677" s="2" t="n"/>
    </row>
    <row r="678" ht="15.75" customHeight="1" s="125">
      <c r="A678" s="2" t="n"/>
      <c r="B678" s="2" t="n"/>
      <c r="C678" s="2" t="n"/>
      <c r="D678" s="2" t="n"/>
      <c r="E678" s="2" t="n"/>
      <c r="F678" s="2" t="n"/>
    </row>
    <row r="679" ht="15.75" customHeight="1" s="125">
      <c r="A679" s="2" t="n"/>
      <c r="B679" s="2" t="n"/>
      <c r="C679" s="2" t="n"/>
      <c r="D679" s="2" t="n"/>
      <c r="E679" s="2" t="n"/>
      <c r="F679" s="2" t="n"/>
    </row>
    <row r="680" ht="15.75" customHeight="1" s="125">
      <c r="A680" s="2" t="n"/>
      <c r="B680" s="2" t="n"/>
      <c r="C680" s="2" t="n"/>
      <c r="D680" s="2" t="n"/>
      <c r="E680" s="2" t="n"/>
      <c r="F680" s="2" t="n"/>
    </row>
    <row r="681" ht="15.75" customHeight="1" s="125">
      <c r="A681" s="2" t="n"/>
      <c r="B681" s="2" t="n"/>
      <c r="C681" s="2" t="n"/>
      <c r="D681" s="2" t="n"/>
      <c r="E681" s="2" t="n"/>
      <c r="F681" s="2" t="n"/>
    </row>
    <row r="682" ht="15.75" customHeight="1" s="125">
      <c r="A682" s="2" t="n"/>
      <c r="B682" s="2" t="n"/>
      <c r="C682" s="2" t="n"/>
      <c r="D682" s="2" t="n"/>
      <c r="E682" s="2" t="n"/>
      <c r="F682" s="2" t="n"/>
    </row>
    <row r="683" ht="15.75" customHeight="1" s="125">
      <c r="A683" s="2" t="n"/>
      <c r="B683" s="2" t="n"/>
      <c r="C683" s="2" t="n"/>
      <c r="D683" s="2" t="n"/>
      <c r="E683" s="2" t="n"/>
      <c r="F683" s="2" t="n"/>
    </row>
    <row r="684" ht="15.75" customHeight="1" s="125">
      <c r="A684" s="2" t="n"/>
      <c r="B684" s="2" t="n"/>
      <c r="C684" s="2" t="n"/>
      <c r="D684" s="2" t="n"/>
      <c r="E684" s="2" t="n"/>
      <c r="F684" s="2" t="n"/>
    </row>
    <row r="685" ht="15.75" customHeight="1" s="125">
      <c r="A685" s="2" t="n"/>
      <c r="B685" s="2" t="n"/>
      <c r="C685" s="2" t="n"/>
      <c r="D685" s="2" t="n"/>
      <c r="E685" s="2" t="n"/>
      <c r="F685" s="2" t="n"/>
    </row>
    <row r="686" ht="15.75" customHeight="1" s="125">
      <c r="A686" s="2" t="n"/>
      <c r="B686" s="2" t="n"/>
      <c r="C686" s="2" t="n"/>
      <c r="D686" s="2" t="n"/>
      <c r="E686" s="2" t="n"/>
      <c r="F686" s="2" t="n"/>
    </row>
    <row r="687" ht="15.75" customHeight="1" s="125">
      <c r="A687" s="2" t="n"/>
      <c r="B687" s="2" t="n"/>
      <c r="C687" s="2" t="n"/>
      <c r="D687" s="2" t="n"/>
      <c r="E687" s="2" t="n"/>
      <c r="F687" s="2" t="n"/>
    </row>
    <row r="688" ht="15.75" customHeight="1" s="125">
      <c r="A688" s="2" t="n"/>
      <c r="B688" s="2" t="n"/>
      <c r="C688" s="2" t="n"/>
      <c r="D688" s="2" t="n"/>
      <c r="E688" s="2" t="n"/>
      <c r="F688" s="2" t="n"/>
    </row>
    <row r="689" ht="15.75" customHeight="1" s="125">
      <c r="A689" s="2" t="n"/>
      <c r="B689" s="2" t="n"/>
      <c r="C689" s="2" t="n"/>
      <c r="D689" s="2" t="n"/>
      <c r="E689" s="2" t="n"/>
      <c r="F689" s="2" t="n"/>
    </row>
    <row r="690" ht="15.75" customHeight="1" s="125">
      <c r="A690" s="2" t="n"/>
      <c r="B690" s="2" t="n"/>
      <c r="C690" s="2" t="n"/>
      <c r="D690" s="2" t="n"/>
      <c r="E690" s="2" t="n"/>
      <c r="F690" s="2" t="n"/>
    </row>
    <row r="691" ht="15.75" customHeight="1" s="125">
      <c r="A691" s="2" t="n"/>
      <c r="B691" s="2" t="n"/>
      <c r="C691" s="2" t="n"/>
      <c r="D691" s="2" t="n"/>
      <c r="E691" s="2" t="n"/>
      <c r="F691" s="2" t="n"/>
    </row>
    <row r="692" ht="15.75" customHeight="1" s="125">
      <c r="A692" s="2" t="n"/>
      <c r="B692" s="2" t="n"/>
      <c r="C692" s="2" t="n"/>
      <c r="D692" s="2" t="n"/>
      <c r="E692" s="2" t="n"/>
      <c r="F692" s="2" t="n"/>
    </row>
    <row r="693" ht="15.75" customHeight="1" s="125">
      <c r="A693" s="2" t="n"/>
      <c r="B693" s="2" t="n"/>
      <c r="C693" s="2" t="n"/>
      <c r="D693" s="2" t="n"/>
      <c r="E693" s="2" t="n"/>
      <c r="F693" s="2" t="n"/>
    </row>
    <row r="694" ht="15.75" customHeight="1" s="125">
      <c r="A694" s="2" t="n"/>
      <c r="B694" s="2" t="n"/>
      <c r="C694" s="2" t="n"/>
      <c r="D694" s="2" t="n"/>
      <c r="E694" s="2" t="n"/>
      <c r="F694" s="2" t="n"/>
    </row>
    <row r="695" ht="15.75" customHeight="1" s="125">
      <c r="A695" s="2" t="n"/>
      <c r="B695" s="2" t="n"/>
      <c r="C695" s="2" t="n"/>
      <c r="D695" s="2" t="n"/>
      <c r="E695" s="2" t="n"/>
      <c r="F695" s="2" t="n"/>
    </row>
    <row r="696" ht="15.75" customHeight="1" s="125">
      <c r="A696" s="2" t="n"/>
      <c r="B696" s="2" t="n"/>
      <c r="C696" s="2" t="n"/>
      <c r="D696" s="2" t="n"/>
      <c r="E696" s="2" t="n"/>
      <c r="F696" s="2" t="n"/>
    </row>
    <row r="697" ht="15.75" customHeight="1" s="125">
      <c r="A697" s="2" t="n"/>
      <c r="B697" s="2" t="n"/>
      <c r="C697" s="2" t="n"/>
      <c r="D697" s="2" t="n"/>
      <c r="E697" s="2" t="n"/>
      <c r="F697" s="2" t="n"/>
    </row>
    <row r="698" ht="15.75" customHeight="1" s="125">
      <c r="A698" s="2" t="n"/>
      <c r="B698" s="2" t="n"/>
      <c r="C698" s="2" t="n"/>
      <c r="D698" s="2" t="n"/>
      <c r="E698" s="2" t="n"/>
      <c r="F698" s="2" t="n"/>
    </row>
    <row r="699" ht="15.75" customHeight="1" s="125">
      <c r="A699" s="2" t="n"/>
      <c r="B699" s="2" t="n"/>
      <c r="C699" s="2" t="n"/>
      <c r="D699" s="2" t="n"/>
      <c r="E699" s="2" t="n"/>
      <c r="F699" s="2" t="n"/>
    </row>
    <row r="700" ht="15.75" customHeight="1" s="125">
      <c r="A700" s="2" t="n"/>
      <c r="B700" s="2" t="n"/>
      <c r="C700" s="2" t="n"/>
      <c r="D700" s="2" t="n"/>
      <c r="E700" s="2" t="n"/>
      <c r="F700" s="2" t="n"/>
    </row>
    <row r="701" ht="15.75" customHeight="1" s="125">
      <c r="A701" s="2" t="n"/>
      <c r="B701" s="2" t="n"/>
      <c r="C701" s="2" t="n"/>
      <c r="D701" s="2" t="n"/>
      <c r="E701" s="2" t="n"/>
      <c r="F701" s="2" t="n"/>
    </row>
    <row r="702" ht="15.75" customHeight="1" s="125">
      <c r="A702" s="2" t="n"/>
      <c r="B702" s="2" t="n"/>
      <c r="C702" s="2" t="n"/>
      <c r="D702" s="2" t="n"/>
      <c r="E702" s="2" t="n"/>
      <c r="F702" s="2" t="n"/>
    </row>
    <row r="703" ht="15.75" customHeight="1" s="125">
      <c r="A703" s="2" t="n"/>
      <c r="B703" s="2" t="n"/>
      <c r="C703" s="2" t="n"/>
      <c r="D703" s="2" t="n"/>
      <c r="E703" s="2" t="n"/>
      <c r="F703" s="2" t="n"/>
    </row>
    <row r="704" ht="15.75" customHeight="1" s="125">
      <c r="A704" s="2" t="n"/>
      <c r="B704" s="2" t="n"/>
      <c r="C704" s="2" t="n"/>
      <c r="D704" s="2" t="n"/>
      <c r="E704" s="2" t="n"/>
      <c r="F704" s="2" t="n"/>
    </row>
    <row r="705" ht="15.75" customHeight="1" s="125">
      <c r="A705" s="2" t="n"/>
      <c r="B705" s="2" t="n"/>
      <c r="C705" s="2" t="n"/>
      <c r="D705" s="2" t="n"/>
      <c r="E705" s="2" t="n"/>
      <c r="F705" s="2" t="n"/>
    </row>
    <row r="706" ht="15.75" customHeight="1" s="125">
      <c r="A706" s="2" t="n"/>
      <c r="B706" s="2" t="n"/>
      <c r="C706" s="2" t="n"/>
      <c r="D706" s="2" t="n"/>
      <c r="E706" s="2" t="n"/>
      <c r="F706" s="2" t="n"/>
    </row>
    <row r="707" ht="15.75" customHeight="1" s="125">
      <c r="A707" s="2" t="n"/>
      <c r="B707" s="2" t="n"/>
      <c r="C707" s="2" t="n"/>
      <c r="D707" s="2" t="n"/>
      <c r="E707" s="2" t="n"/>
      <c r="F707" s="2" t="n"/>
    </row>
    <row r="708" ht="15.75" customHeight="1" s="125">
      <c r="A708" s="2" t="n"/>
      <c r="B708" s="2" t="n"/>
      <c r="C708" s="2" t="n"/>
      <c r="D708" s="2" t="n"/>
      <c r="E708" s="2" t="n"/>
      <c r="F708" s="2" t="n"/>
    </row>
    <row r="709" ht="15.75" customHeight="1" s="125">
      <c r="A709" s="2" t="n"/>
      <c r="B709" s="2" t="n"/>
      <c r="C709" s="2" t="n"/>
      <c r="D709" s="2" t="n"/>
      <c r="E709" s="2" t="n"/>
      <c r="F709" s="2" t="n"/>
    </row>
    <row r="710" ht="15.75" customHeight="1" s="125">
      <c r="A710" s="2" t="n"/>
      <c r="B710" s="2" t="n"/>
      <c r="C710" s="2" t="n"/>
      <c r="D710" s="2" t="n"/>
      <c r="E710" s="2" t="n"/>
      <c r="F710" s="2" t="n"/>
    </row>
    <row r="711" ht="15.75" customHeight="1" s="125">
      <c r="A711" s="2" t="n"/>
      <c r="B711" s="2" t="n"/>
      <c r="C711" s="2" t="n"/>
      <c r="D711" s="2" t="n"/>
      <c r="E711" s="2" t="n"/>
      <c r="F711" s="2" t="n"/>
    </row>
    <row r="712" ht="15.75" customHeight="1" s="125">
      <c r="A712" s="2" t="n"/>
      <c r="B712" s="2" t="n"/>
      <c r="C712" s="2" t="n"/>
      <c r="D712" s="2" t="n"/>
      <c r="E712" s="2" t="n"/>
      <c r="F712" s="2" t="n"/>
    </row>
    <row r="713" ht="15.75" customHeight="1" s="125">
      <c r="A713" s="2" t="n"/>
      <c r="B713" s="2" t="n"/>
      <c r="C713" s="2" t="n"/>
      <c r="D713" s="2" t="n"/>
      <c r="E713" s="2" t="n"/>
      <c r="F713" s="2" t="n"/>
    </row>
    <row r="714" ht="15.75" customHeight="1" s="125">
      <c r="A714" s="2" t="n"/>
      <c r="B714" s="2" t="n"/>
      <c r="C714" s="2" t="n"/>
      <c r="D714" s="2" t="n"/>
      <c r="E714" s="2" t="n"/>
      <c r="F714" s="2" t="n"/>
    </row>
    <row r="715" ht="15.75" customHeight="1" s="125">
      <c r="A715" s="2" t="n"/>
      <c r="B715" s="2" t="n"/>
      <c r="C715" s="2" t="n"/>
      <c r="D715" s="2" t="n"/>
      <c r="E715" s="2" t="n"/>
      <c r="F715" s="2" t="n"/>
    </row>
    <row r="716" ht="15.75" customHeight="1" s="125">
      <c r="A716" s="2" t="n"/>
      <c r="B716" s="2" t="n"/>
      <c r="C716" s="2" t="n"/>
      <c r="D716" s="2" t="n"/>
      <c r="E716" s="2" t="n"/>
      <c r="F716" s="2" t="n"/>
    </row>
    <row r="717" ht="15.75" customHeight="1" s="125">
      <c r="A717" s="2" t="n"/>
      <c r="B717" s="2" t="n"/>
      <c r="C717" s="2" t="n"/>
      <c r="D717" s="2" t="n"/>
      <c r="E717" s="2" t="n"/>
      <c r="F717" s="2" t="n"/>
    </row>
    <row r="718" ht="15.75" customHeight="1" s="125">
      <c r="A718" s="2" t="n"/>
      <c r="B718" s="2" t="n"/>
      <c r="C718" s="2" t="n"/>
      <c r="D718" s="2" t="n"/>
      <c r="E718" s="2" t="n"/>
      <c r="F718" s="2" t="n"/>
    </row>
    <row r="719" ht="15.75" customHeight="1" s="125">
      <c r="A719" s="2" t="n"/>
      <c r="B719" s="2" t="n"/>
      <c r="C719" s="2" t="n"/>
      <c r="D719" s="2" t="n"/>
      <c r="E719" s="2" t="n"/>
      <c r="F719" s="2" t="n"/>
    </row>
    <row r="720" ht="15.75" customHeight="1" s="125">
      <c r="A720" s="2" t="n"/>
      <c r="B720" s="2" t="n"/>
      <c r="C720" s="2" t="n"/>
      <c r="D720" s="2" t="n"/>
      <c r="E720" s="2" t="n"/>
      <c r="F720" s="2" t="n"/>
    </row>
    <row r="721" ht="15.75" customHeight="1" s="125">
      <c r="A721" s="2" t="n"/>
      <c r="B721" s="2" t="n"/>
      <c r="C721" s="2" t="n"/>
      <c r="D721" s="2" t="n"/>
      <c r="E721" s="2" t="n"/>
      <c r="F721" s="2" t="n"/>
    </row>
    <row r="722" ht="15.75" customHeight="1" s="125">
      <c r="A722" s="2" t="n"/>
      <c r="B722" s="2" t="n"/>
      <c r="C722" s="2" t="n"/>
      <c r="D722" s="2" t="n"/>
      <c r="E722" s="2" t="n"/>
      <c r="F722" s="2" t="n"/>
    </row>
    <row r="723" ht="15.75" customHeight="1" s="125">
      <c r="A723" s="2" t="n"/>
      <c r="B723" s="2" t="n"/>
      <c r="C723" s="2" t="n"/>
      <c r="D723" s="2" t="n"/>
      <c r="E723" s="2" t="n"/>
      <c r="F723" s="2" t="n"/>
    </row>
    <row r="724" ht="15.75" customHeight="1" s="125">
      <c r="A724" s="2" t="n"/>
      <c r="B724" s="2" t="n"/>
      <c r="C724" s="2" t="n"/>
      <c r="D724" s="2" t="n"/>
      <c r="E724" s="2" t="n"/>
      <c r="F724" s="2" t="n"/>
    </row>
    <row r="725" ht="15.75" customHeight="1" s="125">
      <c r="A725" s="2" t="n"/>
      <c r="B725" s="2" t="n"/>
      <c r="C725" s="2" t="n"/>
      <c r="D725" s="2" t="n"/>
      <c r="E725" s="2" t="n"/>
      <c r="F725" s="2" t="n"/>
    </row>
    <row r="726" ht="15.75" customHeight="1" s="125">
      <c r="A726" s="2" t="n"/>
      <c r="B726" s="2" t="n"/>
      <c r="C726" s="2" t="n"/>
      <c r="D726" s="2" t="n"/>
      <c r="E726" s="2" t="n"/>
      <c r="F726" s="2" t="n"/>
    </row>
    <row r="727" ht="15.75" customHeight="1" s="125">
      <c r="A727" s="2" t="n"/>
      <c r="B727" s="2" t="n"/>
      <c r="C727" s="2" t="n"/>
      <c r="D727" s="2" t="n"/>
      <c r="E727" s="2" t="n"/>
      <c r="F727" s="2" t="n"/>
    </row>
    <row r="728" ht="15.75" customHeight="1" s="125">
      <c r="A728" s="2" t="n"/>
      <c r="B728" s="2" t="n"/>
      <c r="C728" s="2" t="n"/>
      <c r="D728" s="2" t="n"/>
      <c r="E728" s="2" t="n"/>
      <c r="F728" s="2" t="n"/>
    </row>
    <row r="729" ht="15.75" customHeight="1" s="125">
      <c r="A729" s="2" t="n"/>
      <c r="B729" s="2" t="n"/>
      <c r="C729" s="2" t="n"/>
      <c r="D729" s="2" t="n"/>
      <c r="E729" s="2" t="n"/>
      <c r="F729" s="2" t="n"/>
    </row>
    <row r="730" ht="15.75" customHeight="1" s="125">
      <c r="A730" s="2" t="n"/>
      <c r="B730" s="2" t="n"/>
      <c r="C730" s="2" t="n"/>
      <c r="D730" s="2" t="n"/>
      <c r="E730" s="2" t="n"/>
      <c r="F730" s="2" t="n"/>
    </row>
    <row r="731" ht="15.75" customHeight="1" s="125">
      <c r="A731" s="2" t="n"/>
      <c r="B731" s="2" t="n"/>
      <c r="C731" s="2" t="n"/>
      <c r="D731" s="2" t="n"/>
      <c r="E731" s="2" t="n"/>
      <c r="F731" s="2" t="n"/>
    </row>
    <row r="732" ht="15.75" customHeight="1" s="125">
      <c r="A732" s="2" t="n"/>
      <c r="B732" s="2" t="n"/>
      <c r="C732" s="2" t="n"/>
      <c r="D732" s="2" t="n"/>
      <c r="E732" s="2" t="n"/>
      <c r="F732" s="2" t="n"/>
    </row>
    <row r="733" ht="15.75" customHeight="1" s="125">
      <c r="A733" s="2" t="n"/>
      <c r="B733" s="2" t="n"/>
      <c r="C733" s="2" t="n"/>
      <c r="D733" s="2" t="n"/>
      <c r="E733" s="2" t="n"/>
      <c r="F733" s="2" t="n"/>
    </row>
    <row r="734" ht="15.75" customHeight="1" s="125">
      <c r="A734" s="2" t="n"/>
      <c r="B734" s="2" t="n"/>
      <c r="C734" s="2" t="n"/>
      <c r="D734" s="2" t="n"/>
      <c r="E734" s="2" t="n"/>
      <c r="F734" s="2" t="n"/>
    </row>
    <row r="735" ht="15.75" customHeight="1" s="125">
      <c r="A735" s="2" t="n"/>
      <c r="B735" s="2" t="n"/>
      <c r="C735" s="2" t="n"/>
      <c r="D735" s="2" t="n"/>
      <c r="E735" s="2" t="n"/>
      <c r="F735" s="2" t="n"/>
    </row>
    <row r="736" ht="15.75" customHeight="1" s="125">
      <c r="A736" s="2" t="n"/>
      <c r="B736" s="2" t="n"/>
      <c r="C736" s="2" t="n"/>
      <c r="D736" s="2" t="n"/>
      <c r="E736" s="2" t="n"/>
      <c r="F736" s="2" t="n"/>
    </row>
    <row r="737" ht="15.75" customHeight="1" s="125">
      <c r="A737" s="2" t="n"/>
      <c r="B737" s="2" t="n"/>
      <c r="C737" s="2" t="n"/>
      <c r="D737" s="2" t="n"/>
      <c r="E737" s="2" t="n"/>
      <c r="F737" s="2" t="n"/>
    </row>
    <row r="738" ht="15.75" customHeight="1" s="125">
      <c r="A738" s="2" t="n"/>
      <c r="B738" s="2" t="n"/>
      <c r="C738" s="2" t="n"/>
      <c r="D738" s="2" t="n"/>
      <c r="E738" s="2" t="n"/>
      <c r="F738" s="2" t="n"/>
    </row>
    <row r="739" ht="15.75" customHeight="1" s="125">
      <c r="A739" s="2" t="n"/>
      <c r="B739" s="2" t="n"/>
      <c r="C739" s="2" t="n"/>
      <c r="D739" s="2" t="n"/>
      <c r="E739" s="2" t="n"/>
      <c r="F739" s="2" t="n"/>
    </row>
    <row r="740" ht="15.75" customHeight="1" s="125">
      <c r="A740" s="2" t="n"/>
      <c r="B740" s="2" t="n"/>
      <c r="C740" s="2" t="n"/>
      <c r="D740" s="2" t="n"/>
      <c r="E740" s="2" t="n"/>
      <c r="F740" s="2" t="n"/>
    </row>
    <row r="741" ht="15.75" customHeight="1" s="125">
      <c r="A741" s="2" t="n"/>
      <c r="B741" s="2" t="n"/>
      <c r="C741" s="2" t="n"/>
      <c r="D741" s="2" t="n"/>
      <c r="E741" s="2" t="n"/>
      <c r="F741" s="2" t="n"/>
    </row>
    <row r="742" ht="15.75" customHeight="1" s="125">
      <c r="A742" s="2" t="n"/>
      <c r="B742" s="2" t="n"/>
      <c r="C742" s="2" t="n"/>
      <c r="D742" s="2" t="n"/>
      <c r="E742" s="2" t="n"/>
      <c r="F742" s="2" t="n"/>
    </row>
    <row r="743" ht="15.75" customHeight="1" s="125">
      <c r="A743" s="2" t="n"/>
      <c r="B743" s="2" t="n"/>
      <c r="C743" s="2" t="n"/>
      <c r="D743" s="2" t="n"/>
      <c r="E743" s="2" t="n"/>
      <c r="F743" s="2" t="n"/>
    </row>
    <row r="744" ht="15.75" customHeight="1" s="125">
      <c r="A744" s="2" t="n"/>
      <c r="B744" s="2" t="n"/>
      <c r="C744" s="2" t="n"/>
      <c r="D744" s="2" t="n"/>
      <c r="E744" s="2" t="n"/>
      <c r="F744" s="2" t="n"/>
    </row>
    <row r="745" ht="15.75" customHeight="1" s="125">
      <c r="A745" s="2" t="n"/>
      <c r="B745" s="2" t="n"/>
      <c r="C745" s="2" t="n"/>
      <c r="D745" s="2" t="n"/>
      <c r="E745" s="2" t="n"/>
      <c r="F745" s="2" t="n"/>
    </row>
    <row r="746" ht="15.75" customHeight="1" s="125">
      <c r="A746" s="2" t="n"/>
      <c r="B746" s="2" t="n"/>
      <c r="C746" s="2" t="n"/>
      <c r="D746" s="2" t="n"/>
      <c r="E746" s="2" t="n"/>
      <c r="F746" s="2" t="n"/>
    </row>
    <row r="747" ht="15.75" customHeight="1" s="125">
      <c r="A747" s="2" t="n"/>
      <c r="B747" s="2" t="n"/>
      <c r="C747" s="2" t="n"/>
      <c r="D747" s="2" t="n"/>
      <c r="E747" s="2" t="n"/>
      <c r="F747" s="2" t="n"/>
    </row>
    <row r="748" ht="15.75" customHeight="1" s="125">
      <c r="A748" s="2" t="n"/>
      <c r="B748" s="2" t="n"/>
      <c r="C748" s="2" t="n"/>
      <c r="D748" s="2" t="n"/>
      <c r="E748" s="2" t="n"/>
      <c r="F748" s="2" t="n"/>
    </row>
    <row r="749" ht="15.75" customHeight="1" s="125">
      <c r="A749" s="2" t="n"/>
      <c r="B749" s="2" t="n"/>
      <c r="C749" s="2" t="n"/>
      <c r="D749" s="2" t="n"/>
      <c r="E749" s="2" t="n"/>
      <c r="F749" s="2" t="n"/>
    </row>
    <row r="750" ht="15.75" customHeight="1" s="125">
      <c r="A750" s="2" t="n"/>
      <c r="B750" s="2" t="n"/>
      <c r="C750" s="2" t="n"/>
      <c r="D750" s="2" t="n"/>
      <c r="E750" s="2" t="n"/>
      <c r="F750" s="2" t="n"/>
    </row>
    <row r="751" ht="15.75" customHeight="1" s="125">
      <c r="A751" s="2" t="n"/>
      <c r="B751" s="2" t="n"/>
      <c r="C751" s="2" t="n"/>
      <c r="D751" s="2" t="n"/>
      <c r="E751" s="2" t="n"/>
      <c r="F751" s="2" t="n"/>
    </row>
    <row r="752" ht="15.75" customHeight="1" s="125">
      <c r="A752" s="2" t="n"/>
      <c r="B752" s="2" t="n"/>
      <c r="C752" s="2" t="n"/>
      <c r="D752" s="2" t="n"/>
      <c r="E752" s="2" t="n"/>
      <c r="F752" s="2" t="n"/>
    </row>
    <row r="753" ht="15.75" customHeight="1" s="125">
      <c r="A753" s="2" t="n"/>
      <c r="B753" s="2" t="n"/>
      <c r="C753" s="2" t="n"/>
      <c r="D753" s="2" t="n"/>
      <c r="E753" s="2" t="n"/>
      <c r="F753" s="2" t="n"/>
    </row>
    <row r="754" ht="15.75" customHeight="1" s="125">
      <c r="A754" s="2" t="n"/>
      <c r="B754" s="2" t="n"/>
      <c r="C754" s="2" t="n"/>
      <c r="D754" s="2" t="n"/>
      <c r="E754" s="2" t="n"/>
      <c r="F754" s="2" t="n"/>
    </row>
    <row r="755" ht="15.75" customHeight="1" s="125">
      <c r="A755" s="2" t="n"/>
      <c r="B755" s="2" t="n"/>
      <c r="C755" s="2" t="n"/>
      <c r="D755" s="2" t="n"/>
      <c r="E755" s="2" t="n"/>
      <c r="F755" s="2" t="n"/>
    </row>
    <row r="756" ht="15.75" customHeight="1" s="125">
      <c r="A756" s="2" t="n"/>
      <c r="B756" s="2" t="n"/>
      <c r="C756" s="2" t="n"/>
      <c r="D756" s="2" t="n"/>
      <c r="E756" s="2" t="n"/>
      <c r="F756" s="2" t="n"/>
    </row>
    <row r="757" ht="15.75" customHeight="1" s="125">
      <c r="A757" s="2" t="n"/>
      <c r="B757" s="2" t="n"/>
      <c r="C757" s="2" t="n"/>
      <c r="D757" s="2" t="n"/>
      <c r="E757" s="2" t="n"/>
      <c r="F757" s="2" t="n"/>
    </row>
    <row r="758" ht="15.75" customHeight="1" s="125">
      <c r="A758" s="2" t="n"/>
      <c r="B758" s="2" t="n"/>
      <c r="C758" s="2" t="n"/>
      <c r="D758" s="2" t="n"/>
      <c r="E758" s="2" t="n"/>
      <c r="F758" s="2" t="n"/>
    </row>
    <row r="759" ht="15.75" customHeight="1" s="125">
      <c r="A759" s="2" t="n"/>
      <c r="B759" s="2" t="n"/>
      <c r="C759" s="2" t="n"/>
      <c r="D759" s="2" t="n"/>
      <c r="E759" s="2" t="n"/>
      <c r="F759" s="2" t="n"/>
    </row>
    <row r="760" ht="15.75" customHeight="1" s="125">
      <c r="A760" s="2" t="n"/>
      <c r="B760" s="2" t="n"/>
      <c r="C760" s="2" t="n"/>
      <c r="D760" s="2" t="n"/>
      <c r="E760" s="2" t="n"/>
      <c r="F760" s="2" t="n"/>
    </row>
    <row r="761" ht="15.75" customHeight="1" s="125">
      <c r="A761" s="2" t="n"/>
      <c r="B761" s="2" t="n"/>
      <c r="C761" s="2" t="n"/>
      <c r="D761" s="2" t="n"/>
      <c r="E761" s="2" t="n"/>
      <c r="F761" s="2" t="n"/>
    </row>
    <row r="762" ht="15.75" customHeight="1" s="125">
      <c r="A762" s="2" t="n"/>
      <c r="B762" s="2" t="n"/>
      <c r="C762" s="2" t="n"/>
      <c r="D762" s="2" t="n"/>
      <c r="E762" s="2" t="n"/>
      <c r="F762" s="2" t="n"/>
    </row>
    <row r="763" ht="15.75" customHeight="1" s="125">
      <c r="A763" s="2" t="n"/>
      <c r="B763" s="2" t="n"/>
      <c r="C763" s="2" t="n"/>
      <c r="D763" s="2" t="n"/>
      <c r="E763" s="2" t="n"/>
      <c r="F763" s="2" t="n"/>
    </row>
    <row r="764" ht="15.75" customHeight="1" s="125">
      <c r="A764" s="2" t="n"/>
      <c r="B764" s="2" t="n"/>
      <c r="C764" s="2" t="n"/>
      <c r="D764" s="2" t="n"/>
      <c r="E764" s="2" t="n"/>
      <c r="F764" s="2" t="n"/>
    </row>
    <row r="765" ht="15.75" customHeight="1" s="125">
      <c r="A765" s="2" t="n"/>
      <c r="B765" s="2" t="n"/>
      <c r="C765" s="2" t="n"/>
      <c r="D765" s="2" t="n"/>
      <c r="E765" s="2" t="n"/>
      <c r="F765" s="2" t="n"/>
    </row>
    <row r="766" ht="15.75" customHeight="1" s="125">
      <c r="A766" s="2" t="n"/>
      <c r="B766" s="2" t="n"/>
      <c r="C766" s="2" t="n"/>
      <c r="D766" s="2" t="n"/>
      <c r="E766" s="2" t="n"/>
      <c r="F766" s="2" t="n"/>
    </row>
    <row r="767" ht="15.75" customHeight="1" s="125">
      <c r="A767" s="2" t="n"/>
      <c r="B767" s="2" t="n"/>
      <c r="C767" s="2" t="n"/>
      <c r="D767" s="2" t="n"/>
      <c r="E767" s="2" t="n"/>
      <c r="F767" s="2" t="n"/>
    </row>
    <row r="768" ht="15.75" customHeight="1" s="125">
      <c r="A768" s="2" t="n"/>
      <c r="B768" s="2" t="n"/>
      <c r="C768" s="2" t="n"/>
      <c r="D768" s="2" t="n"/>
      <c r="E768" s="2" t="n"/>
      <c r="F768" s="2" t="n"/>
    </row>
    <row r="769" ht="15.75" customHeight="1" s="125">
      <c r="A769" s="2" t="n"/>
      <c r="B769" s="2" t="n"/>
      <c r="C769" s="2" t="n"/>
      <c r="D769" s="2" t="n"/>
      <c r="E769" s="2" t="n"/>
      <c r="F769" s="2" t="n"/>
    </row>
    <row r="770" ht="15.75" customHeight="1" s="125">
      <c r="A770" s="2" t="n"/>
      <c r="B770" s="2" t="n"/>
      <c r="C770" s="2" t="n"/>
      <c r="D770" s="2" t="n"/>
      <c r="E770" s="2" t="n"/>
      <c r="F770" s="2" t="n"/>
    </row>
    <row r="771" ht="15.75" customHeight="1" s="125">
      <c r="A771" s="2" t="n"/>
      <c r="B771" s="2" t="n"/>
      <c r="C771" s="2" t="n"/>
      <c r="D771" s="2" t="n"/>
      <c r="E771" s="2" t="n"/>
      <c r="F771" s="2" t="n"/>
    </row>
    <row r="772" ht="15.75" customHeight="1" s="125">
      <c r="A772" s="2" t="n"/>
      <c r="B772" s="2" t="n"/>
      <c r="C772" s="2" t="n"/>
      <c r="D772" s="2" t="n"/>
      <c r="E772" s="2" t="n"/>
      <c r="F772" s="2" t="n"/>
    </row>
    <row r="773" ht="15.75" customHeight="1" s="125">
      <c r="A773" s="2" t="n"/>
      <c r="B773" s="2" t="n"/>
      <c r="C773" s="2" t="n"/>
      <c r="D773" s="2" t="n"/>
      <c r="E773" s="2" t="n"/>
      <c r="F773" s="2" t="n"/>
    </row>
    <row r="774" ht="15.75" customHeight="1" s="125">
      <c r="A774" s="2" t="n"/>
      <c r="B774" s="2" t="n"/>
      <c r="C774" s="2" t="n"/>
      <c r="D774" s="2" t="n"/>
      <c r="E774" s="2" t="n"/>
      <c r="F774" s="2" t="n"/>
    </row>
    <row r="775" ht="15.75" customHeight="1" s="125">
      <c r="A775" s="2" t="n"/>
      <c r="B775" s="2" t="n"/>
      <c r="C775" s="2" t="n"/>
      <c r="D775" s="2" t="n"/>
      <c r="E775" s="2" t="n"/>
      <c r="F775" s="2" t="n"/>
    </row>
    <row r="776" ht="15.75" customHeight="1" s="125">
      <c r="A776" s="2" t="n"/>
      <c r="B776" s="2" t="n"/>
      <c r="C776" s="2" t="n"/>
      <c r="D776" s="2" t="n"/>
      <c r="E776" s="2" t="n"/>
      <c r="F776" s="2" t="n"/>
    </row>
    <row r="777" ht="15.75" customHeight="1" s="125">
      <c r="A777" s="2" t="n"/>
      <c r="B777" s="2" t="n"/>
      <c r="C777" s="2" t="n"/>
      <c r="D777" s="2" t="n"/>
      <c r="E777" s="2" t="n"/>
      <c r="F777" s="2" t="n"/>
    </row>
    <row r="778" ht="15.75" customHeight="1" s="125">
      <c r="A778" s="2" t="n"/>
      <c r="B778" s="2" t="n"/>
      <c r="C778" s="2" t="n"/>
      <c r="D778" s="2" t="n"/>
      <c r="E778" s="2" t="n"/>
      <c r="F778" s="2" t="n"/>
    </row>
    <row r="779" ht="15.75" customHeight="1" s="125">
      <c r="A779" s="2" t="n"/>
      <c r="B779" s="2" t="n"/>
      <c r="C779" s="2" t="n"/>
      <c r="D779" s="2" t="n"/>
      <c r="E779" s="2" t="n"/>
      <c r="F779" s="2" t="n"/>
    </row>
    <row r="780" ht="15.75" customHeight="1" s="125">
      <c r="A780" s="2" t="n"/>
      <c r="B780" s="2" t="n"/>
      <c r="C780" s="2" t="n"/>
      <c r="D780" s="2" t="n"/>
      <c r="E780" s="2" t="n"/>
      <c r="F780" s="2" t="n"/>
    </row>
    <row r="781" ht="15.75" customHeight="1" s="125">
      <c r="A781" s="2" t="n"/>
      <c r="B781" s="2" t="n"/>
      <c r="C781" s="2" t="n"/>
      <c r="D781" s="2" t="n"/>
      <c r="E781" s="2" t="n"/>
      <c r="F781" s="2" t="n"/>
    </row>
    <row r="782" ht="15.75" customHeight="1" s="125">
      <c r="A782" s="2" t="n"/>
      <c r="B782" s="2" t="n"/>
      <c r="C782" s="2" t="n"/>
      <c r="D782" s="2" t="n"/>
      <c r="E782" s="2" t="n"/>
      <c r="F782" s="2" t="n"/>
    </row>
    <row r="783" ht="15.75" customHeight="1" s="125">
      <c r="A783" s="2" t="n"/>
      <c r="B783" s="2" t="n"/>
      <c r="C783" s="2" t="n"/>
      <c r="D783" s="2" t="n"/>
      <c r="E783" s="2" t="n"/>
      <c r="F783" s="2" t="n"/>
    </row>
    <row r="784" ht="15.75" customHeight="1" s="125">
      <c r="A784" s="2" t="n"/>
      <c r="B784" s="2" t="n"/>
      <c r="C784" s="2" t="n"/>
      <c r="D784" s="2" t="n"/>
      <c r="E784" s="2" t="n"/>
      <c r="F784" s="2" t="n"/>
    </row>
    <row r="785" ht="15.75" customHeight="1" s="125">
      <c r="A785" s="2" t="n"/>
      <c r="B785" s="2" t="n"/>
      <c r="C785" s="2" t="n"/>
      <c r="D785" s="2" t="n"/>
      <c r="E785" s="2" t="n"/>
      <c r="F785" s="2" t="n"/>
    </row>
    <row r="786" ht="15.75" customHeight="1" s="125">
      <c r="A786" s="2" t="n"/>
      <c r="B786" s="2" t="n"/>
      <c r="C786" s="2" t="n"/>
      <c r="D786" s="2" t="n"/>
      <c r="E786" s="2" t="n"/>
      <c r="F786" s="2" t="n"/>
    </row>
    <row r="787" ht="15.75" customHeight="1" s="125">
      <c r="A787" s="2" t="n"/>
      <c r="B787" s="2" t="n"/>
      <c r="C787" s="2" t="n"/>
      <c r="D787" s="2" t="n"/>
      <c r="E787" s="2" t="n"/>
      <c r="F787" s="2" t="n"/>
    </row>
    <row r="788" ht="15.75" customHeight="1" s="125">
      <c r="A788" s="2" t="n"/>
      <c r="B788" s="2" t="n"/>
      <c r="C788" s="2" t="n"/>
      <c r="D788" s="2" t="n"/>
      <c r="E788" s="2" t="n"/>
      <c r="F788" s="2" t="n"/>
    </row>
    <row r="789" ht="15.75" customHeight="1" s="125">
      <c r="A789" s="2" t="n"/>
      <c r="B789" s="2" t="n"/>
      <c r="C789" s="2" t="n"/>
      <c r="D789" s="2" t="n"/>
      <c r="E789" s="2" t="n"/>
      <c r="F789" s="2" t="n"/>
    </row>
    <row r="790" ht="15.75" customHeight="1" s="125">
      <c r="A790" s="2" t="n"/>
      <c r="B790" s="2" t="n"/>
      <c r="C790" s="2" t="n"/>
      <c r="D790" s="2" t="n"/>
      <c r="E790" s="2" t="n"/>
      <c r="F790" s="2" t="n"/>
    </row>
    <row r="791" ht="15.75" customHeight="1" s="125">
      <c r="A791" s="2" t="n"/>
      <c r="B791" s="2" t="n"/>
      <c r="C791" s="2" t="n"/>
      <c r="D791" s="2" t="n"/>
      <c r="E791" s="2" t="n"/>
      <c r="F791" s="2" t="n"/>
    </row>
    <row r="792" ht="15.75" customHeight="1" s="125">
      <c r="A792" s="2" t="n"/>
      <c r="B792" s="2" t="n"/>
      <c r="C792" s="2" t="n"/>
      <c r="D792" s="2" t="n"/>
      <c r="E792" s="2" t="n"/>
      <c r="F792" s="2" t="n"/>
    </row>
    <row r="793" ht="15.75" customHeight="1" s="125">
      <c r="A793" s="2" t="n"/>
      <c r="B793" s="2" t="n"/>
      <c r="C793" s="2" t="n"/>
      <c r="D793" s="2" t="n"/>
      <c r="E793" s="2" t="n"/>
      <c r="F793" s="2" t="n"/>
    </row>
    <row r="794" ht="15.75" customHeight="1" s="125">
      <c r="A794" s="2" t="n"/>
      <c r="B794" s="2" t="n"/>
      <c r="C794" s="2" t="n"/>
      <c r="D794" s="2" t="n"/>
      <c r="E794" s="2" t="n"/>
      <c r="F794" s="2" t="n"/>
    </row>
    <row r="795" ht="15.75" customHeight="1" s="125">
      <c r="A795" s="2" t="n"/>
      <c r="B795" s="2" t="n"/>
      <c r="C795" s="2" t="n"/>
      <c r="D795" s="2" t="n"/>
      <c r="E795" s="2" t="n"/>
      <c r="F795" s="2" t="n"/>
    </row>
    <row r="796" ht="15.75" customHeight="1" s="125">
      <c r="A796" s="2" t="n"/>
      <c r="B796" s="2" t="n"/>
      <c r="C796" s="2" t="n"/>
      <c r="D796" s="2" t="n"/>
      <c r="E796" s="2" t="n"/>
      <c r="F796" s="2" t="n"/>
    </row>
    <row r="797" ht="15.75" customHeight="1" s="125">
      <c r="A797" s="2" t="n"/>
      <c r="B797" s="2" t="n"/>
      <c r="C797" s="2" t="n"/>
      <c r="D797" s="2" t="n"/>
      <c r="E797" s="2" t="n"/>
      <c r="F797" s="2" t="n"/>
    </row>
    <row r="798" ht="15.75" customHeight="1" s="125">
      <c r="A798" s="2" t="n"/>
      <c r="B798" s="2" t="n"/>
      <c r="C798" s="2" t="n"/>
      <c r="D798" s="2" t="n"/>
      <c r="E798" s="2" t="n"/>
      <c r="F798" s="2" t="n"/>
    </row>
    <row r="799" ht="15.75" customHeight="1" s="125">
      <c r="A799" s="2" t="n"/>
      <c r="B799" s="2" t="n"/>
      <c r="C799" s="2" t="n"/>
      <c r="D799" s="2" t="n"/>
      <c r="E799" s="2" t="n"/>
      <c r="F799" s="2" t="n"/>
    </row>
    <row r="800" ht="15.75" customHeight="1" s="125">
      <c r="A800" s="2" t="n"/>
      <c r="B800" s="2" t="n"/>
      <c r="C800" s="2" t="n"/>
      <c r="D800" s="2" t="n"/>
      <c r="E800" s="2" t="n"/>
      <c r="F800" s="2" t="n"/>
    </row>
    <row r="801" ht="15.75" customHeight="1" s="125">
      <c r="A801" s="2" t="n"/>
      <c r="B801" s="2" t="n"/>
      <c r="C801" s="2" t="n"/>
      <c r="D801" s="2" t="n"/>
      <c r="E801" s="2" t="n"/>
      <c r="F801" s="2" t="n"/>
    </row>
    <row r="802" ht="15.75" customHeight="1" s="125">
      <c r="A802" s="2" t="n"/>
      <c r="B802" s="2" t="n"/>
      <c r="C802" s="2" t="n"/>
      <c r="D802" s="2" t="n"/>
      <c r="E802" s="2" t="n"/>
      <c r="F802" s="2" t="n"/>
    </row>
    <row r="803" ht="15.75" customHeight="1" s="125">
      <c r="A803" s="2" t="n"/>
      <c r="B803" s="2" t="n"/>
      <c r="C803" s="2" t="n"/>
      <c r="D803" s="2" t="n"/>
      <c r="E803" s="2" t="n"/>
      <c r="F803" s="2" t="n"/>
    </row>
    <row r="804" ht="15.75" customHeight="1" s="125">
      <c r="A804" s="2" t="n"/>
      <c r="B804" s="2" t="n"/>
      <c r="C804" s="2" t="n"/>
      <c r="D804" s="2" t="n"/>
      <c r="E804" s="2" t="n"/>
      <c r="F804" s="2" t="n"/>
    </row>
    <row r="805" ht="15.75" customHeight="1" s="125">
      <c r="A805" s="2" t="n"/>
      <c r="B805" s="2" t="n"/>
      <c r="C805" s="2" t="n"/>
      <c r="D805" s="2" t="n"/>
      <c r="E805" s="2" t="n"/>
      <c r="F805" s="2" t="n"/>
    </row>
    <row r="806" ht="15.75" customHeight="1" s="125">
      <c r="A806" s="2" t="n"/>
      <c r="B806" s="2" t="n"/>
      <c r="C806" s="2" t="n"/>
      <c r="D806" s="2" t="n"/>
      <c r="E806" s="2" t="n"/>
      <c r="F806" s="2" t="n"/>
    </row>
    <row r="807" ht="15.75" customHeight="1" s="125">
      <c r="A807" s="2" t="n"/>
      <c r="B807" s="2" t="n"/>
      <c r="C807" s="2" t="n"/>
      <c r="D807" s="2" t="n"/>
      <c r="E807" s="2" t="n"/>
      <c r="F807" s="2" t="n"/>
    </row>
    <row r="808" ht="15.75" customHeight="1" s="125">
      <c r="A808" s="2" t="n"/>
      <c r="B808" s="2" t="n"/>
      <c r="C808" s="2" t="n"/>
      <c r="D808" s="2" t="n"/>
      <c r="E808" s="2" t="n"/>
      <c r="F808" s="2" t="n"/>
    </row>
    <row r="809" ht="15.75" customHeight="1" s="125">
      <c r="A809" s="2" t="n"/>
      <c r="B809" s="2" t="n"/>
      <c r="C809" s="2" t="n"/>
      <c r="D809" s="2" t="n"/>
      <c r="E809" s="2" t="n"/>
      <c r="F809" s="2" t="n"/>
    </row>
    <row r="810" ht="15.75" customHeight="1" s="125">
      <c r="A810" s="2" t="n"/>
      <c r="B810" s="2" t="n"/>
      <c r="C810" s="2" t="n"/>
      <c r="D810" s="2" t="n"/>
      <c r="E810" s="2" t="n"/>
      <c r="F810" s="2" t="n"/>
    </row>
    <row r="811" ht="15.75" customHeight="1" s="125">
      <c r="A811" s="2" t="n"/>
      <c r="B811" s="2" t="n"/>
      <c r="C811" s="2" t="n"/>
      <c r="D811" s="2" t="n"/>
      <c r="E811" s="2" t="n"/>
      <c r="F811" s="2" t="n"/>
    </row>
    <row r="812" ht="15.75" customHeight="1" s="125">
      <c r="A812" s="2" t="n"/>
      <c r="B812" s="2" t="n"/>
      <c r="C812" s="2" t="n"/>
      <c r="D812" s="2" t="n"/>
      <c r="E812" s="2" t="n"/>
      <c r="F812" s="2" t="n"/>
    </row>
    <row r="813" ht="15.75" customHeight="1" s="125">
      <c r="A813" s="2" t="n"/>
      <c r="B813" s="2" t="n"/>
      <c r="C813" s="2" t="n"/>
      <c r="D813" s="2" t="n"/>
      <c r="E813" s="2" t="n"/>
      <c r="F813" s="2" t="n"/>
    </row>
    <row r="814" ht="15.75" customHeight="1" s="125">
      <c r="A814" s="2" t="n"/>
      <c r="B814" s="2" t="n"/>
      <c r="C814" s="2" t="n"/>
      <c r="D814" s="2" t="n"/>
      <c r="E814" s="2" t="n"/>
      <c r="F814" s="2" t="n"/>
    </row>
    <row r="815" ht="15.75" customHeight="1" s="125">
      <c r="A815" s="2" t="n"/>
      <c r="B815" s="2" t="n"/>
      <c r="C815" s="2" t="n"/>
      <c r="D815" s="2" t="n"/>
      <c r="E815" s="2" t="n"/>
      <c r="F815" s="2" t="n"/>
    </row>
    <row r="816" ht="15.75" customHeight="1" s="125">
      <c r="A816" s="2" t="n"/>
      <c r="B816" s="2" t="n"/>
      <c r="C816" s="2" t="n"/>
      <c r="D816" s="2" t="n"/>
      <c r="E816" s="2" t="n"/>
      <c r="F816" s="2" t="n"/>
    </row>
    <row r="817" ht="15.75" customHeight="1" s="125">
      <c r="A817" s="2" t="n"/>
      <c r="B817" s="2" t="n"/>
      <c r="C817" s="2" t="n"/>
      <c r="D817" s="2" t="n"/>
      <c r="E817" s="2" t="n"/>
      <c r="F817" s="2" t="n"/>
    </row>
    <row r="818" ht="15.75" customHeight="1" s="125">
      <c r="A818" s="2" t="n"/>
      <c r="B818" s="2" t="n"/>
      <c r="C818" s="2" t="n"/>
      <c r="D818" s="2" t="n"/>
      <c r="E818" s="2" t="n"/>
      <c r="F818" s="2" t="n"/>
    </row>
    <row r="819" ht="15.75" customHeight="1" s="125">
      <c r="A819" s="2" t="n"/>
      <c r="B819" s="2" t="n"/>
      <c r="C819" s="2" t="n"/>
      <c r="D819" s="2" t="n"/>
      <c r="E819" s="2" t="n"/>
      <c r="F819" s="2" t="n"/>
    </row>
    <row r="820" ht="15.75" customHeight="1" s="125">
      <c r="A820" s="2" t="n"/>
      <c r="B820" s="2" t="n"/>
      <c r="C820" s="2" t="n"/>
      <c r="D820" s="2" t="n"/>
      <c r="E820" s="2" t="n"/>
      <c r="F820" s="2" t="n"/>
    </row>
    <row r="821" ht="15.75" customHeight="1" s="125">
      <c r="A821" s="2" t="n"/>
      <c r="B821" s="2" t="n"/>
      <c r="C821" s="2" t="n"/>
      <c r="D821" s="2" t="n"/>
      <c r="E821" s="2" t="n"/>
      <c r="F821" s="2" t="n"/>
    </row>
    <row r="822" ht="15.75" customHeight="1" s="125">
      <c r="A822" s="2" t="n"/>
      <c r="B822" s="2" t="n"/>
      <c r="C822" s="2" t="n"/>
      <c r="D822" s="2" t="n"/>
      <c r="E822" s="2" t="n"/>
      <c r="F822" s="2" t="n"/>
    </row>
    <row r="823" ht="15.75" customHeight="1" s="125">
      <c r="A823" s="2" t="n"/>
      <c r="B823" s="2" t="n"/>
      <c r="C823" s="2" t="n"/>
      <c r="D823" s="2" t="n"/>
      <c r="E823" s="2" t="n"/>
      <c r="F823" s="2" t="n"/>
    </row>
    <row r="824" ht="15.75" customHeight="1" s="125">
      <c r="A824" s="2" t="n"/>
      <c r="B824" s="2" t="n"/>
      <c r="C824" s="2" t="n"/>
      <c r="D824" s="2" t="n"/>
      <c r="E824" s="2" t="n"/>
      <c r="F824" s="2" t="n"/>
    </row>
    <row r="825" ht="15.75" customHeight="1" s="125">
      <c r="A825" s="2" t="n"/>
      <c r="B825" s="2" t="n"/>
      <c r="C825" s="2" t="n"/>
      <c r="D825" s="2" t="n"/>
      <c r="E825" s="2" t="n"/>
      <c r="F825" s="2" t="n"/>
    </row>
    <row r="826" ht="15.75" customHeight="1" s="125">
      <c r="A826" s="2" t="n"/>
      <c r="B826" s="2" t="n"/>
      <c r="C826" s="2" t="n"/>
      <c r="D826" s="2" t="n"/>
      <c r="E826" s="2" t="n"/>
      <c r="F826" s="2" t="n"/>
    </row>
    <row r="827" ht="15.75" customHeight="1" s="125">
      <c r="A827" s="2" t="n"/>
      <c r="B827" s="2" t="n"/>
      <c r="C827" s="2" t="n"/>
      <c r="D827" s="2" t="n"/>
      <c r="E827" s="2" t="n"/>
      <c r="F827" s="2" t="n"/>
    </row>
    <row r="828" ht="15.75" customHeight="1" s="125">
      <c r="A828" s="2" t="n"/>
      <c r="B828" s="2" t="n"/>
      <c r="C828" s="2" t="n"/>
      <c r="D828" s="2" t="n"/>
      <c r="E828" s="2" t="n"/>
      <c r="F828" s="2" t="n"/>
    </row>
    <row r="829" ht="15.75" customHeight="1" s="125">
      <c r="A829" s="2" t="n"/>
      <c r="B829" s="2" t="n"/>
      <c r="C829" s="2" t="n"/>
      <c r="D829" s="2" t="n"/>
      <c r="E829" s="2" t="n"/>
      <c r="F829" s="2" t="n"/>
    </row>
    <row r="830" ht="15.75" customHeight="1" s="125">
      <c r="A830" s="2" t="n"/>
      <c r="B830" s="2" t="n"/>
      <c r="C830" s="2" t="n"/>
      <c r="D830" s="2" t="n"/>
      <c r="E830" s="2" t="n"/>
      <c r="F830" s="2" t="n"/>
    </row>
    <row r="831" ht="15.75" customHeight="1" s="125">
      <c r="A831" s="2" t="n"/>
      <c r="B831" s="2" t="n"/>
      <c r="C831" s="2" t="n"/>
      <c r="D831" s="2" t="n"/>
      <c r="E831" s="2" t="n"/>
      <c r="F831" s="2" t="n"/>
    </row>
    <row r="832" ht="15.75" customHeight="1" s="125">
      <c r="A832" s="2" t="n"/>
      <c r="B832" s="2" t="n"/>
      <c r="C832" s="2" t="n"/>
      <c r="D832" s="2" t="n"/>
      <c r="E832" s="2" t="n"/>
      <c r="F832" s="2" t="n"/>
    </row>
    <row r="833" ht="15.75" customHeight="1" s="125">
      <c r="A833" s="2" t="n"/>
      <c r="B833" s="2" t="n"/>
      <c r="C833" s="2" t="n"/>
      <c r="D833" s="2" t="n"/>
      <c r="E833" s="2" t="n"/>
      <c r="F833" s="2" t="n"/>
    </row>
    <row r="834" ht="15.75" customHeight="1" s="125">
      <c r="A834" s="2" t="n"/>
      <c r="B834" s="2" t="n"/>
      <c r="C834" s="2" t="n"/>
      <c r="D834" s="2" t="n"/>
      <c r="E834" s="2" t="n"/>
      <c r="F834" s="2" t="n"/>
    </row>
    <row r="835" ht="15.75" customHeight="1" s="125">
      <c r="A835" s="2" t="n"/>
      <c r="B835" s="2" t="n"/>
      <c r="C835" s="2" t="n"/>
      <c r="D835" s="2" t="n"/>
      <c r="E835" s="2" t="n"/>
      <c r="F835" s="2" t="n"/>
    </row>
    <row r="836" ht="15.75" customHeight="1" s="125">
      <c r="A836" s="2" t="n"/>
      <c r="B836" s="2" t="n"/>
      <c r="C836" s="2" t="n"/>
      <c r="D836" s="2" t="n"/>
      <c r="E836" s="2" t="n"/>
      <c r="F836" s="2" t="n"/>
    </row>
    <row r="837" ht="15.75" customHeight="1" s="125">
      <c r="A837" s="2" t="n"/>
      <c r="B837" s="2" t="n"/>
      <c r="C837" s="2" t="n"/>
      <c r="D837" s="2" t="n"/>
      <c r="E837" s="2" t="n"/>
      <c r="F837" s="2" t="n"/>
    </row>
    <row r="838" ht="15.75" customHeight="1" s="125">
      <c r="A838" s="2" t="n"/>
      <c r="B838" s="2" t="n"/>
      <c r="C838" s="2" t="n"/>
      <c r="D838" s="2" t="n"/>
      <c r="E838" s="2" t="n"/>
      <c r="F838" s="2" t="n"/>
    </row>
    <row r="839" ht="15.75" customHeight="1" s="125">
      <c r="A839" s="2" t="n"/>
      <c r="B839" s="2" t="n"/>
      <c r="C839" s="2" t="n"/>
      <c r="D839" s="2" t="n"/>
      <c r="E839" s="2" t="n"/>
      <c r="F839" s="2" t="n"/>
    </row>
    <row r="840" ht="15.75" customHeight="1" s="125">
      <c r="A840" s="2" t="n"/>
      <c r="B840" s="2" t="n"/>
      <c r="C840" s="2" t="n"/>
      <c r="D840" s="2" t="n"/>
      <c r="E840" s="2" t="n"/>
      <c r="F840" s="2" t="n"/>
    </row>
    <row r="841" ht="15.75" customHeight="1" s="125">
      <c r="A841" s="2" t="n"/>
      <c r="B841" s="2" t="n"/>
      <c r="C841" s="2" t="n"/>
      <c r="D841" s="2" t="n"/>
      <c r="E841" s="2" t="n"/>
      <c r="F841" s="2" t="n"/>
    </row>
    <row r="842" ht="15.75" customHeight="1" s="125">
      <c r="A842" s="2" t="n"/>
      <c r="B842" s="2" t="n"/>
      <c r="C842" s="2" t="n"/>
      <c r="D842" s="2" t="n"/>
      <c r="E842" s="2" t="n"/>
      <c r="F842" s="2" t="n"/>
    </row>
    <row r="843" ht="15.75" customHeight="1" s="125">
      <c r="A843" s="2" t="n"/>
      <c r="B843" s="2" t="n"/>
      <c r="C843" s="2" t="n"/>
      <c r="D843" s="2" t="n"/>
      <c r="E843" s="2" t="n"/>
      <c r="F843" s="2" t="n"/>
    </row>
    <row r="844" ht="15.75" customHeight="1" s="125">
      <c r="A844" s="2" t="n"/>
      <c r="B844" s="2" t="n"/>
      <c r="C844" s="2" t="n"/>
      <c r="D844" s="2" t="n"/>
      <c r="E844" s="2" t="n"/>
      <c r="F844" s="2" t="n"/>
    </row>
    <row r="845" ht="15.75" customHeight="1" s="125">
      <c r="A845" s="2" t="n"/>
      <c r="B845" s="2" t="n"/>
      <c r="C845" s="2" t="n"/>
      <c r="D845" s="2" t="n"/>
      <c r="E845" s="2" t="n"/>
      <c r="F845" s="2" t="n"/>
    </row>
    <row r="846" ht="15.75" customHeight="1" s="125">
      <c r="A846" s="2" t="n"/>
      <c r="B846" s="2" t="n"/>
      <c r="C846" s="2" t="n"/>
      <c r="D846" s="2" t="n"/>
      <c r="E846" s="2" t="n"/>
      <c r="F846" s="2" t="n"/>
    </row>
    <row r="847" ht="15.75" customHeight="1" s="125">
      <c r="A847" s="2" t="n"/>
      <c r="B847" s="2" t="n"/>
      <c r="C847" s="2" t="n"/>
      <c r="D847" s="2" t="n"/>
      <c r="E847" s="2" t="n"/>
      <c r="F847" s="2" t="n"/>
    </row>
    <row r="848" ht="15.75" customHeight="1" s="125">
      <c r="A848" s="2" t="n"/>
      <c r="B848" s="2" t="n"/>
      <c r="C848" s="2" t="n"/>
      <c r="D848" s="2" t="n"/>
      <c r="E848" s="2" t="n"/>
      <c r="F848" s="2" t="n"/>
    </row>
    <row r="849" ht="15.75" customHeight="1" s="125">
      <c r="A849" s="2" t="n"/>
      <c r="B849" s="2" t="n"/>
      <c r="C849" s="2" t="n"/>
      <c r="D849" s="2" t="n"/>
      <c r="E849" s="2" t="n"/>
      <c r="F849" s="2" t="n"/>
    </row>
    <row r="850" ht="15.75" customHeight="1" s="125">
      <c r="A850" s="2" t="n"/>
      <c r="B850" s="2" t="n"/>
      <c r="C850" s="2" t="n"/>
      <c r="D850" s="2" t="n"/>
      <c r="E850" s="2" t="n"/>
      <c r="F850" s="2" t="n"/>
    </row>
    <row r="851" ht="15.75" customHeight="1" s="125">
      <c r="A851" s="2" t="n"/>
      <c r="B851" s="2" t="n"/>
      <c r="C851" s="2" t="n"/>
      <c r="D851" s="2" t="n"/>
      <c r="E851" s="2" t="n"/>
      <c r="F851" s="2" t="n"/>
    </row>
    <row r="852" ht="15.75" customHeight="1" s="125">
      <c r="A852" s="2" t="n"/>
      <c r="B852" s="2" t="n"/>
      <c r="C852" s="2" t="n"/>
      <c r="D852" s="2" t="n"/>
      <c r="E852" s="2" t="n"/>
      <c r="F852" s="2" t="n"/>
    </row>
    <row r="853" ht="15.75" customHeight="1" s="125">
      <c r="A853" s="2" t="n"/>
      <c r="B853" s="2" t="n"/>
      <c r="C853" s="2" t="n"/>
      <c r="D853" s="2" t="n"/>
      <c r="E853" s="2" t="n"/>
      <c r="F853" s="2" t="n"/>
    </row>
    <row r="854" ht="15.75" customHeight="1" s="125">
      <c r="A854" s="2" t="n"/>
      <c r="B854" s="2" t="n"/>
      <c r="C854" s="2" t="n"/>
      <c r="D854" s="2" t="n"/>
      <c r="E854" s="2" t="n"/>
      <c r="F854" s="2" t="n"/>
    </row>
    <row r="855" ht="15.75" customHeight="1" s="125">
      <c r="A855" s="2" t="n"/>
      <c r="B855" s="2" t="n"/>
      <c r="C855" s="2" t="n"/>
      <c r="D855" s="2" t="n"/>
      <c r="E855" s="2" t="n"/>
      <c r="F855" s="2" t="n"/>
    </row>
    <row r="856" ht="15.75" customHeight="1" s="125">
      <c r="A856" s="2" t="n"/>
      <c r="B856" s="2" t="n"/>
      <c r="C856" s="2" t="n"/>
      <c r="D856" s="2" t="n"/>
      <c r="E856" s="2" t="n"/>
      <c r="F856" s="2" t="n"/>
    </row>
    <row r="857" ht="15.75" customHeight="1" s="125">
      <c r="A857" s="2" t="n"/>
      <c r="B857" s="2" t="n"/>
      <c r="C857" s="2" t="n"/>
      <c r="D857" s="2" t="n"/>
      <c r="E857" s="2" t="n"/>
      <c r="F857" s="2" t="n"/>
    </row>
    <row r="858" ht="15.75" customHeight="1" s="125">
      <c r="A858" s="2" t="n"/>
      <c r="B858" s="2" t="n"/>
      <c r="C858" s="2" t="n"/>
      <c r="D858" s="2" t="n"/>
      <c r="E858" s="2" t="n"/>
      <c r="F858" s="2" t="n"/>
    </row>
    <row r="859" ht="15.75" customHeight="1" s="125">
      <c r="A859" s="2" t="n"/>
      <c r="B859" s="2" t="n"/>
      <c r="C859" s="2" t="n"/>
      <c r="D859" s="2" t="n"/>
      <c r="E859" s="2" t="n"/>
      <c r="F859" s="2" t="n"/>
    </row>
    <row r="860" ht="15.75" customHeight="1" s="125">
      <c r="A860" s="2" t="n"/>
      <c r="B860" s="2" t="n"/>
      <c r="C860" s="2" t="n"/>
      <c r="D860" s="2" t="n"/>
      <c r="E860" s="2" t="n"/>
      <c r="F860" s="2" t="n"/>
    </row>
    <row r="861" ht="15.75" customHeight="1" s="125">
      <c r="A861" s="2" t="n"/>
      <c r="B861" s="2" t="n"/>
      <c r="C861" s="2" t="n"/>
      <c r="D861" s="2" t="n"/>
      <c r="E861" s="2" t="n"/>
      <c r="F861" s="2" t="n"/>
    </row>
    <row r="862" ht="15.75" customHeight="1" s="125">
      <c r="A862" s="2" t="n"/>
      <c r="B862" s="2" t="n"/>
      <c r="C862" s="2" t="n"/>
      <c r="D862" s="2" t="n"/>
      <c r="E862" s="2" t="n"/>
      <c r="F862" s="2" t="n"/>
    </row>
    <row r="863" ht="15.75" customHeight="1" s="125">
      <c r="A863" s="2" t="n"/>
      <c r="B863" s="2" t="n"/>
      <c r="C863" s="2" t="n"/>
      <c r="D863" s="2" t="n"/>
      <c r="E863" s="2" t="n"/>
      <c r="F863" s="2" t="n"/>
    </row>
    <row r="864" ht="15.75" customHeight="1" s="125">
      <c r="A864" s="2" t="n"/>
      <c r="B864" s="2" t="n"/>
      <c r="C864" s="2" t="n"/>
      <c r="D864" s="2" t="n"/>
      <c r="E864" s="2" t="n"/>
      <c r="F864" s="2" t="n"/>
    </row>
    <row r="865" ht="15.75" customHeight="1" s="125">
      <c r="A865" s="2" t="n"/>
      <c r="B865" s="2" t="n"/>
      <c r="C865" s="2" t="n"/>
      <c r="D865" s="2" t="n"/>
      <c r="E865" s="2" t="n"/>
      <c r="F865" s="2" t="n"/>
    </row>
    <row r="866" ht="15.75" customHeight="1" s="125">
      <c r="A866" s="2" t="n"/>
      <c r="B866" s="2" t="n"/>
      <c r="C866" s="2" t="n"/>
      <c r="D866" s="2" t="n"/>
      <c r="E866" s="2" t="n"/>
      <c r="F866" s="2" t="n"/>
    </row>
    <row r="867" ht="15.75" customHeight="1" s="125">
      <c r="A867" s="2" t="n"/>
      <c r="B867" s="2" t="n"/>
      <c r="C867" s="2" t="n"/>
      <c r="D867" s="2" t="n"/>
      <c r="E867" s="2" t="n"/>
      <c r="F867" s="2" t="n"/>
    </row>
    <row r="868" ht="15.75" customHeight="1" s="125">
      <c r="A868" s="2" t="n"/>
      <c r="B868" s="2" t="n"/>
      <c r="C868" s="2" t="n"/>
      <c r="D868" s="2" t="n"/>
      <c r="E868" s="2" t="n"/>
      <c r="F868" s="2" t="n"/>
    </row>
    <row r="869" ht="15.75" customHeight="1" s="125">
      <c r="A869" s="2" t="n"/>
      <c r="B869" s="2" t="n"/>
      <c r="C869" s="2" t="n"/>
      <c r="D869" s="2" t="n"/>
      <c r="E869" s="2" t="n"/>
      <c r="F869" s="2" t="n"/>
    </row>
    <row r="870" ht="15.75" customHeight="1" s="125">
      <c r="A870" s="2" t="n"/>
      <c r="B870" s="2" t="n"/>
      <c r="C870" s="2" t="n"/>
      <c r="D870" s="2" t="n"/>
      <c r="E870" s="2" t="n"/>
      <c r="F870" s="2" t="n"/>
    </row>
    <row r="871" ht="15.75" customHeight="1" s="125">
      <c r="A871" s="2" t="n"/>
      <c r="B871" s="2" t="n"/>
      <c r="C871" s="2" t="n"/>
      <c r="D871" s="2" t="n"/>
      <c r="E871" s="2" t="n"/>
      <c r="F871" s="2" t="n"/>
    </row>
    <row r="872" ht="15.75" customHeight="1" s="125">
      <c r="A872" s="2" t="n"/>
      <c r="B872" s="2" t="n"/>
      <c r="C872" s="2" t="n"/>
      <c r="D872" s="2" t="n"/>
      <c r="E872" s="2" t="n"/>
      <c r="F872" s="2" t="n"/>
    </row>
    <row r="873" ht="15.75" customHeight="1" s="125">
      <c r="A873" s="2" t="n"/>
      <c r="B873" s="2" t="n"/>
      <c r="C873" s="2" t="n"/>
      <c r="D873" s="2" t="n"/>
      <c r="E873" s="2" t="n"/>
      <c r="F873" s="2" t="n"/>
    </row>
    <row r="874" ht="15.75" customHeight="1" s="125">
      <c r="A874" s="2" t="n"/>
      <c r="B874" s="2" t="n"/>
      <c r="C874" s="2" t="n"/>
      <c r="D874" s="2" t="n"/>
      <c r="E874" s="2" t="n"/>
      <c r="F874" s="2" t="n"/>
    </row>
    <row r="875" ht="15.75" customHeight="1" s="125">
      <c r="A875" s="2" t="n"/>
      <c r="B875" s="2" t="n"/>
      <c r="C875" s="2" t="n"/>
      <c r="D875" s="2" t="n"/>
      <c r="E875" s="2" t="n"/>
      <c r="F875" s="2" t="n"/>
    </row>
    <row r="876" ht="15.75" customHeight="1" s="125">
      <c r="A876" s="2" t="n"/>
      <c r="B876" s="2" t="n"/>
      <c r="C876" s="2" t="n"/>
      <c r="D876" s="2" t="n"/>
      <c r="E876" s="2" t="n"/>
      <c r="F876" s="2" t="n"/>
    </row>
    <row r="877" ht="15.75" customHeight="1" s="125">
      <c r="A877" s="2" t="n"/>
      <c r="B877" s="2" t="n"/>
      <c r="C877" s="2" t="n"/>
      <c r="D877" s="2" t="n"/>
      <c r="E877" s="2" t="n"/>
      <c r="F877" s="2" t="n"/>
    </row>
    <row r="878" ht="15.75" customHeight="1" s="125">
      <c r="A878" s="2" t="n"/>
      <c r="B878" s="2" t="n"/>
      <c r="C878" s="2" t="n"/>
      <c r="D878" s="2" t="n"/>
      <c r="E878" s="2" t="n"/>
      <c r="F878" s="2" t="n"/>
    </row>
    <row r="879" ht="15.75" customHeight="1" s="125">
      <c r="A879" s="2" t="n"/>
      <c r="B879" s="2" t="n"/>
      <c r="C879" s="2" t="n"/>
      <c r="D879" s="2" t="n"/>
      <c r="E879" s="2" t="n"/>
      <c r="F879" s="2" t="n"/>
    </row>
    <row r="880" ht="15.75" customHeight="1" s="125">
      <c r="A880" s="2" t="n"/>
      <c r="B880" s="2" t="n"/>
      <c r="C880" s="2" t="n"/>
      <c r="D880" s="2" t="n"/>
      <c r="E880" s="2" t="n"/>
      <c r="F880" s="2" t="n"/>
    </row>
    <row r="881" ht="15.75" customHeight="1" s="125">
      <c r="A881" s="2" t="n"/>
      <c r="B881" s="2" t="n"/>
      <c r="C881" s="2" t="n"/>
      <c r="D881" s="2" t="n"/>
      <c r="E881" s="2" t="n"/>
      <c r="F881" s="2" t="n"/>
    </row>
    <row r="882" ht="15.75" customHeight="1" s="125">
      <c r="A882" s="2" t="n"/>
      <c r="B882" s="2" t="n"/>
      <c r="C882" s="2" t="n"/>
      <c r="D882" s="2" t="n"/>
      <c r="E882" s="2" t="n"/>
      <c r="F882" s="2" t="n"/>
    </row>
    <row r="883" ht="15.75" customHeight="1" s="125">
      <c r="A883" s="2" t="n"/>
      <c r="B883" s="2" t="n"/>
      <c r="C883" s="2" t="n"/>
      <c r="D883" s="2" t="n"/>
      <c r="E883" s="2" t="n"/>
      <c r="F883" s="2" t="n"/>
    </row>
    <row r="884" ht="15.75" customHeight="1" s="125">
      <c r="A884" s="2" t="n"/>
      <c r="B884" s="2" t="n"/>
      <c r="C884" s="2" t="n"/>
      <c r="D884" s="2" t="n"/>
      <c r="E884" s="2" t="n"/>
      <c r="F884" s="2" t="n"/>
    </row>
    <row r="885" ht="15.75" customHeight="1" s="125">
      <c r="A885" s="2" t="n"/>
      <c r="B885" s="2" t="n"/>
      <c r="C885" s="2" t="n"/>
      <c r="D885" s="2" t="n"/>
      <c r="E885" s="2" t="n"/>
      <c r="F885" s="2" t="n"/>
    </row>
    <row r="886" ht="15.75" customHeight="1" s="125">
      <c r="A886" s="2" t="n"/>
      <c r="B886" s="2" t="n"/>
      <c r="C886" s="2" t="n"/>
      <c r="D886" s="2" t="n"/>
      <c r="E886" s="2" t="n"/>
      <c r="F886" s="2" t="n"/>
    </row>
    <row r="887" ht="15.75" customHeight="1" s="125">
      <c r="A887" s="2" t="n"/>
      <c r="B887" s="2" t="n"/>
      <c r="C887" s="2" t="n"/>
      <c r="D887" s="2" t="n"/>
      <c r="E887" s="2" t="n"/>
      <c r="F887" s="2" t="n"/>
    </row>
    <row r="888" ht="15.75" customHeight="1" s="125">
      <c r="A888" s="2" t="n"/>
      <c r="B888" s="2" t="n"/>
      <c r="C888" s="2" t="n"/>
      <c r="D888" s="2" t="n"/>
      <c r="E888" s="2" t="n"/>
      <c r="F888" s="2" t="n"/>
    </row>
    <row r="889" ht="15.75" customHeight="1" s="125">
      <c r="A889" s="2" t="n"/>
      <c r="B889" s="2" t="n"/>
      <c r="C889" s="2" t="n"/>
      <c r="D889" s="2" t="n"/>
      <c r="E889" s="2" t="n"/>
      <c r="F889" s="2" t="n"/>
    </row>
    <row r="890" ht="15.75" customHeight="1" s="125">
      <c r="A890" s="2" t="n"/>
      <c r="B890" s="2" t="n"/>
      <c r="C890" s="2" t="n"/>
      <c r="D890" s="2" t="n"/>
      <c r="E890" s="2" t="n"/>
      <c r="F890" s="2" t="n"/>
    </row>
    <row r="891" ht="15.75" customHeight="1" s="125">
      <c r="A891" s="2" t="n"/>
      <c r="B891" s="2" t="n"/>
      <c r="C891" s="2" t="n"/>
      <c r="D891" s="2" t="n"/>
      <c r="E891" s="2" t="n"/>
      <c r="F891" s="2" t="n"/>
    </row>
    <row r="892" ht="15.75" customHeight="1" s="125">
      <c r="A892" s="2" t="n"/>
      <c r="B892" s="2" t="n"/>
      <c r="C892" s="2" t="n"/>
      <c r="D892" s="2" t="n"/>
      <c r="E892" s="2" t="n"/>
      <c r="F892" s="2" t="n"/>
    </row>
    <row r="893" ht="15.75" customHeight="1" s="125">
      <c r="A893" s="2" t="n"/>
      <c r="B893" s="2" t="n"/>
      <c r="C893" s="2" t="n"/>
      <c r="D893" s="2" t="n"/>
      <c r="E893" s="2" t="n"/>
      <c r="F893" s="2" t="n"/>
    </row>
    <row r="894" ht="15.75" customHeight="1" s="125">
      <c r="A894" s="2" t="n"/>
      <c r="B894" s="2" t="n"/>
      <c r="C894" s="2" t="n"/>
      <c r="D894" s="2" t="n"/>
      <c r="E894" s="2" t="n"/>
      <c r="F894" s="2" t="n"/>
    </row>
    <row r="895" ht="15.75" customHeight="1" s="125">
      <c r="A895" s="2" t="n"/>
      <c r="B895" s="2" t="n"/>
      <c r="C895" s="2" t="n"/>
      <c r="D895" s="2" t="n"/>
      <c r="E895" s="2" t="n"/>
      <c r="F895" s="2" t="n"/>
    </row>
    <row r="896" ht="15.75" customHeight="1" s="125">
      <c r="A896" s="2" t="n"/>
      <c r="B896" s="2" t="n"/>
      <c r="C896" s="2" t="n"/>
      <c r="D896" s="2" t="n"/>
      <c r="E896" s="2" t="n"/>
      <c r="F896" s="2" t="n"/>
    </row>
    <row r="897" ht="15.75" customHeight="1" s="125">
      <c r="A897" s="2" t="n"/>
      <c r="B897" s="2" t="n"/>
      <c r="C897" s="2" t="n"/>
      <c r="D897" s="2" t="n"/>
      <c r="E897" s="2" t="n"/>
      <c r="F897" s="2" t="n"/>
    </row>
    <row r="898" ht="15.75" customHeight="1" s="125">
      <c r="A898" s="2" t="n"/>
      <c r="B898" s="2" t="n"/>
      <c r="C898" s="2" t="n"/>
      <c r="D898" s="2" t="n"/>
      <c r="E898" s="2" t="n"/>
      <c r="F898" s="2" t="n"/>
    </row>
    <row r="899" ht="15.75" customHeight="1" s="125">
      <c r="A899" s="2" t="n"/>
      <c r="B899" s="2" t="n"/>
      <c r="C899" s="2" t="n"/>
      <c r="D899" s="2" t="n"/>
      <c r="E899" s="2" t="n"/>
      <c r="F899" s="2" t="n"/>
    </row>
    <row r="900" ht="15.75" customHeight="1" s="125">
      <c r="A900" s="2" t="n"/>
      <c r="B900" s="2" t="n"/>
      <c r="C900" s="2" t="n"/>
      <c r="D900" s="2" t="n"/>
      <c r="E900" s="2" t="n"/>
      <c r="F900" s="2" t="n"/>
    </row>
    <row r="901" ht="15.75" customHeight="1" s="125">
      <c r="A901" s="2" t="n"/>
      <c r="B901" s="2" t="n"/>
      <c r="C901" s="2" t="n"/>
      <c r="D901" s="2" t="n"/>
      <c r="E901" s="2" t="n"/>
      <c r="F901" s="2" t="n"/>
    </row>
    <row r="902" ht="15.75" customHeight="1" s="125">
      <c r="A902" s="2" t="n"/>
      <c r="B902" s="2" t="n"/>
      <c r="C902" s="2" t="n"/>
      <c r="D902" s="2" t="n"/>
      <c r="E902" s="2" t="n"/>
      <c r="F902" s="2" t="n"/>
    </row>
    <row r="903" ht="15.75" customHeight="1" s="125">
      <c r="A903" s="2" t="n"/>
      <c r="B903" s="2" t="n"/>
      <c r="C903" s="2" t="n"/>
      <c r="D903" s="2" t="n"/>
      <c r="E903" s="2" t="n"/>
      <c r="F903" s="2" t="n"/>
    </row>
    <row r="904" ht="15.75" customHeight="1" s="125">
      <c r="A904" s="2" t="n"/>
      <c r="B904" s="2" t="n"/>
      <c r="C904" s="2" t="n"/>
      <c r="D904" s="2" t="n"/>
      <c r="E904" s="2" t="n"/>
      <c r="F904" s="2" t="n"/>
    </row>
    <row r="905" ht="15.75" customHeight="1" s="125">
      <c r="A905" s="2" t="n"/>
      <c r="B905" s="2" t="n"/>
      <c r="C905" s="2" t="n"/>
      <c r="D905" s="2" t="n"/>
      <c r="E905" s="2" t="n"/>
      <c r="F905" s="2" t="n"/>
    </row>
    <row r="906" ht="15.75" customHeight="1" s="125">
      <c r="A906" s="2" t="n"/>
      <c r="B906" s="2" t="n"/>
      <c r="C906" s="2" t="n"/>
      <c r="D906" s="2" t="n"/>
      <c r="E906" s="2" t="n"/>
      <c r="F906" s="2" t="n"/>
    </row>
    <row r="907" ht="15.75" customHeight="1" s="125">
      <c r="A907" s="2" t="n"/>
      <c r="B907" s="2" t="n"/>
      <c r="C907" s="2" t="n"/>
      <c r="D907" s="2" t="n"/>
      <c r="E907" s="2" t="n"/>
      <c r="F907" s="2" t="n"/>
    </row>
    <row r="908" ht="15.75" customHeight="1" s="125">
      <c r="A908" s="2" t="n"/>
      <c r="B908" s="2" t="n"/>
      <c r="C908" s="2" t="n"/>
      <c r="D908" s="2" t="n"/>
      <c r="E908" s="2" t="n"/>
      <c r="F908" s="2" t="n"/>
    </row>
    <row r="909" ht="15.75" customHeight="1" s="125">
      <c r="A909" s="2" t="n"/>
      <c r="B909" s="2" t="n"/>
      <c r="C909" s="2" t="n"/>
      <c r="D909" s="2" t="n"/>
      <c r="E909" s="2" t="n"/>
      <c r="F909" s="2" t="n"/>
    </row>
    <row r="910" ht="15.75" customHeight="1" s="125">
      <c r="A910" s="2" t="n"/>
      <c r="B910" s="2" t="n"/>
      <c r="C910" s="2" t="n"/>
      <c r="D910" s="2" t="n"/>
      <c r="E910" s="2" t="n"/>
      <c r="F910" s="2" t="n"/>
    </row>
    <row r="911" ht="15.75" customHeight="1" s="125">
      <c r="A911" s="2" t="n"/>
      <c r="B911" s="2" t="n"/>
      <c r="C911" s="2" t="n"/>
      <c r="D911" s="2" t="n"/>
      <c r="E911" s="2" t="n"/>
      <c r="F911" s="2" t="n"/>
    </row>
    <row r="912" ht="15.75" customHeight="1" s="125">
      <c r="A912" s="2" t="n"/>
      <c r="B912" s="2" t="n"/>
      <c r="C912" s="2" t="n"/>
      <c r="D912" s="2" t="n"/>
      <c r="E912" s="2" t="n"/>
      <c r="F912" s="2" t="n"/>
    </row>
    <row r="913" ht="15.75" customHeight="1" s="125">
      <c r="A913" s="2" t="n"/>
      <c r="B913" s="2" t="n"/>
      <c r="C913" s="2" t="n"/>
      <c r="D913" s="2" t="n"/>
      <c r="E913" s="2" t="n"/>
      <c r="F913" s="2" t="n"/>
    </row>
    <row r="914" ht="15.75" customHeight="1" s="125">
      <c r="A914" s="2" t="n"/>
      <c r="B914" s="2" t="n"/>
      <c r="C914" s="2" t="n"/>
      <c r="D914" s="2" t="n"/>
      <c r="E914" s="2" t="n"/>
      <c r="F914" s="2" t="n"/>
    </row>
    <row r="915" ht="15.75" customHeight="1" s="125">
      <c r="A915" s="2" t="n"/>
      <c r="B915" s="2" t="n"/>
      <c r="C915" s="2" t="n"/>
      <c r="D915" s="2" t="n"/>
      <c r="E915" s="2" t="n"/>
      <c r="F915" s="2" t="n"/>
    </row>
    <row r="916" ht="15.75" customHeight="1" s="125">
      <c r="A916" s="2" t="n"/>
      <c r="B916" s="2" t="n"/>
      <c r="C916" s="2" t="n"/>
      <c r="D916" s="2" t="n"/>
      <c r="E916" s="2" t="n"/>
      <c r="F916" s="2" t="n"/>
    </row>
    <row r="917" ht="15.75" customHeight="1" s="125">
      <c r="A917" s="2" t="n"/>
      <c r="B917" s="2" t="n"/>
      <c r="C917" s="2" t="n"/>
      <c r="D917" s="2" t="n"/>
      <c r="E917" s="2" t="n"/>
      <c r="F917" s="2" t="n"/>
    </row>
    <row r="918" ht="15.75" customHeight="1" s="125">
      <c r="A918" s="2" t="n"/>
      <c r="B918" s="2" t="n"/>
      <c r="C918" s="2" t="n"/>
      <c r="D918" s="2" t="n"/>
      <c r="E918" s="2" t="n"/>
      <c r="F918" s="2" t="n"/>
    </row>
    <row r="919" ht="15.75" customHeight="1" s="125">
      <c r="A919" s="2" t="n"/>
      <c r="B919" s="2" t="n"/>
      <c r="C919" s="2" t="n"/>
      <c r="D919" s="2" t="n"/>
      <c r="E919" s="2" t="n"/>
      <c r="F919" s="2" t="n"/>
    </row>
    <row r="920" ht="15.75" customHeight="1" s="125">
      <c r="A920" s="2" t="n"/>
      <c r="B920" s="2" t="n"/>
      <c r="C920" s="2" t="n"/>
      <c r="D920" s="2" t="n"/>
      <c r="E920" s="2" t="n"/>
      <c r="F920" s="2" t="n"/>
    </row>
    <row r="921" ht="15.75" customHeight="1" s="125">
      <c r="A921" s="2" t="n"/>
      <c r="B921" s="2" t="n"/>
      <c r="C921" s="2" t="n"/>
      <c r="D921" s="2" t="n"/>
      <c r="E921" s="2" t="n"/>
      <c r="F921" s="2" t="n"/>
    </row>
    <row r="922" ht="15.75" customHeight="1" s="125">
      <c r="A922" s="2" t="n"/>
      <c r="B922" s="2" t="n"/>
      <c r="C922" s="2" t="n"/>
      <c r="D922" s="2" t="n"/>
      <c r="E922" s="2" t="n"/>
      <c r="F922" s="2" t="n"/>
    </row>
    <row r="923" ht="15.75" customHeight="1" s="125">
      <c r="A923" s="2" t="n"/>
      <c r="B923" s="2" t="n"/>
      <c r="C923" s="2" t="n"/>
      <c r="D923" s="2" t="n"/>
      <c r="E923" s="2" t="n"/>
      <c r="F923" s="2" t="n"/>
    </row>
    <row r="924" ht="15.75" customHeight="1" s="125">
      <c r="A924" s="2" t="n"/>
      <c r="B924" s="2" t="n"/>
      <c r="C924" s="2" t="n"/>
      <c r="D924" s="2" t="n"/>
      <c r="E924" s="2" t="n"/>
      <c r="F924" s="2" t="n"/>
    </row>
    <row r="925" ht="15.75" customHeight="1" s="125">
      <c r="A925" s="2" t="n"/>
      <c r="B925" s="2" t="n"/>
      <c r="C925" s="2" t="n"/>
      <c r="D925" s="2" t="n"/>
      <c r="E925" s="2" t="n"/>
      <c r="F925" s="2" t="n"/>
    </row>
    <row r="926" ht="15.75" customHeight="1" s="125">
      <c r="A926" s="2" t="n"/>
      <c r="B926" s="2" t="n"/>
      <c r="C926" s="2" t="n"/>
      <c r="D926" s="2" t="n"/>
      <c r="E926" s="2" t="n"/>
      <c r="F926" s="2" t="n"/>
    </row>
    <row r="927" ht="15.75" customHeight="1" s="125">
      <c r="A927" s="2" t="n"/>
      <c r="B927" s="2" t="n"/>
      <c r="C927" s="2" t="n"/>
      <c r="D927" s="2" t="n"/>
      <c r="E927" s="2" t="n"/>
      <c r="F927" s="2" t="n"/>
    </row>
    <row r="928" ht="15.75" customHeight="1" s="125">
      <c r="A928" s="2" t="n"/>
      <c r="B928" s="2" t="n"/>
      <c r="C928" s="2" t="n"/>
      <c r="D928" s="2" t="n"/>
      <c r="E928" s="2" t="n"/>
      <c r="F928" s="2" t="n"/>
    </row>
    <row r="929" ht="15.75" customHeight="1" s="125">
      <c r="A929" s="2" t="n"/>
      <c r="B929" s="2" t="n"/>
      <c r="C929" s="2" t="n"/>
      <c r="D929" s="2" t="n"/>
      <c r="E929" s="2" t="n"/>
      <c r="F929" s="2" t="n"/>
    </row>
    <row r="930" ht="15.75" customHeight="1" s="125">
      <c r="A930" s="2" t="n"/>
      <c r="B930" s="2" t="n"/>
      <c r="C930" s="2" t="n"/>
      <c r="D930" s="2" t="n"/>
      <c r="E930" s="2" t="n"/>
      <c r="F930" s="2" t="n"/>
    </row>
    <row r="931" ht="15.75" customHeight="1" s="125">
      <c r="A931" s="2" t="n"/>
      <c r="B931" s="2" t="n"/>
      <c r="C931" s="2" t="n"/>
      <c r="D931" s="2" t="n"/>
      <c r="E931" s="2" t="n"/>
      <c r="F931" s="2" t="n"/>
    </row>
    <row r="932" ht="15.75" customHeight="1" s="125">
      <c r="A932" s="2" t="n"/>
      <c r="B932" s="2" t="n"/>
      <c r="C932" s="2" t="n"/>
      <c r="D932" s="2" t="n"/>
      <c r="E932" s="2" t="n"/>
      <c r="F932" s="2" t="n"/>
    </row>
    <row r="933" ht="15.75" customHeight="1" s="125">
      <c r="A933" s="2" t="n"/>
      <c r="B933" s="2" t="n"/>
      <c r="C933" s="2" t="n"/>
      <c r="D933" s="2" t="n"/>
      <c r="E933" s="2" t="n"/>
      <c r="F933" s="2" t="n"/>
    </row>
    <row r="934" ht="15.75" customHeight="1" s="125">
      <c r="A934" s="2" t="n"/>
      <c r="B934" s="2" t="n"/>
      <c r="C934" s="2" t="n"/>
      <c r="D934" s="2" t="n"/>
      <c r="E934" s="2" t="n"/>
      <c r="F934" s="2" t="n"/>
    </row>
    <row r="935" ht="15.75" customHeight="1" s="125">
      <c r="A935" s="2" t="n"/>
      <c r="B935" s="2" t="n"/>
      <c r="C935" s="2" t="n"/>
      <c r="D935" s="2" t="n"/>
      <c r="E935" s="2" t="n"/>
      <c r="F935" s="2" t="n"/>
    </row>
    <row r="936" ht="15.75" customHeight="1" s="125">
      <c r="A936" s="2" t="n"/>
      <c r="B936" s="2" t="n"/>
      <c r="C936" s="2" t="n"/>
      <c r="D936" s="2" t="n"/>
      <c r="E936" s="2" t="n"/>
      <c r="F936" s="2" t="n"/>
    </row>
    <row r="937" ht="15.75" customHeight="1" s="125">
      <c r="A937" s="2" t="n"/>
      <c r="B937" s="2" t="n"/>
      <c r="C937" s="2" t="n"/>
      <c r="D937" s="2" t="n"/>
      <c r="E937" s="2" t="n"/>
      <c r="F937" s="2" t="n"/>
    </row>
    <row r="938" ht="15.75" customHeight="1" s="125">
      <c r="A938" s="2" t="n"/>
      <c r="B938" s="2" t="n"/>
      <c r="C938" s="2" t="n"/>
      <c r="D938" s="2" t="n"/>
      <c r="E938" s="2" t="n"/>
      <c r="F938" s="2" t="n"/>
    </row>
    <row r="939" ht="15.75" customHeight="1" s="125">
      <c r="A939" s="2" t="n"/>
      <c r="B939" s="2" t="n"/>
      <c r="C939" s="2" t="n"/>
      <c r="D939" s="2" t="n"/>
      <c r="E939" s="2" t="n"/>
      <c r="F939" s="2" t="n"/>
    </row>
    <row r="940" ht="15.75" customHeight="1" s="125">
      <c r="A940" s="2" t="n"/>
      <c r="B940" s="2" t="n"/>
      <c r="C940" s="2" t="n"/>
      <c r="D940" s="2" t="n"/>
      <c r="E940" s="2" t="n"/>
      <c r="F940" s="2" t="n"/>
    </row>
    <row r="941" ht="15.75" customHeight="1" s="125">
      <c r="A941" s="2" t="n"/>
      <c r="B941" s="2" t="n"/>
      <c r="C941" s="2" t="n"/>
      <c r="D941" s="2" t="n"/>
      <c r="E941" s="2" t="n"/>
      <c r="F941" s="2" t="n"/>
    </row>
    <row r="942" ht="15.75" customHeight="1" s="125">
      <c r="A942" s="2" t="n"/>
      <c r="B942" s="2" t="n"/>
      <c r="C942" s="2" t="n"/>
      <c r="D942" s="2" t="n"/>
      <c r="E942" s="2" t="n"/>
      <c r="F942" s="2" t="n"/>
    </row>
    <row r="943" ht="15.75" customHeight="1" s="125">
      <c r="A943" s="2" t="n"/>
      <c r="B943" s="2" t="n"/>
      <c r="C943" s="2" t="n"/>
      <c r="D943" s="2" t="n"/>
      <c r="E943" s="2" t="n"/>
      <c r="F943" s="2" t="n"/>
    </row>
    <row r="944" ht="15.75" customHeight="1" s="125">
      <c r="A944" s="2" t="n"/>
      <c r="B944" s="2" t="n"/>
      <c r="C944" s="2" t="n"/>
      <c r="D944" s="2" t="n"/>
      <c r="E944" s="2" t="n"/>
      <c r="F944" s="2" t="n"/>
    </row>
    <row r="945" ht="15.75" customHeight="1" s="125">
      <c r="A945" s="2" t="n"/>
      <c r="B945" s="2" t="n"/>
      <c r="C945" s="2" t="n"/>
      <c r="D945" s="2" t="n"/>
      <c r="E945" s="2" t="n"/>
      <c r="F945" s="2" t="n"/>
    </row>
    <row r="946" ht="15.75" customHeight="1" s="125">
      <c r="A946" s="2" t="n"/>
      <c r="B946" s="2" t="n"/>
      <c r="C946" s="2" t="n"/>
      <c r="D946" s="2" t="n"/>
      <c r="E946" s="2" t="n"/>
      <c r="F946" s="2" t="n"/>
    </row>
    <row r="947" ht="15.75" customHeight="1" s="125">
      <c r="A947" s="2" t="n"/>
      <c r="B947" s="2" t="n"/>
      <c r="C947" s="2" t="n"/>
      <c r="D947" s="2" t="n"/>
      <c r="E947" s="2" t="n"/>
      <c r="F947" s="2" t="n"/>
    </row>
    <row r="948" ht="15.75" customHeight="1" s="125">
      <c r="A948" s="2" t="n"/>
      <c r="B948" s="2" t="n"/>
      <c r="C948" s="2" t="n"/>
      <c r="D948" s="2" t="n"/>
      <c r="E948" s="2" t="n"/>
      <c r="F948" s="2" t="n"/>
    </row>
    <row r="949" ht="15.75" customHeight="1" s="125">
      <c r="A949" s="2" t="n"/>
      <c r="B949" s="2" t="n"/>
      <c r="C949" s="2" t="n"/>
      <c r="D949" s="2" t="n"/>
      <c r="E949" s="2" t="n"/>
      <c r="F949" s="2" t="n"/>
    </row>
    <row r="950" ht="15.75" customHeight="1" s="125">
      <c r="A950" s="2" t="n"/>
      <c r="B950" s="2" t="n"/>
      <c r="C950" s="2" t="n"/>
      <c r="D950" s="2" t="n"/>
      <c r="E950" s="2" t="n"/>
      <c r="F950" s="2" t="n"/>
    </row>
    <row r="951" ht="15.75" customHeight="1" s="125">
      <c r="A951" s="2" t="n"/>
      <c r="B951" s="2" t="n"/>
      <c r="C951" s="2" t="n"/>
      <c r="D951" s="2" t="n"/>
      <c r="E951" s="2" t="n"/>
      <c r="F951" s="2" t="n"/>
    </row>
    <row r="952" ht="15.75" customHeight="1" s="125">
      <c r="A952" s="2" t="n"/>
      <c r="B952" s="2" t="n"/>
      <c r="C952" s="2" t="n"/>
      <c r="D952" s="2" t="n"/>
      <c r="E952" s="2" t="n"/>
      <c r="F952" s="2" t="n"/>
    </row>
    <row r="953" ht="15.75" customHeight="1" s="125">
      <c r="A953" s="2" t="n"/>
      <c r="B953" s="2" t="n"/>
      <c r="C953" s="2" t="n"/>
      <c r="D953" s="2" t="n"/>
      <c r="E953" s="2" t="n"/>
      <c r="F953" s="2" t="n"/>
    </row>
    <row r="954" ht="15.75" customHeight="1" s="125">
      <c r="A954" s="2" t="n"/>
      <c r="B954" s="2" t="n"/>
      <c r="C954" s="2" t="n"/>
      <c r="D954" s="2" t="n"/>
      <c r="E954" s="2" t="n"/>
      <c r="F954" s="2" t="n"/>
    </row>
    <row r="955" ht="15.75" customHeight="1" s="125">
      <c r="A955" s="2" t="n"/>
      <c r="B955" s="2" t="n"/>
      <c r="C955" s="2" t="n"/>
      <c r="D955" s="2" t="n"/>
      <c r="E955" s="2" t="n"/>
      <c r="F955" s="2" t="n"/>
    </row>
    <row r="956" ht="15.75" customHeight="1" s="125">
      <c r="A956" s="2" t="n"/>
      <c r="B956" s="2" t="n"/>
      <c r="C956" s="2" t="n"/>
      <c r="D956" s="2" t="n"/>
      <c r="E956" s="2" t="n"/>
      <c r="F956" s="2" t="n"/>
    </row>
    <row r="957" ht="15.75" customHeight="1" s="125">
      <c r="A957" s="2" t="n"/>
      <c r="B957" s="2" t="n"/>
      <c r="C957" s="2" t="n"/>
      <c r="D957" s="2" t="n"/>
      <c r="E957" s="2" t="n"/>
      <c r="F957" s="2" t="n"/>
    </row>
    <row r="958" ht="15.75" customHeight="1" s="125">
      <c r="A958" s="2" t="n"/>
      <c r="B958" s="2" t="n"/>
      <c r="C958" s="2" t="n"/>
      <c r="D958" s="2" t="n"/>
      <c r="E958" s="2" t="n"/>
      <c r="F958" s="2" t="n"/>
    </row>
    <row r="959" ht="15.75" customHeight="1" s="125">
      <c r="A959" s="2" t="n"/>
      <c r="B959" s="2" t="n"/>
      <c r="C959" s="2" t="n"/>
      <c r="D959" s="2" t="n"/>
      <c r="E959" s="2" t="n"/>
      <c r="F959" s="2" t="n"/>
    </row>
    <row r="960" ht="15.75" customHeight="1" s="125">
      <c r="A960" s="2" t="n"/>
      <c r="B960" s="2" t="n"/>
      <c r="C960" s="2" t="n"/>
      <c r="D960" s="2" t="n"/>
      <c r="E960" s="2" t="n"/>
      <c r="F960" s="2" t="n"/>
    </row>
    <row r="961" ht="15.75" customHeight="1" s="125">
      <c r="A961" s="2" t="n"/>
      <c r="B961" s="2" t="n"/>
      <c r="C961" s="2" t="n"/>
      <c r="D961" s="2" t="n"/>
      <c r="E961" s="2" t="n"/>
      <c r="F961" s="2" t="n"/>
    </row>
    <row r="962" ht="15.75" customHeight="1" s="125">
      <c r="A962" s="2" t="n"/>
      <c r="B962" s="2" t="n"/>
      <c r="C962" s="2" t="n"/>
      <c r="D962" s="2" t="n"/>
      <c r="E962" s="2" t="n"/>
      <c r="F962" s="2" t="n"/>
    </row>
    <row r="963" ht="15.75" customHeight="1" s="125">
      <c r="A963" s="2" t="n"/>
      <c r="B963" s="2" t="n"/>
      <c r="C963" s="2" t="n"/>
      <c r="D963" s="2" t="n"/>
      <c r="E963" s="2" t="n"/>
      <c r="F963" s="2" t="n"/>
    </row>
    <row r="964" ht="15.75" customHeight="1" s="125">
      <c r="A964" s="2" t="n"/>
      <c r="B964" s="2" t="n"/>
      <c r="C964" s="2" t="n"/>
      <c r="D964" s="2" t="n"/>
      <c r="E964" s="2" t="n"/>
      <c r="F964" s="2" t="n"/>
    </row>
    <row r="965" ht="15.75" customHeight="1" s="125">
      <c r="A965" s="2" t="n"/>
      <c r="B965" s="2" t="n"/>
      <c r="C965" s="2" t="n"/>
      <c r="D965" s="2" t="n"/>
      <c r="E965" s="2" t="n"/>
      <c r="F965" s="2" t="n"/>
    </row>
    <row r="966" ht="15.75" customHeight="1" s="125">
      <c r="A966" s="2" t="n"/>
      <c r="B966" s="2" t="n"/>
      <c r="C966" s="2" t="n"/>
      <c r="D966" s="2" t="n"/>
      <c r="E966" s="2" t="n"/>
      <c r="F966" s="2" t="n"/>
    </row>
    <row r="967" ht="15.75" customHeight="1" s="125">
      <c r="A967" s="2" t="n"/>
      <c r="B967" s="2" t="n"/>
      <c r="C967" s="2" t="n"/>
      <c r="D967" s="2" t="n"/>
      <c r="E967" s="2" t="n"/>
      <c r="F967" s="2" t="n"/>
    </row>
    <row r="968" ht="15.75" customHeight="1" s="125">
      <c r="A968" s="2" t="n"/>
      <c r="B968" s="2" t="n"/>
      <c r="C968" s="2" t="n"/>
      <c r="D968" s="2" t="n"/>
      <c r="E968" s="2" t="n"/>
      <c r="F968" s="2" t="n"/>
    </row>
    <row r="969" ht="15.75" customHeight="1" s="125">
      <c r="A969" s="2" t="n"/>
      <c r="B969" s="2" t="n"/>
      <c r="C969" s="2" t="n"/>
      <c r="D969" s="2" t="n"/>
      <c r="E969" s="2" t="n"/>
      <c r="F969" s="2" t="n"/>
    </row>
    <row r="970" ht="15.75" customHeight="1" s="125">
      <c r="A970" s="2" t="n"/>
      <c r="B970" s="2" t="n"/>
      <c r="C970" s="2" t="n"/>
      <c r="D970" s="2" t="n"/>
      <c r="E970" s="2" t="n"/>
      <c r="F970" s="2" t="n"/>
    </row>
    <row r="971" ht="15.75" customHeight="1" s="125">
      <c r="A971" s="2" t="n"/>
      <c r="B971" s="2" t="n"/>
      <c r="C971" s="2" t="n"/>
      <c r="D971" s="2" t="n"/>
      <c r="E971" s="2" t="n"/>
      <c r="F971" s="2" t="n"/>
    </row>
    <row r="972" ht="15.75" customHeight="1" s="125">
      <c r="A972" s="2" t="n"/>
      <c r="B972" s="2" t="n"/>
      <c r="C972" s="2" t="n"/>
      <c r="D972" s="2" t="n"/>
      <c r="E972" s="2" t="n"/>
      <c r="F972" s="2" t="n"/>
    </row>
    <row r="973" ht="15.75" customHeight="1" s="125">
      <c r="A973" s="2" t="n"/>
      <c r="B973" s="2" t="n"/>
      <c r="C973" s="2" t="n"/>
      <c r="D973" s="2" t="n"/>
      <c r="E973" s="2" t="n"/>
      <c r="F973" s="2" t="n"/>
    </row>
    <row r="974" ht="15.75" customHeight="1" s="125">
      <c r="A974" s="2" t="n"/>
      <c r="B974" s="2" t="n"/>
      <c r="C974" s="2" t="n"/>
      <c r="D974" s="2" t="n"/>
      <c r="E974" s="2" t="n"/>
      <c r="F974" s="2" t="n"/>
    </row>
    <row r="975" ht="15.75" customHeight="1" s="125">
      <c r="A975" s="2" t="n"/>
      <c r="B975" s="2" t="n"/>
      <c r="C975" s="2" t="n"/>
      <c r="D975" s="2" t="n"/>
      <c r="E975" s="2" t="n"/>
      <c r="F975" s="2" t="n"/>
    </row>
    <row r="976" ht="15.75" customHeight="1" s="125">
      <c r="A976" s="2" t="n"/>
      <c r="B976" s="2" t="n"/>
      <c r="C976" s="2" t="n"/>
      <c r="D976" s="2" t="n"/>
      <c r="E976" s="2" t="n"/>
      <c r="F976" s="2" t="n"/>
    </row>
    <row r="977" ht="15.75" customHeight="1" s="125">
      <c r="A977" s="2" t="n"/>
      <c r="B977" s="2" t="n"/>
      <c r="C977" s="2" t="n"/>
      <c r="D977" s="2" t="n"/>
      <c r="E977" s="2" t="n"/>
      <c r="F977" s="2" t="n"/>
    </row>
    <row r="978" ht="15.75" customHeight="1" s="125">
      <c r="A978" s="2" t="n"/>
      <c r="B978" s="2" t="n"/>
      <c r="C978" s="2" t="n"/>
      <c r="D978" s="2" t="n"/>
      <c r="E978" s="2" t="n"/>
      <c r="F978" s="2" t="n"/>
    </row>
    <row r="979" ht="15.75" customHeight="1" s="125">
      <c r="A979" s="2" t="n"/>
      <c r="B979" s="2" t="n"/>
      <c r="C979" s="2" t="n"/>
      <c r="D979" s="2" t="n"/>
      <c r="E979" s="2" t="n"/>
      <c r="F979" s="2" t="n"/>
    </row>
    <row r="980" ht="15.75" customHeight="1" s="125">
      <c r="A980" s="2" t="n"/>
      <c r="B980" s="2" t="n"/>
      <c r="C980" s="2" t="n"/>
      <c r="D980" s="2" t="n"/>
      <c r="E980" s="2" t="n"/>
      <c r="F980" s="2" t="n"/>
    </row>
    <row r="981" ht="15.75" customHeight="1" s="125">
      <c r="A981" s="2" t="n"/>
      <c r="B981" s="2" t="n"/>
      <c r="C981" s="2" t="n"/>
      <c r="D981" s="2" t="n"/>
      <c r="E981" s="2" t="n"/>
      <c r="F981" s="2" t="n"/>
    </row>
    <row r="982" ht="15.75" customHeight="1" s="125">
      <c r="A982" s="2" t="n"/>
      <c r="B982" s="2" t="n"/>
      <c r="C982" s="2" t="n"/>
      <c r="D982" s="2" t="n"/>
      <c r="E982" s="2" t="n"/>
      <c r="F982" s="2" t="n"/>
    </row>
    <row r="983" ht="15.75" customHeight="1" s="125">
      <c r="A983" s="2" t="n"/>
      <c r="B983" s="2" t="n"/>
      <c r="C983" s="2" t="n"/>
      <c r="D983" s="2" t="n"/>
      <c r="E983" s="2" t="n"/>
      <c r="F983" s="2" t="n"/>
    </row>
    <row r="984" ht="15.75" customHeight="1" s="125">
      <c r="A984" s="2" t="n"/>
      <c r="B984" s="2" t="n"/>
      <c r="C984" s="2" t="n"/>
      <c r="D984" s="2" t="n"/>
      <c r="E984" s="2" t="n"/>
      <c r="F984" s="2" t="n"/>
    </row>
    <row r="985" ht="15.75" customHeight="1" s="125">
      <c r="A985" s="2" t="n"/>
      <c r="B985" s="2" t="n"/>
      <c r="C985" s="2" t="n"/>
      <c r="D985" s="2" t="n"/>
      <c r="E985" s="2" t="n"/>
      <c r="F985" s="2" t="n"/>
    </row>
    <row r="986" ht="15.75" customHeight="1" s="125">
      <c r="A986" s="2" t="n"/>
      <c r="B986" s="2" t="n"/>
      <c r="C986" s="2" t="n"/>
      <c r="D986" s="2" t="n"/>
      <c r="E986" s="2" t="n"/>
      <c r="F986" s="2" t="n"/>
    </row>
    <row r="987" ht="15.75" customHeight="1" s="125">
      <c r="A987" s="2" t="n"/>
      <c r="B987" s="2" t="n"/>
      <c r="C987" s="2" t="n"/>
      <c r="D987" s="2" t="n"/>
      <c r="E987" s="2" t="n"/>
      <c r="F987" s="2" t="n"/>
    </row>
    <row r="988" ht="15.75" customHeight="1" s="125">
      <c r="A988" s="2" t="n"/>
      <c r="B988" s="2" t="n"/>
      <c r="C988" s="2" t="n"/>
      <c r="D988" s="2" t="n"/>
      <c r="E988" s="2" t="n"/>
      <c r="F988" s="2" t="n"/>
    </row>
    <row r="989" ht="15.75" customHeight="1" s="125">
      <c r="A989" s="2" t="n"/>
      <c r="B989" s="2" t="n"/>
      <c r="C989" s="2" t="n"/>
      <c r="D989" s="2" t="n"/>
      <c r="E989" s="2" t="n"/>
      <c r="F989" s="2" t="n"/>
    </row>
    <row r="990" ht="15.75" customHeight="1" s="125">
      <c r="A990" s="2" t="n"/>
      <c r="B990" s="2" t="n"/>
      <c r="C990" s="2" t="n"/>
      <c r="D990" s="2" t="n"/>
      <c r="E990" s="2" t="n"/>
      <c r="F990" s="2" t="n"/>
    </row>
    <row r="991" ht="15.75" customHeight="1" s="125">
      <c r="A991" s="2" t="n"/>
      <c r="B991" s="2" t="n"/>
      <c r="C991" s="2" t="n"/>
      <c r="D991" s="2" t="n"/>
      <c r="E991" s="2" t="n"/>
      <c r="F991" s="2" t="n"/>
    </row>
    <row r="992" ht="15.75" customHeight="1" s="125">
      <c r="A992" s="2" t="n"/>
      <c r="B992" s="2" t="n"/>
      <c r="C992" s="2" t="n"/>
      <c r="D992" s="2" t="n"/>
      <c r="E992" s="2" t="n"/>
      <c r="F992" s="2" t="n"/>
    </row>
    <row r="993" ht="15.75" customHeight="1" s="125">
      <c r="A993" s="2" t="n"/>
      <c r="B993" s="2" t="n"/>
      <c r="C993" s="2" t="n"/>
      <c r="D993" s="2" t="n"/>
      <c r="E993" s="2" t="n"/>
      <c r="F993" s="2" t="n"/>
    </row>
    <row r="994" ht="15.75" customHeight="1" s="125">
      <c r="A994" s="2" t="n"/>
      <c r="B994" s="2" t="n"/>
      <c r="C994" s="2" t="n"/>
      <c r="D994" s="2" t="n"/>
      <c r="E994" s="2" t="n"/>
      <c r="F994" s="2" t="n"/>
    </row>
    <row r="995" ht="15.75" customHeight="1" s="125">
      <c r="A995" s="2" t="n"/>
      <c r="B995" s="2" t="n"/>
      <c r="C995" s="2" t="n"/>
      <c r="D995" s="2" t="n"/>
      <c r="E995" s="2" t="n"/>
      <c r="F995" s="2" t="n"/>
    </row>
    <row r="996" ht="15.75" customHeight="1" s="125">
      <c r="A996" s="2" t="n"/>
      <c r="B996" s="2" t="n"/>
      <c r="C996" s="2" t="n"/>
      <c r="D996" s="2" t="n"/>
      <c r="E996" s="2" t="n"/>
      <c r="F996" s="2" t="n"/>
    </row>
    <row r="997" ht="15.75" customHeight="1" s="125">
      <c r="A997" s="2" t="n"/>
      <c r="B997" s="2" t="n"/>
      <c r="C997" s="2" t="n"/>
      <c r="D997" s="2" t="n"/>
      <c r="E997" s="2" t="n"/>
      <c r="F997" s="2" t="n"/>
    </row>
    <row r="998" ht="15.75" customHeight="1" s="125">
      <c r="A998" s="2" t="n"/>
      <c r="B998" s="2" t="n"/>
      <c r="C998" s="2" t="n"/>
      <c r="D998" s="2" t="n"/>
      <c r="E998" s="2" t="n"/>
      <c r="F998" s="2" t="n"/>
    </row>
    <row r="999" ht="15.75" customHeight="1" s="125">
      <c r="A999" s="2" t="n"/>
      <c r="B999" s="2" t="n"/>
      <c r="C999" s="2" t="n"/>
      <c r="D999" s="2" t="n"/>
      <c r="E999" s="2" t="n"/>
      <c r="F999" s="2" t="n"/>
    </row>
    <row r="1000" ht="15.75" customHeight="1" s="125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ySplit="12" topLeftCell="A13" activePane="bottomLeft" state="frozen"/>
      <selection pane="bottomLeft" activeCell="B14" sqref="B14"/>
    </sheetView>
  </sheetViews>
  <sheetFormatPr baseColWidth="8" defaultColWidth="12.63" defaultRowHeight="15" customHeight="1"/>
  <cols>
    <col width="21" customWidth="1" style="125" min="1" max="1"/>
    <col width="30.25" customWidth="1" style="125" min="2" max="2"/>
    <col width="17.25" customWidth="1" style="125" min="3" max="3"/>
    <col width="12.25" customWidth="1" style="125" min="4" max="4"/>
    <col width="12.88" customWidth="1" style="125" min="5" max="5"/>
    <col width="7.38" customWidth="1" style="125" min="6" max="6"/>
  </cols>
  <sheetData>
    <row r="1" ht="15.75" customHeight="1" s="125">
      <c r="A1" s="143" t="inlineStr">
        <is>
          <t>Cliente</t>
        </is>
      </c>
      <c r="B1" s="0">
        <f>INPUT_PRODUCT!B1</f>
        <v/>
      </c>
    </row>
    <row r="2" ht="15.75" customHeight="1" s="125">
      <c r="A2" s="2" t="inlineStr">
        <is>
          <t>Proyecto</t>
        </is>
      </c>
      <c r="B2" s="2">
        <f>INPUT_PRODUCT!B2</f>
        <v/>
      </c>
      <c r="C2" s="2" t="n"/>
      <c r="D2" s="2" t="n"/>
      <c r="E2" s="2" t="n"/>
      <c r="F2" s="2" t="n"/>
    </row>
    <row r="3" ht="15.75" customHeight="1" s="125">
      <c r="A3" s="1" t="inlineStr">
        <is>
          <t>SRL</t>
        </is>
      </c>
      <c r="B3" s="14">
        <f>INPUT_PRODUCT!B3</f>
        <v/>
      </c>
      <c r="C3" s="2" t="n"/>
      <c r="D3" s="2" t="n"/>
      <c r="E3" s="2" t="n"/>
      <c r="F3" s="2" t="n"/>
    </row>
    <row r="4" ht="15.75" customHeight="1" s="125">
      <c r="A4" s="1" t="inlineStr">
        <is>
          <t>Fecha</t>
        </is>
      </c>
      <c r="B4" s="14">
        <f>INPUT_PRODUCT!B5</f>
        <v/>
      </c>
      <c r="C4" s="2" t="n"/>
      <c r="D4" s="2" t="n"/>
      <c r="E4" s="2" t="n"/>
      <c r="F4" s="2" t="n"/>
    </row>
    <row r="5" ht="15.75" customHeight="1" s="125">
      <c r="A5" s="1" t="inlineStr">
        <is>
          <t>Cotización</t>
        </is>
      </c>
      <c r="B5" s="14">
        <f>INPUT_PRODUCT!B6</f>
        <v/>
      </c>
      <c r="C5" s="2" t="n"/>
      <c r="D5" s="2" t="n"/>
      <c r="E5" s="2" t="n"/>
      <c r="F5" s="2" t="n"/>
    </row>
    <row r="6" ht="15.75" customHeight="1" s="125">
      <c r="A6" s="1" t="inlineStr">
        <is>
          <t>Incoterm</t>
        </is>
      </c>
      <c r="B6" s="122">
        <f>INPUT_PRODUCT!B7</f>
        <v/>
      </c>
      <c r="C6" s="2" t="n"/>
      <c r="D6" s="2" t="n"/>
      <c r="E6" s="2" t="n"/>
      <c r="F6" s="2" t="n"/>
    </row>
    <row r="7" ht="15.75" customHeight="1" s="125">
      <c r="A7" s="1" t="inlineStr">
        <is>
          <t>Condiciones</t>
        </is>
      </c>
      <c r="B7" s="14">
        <f>INPUT_PRODUCT!B8</f>
        <v/>
      </c>
      <c r="C7" s="2" t="n"/>
      <c r="D7" s="2" t="n"/>
      <c r="E7" s="2" t="n"/>
      <c r="F7" s="2" t="n"/>
    </row>
    <row r="8" ht="15.75" customHeight="1" s="125">
      <c r="A8" s="1" t="inlineStr">
        <is>
          <t>Validez</t>
        </is>
      </c>
      <c r="B8" s="14">
        <f>INPUT_PRODUCT!B9</f>
        <v/>
      </c>
      <c r="C8" s="2" t="n"/>
      <c r="D8" s="2" t="n"/>
      <c r="E8" s="2" t="n"/>
      <c r="F8" s="2" t="n"/>
    </row>
    <row r="9" ht="15.75" customHeight="1" s="125">
      <c r="A9" s="1" t="inlineStr">
        <is>
          <t>Condiciones</t>
        </is>
      </c>
      <c r="B9" s="14">
        <f>INPUT_SYSTEM!B8</f>
        <v/>
      </c>
      <c r="C9" s="2" t="n"/>
      <c r="D9" s="2" t="n"/>
      <c r="E9" s="2" t="n"/>
      <c r="F9" s="2" t="n"/>
    </row>
    <row r="10" ht="15.75" customHeight="1" s="125">
      <c r="A10" s="1" t="inlineStr">
        <is>
          <t>Validez</t>
        </is>
      </c>
      <c r="B10" s="14">
        <f>INPUT_SYSTEM!B9</f>
        <v/>
      </c>
      <c r="C10" s="2" t="n"/>
      <c r="D10" s="2" t="n"/>
      <c r="E10" s="123" t="inlineStr">
        <is>
          <t>TOTAL EUR</t>
        </is>
      </c>
      <c r="F10" s="124">
        <f>SUM(J13:J200)</f>
        <v/>
      </c>
    </row>
    <row r="11" ht="15.75" customHeight="1" s="125">
      <c r="A11" s="8" t="inlineStr">
        <is>
          <t>Logística</t>
        </is>
      </c>
      <c r="B11" s="8">
        <f>IF(ISNUMBER(SEARCH("CIF",INPUT_SYSTEM!B7)),"Transporte CIF (28%)",IF(ISNUMBER(SEARCH("FOB",INPUT_SYSTEM!B7)),"Transporte FOB (8%)",IF(ISNUMBER(SEARCH("EXW",INPUT_SYSTEM!B7)),"Sin logística (EXW)","")))</f>
        <v/>
      </c>
      <c r="C11" s="2" t="n"/>
      <c r="D11" s="2" t="n"/>
      <c r="E11" s="8" t="inlineStr">
        <is>
          <t>TOTAL USD</t>
        </is>
      </c>
      <c r="F11" s="8">
        <f>SUM(M13:M200)</f>
        <v/>
      </c>
    </row>
    <row r="12" ht="15.75" customHeight="1" s="125">
      <c r="A12" s="1" t="inlineStr">
        <is>
          <t>CLIENTE</t>
        </is>
      </c>
      <c r="B12" s="1" t="inlineStr">
        <is>
          <t>PROYECTO</t>
        </is>
      </c>
      <c r="C12" s="1" t="inlineStr">
        <is>
          <t>N_COTIZACION</t>
        </is>
      </c>
      <c r="D12" s="1" t="inlineStr">
        <is>
          <t>FECHA</t>
        </is>
      </c>
      <c r="E12" s="1" t="inlineStr">
        <is>
          <t>SKU_FASSA</t>
        </is>
      </c>
      <c r="F12" s="1" t="inlineStr">
        <is>
          <t>NOMBRE_PRODUCTO</t>
        </is>
      </c>
      <c r="G12" s="0" t="inlineStr">
        <is>
          <t>CANTIDAD_FINAL_INPUT</t>
        </is>
      </c>
      <c r="H12" s="0" t="inlineStr">
        <is>
          <t>UNIDAD_INPUT</t>
        </is>
      </c>
      <c r="I12" s="0" t="inlineStr">
        <is>
          <t>PRECIO_CLIENTE_EUR</t>
        </is>
      </c>
      <c r="J12" s="0" t="inlineStr">
        <is>
          <t>SUBTOTAL_EUR</t>
        </is>
      </c>
      <c r="K12" s="0" t="inlineStr">
        <is>
          <t>TC_EUR_USD</t>
        </is>
      </c>
      <c r="L12" s="0" t="inlineStr">
        <is>
          <t>PRECIO_CLIENTE_USD</t>
        </is>
      </c>
      <c r="M12" s="0" t="inlineStr">
        <is>
          <t>SUBTOTAL_USD</t>
        </is>
      </c>
      <c r="N12" s="0" t="inlineStr">
        <is>
          <t>MONEDA</t>
        </is>
      </c>
      <c r="O12" s="0" t="inlineStr">
        <is>
          <t>INCOTERM</t>
        </is>
      </c>
      <c r="P12" s="0" t="inlineStr">
        <is>
          <t>VALIDEZ</t>
        </is>
      </c>
      <c r="Q12" s="0" t="inlineStr">
        <is>
          <t>PLAZO_ENTREGA</t>
        </is>
      </c>
      <c r="R12" s="0" t="inlineStr">
        <is>
          <t>CONDICIONES_PAGO</t>
        </is>
      </c>
      <c r="S12" s="0" t="inlineStr">
        <is>
          <t>OBSERVACIONES</t>
        </is>
      </c>
    </row>
    <row r="13" ht="15.75" customHeight="1" s="125">
      <c r="A13" s="62">
        <f>INPUT_PRODUCT!B1</f>
        <v/>
      </c>
      <c r="B13" s="62">
        <f>INPUT_PRODUCT!B2</f>
        <v/>
      </c>
      <c r="C13" s="62">
        <f>INPUT_PRODUCT!B6</f>
        <v/>
      </c>
      <c r="D13" s="14">
        <f>INPUT_PRODUCT!B5</f>
        <v/>
      </c>
      <c r="E13" s="18">
        <f>IF(PRODUCT_CALCULATION!B2="SI";PRODUCT_CALCULATION!C2;"")</f>
        <v/>
      </c>
      <c r="F13" s="18">
        <f>IF(PRODUCT_CALCULATION!B2="SI";PRODUCT_CALCULATION!E2;"")</f>
        <v/>
      </c>
      <c r="G13" s="0">
        <f>IF(PRODUCT_CALCULATION!B2="SI";PRODUCT_CALCULATION!F2;"")</f>
        <v/>
      </c>
      <c r="H13" s="0">
        <f>IF(PRODUCT_CALCULATION!B2="SI";PRODUCT_CALCULATION!G2;"")</f>
        <v/>
      </c>
      <c r="I13" s="0">
        <f>IF(PRODUCT_CALCULATION!B2="SI";PRODUCT_CALCULATION!S2;"")</f>
        <v/>
      </c>
      <c r="J13" s="0">
        <f>IF(PRODUCT_CALCULATION!B2="SI";PRODUCT_CALCULATION!T2;"")</f>
        <v/>
      </c>
      <c r="K13" s="0">
        <f>CONFIG!$B$2</f>
        <v/>
      </c>
      <c r="L13" s="0">
        <f>IF(PRODUCT_CALCULATION!B2="SI";PRODUCT_CALCULATION!V2;"")</f>
        <v/>
      </c>
      <c r="M13" s="0">
        <f>IF(PRODUCT_CALCULATION!B2="SI";PRODUCT_CALCULATION!W2;"")</f>
        <v/>
      </c>
      <c r="N13" s="0">
        <f>INPUT_PRODUCT!B11</f>
        <v/>
      </c>
      <c r="O13" s="0">
        <f>INPUT_PRODUCT!B7</f>
        <v/>
      </c>
      <c r="P13" s="0">
        <f>INPUT_PRODUCT!B9</f>
        <v/>
      </c>
    </row>
    <row r="14" ht="15.75" customHeight="1" s="125">
      <c r="A14" s="62">
        <f>INPUT_PRODUCT!B1</f>
        <v/>
      </c>
      <c r="B14" s="62">
        <f>INPUT_PRODUCT!B2</f>
        <v/>
      </c>
      <c r="C14" s="61">
        <f>INPUT_PRODUCT!B6</f>
        <v/>
      </c>
      <c r="D14" s="14">
        <f>INPUT_PRODUCT!B5</f>
        <v/>
      </c>
      <c r="E14" s="18">
        <f>IF(PRODUCT_CALCULATION!B3="SI";PRODUCT_CALCULATION!C3;"")</f>
        <v/>
      </c>
      <c r="F14" s="18">
        <f>IF(PRODUCT_CALCULATION!B3="SI";PRODUCT_CALCULATION!E3;"")</f>
        <v/>
      </c>
      <c r="G14" s="0">
        <f>IF(PRODUCT_CALCULATION!B3="SI";PRODUCT_CALCULATION!F3;"")</f>
        <v/>
      </c>
      <c r="H14" s="0">
        <f>IF(PRODUCT_CALCULATION!B3="SI";PRODUCT_CALCULATION!G3;"")</f>
        <v/>
      </c>
      <c r="I14" s="0">
        <f>IF(PRODUCT_CALCULATION!B3="SI";PRODUCT_CALCULATION!S3;"")</f>
        <v/>
      </c>
      <c r="J14" s="0">
        <f>IF(PRODUCT_CALCULATION!B3="SI";PRODUCT_CALCULATION!T3;"")</f>
        <v/>
      </c>
      <c r="K14" s="0">
        <f>CONFIG!$B$2</f>
        <v/>
      </c>
      <c r="L14" s="0">
        <f>IF(PRODUCT_CALCULATION!B3="SI";PRODUCT_CALCULATION!V3;"")</f>
        <v/>
      </c>
      <c r="M14" s="0">
        <f>IF(PRODUCT_CALCULATION!B3="SI";PRODUCT_CALCULATION!W3;"")</f>
        <v/>
      </c>
      <c r="N14" s="0">
        <f>INPUT_PRODUCT!B11</f>
        <v/>
      </c>
      <c r="O14" s="0">
        <f>INPUT_PRODUCT!B7</f>
        <v/>
      </c>
      <c r="P14" s="0">
        <f>INPUT_PRODUCT!B9</f>
        <v/>
      </c>
    </row>
    <row r="15" ht="15.75" customHeight="1" s="125">
      <c r="A15" s="62">
        <f>INPUT_PRODUCT!B1</f>
        <v/>
      </c>
      <c r="B15" s="62">
        <f>INPUT_PRODUCT!B2</f>
        <v/>
      </c>
      <c r="C15" s="61">
        <f>INPUT_PRODUCT!B6</f>
        <v/>
      </c>
      <c r="D15" s="14">
        <f>INPUT_PRODUCT!B5</f>
        <v/>
      </c>
      <c r="E15" s="18">
        <f>IF(PRODUCT_CALCULATION!B4="SI";PRODUCT_CALCULATION!C4;"")</f>
        <v/>
      </c>
      <c r="F15" s="18">
        <f>IF(PRODUCT_CALCULATION!B4="SI";PRODUCT_CALCULATION!E4;"")</f>
        <v/>
      </c>
      <c r="G15" s="0">
        <f>IF(PRODUCT_CALCULATION!B4="SI";PRODUCT_CALCULATION!F4;"")</f>
        <v/>
      </c>
      <c r="H15" s="0">
        <f>IF(PRODUCT_CALCULATION!B4="SI";PRODUCT_CALCULATION!G4;"")</f>
        <v/>
      </c>
      <c r="I15" s="0">
        <f>IF(PRODUCT_CALCULATION!B4="SI";PRODUCT_CALCULATION!S4;"")</f>
        <v/>
      </c>
      <c r="J15" s="0">
        <f>IF(PRODUCT_CALCULATION!B4="SI";PRODUCT_CALCULATION!T4;"")</f>
        <v/>
      </c>
      <c r="K15" s="0">
        <f>CONFIG!$B$2</f>
        <v/>
      </c>
      <c r="L15" s="0">
        <f>IF(PRODUCT_CALCULATION!B4="SI";PRODUCT_CALCULATION!V4;"")</f>
        <v/>
      </c>
      <c r="M15" s="0">
        <f>IF(PRODUCT_CALCULATION!B4="SI";PRODUCT_CALCULATION!W4;"")</f>
        <v/>
      </c>
      <c r="N15" s="0">
        <f>INPUT_PRODUCT!B11</f>
        <v/>
      </c>
      <c r="O15" s="0">
        <f>INPUT_PRODUCT!B7</f>
        <v/>
      </c>
      <c r="P15" s="0">
        <f>INPUT_PRODUCT!B9</f>
        <v/>
      </c>
    </row>
    <row r="16" ht="15.75" customHeight="1" s="125">
      <c r="A16" s="62">
        <f>INPUT_PRODUCT!B1</f>
        <v/>
      </c>
      <c r="B16" s="62">
        <f>INPUT_PRODUCT!B2</f>
        <v/>
      </c>
      <c r="C16" s="61">
        <f>INPUT_PRODUCT!B6</f>
        <v/>
      </c>
      <c r="D16" s="14">
        <f>INPUT_PRODUCT!B5</f>
        <v/>
      </c>
      <c r="E16" s="18">
        <f>IF(PRODUCT_CALCULATION!B5="SI";PRODUCT_CALCULATION!C5;"")</f>
        <v/>
      </c>
      <c r="F16" s="18">
        <f>IF(PRODUCT_CALCULATION!B5="SI";PRODUCT_CALCULATION!E5;"")</f>
        <v/>
      </c>
      <c r="G16" s="0">
        <f>IF(PRODUCT_CALCULATION!B5="SI";PRODUCT_CALCULATION!F5;"")</f>
        <v/>
      </c>
      <c r="H16" s="0">
        <f>IF(PRODUCT_CALCULATION!B5="SI";PRODUCT_CALCULATION!G5;"")</f>
        <v/>
      </c>
      <c r="I16" s="0">
        <f>IF(PRODUCT_CALCULATION!B5="SI";PRODUCT_CALCULATION!S5;"")</f>
        <v/>
      </c>
      <c r="J16" s="0">
        <f>IF(PRODUCT_CALCULATION!B5="SI";PRODUCT_CALCULATION!T5;"")</f>
        <v/>
      </c>
      <c r="K16" s="0">
        <f>CONFIG!$B$2</f>
        <v/>
      </c>
      <c r="L16" s="0">
        <f>IF(PRODUCT_CALCULATION!B5="SI";PRODUCT_CALCULATION!V5;"")</f>
        <v/>
      </c>
      <c r="M16" s="0">
        <f>IF(PRODUCT_CALCULATION!B5="SI";PRODUCT_CALCULATION!W5;"")</f>
        <v/>
      </c>
      <c r="N16" s="0">
        <f>INPUT_PRODUCT!B11</f>
        <v/>
      </c>
      <c r="O16" s="0">
        <f>INPUT_PRODUCT!B7</f>
        <v/>
      </c>
      <c r="P16" s="0">
        <f>INPUT_PRODUCT!B9</f>
        <v/>
      </c>
    </row>
    <row r="17" ht="15.75" customHeight="1" s="125">
      <c r="A17" s="62">
        <f>INPUT_PRODUCT!B1</f>
        <v/>
      </c>
      <c r="B17" s="62">
        <f>INPUT_PRODUCT!B2</f>
        <v/>
      </c>
      <c r="C17" s="61">
        <f>INPUT_PRODUCT!B6</f>
        <v/>
      </c>
      <c r="D17" s="14">
        <f>INPUT_PRODUCT!B5</f>
        <v/>
      </c>
      <c r="E17" s="18">
        <f>IF(PRODUCT_CALCULATION!B6="SI";PRODUCT_CALCULATION!C6;"")</f>
        <v/>
      </c>
      <c r="F17" s="18">
        <f>IF(PRODUCT_CALCULATION!B6="SI";PRODUCT_CALCULATION!E6;"")</f>
        <v/>
      </c>
      <c r="G17" s="0">
        <f>IF(PRODUCT_CALCULATION!B6="SI";PRODUCT_CALCULATION!F6;"")</f>
        <v/>
      </c>
      <c r="H17" s="0">
        <f>IF(PRODUCT_CALCULATION!B6="SI";PRODUCT_CALCULATION!G6;"")</f>
        <v/>
      </c>
      <c r="I17" s="0">
        <f>IF(PRODUCT_CALCULATION!B6="SI";PRODUCT_CALCULATION!S6;"")</f>
        <v/>
      </c>
      <c r="J17" s="0">
        <f>IF(PRODUCT_CALCULATION!B6="SI";PRODUCT_CALCULATION!T6;"")</f>
        <v/>
      </c>
      <c r="K17" s="0">
        <f>CONFIG!$B$2</f>
        <v/>
      </c>
      <c r="L17" s="0">
        <f>IF(PRODUCT_CALCULATION!B6="SI";PRODUCT_CALCULATION!V6;"")</f>
        <v/>
      </c>
      <c r="M17" s="0">
        <f>IF(PRODUCT_CALCULATION!B6="SI";PRODUCT_CALCULATION!W6;"")</f>
        <v/>
      </c>
      <c r="N17" s="0">
        <f>INPUT_PRODUCT!B11</f>
        <v/>
      </c>
      <c r="O17" s="0">
        <f>INPUT_PRODUCT!B7</f>
        <v/>
      </c>
      <c r="P17" s="0">
        <f>INPUT_PRODUCT!B9</f>
        <v/>
      </c>
    </row>
    <row r="18" ht="15.75" customHeight="1" s="125">
      <c r="A18" s="62">
        <f>INPUT_PRODUCT!B1</f>
        <v/>
      </c>
      <c r="B18" s="62">
        <f>INPUT_PRODUCT!B2</f>
        <v/>
      </c>
      <c r="C18" s="61">
        <f>INPUT_PRODUCT!B6</f>
        <v/>
      </c>
      <c r="D18" s="14">
        <f>INPUT_PRODUCT!B5</f>
        <v/>
      </c>
      <c r="E18" s="18">
        <f>IF(PRODUCT_CALCULATION!B7="SI";PRODUCT_CALCULATION!C7;"")</f>
        <v/>
      </c>
      <c r="F18" s="18">
        <f>IF(PRODUCT_CALCULATION!B7="SI";PRODUCT_CALCULATION!E7;"")</f>
        <v/>
      </c>
      <c r="G18" s="0">
        <f>IF(PRODUCT_CALCULATION!B7="SI";PRODUCT_CALCULATION!F7;"")</f>
        <v/>
      </c>
      <c r="H18" s="0">
        <f>IF(PRODUCT_CALCULATION!B7="SI";PRODUCT_CALCULATION!G7;"")</f>
        <v/>
      </c>
      <c r="I18" s="0">
        <f>IF(PRODUCT_CALCULATION!B7="SI";PRODUCT_CALCULATION!S7;"")</f>
        <v/>
      </c>
      <c r="J18" s="0">
        <f>IF(PRODUCT_CALCULATION!B7="SI";PRODUCT_CALCULATION!T7;"")</f>
        <v/>
      </c>
      <c r="K18" s="0">
        <f>CONFIG!$B$2</f>
        <v/>
      </c>
      <c r="L18" s="0">
        <f>IF(PRODUCT_CALCULATION!B7="SI";PRODUCT_CALCULATION!V7;"")</f>
        <v/>
      </c>
      <c r="M18" s="0">
        <f>IF(PRODUCT_CALCULATION!B7="SI";PRODUCT_CALCULATION!W7;"")</f>
        <v/>
      </c>
      <c r="N18" s="0">
        <f>INPUT_PRODUCT!B11</f>
        <v/>
      </c>
      <c r="O18" s="0">
        <f>INPUT_PRODUCT!B7</f>
        <v/>
      </c>
      <c r="P18" s="0">
        <f>INPUT_PRODUCT!B9</f>
        <v/>
      </c>
    </row>
    <row r="19" ht="15.75" customHeight="1" s="125">
      <c r="A19" s="62">
        <f>INPUT_PRODUCT!B1</f>
        <v/>
      </c>
      <c r="B19" s="62">
        <f>INPUT_PRODUCT!B2</f>
        <v/>
      </c>
      <c r="C19" s="61">
        <f>INPUT_PRODUCT!B6</f>
        <v/>
      </c>
      <c r="D19" s="14">
        <f>INPUT_PRODUCT!B5</f>
        <v/>
      </c>
      <c r="E19" s="18">
        <f>IF(PRODUCT_CALCULATION!B8="SI";PRODUCT_CALCULATION!C8;"")</f>
        <v/>
      </c>
      <c r="F19" s="18">
        <f>IF(PRODUCT_CALCULATION!B8="SI";PRODUCT_CALCULATION!E8;"")</f>
        <v/>
      </c>
      <c r="G19" s="0">
        <f>IF(PRODUCT_CALCULATION!B8="SI";PRODUCT_CALCULATION!F8;"")</f>
        <v/>
      </c>
      <c r="H19" s="0">
        <f>IF(PRODUCT_CALCULATION!B8="SI";PRODUCT_CALCULATION!G8;"")</f>
        <v/>
      </c>
      <c r="I19" s="0">
        <f>IF(PRODUCT_CALCULATION!B8="SI";PRODUCT_CALCULATION!S8;"")</f>
        <v/>
      </c>
      <c r="J19" s="0">
        <f>IF(PRODUCT_CALCULATION!B8="SI";PRODUCT_CALCULATION!T8;"")</f>
        <v/>
      </c>
      <c r="K19" s="0">
        <f>CONFIG!$B$2</f>
        <v/>
      </c>
      <c r="L19" s="0">
        <f>IF(PRODUCT_CALCULATION!B8="SI";PRODUCT_CALCULATION!V8;"")</f>
        <v/>
      </c>
      <c r="M19" s="0">
        <f>IF(PRODUCT_CALCULATION!B8="SI";PRODUCT_CALCULATION!W8;"")</f>
        <v/>
      </c>
      <c r="N19" s="0">
        <f>INPUT_PRODUCT!B11</f>
        <v/>
      </c>
      <c r="O19" s="0">
        <f>INPUT_PRODUCT!B7</f>
        <v/>
      </c>
      <c r="P19" s="0">
        <f>INPUT_PRODUCT!B9</f>
        <v/>
      </c>
    </row>
    <row r="20" ht="15.75" customHeight="1" s="125">
      <c r="A20" s="62">
        <f>INPUT_PRODUCT!B1</f>
        <v/>
      </c>
      <c r="B20" s="62">
        <f>INPUT_PRODUCT!B2</f>
        <v/>
      </c>
      <c r="C20" s="62">
        <f>INPUT_PRODUCT!B6</f>
        <v/>
      </c>
      <c r="D20" s="62">
        <f>INPUT_PRODUCT!B5</f>
        <v/>
      </c>
      <c r="E20" s="63">
        <f>IF(PRODUCT_CALCULATION!B9="SI";PRODUCT_CALCULATION!C9;"")</f>
        <v/>
      </c>
      <c r="F20" s="63">
        <f>IF(PRODUCT_CALCULATION!B9="SI";PRODUCT_CALCULATION!E9;"")</f>
        <v/>
      </c>
      <c r="G20" s="0">
        <f>IF(PRODUCT_CALCULATION!B9="SI";PRODUCT_CALCULATION!F9;"")</f>
        <v/>
      </c>
      <c r="H20" s="0">
        <f>IF(PRODUCT_CALCULATION!B9="SI";PRODUCT_CALCULATION!G9;"")</f>
        <v/>
      </c>
      <c r="I20" s="0">
        <f>IF(PRODUCT_CALCULATION!B9="SI";PRODUCT_CALCULATION!S9;"")</f>
        <v/>
      </c>
      <c r="J20" s="0">
        <f>IF(PRODUCT_CALCULATION!B9="SI";PRODUCT_CALCULATION!T9;"")</f>
        <v/>
      </c>
      <c r="K20" s="0">
        <f>CONFIG!$B$2</f>
        <v/>
      </c>
      <c r="L20" s="0">
        <f>IF(PRODUCT_CALCULATION!B9="SI";PRODUCT_CALCULATION!V9;"")</f>
        <v/>
      </c>
      <c r="M20" s="0">
        <f>IF(PRODUCT_CALCULATION!B9="SI";PRODUCT_CALCULATION!W9;"")</f>
        <v/>
      </c>
      <c r="N20" s="0">
        <f>INPUT_PRODUCT!B11</f>
        <v/>
      </c>
      <c r="O20" s="0">
        <f>INPUT_PRODUCT!B7</f>
        <v/>
      </c>
      <c r="P20" s="0">
        <f>INPUT_PRODUCT!B9</f>
        <v/>
      </c>
    </row>
    <row r="21" ht="15.75" customHeight="1" s="125">
      <c r="A21" s="62">
        <f>INPUT_PRODUCT!B1</f>
        <v/>
      </c>
      <c r="B21" s="62">
        <f>INPUT_PRODUCT!B2</f>
        <v/>
      </c>
      <c r="C21" s="62">
        <f>INPUT_PRODUCT!B6</f>
        <v/>
      </c>
      <c r="D21" s="62">
        <f>INPUT_PRODUCT!B5</f>
        <v/>
      </c>
      <c r="E21" s="63">
        <f>IF(PRODUCT_CALCULATION!B10="SI";PRODUCT_CALCULATION!C10;"")</f>
        <v/>
      </c>
      <c r="F21" s="63">
        <f>IF(PRODUCT_CALCULATION!B10="SI";PRODUCT_CALCULATION!E10;"")</f>
        <v/>
      </c>
      <c r="G21" s="0">
        <f>IF(PRODUCT_CALCULATION!B10="SI";PRODUCT_CALCULATION!F10;"")</f>
        <v/>
      </c>
      <c r="H21" s="0">
        <f>IF(PRODUCT_CALCULATION!B10="SI";PRODUCT_CALCULATION!G10;"")</f>
        <v/>
      </c>
      <c r="I21" s="0">
        <f>IF(PRODUCT_CALCULATION!B10="SI";PRODUCT_CALCULATION!S10;"")</f>
        <v/>
      </c>
      <c r="J21" s="0">
        <f>IF(PRODUCT_CALCULATION!B10="SI";PRODUCT_CALCULATION!T10;"")</f>
        <v/>
      </c>
      <c r="K21" s="0">
        <f>CONFIG!$B$2</f>
        <v/>
      </c>
      <c r="L21" s="0">
        <f>IF(PRODUCT_CALCULATION!B10="SI";PRODUCT_CALCULATION!V10;"")</f>
        <v/>
      </c>
      <c r="M21" s="0">
        <f>IF(PRODUCT_CALCULATION!B10="SI";PRODUCT_CALCULATION!W10;"")</f>
        <v/>
      </c>
      <c r="N21" s="0">
        <f>INPUT_PRODUCT!B11</f>
        <v/>
      </c>
      <c r="O21" s="0">
        <f>INPUT_PRODUCT!B7</f>
        <v/>
      </c>
      <c r="P21" s="0">
        <f>INPUT_PRODUCT!B9</f>
        <v/>
      </c>
    </row>
    <row r="22" ht="15.75" customHeight="1" s="125">
      <c r="A22" s="62">
        <f>INPUT_PRODUCT!B1</f>
        <v/>
      </c>
      <c r="B22" s="62">
        <f>INPUT_PRODUCT!B2</f>
        <v/>
      </c>
      <c r="C22" s="62">
        <f>INPUT_PRODUCT!B6</f>
        <v/>
      </c>
      <c r="D22" s="62">
        <f>INPUT_PRODUCT!B5</f>
        <v/>
      </c>
      <c r="E22" s="63">
        <f>IF(PRODUCT_CALCULATION!B11="SI";PRODUCT_CALCULATION!C11;"")</f>
        <v/>
      </c>
      <c r="F22" s="63">
        <f>IF(PRODUCT_CALCULATION!B11="SI";PRODUCT_CALCULATION!E11;"")</f>
        <v/>
      </c>
      <c r="G22" s="0">
        <f>IF(PRODUCT_CALCULATION!B11="SI";PRODUCT_CALCULATION!F11;"")</f>
        <v/>
      </c>
      <c r="H22" s="0">
        <f>IF(PRODUCT_CALCULATION!B11="SI";PRODUCT_CALCULATION!G11;"")</f>
        <v/>
      </c>
      <c r="I22" s="0">
        <f>IF(PRODUCT_CALCULATION!B11="SI";PRODUCT_CALCULATION!S11;"")</f>
        <v/>
      </c>
      <c r="J22" s="0">
        <f>IF(PRODUCT_CALCULATION!B11="SI";PRODUCT_CALCULATION!T11;"")</f>
        <v/>
      </c>
      <c r="K22" s="0">
        <f>CONFIG!$B$2</f>
        <v/>
      </c>
      <c r="L22" s="0">
        <f>IF(PRODUCT_CALCULATION!B11="SI";PRODUCT_CALCULATION!V11;"")</f>
        <v/>
      </c>
      <c r="M22" s="0">
        <f>IF(PRODUCT_CALCULATION!B11="SI";PRODUCT_CALCULATION!W11;"")</f>
        <v/>
      </c>
      <c r="N22" s="0">
        <f>INPUT_PRODUCT!B11</f>
        <v/>
      </c>
      <c r="O22" s="0">
        <f>INPUT_PRODUCT!B7</f>
        <v/>
      </c>
      <c r="P22" s="0">
        <f>INPUT_PRODUCT!B9</f>
        <v/>
      </c>
    </row>
    <row r="23" ht="15.75" customHeight="1" s="125">
      <c r="A23" s="62">
        <f>INPUT_PRODUCT!B1</f>
        <v/>
      </c>
      <c r="B23" s="62">
        <f>INPUT_PRODUCT!B2</f>
        <v/>
      </c>
      <c r="C23" s="62">
        <f>INPUT_PRODUCT!B6</f>
        <v/>
      </c>
      <c r="D23" s="62">
        <f>INPUT_PRODUCT!B5</f>
        <v/>
      </c>
      <c r="E23" s="63">
        <f>IF(PRODUCT_CALCULATION!B12="SI";PRODUCT_CALCULATION!C12;"")</f>
        <v/>
      </c>
      <c r="F23" s="63">
        <f>IF(PRODUCT_CALCULATION!B12="SI";PRODUCT_CALCULATION!E12;"")</f>
        <v/>
      </c>
      <c r="G23" s="0">
        <f>IF(PRODUCT_CALCULATION!B12="SI";PRODUCT_CALCULATION!F12;"")</f>
        <v/>
      </c>
      <c r="H23" s="0">
        <f>IF(PRODUCT_CALCULATION!B12="SI";PRODUCT_CALCULATION!G12;"")</f>
        <v/>
      </c>
      <c r="I23" s="0">
        <f>IF(PRODUCT_CALCULATION!B12="SI";PRODUCT_CALCULATION!S12;"")</f>
        <v/>
      </c>
      <c r="J23" s="0">
        <f>IF(PRODUCT_CALCULATION!B12="SI";PRODUCT_CALCULATION!T12;"")</f>
        <v/>
      </c>
      <c r="K23" s="0">
        <f>CONFIG!$B$2</f>
        <v/>
      </c>
      <c r="L23" s="0">
        <f>IF(PRODUCT_CALCULATION!B12="SI";PRODUCT_CALCULATION!V12;"")</f>
        <v/>
      </c>
      <c r="M23" s="0">
        <f>IF(PRODUCT_CALCULATION!B12="SI";PRODUCT_CALCULATION!W12;"")</f>
        <v/>
      </c>
      <c r="N23" s="0">
        <f>INPUT_PRODUCT!B11</f>
        <v/>
      </c>
      <c r="O23" s="0">
        <f>INPUT_PRODUCT!B7</f>
        <v/>
      </c>
      <c r="P23" s="0">
        <f>INPUT_PRODUCT!B9</f>
        <v/>
      </c>
    </row>
    <row r="24" ht="15.75" customHeight="1" s="125">
      <c r="A24" s="62">
        <f>INPUT_PRODUCT!B1</f>
        <v/>
      </c>
      <c r="B24" s="62">
        <f>INPUT_PRODUCT!B2</f>
        <v/>
      </c>
      <c r="C24" s="62">
        <f>INPUT_PRODUCT!B6</f>
        <v/>
      </c>
      <c r="D24" s="62">
        <f>INPUT_PRODUCT!B5</f>
        <v/>
      </c>
      <c r="E24" s="63">
        <f>IF(PRODUCT_CALCULATION!B13="SI";PRODUCT_CALCULATION!C13;"")</f>
        <v/>
      </c>
      <c r="F24" s="63">
        <f>IF(PRODUCT_CALCULATION!B13="SI";PRODUCT_CALCULATION!E13;"")</f>
        <v/>
      </c>
      <c r="G24" s="0">
        <f>IF(PRODUCT_CALCULATION!B13="SI";PRODUCT_CALCULATION!F13;"")</f>
        <v/>
      </c>
      <c r="H24" s="0">
        <f>IF(PRODUCT_CALCULATION!B13="SI";PRODUCT_CALCULATION!G13;"")</f>
        <v/>
      </c>
      <c r="I24" s="0">
        <f>IF(PRODUCT_CALCULATION!B13="SI";PRODUCT_CALCULATION!S13;"")</f>
        <v/>
      </c>
      <c r="J24" s="0">
        <f>IF(PRODUCT_CALCULATION!B13="SI";PRODUCT_CALCULATION!T13;"")</f>
        <v/>
      </c>
      <c r="K24" s="0">
        <f>CONFIG!$B$2</f>
        <v/>
      </c>
      <c r="L24" s="0">
        <f>IF(PRODUCT_CALCULATION!B13="SI";PRODUCT_CALCULATION!V13;"")</f>
        <v/>
      </c>
      <c r="M24" s="0">
        <f>IF(PRODUCT_CALCULATION!B13="SI";PRODUCT_CALCULATION!W13;"")</f>
        <v/>
      </c>
      <c r="N24" s="0">
        <f>INPUT_PRODUCT!B11</f>
        <v/>
      </c>
      <c r="O24" s="0">
        <f>INPUT_PRODUCT!B7</f>
        <v/>
      </c>
      <c r="P24" s="0">
        <f>INPUT_PRODUCT!B9</f>
        <v/>
      </c>
    </row>
    <row r="25" ht="15.75" customHeight="1" s="125">
      <c r="A25" s="62">
        <f>INPUT_PRODUCT!B1</f>
        <v/>
      </c>
      <c r="B25" s="62">
        <f>INPUT_PRODUCT!B2</f>
        <v/>
      </c>
      <c r="C25" s="62">
        <f>INPUT_PRODUCT!B6</f>
        <v/>
      </c>
      <c r="D25" s="62">
        <f>INPUT_PRODUCT!B5</f>
        <v/>
      </c>
      <c r="E25" s="63">
        <f>IF(PRODUCT_CALCULATION!B14="SI";PRODUCT_CALCULATION!C14;"")</f>
        <v/>
      </c>
      <c r="F25" s="63">
        <f>IF(PRODUCT_CALCULATION!B14="SI";PRODUCT_CALCULATION!E14;"")</f>
        <v/>
      </c>
      <c r="G25" s="0">
        <f>IF(PRODUCT_CALCULATION!B14="SI";PRODUCT_CALCULATION!F14;"")</f>
        <v/>
      </c>
      <c r="H25" s="0">
        <f>IF(PRODUCT_CALCULATION!B14="SI";PRODUCT_CALCULATION!G14;"")</f>
        <v/>
      </c>
      <c r="I25" s="0">
        <f>IF(PRODUCT_CALCULATION!B14="SI";PRODUCT_CALCULATION!S14;"")</f>
        <v/>
      </c>
      <c r="J25" s="0">
        <f>IF(PRODUCT_CALCULATION!B14="SI";PRODUCT_CALCULATION!T14;"")</f>
        <v/>
      </c>
      <c r="K25" s="0">
        <f>CONFIG!$B$2</f>
        <v/>
      </c>
      <c r="L25" s="0">
        <f>IF(PRODUCT_CALCULATION!B14="SI";PRODUCT_CALCULATION!V14;"")</f>
        <v/>
      </c>
      <c r="M25" s="0">
        <f>IF(PRODUCT_CALCULATION!B14="SI";PRODUCT_CALCULATION!W14;"")</f>
        <v/>
      </c>
      <c r="N25" s="0">
        <f>INPUT_PRODUCT!B11</f>
        <v/>
      </c>
      <c r="O25" s="0">
        <f>INPUT_PRODUCT!B7</f>
        <v/>
      </c>
      <c r="P25" s="0">
        <f>INPUT_PRODUCT!B9</f>
        <v/>
      </c>
    </row>
    <row r="26" ht="15.75" customHeight="1" s="125">
      <c r="A26" s="62">
        <f>INPUT_PRODUCT!B1</f>
        <v/>
      </c>
      <c r="B26" s="62">
        <f>INPUT_PRODUCT!B2</f>
        <v/>
      </c>
      <c r="C26" s="62">
        <f>INPUT_PRODUCT!B6</f>
        <v/>
      </c>
      <c r="D26" s="62">
        <f>INPUT_PRODUCT!B5</f>
        <v/>
      </c>
      <c r="E26" s="63">
        <f>IF(PRODUCT_CALCULATION!B15="SI";PRODUCT_CALCULATION!C15;"")</f>
        <v/>
      </c>
      <c r="F26" s="63">
        <f>IF(PRODUCT_CALCULATION!B15="SI";PRODUCT_CALCULATION!E15;"")</f>
        <v/>
      </c>
      <c r="G26" s="0">
        <f>IF(PRODUCT_CALCULATION!B15="SI";PRODUCT_CALCULATION!F15;"")</f>
        <v/>
      </c>
      <c r="H26" s="0">
        <f>IF(PRODUCT_CALCULATION!B15="SI";PRODUCT_CALCULATION!G15;"")</f>
        <v/>
      </c>
      <c r="I26" s="0">
        <f>IF(PRODUCT_CALCULATION!B15="SI";PRODUCT_CALCULATION!S15;"")</f>
        <v/>
      </c>
      <c r="J26" s="0">
        <f>IF(PRODUCT_CALCULATION!B15="SI";PRODUCT_CALCULATION!T15;"")</f>
        <v/>
      </c>
      <c r="K26" s="0">
        <f>CONFIG!$B$2</f>
        <v/>
      </c>
      <c r="L26" s="0">
        <f>IF(PRODUCT_CALCULATION!B15="SI";PRODUCT_CALCULATION!V15;"")</f>
        <v/>
      </c>
      <c r="M26" s="0">
        <f>IF(PRODUCT_CALCULATION!B15="SI";PRODUCT_CALCULATION!W15;"")</f>
        <v/>
      </c>
      <c r="N26" s="0">
        <f>INPUT_PRODUCT!B11</f>
        <v/>
      </c>
      <c r="O26" s="0">
        <f>INPUT_PRODUCT!B7</f>
        <v/>
      </c>
      <c r="P26" s="0">
        <f>INPUT_PRODUCT!B9</f>
        <v/>
      </c>
    </row>
    <row r="27" ht="15.75" customHeight="1" s="125">
      <c r="A27" s="62">
        <f>INPUT_PRODUCT!B1</f>
        <v/>
      </c>
      <c r="B27" s="62">
        <f>INPUT_PRODUCT!B2</f>
        <v/>
      </c>
      <c r="C27" s="62">
        <f>INPUT_PRODUCT!B6</f>
        <v/>
      </c>
      <c r="D27" s="62">
        <f>INPUT_PRODUCT!B5</f>
        <v/>
      </c>
      <c r="E27" s="63">
        <f>IF(PRODUCT_CALCULATION!B16="SI";PRODUCT_CALCULATION!C16;"")</f>
        <v/>
      </c>
      <c r="F27" s="63">
        <f>IF(PRODUCT_CALCULATION!B16="SI";PRODUCT_CALCULATION!E16;"")</f>
        <v/>
      </c>
      <c r="G27" s="0">
        <f>IF(PRODUCT_CALCULATION!B16="SI";PRODUCT_CALCULATION!F16;"")</f>
        <v/>
      </c>
      <c r="H27" s="0">
        <f>IF(PRODUCT_CALCULATION!B16="SI";PRODUCT_CALCULATION!G16;"")</f>
        <v/>
      </c>
      <c r="I27" s="0">
        <f>IF(PRODUCT_CALCULATION!B16="SI";PRODUCT_CALCULATION!S16;"")</f>
        <v/>
      </c>
      <c r="J27" s="0">
        <f>IF(PRODUCT_CALCULATION!B16="SI";PRODUCT_CALCULATION!T16;"")</f>
        <v/>
      </c>
      <c r="K27" s="0">
        <f>CONFIG!$B$2</f>
        <v/>
      </c>
      <c r="L27" s="0">
        <f>IF(PRODUCT_CALCULATION!B16="SI";PRODUCT_CALCULATION!V16;"")</f>
        <v/>
      </c>
      <c r="M27" s="0">
        <f>IF(PRODUCT_CALCULATION!B16="SI";PRODUCT_CALCULATION!W16;"")</f>
        <v/>
      </c>
      <c r="N27" s="0">
        <f>INPUT_PRODUCT!B11</f>
        <v/>
      </c>
      <c r="O27" s="0">
        <f>INPUT_PRODUCT!B7</f>
        <v/>
      </c>
      <c r="P27" s="0">
        <f>INPUT_PRODUCT!B9</f>
        <v/>
      </c>
    </row>
    <row r="28" ht="15.75" customHeight="1" s="125">
      <c r="A28" s="62">
        <f>INPUT_PRODUCT!B1</f>
        <v/>
      </c>
      <c r="B28" s="62">
        <f>INPUT_PRODUCT!B2</f>
        <v/>
      </c>
      <c r="C28" s="62">
        <f>INPUT_PRODUCT!B6</f>
        <v/>
      </c>
      <c r="D28" s="62">
        <f>INPUT_PRODUCT!B5</f>
        <v/>
      </c>
      <c r="E28" s="63">
        <f>IF(PRODUCT_CALCULATION!B17="SI";PRODUCT_CALCULATION!C17;"")</f>
        <v/>
      </c>
      <c r="F28" s="63">
        <f>IF(PRODUCT_CALCULATION!B17="SI";PRODUCT_CALCULATION!E17;"")</f>
        <v/>
      </c>
      <c r="G28" s="0">
        <f>IF(PRODUCT_CALCULATION!B17="SI";PRODUCT_CALCULATION!F17;"")</f>
        <v/>
      </c>
      <c r="H28" s="0">
        <f>IF(PRODUCT_CALCULATION!B17="SI";PRODUCT_CALCULATION!G17;"")</f>
        <v/>
      </c>
      <c r="I28" s="0">
        <f>IF(PRODUCT_CALCULATION!B17="SI";PRODUCT_CALCULATION!S17;"")</f>
        <v/>
      </c>
      <c r="J28" s="0">
        <f>IF(PRODUCT_CALCULATION!B17="SI";PRODUCT_CALCULATION!T17;"")</f>
        <v/>
      </c>
      <c r="K28" s="0">
        <f>CONFIG!$B$2</f>
        <v/>
      </c>
      <c r="L28" s="0">
        <f>IF(PRODUCT_CALCULATION!B17="SI";PRODUCT_CALCULATION!V17;"")</f>
        <v/>
      </c>
      <c r="M28" s="0">
        <f>IF(PRODUCT_CALCULATION!B17="SI";PRODUCT_CALCULATION!W17;"")</f>
        <v/>
      </c>
      <c r="N28" s="0">
        <f>INPUT_PRODUCT!B11</f>
        <v/>
      </c>
      <c r="O28" s="0">
        <f>INPUT_PRODUCT!B7</f>
        <v/>
      </c>
      <c r="P28" s="0">
        <f>INPUT_PRODUCT!B9</f>
        <v/>
      </c>
    </row>
    <row r="29" ht="15.75" customHeight="1" s="125">
      <c r="A29" s="62">
        <f>INPUT_PRODUCT!B1</f>
        <v/>
      </c>
      <c r="B29" s="62">
        <f>INPUT_PRODUCT!B2</f>
        <v/>
      </c>
      <c r="C29" s="62">
        <f>INPUT_PRODUCT!B6</f>
        <v/>
      </c>
      <c r="D29" s="62">
        <f>INPUT_PRODUCT!B5</f>
        <v/>
      </c>
      <c r="E29" s="63">
        <f>IF(PRODUCT_CALCULATION!B18="SI";PRODUCT_CALCULATION!C18;"")</f>
        <v/>
      </c>
      <c r="F29" s="63">
        <f>IF(PRODUCT_CALCULATION!B18="SI";PRODUCT_CALCULATION!E18;"")</f>
        <v/>
      </c>
      <c r="G29" s="0">
        <f>IF(PRODUCT_CALCULATION!B18="SI";PRODUCT_CALCULATION!F18;"")</f>
        <v/>
      </c>
      <c r="H29" s="0">
        <f>IF(PRODUCT_CALCULATION!B18="SI";PRODUCT_CALCULATION!G18;"")</f>
        <v/>
      </c>
      <c r="I29" s="0">
        <f>IF(PRODUCT_CALCULATION!B18="SI";PRODUCT_CALCULATION!S18;"")</f>
        <v/>
      </c>
      <c r="J29" s="0">
        <f>IF(PRODUCT_CALCULATION!B18="SI";PRODUCT_CALCULATION!T18;"")</f>
        <v/>
      </c>
      <c r="K29" s="0">
        <f>CONFIG!$B$2</f>
        <v/>
      </c>
      <c r="L29" s="0">
        <f>IF(PRODUCT_CALCULATION!B18="SI";PRODUCT_CALCULATION!V18;"")</f>
        <v/>
      </c>
      <c r="M29" s="0">
        <f>IF(PRODUCT_CALCULATION!B18="SI";PRODUCT_CALCULATION!W18;"")</f>
        <v/>
      </c>
      <c r="N29" s="0">
        <f>INPUT_PRODUCT!B11</f>
        <v/>
      </c>
      <c r="O29" s="0">
        <f>INPUT_PRODUCT!B7</f>
        <v/>
      </c>
      <c r="P29" s="0">
        <f>INPUT_PRODUCT!B9</f>
        <v/>
      </c>
    </row>
    <row r="30" ht="15.75" customHeight="1" s="125">
      <c r="A30" s="62">
        <f>INPUT_PRODUCT!B1</f>
        <v/>
      </c>
      <c r="B30" s="62">
        <f>INPUT_PRODUCT!B2</f>
        <v/>
      </c>
      <c r="C30" s="62">
        <f>INPUT_PRODUCT!B6</f>
        <v/>
      </c>
      <c r="D30" s="62">
        <f>INPUT_PRODUCT!B5</f>
        <v/>
      </c>
      <c r="E30" s="63">
        <f>IF(PRODUCT_CALCULATION!B19="SI";PRODUCT_CALCULATION!C19;"")</f>
        <v/>
      </c>
      <c r="F30" s="63">
        <f>IF(PRODUCT_CALCULATION!B19="SI";PRODUCT_CALCULATION!E19;"")</f>
        <v/>
      </c>
      <c r="G30" s="0">
        <f>IF(PRODUCT_CALCULATION!B19="SI";PRODUCT_CALCULATION!F19;"")</f>
        <v/>
      </c>
      <c r="H30" s="0">
        <f>IF(PRODUCT_CALCULATION!B19="SI";PRODUCT_CALCULATION!G19;"")</f>
        <v/>
      </c>
      <c r="I30" s="0">
        <f>IF(PRODUCT_CALCULATION!B19="SI";PRODUCT_CALCULATION!S19;"")</f>
        <v/>
      </c>
      <c r="J30" s="0">
        <f>IF(PRODUCT_CALCULATION!B19="SI";PRODUCT_CALCULATION!T19;"")</f>
        <v/>
      </c>
      <c r="K30" s="0">
        <f>CONFIG!$B$2</f>
        <v/>
      </c>
      <c r="L30" s="0">
        <f>IF(PRODUCT_CALCULATION!B19="SI";PRODUCT_CALCULATION!V19;"")</f>
        <v/>
      </c>
      <c r="M30" s="0">
        <f>IF(PRODUCT_CALCULATION!B19="SI";PRODUCT_CALCULATION!W19;"")</f>
        <v/>
      </c>
      <c r="N30" s="0">
        <f>INPUT_PRODUCT!B11</f>
        <v/>
      </c>
      <c r="O30" s="0">
        <f>INPUT_PRODUCT!B7</f>
        <v/>
      </c>
      <c r="P30" s="0">
        <f>INPUT_PRODUCT!B9</f>
        <v/>
      </c>
    </row>
    <row r="31" ht="15.75" customHeight="1" s="125">
      <c r="A31" s="62">
        <f>INPUT_PRODUCT!B1</f>
        <v/>
      </c>
      <c r="B31" s="62">
        <f>INPUT_PRODUCT!B2</f>
        <v/>
      </c>
      <c r="C31" s="62">
        <f>INPUT_PRODUCT!B6</f>
        <v/>
      </c>
      <c r="D31" s="62">
        <f>INPUT_PRODUCT!B5</f>
        <v/>
      </c>
      <c r="E31" s="63">
        <f>IF(PRODUCT_CALCULATION!B20="SI";PRODUCT_CALCULATION!C20;"")</f>
        <v/>
      </c>
      <c r="F31" s="63">
        <f>IF(PRODUCT_CALCULATION!B20="SI";PRODUCT_CALCULATION!E20;"")</f>
        <v/>
      </c>
      <c r="G31" s="0">
        <f>IF(PRODUCT_CALCULATION!B20="SI";PRODUCT_CALCULATION!F20;"")</f>
        <v/>
      </c>
      <c r="H31" s="0">
        <f>IF(PRODUCT_CALCULATION!B20="SI";PRODUCT_CALCULATION!G20;"")</f>
        <v/>
      </c>
      <c r="I31" s="0">
        <f>IF(PRODUCT_CALCULATION!B20="SI";PRODUCT_CALCULATION!S20;"")</f>
        <v/>
      </c>
      <c r="J31" s="0">
        <f>IF(PRODUCT_CALCULATION!B20="SI";PRODUCT_CALCULATION!T20;"")</f>
        <v/>
      </c>
      <c r="K31" s="0">
        <f>CONFIG!$B$2</f>
        <v/>
      </c>
      <c r="L31" s="0">
        <f>IF(PRODUCT_CALCULATION!B20="SI";PRODUCT_CALCULATION!V20;"")</f>
        <v/>
      </c>
      <c r="M31" s="0">
        <f>IF(PRODUCT_CALCULATION!B20="SI";PRODUCT_CALCULATION!W20;"")</f>
        <v/>
      </c>
      <c r="N31" s="0">
        <f>INPUT_PRODUCT!B11</f>
        <v/>
      </c>
      <c r="O31" s="0">
        <f>INPUT_PRODUCT!B7</f>
        <v/>
      </c>
      <c r="P31" s="0">
        <f>INPUT_PRODUCT!B9</f>
        <v/>
      </c>
    </row>
    <row r="32" ht="15.75" customHeight="1" s="125">
      <c r="A32" s="62">
        <f>INPUT_PRODUCT!B1</f>
        <v/>
      </c>
      <c r="B32" s="62">
        <f>INPUT_PRODUCT!B2</f>
        <v/>
      </c>
      <c r="C32" s="62">
        <f>INPUT_PRODUCT!B6</f>
        <v/>
      </c>
      <c r="D32" s="62">
        <f>INPUT_PRODUCT!B5</f>
        <v/>
      </c>
      <c r="E32" s="63">
        <f>IF(PRODUCT_CALCULATION!B21="SI";PRODUCT_CALCULATION!C21;"")</f>
        <v/>
      </c>
      <c r="F32" s="63">
        <f>IF(PRODUCT_CALCULATION!B21="SI";PRODUCT_CALCULATION!E21;"")</f>
        <v/>
      </c>
      <c r="G32" s="0">
        <f>IF(PRODUCT_CALCULATION!B21="SI";PRODUCT_CALCULATION!F21;"")</f>
        <v/>
      </c>
      <c r="H32" s="0">
        <f>IF(PRODUCT_CALCULATION!B21="SI";PRODUCT_CALCULATION!G21;"")</f>
        <v/>
      </c>
      <c r="I32" s="0">
        <f>IF(PRODUCT_CALCULATION!B21="SI";PRODUCT_CALCULATION!S21;"")</f>
        <v/>
      </c>
      <c r="J32" s="0">
        <f>IF(PRODUCT_CALCULATION!B21="SI";PRODUCT_CALCULATION!T21;"")</f>
        <v/>
      </c>
      <c r="K32" s="0">
        <f>CONFIG!$B$2</f>
        <v/>
      </c>
      <c r="L32" s="0">
        <f>IF(PRODUCT_CALCULATION!B21="SI";PRODUCT_CALCULATION!V21;"")</f>
        <v/>
      </c>
      <c r="M32" s="0">
        <f>IF(PRODUCT_CALCULATION!B21="SI";PRODUCT_CALCULATION!W21;"")</f>
        <v/>
      </c>
      <c r="N32" s="0">
        <f>INPUT_PRODUCT!B11</f>
        <v/>
      </c>
      <c r="O32" s="0">
        <f>INPUT_PRODUCT!B7</f>
        <v/>
      </c>
      <c r="P32" s="0">
        <f>INPUT_PRODUCT!B9</f>
        <v/>
      </c>
    </row>
    <row r="33" ht="15.75" customHeight="1" s="125">
      <c r="A33" s="62">
        <f>INPUT_PRODUCT!B1</f>
        <v/>
      </c>
      <c r="B33" s="62">
        <f>INPUT_PRODUCT!B2</f>
        <v/>
      </c>
      <c r="C33" s="62">
        <f>INPUT_PRODUCT!B6</f>
        <v/>
      </c>
      <c r="D33" s="62">
        <f>INPUT_PRODUCT!B5</f>
        <v/>
      </c>
      <c r="E33" s="63">
        <f>IF(PRODUCT_CALCULATION!B22="SI";PRODUCT_CALCULATION!C22;"")</f>
        <v/>
      </c>
      <c r="F33" s="63">
        <f>IF(PRODUCT_CALCULATION!B22="SI";PRODUCT_CALCULATION!E22;"")</f>
        <v/>
      </c>
      <c r="G33" s="0">
        <f>IF(PRODUCT_CALCULATION!B22="SI";PRODUCT_CALCULATION!F22;"")</f>
        <v/>
      </c>
      <c r="H33" s="0">
        <f>IF(PRODUCT_CALCULATION!B22="SI";PRODUCT_CALCULATION!G22;"")</f>
        <v/>
      </c>
      <c r="I33" s="0">
        <f>IF(PRODUCT_CALCULATION!B22="SI";PRODUCT_CALCULATION!S22;"")</f>
        <v/>
      </c>
      <c r="J33" s="0">
        <f>IF(PRODUCT_CALCULATION!B22="SI";PRODUCT_CALCULATION!T22;"")</f>
        <v/>
      </c>
      <c r="K33" s="0">
        <f>CONFIG!$B$2</f>
        <v/>
      </c>
      <c r="L33" s="0">
        <f>IF(PRODUCT_CALCULATION!B22="SI";PRODUCT_CALCULATION!V22;"")</f>
        <v/>
      </c>
      <c r="M33" s="0">
        <f>IF(PRODUCT_CALCULATION!B22="SI";PRODUCT_CALCULATION!W22;"")</f>
        <v/>
      </c>
      <c r="N33" s="0">
        <f>INPUT_PRODUCT!B11</f>
        <v/>
      </c>
      <c r="O33" s="0">
        <f>INPUT_PRODUCT!B7</f>
        <v/>
      </c>
      <c r="P33" s="0">
        <f>INPUT_PRODUCT!B9</f>
        <v/>
      </c>
    </row>
    <row r="34" ht="15.75" customHeight="1" s="125">
      <c r="A34" s="62">
        <f>INPUT_PRODUCT!B1</f>
        <v/>
      </c>
      <c r="B34" s="62">
        <f>INPUT_PRODUCT!B2</f>
        <v/>
      </c>
      <c r="C34" s="62">
        <f>INPUT_PRODUCT!B6</f>
        <v/>
      </c>
      <c r="D34" s="62">
        <f>INPUT_PRODUCT!B5</f>
        <v/>
      </c>
      <c r="E34" s="63">
        <f>IF(PRODUCT_CALCULATION!B23="SI";PRODUCT_CALCULATION!C23;"")</f>
        <v/>
      </c>
      <c r="F34" s="63">
        <f>IF(PRODUCT_CALCULATION!B23="SI";PRODUCT_CALCULATION!E23;"")</f>
        <v/>
      </c>
      <c r="G34" s="0">
        <f>IF(PRODUCT_CALCULATION!B23="SI";PRODUCT_CALCULATION!F23;"")</f>
        <v/>
      </c>
      <c r="H34" s="0">
        <f>IF(PRODUCT_CALCULATION!B23="SI";PRODUCT_CALCULATION!G23;"")</f>
        <v/>
      </c>
      <c r="I34" s="0">
        <f>IF(PRODUCT_CALCULATION!B23="SI";PRODUCT_CALCULATION!S23;"")</f>
        <v/>
      </c>
      <c r="J34" s="0">
        <f>IF(PRODUCT_CALCULATION!B23="SI";PRODUCT_CALCULATION!T23;"")</f>
        <v/>
      </c>
      <c r="K34" s="0">
        <f>CONFIG!$B$2</f>
        <v/>
      </c>
      <c r="L34" s="0">
        <f>IF(PRODUCT_CALCULATION!B23="SI";PRODUCT_CALCULATION!V23;"")</f>
        <v/>
      </c>
      <c r="M34" s="0">
        <f>IF(PRODUCT_CALCULATION!B23="SI";PRODUCT_CALCULATION!W23;"")</f>
        <v/>
      </c>
      <c r="N34" s="0">
        <f>INPUT_PRODUCT!B11</f>
        <v/>
      </c>
      <c r="O34" s="0">
        <f>INPUT_PRODUCT!B7</f>
        <v/>
      </c>
      <c r="P34" s="0">
        <f>INPUT_PRODUCT!B9</f>
        <v/>
      </c>
    </row>
    <row r="35" ht="15.75" customHeight="1" s="125">
      <c r="A35" s="62">
        <f>INPUT_PRODUCT!B1</f>
        <v/>
      </c>
      <c r="B35" s="62">
        <f>INPUT_PRODUCT!B2</f>
        <v/>
      </c>
      <c r="C35" s="62">
        <f>INPUT_PRODUCT!B6</f>
        <v/>
      </c>
      <c r="D35" s="62">
        <f>INPUT_PRODUCT!B5</f>
        <v/>
      </c>
      <c r="E35" s="63">
        <f>IF(PRODUCT_CALCULATION!B24="SI";PRODUCT_CALCULATION!C24;"")</f>
        <v/>
      </c>
      <c r="F35" s="63">
        <f>IF(PRODUCT_CALCULATION!B24="SI";PRODUCT_CALCULATION!E24;"")</f>
        <v/>
      </c>
      <c r="G35" s="0">
        <f>IF(PRODUCT_CALCULATION!B24="SI";PRODUCT_CALCULATION!F24;"")</f>
        <v/>
      </c>
      <c r="H35" s="0">
        <f>IF(PRODUCT_CALCULATION!B24="SI";PRODUCT_CALCULATION!G24;"")</f>
        <v/>
      </c>
      <c r="I35" s="0">
        <f>IF(PRODUCT_CALCULATION!B24="SI";PRODUCT_CALCULATION!S24;"")</f>
        <v/>
      </c>
      <c r="J35" s="0">
        <f>IF(PRODUCT_CALCULATION!B24="SI";PRODUCT_CALCULATION!T24;"")</f>
        <v/>
      </c>
      <c r="K35" s="0">
        <f>CONFIG!$B$2</f>
        <v/>
      </c>
      <c r="L35" s="0">
        <f>IF(PRODUCT_CALCULATION!B24="SI";PRODUCT_CALCULATION!V24;"")</f>
        <v/>
      </c>
      <c r="M35" s="0">
        <f>IF(PRODUCT_CALCULATION!B24="SI";PRODUCT_CALCULATION!W24;"")</f>
        <v/>
      </c>
      <c r="N35" s="0">
        <f>INPUT_PRODUCT!B11</f>
        <v/>
      </c>
      <c r="O35" s="0">
        <f>INPUT_PRODUCT!B7</f>
        <v/>
      </c>
      <c r="P35" s="0">
        <f>INPUT_PRODUCT!B9</f>
        <v/>
      </c>
    </row>
    <row r="36" ht="15.75" customHeight="1" s="125">
      <c r="A36" s="62">
        <f>INPUT_PRODUCT!B1</f>
        <v/>
      </c>
      <c r="B36" s="62">
        <f>INPUT_PRODUCT!B2</f>
        <v/>
      </c>
      <c r="C36" s="62">
        <f>INPUT_PRODUCT!B6</f>
        <v/>
      </c>
      <c r="D36" s="62">
        <f>INPUT_PRODUCT!B5</f>
        <v/>
      </c>
      <c r="E36" s="63">
        <f>IF(PRODUCT_CALCULATION!B25="SI";PRODUCT_CALCULATION!C25;"")</f>
        <v/>
      </c>
      <c r="F36" s="63">
        <f>IF(PRODUCT_CALCULATION!B25="SI";PRODUCT_CALCULATION!E25;"")</f>
        <v/>
      </c>
      <c r="G36" s="0">
        <f>IF(PRODUCT_CALCULATION!B25="SI";PRODUCT_CALCULATION!F25;"")</f>
        <v/>
      </c>
      <c r="H36" s="0">
        <f>IF(PRODUCT_CALCULATION!B25="SI";PRODUCT_CALCULATION!G25;"")</f>
        <v/>
      </c>
      <c r="I36" s="0">
        <f>IF(PRODUCT_CALCULATION!B25="SI";PRODUCT_CALCULATION!S25;"")</f>
        <v/>
      </c>
      <c r="J36" s="0">
        <f>IF(PRODUCT_CALCULATION!B25="SI";PRODUCT_CALCULATION!T25;"")</f>
        <v/>
      </c>
      <c r="K36" s="0">
        <f>CONFIG!$B$2</f>
        <v/>
      </c>
      <c r="L36" s="0">
        <f>IF(PRODUCT_CALCULATION!B25="SI";PRODUCT_CALCULATION!V25;"")</f>
        <v/>
      </c>
      <c r="M36" s="0">
        <f>IF(PRODUCT_CALCULATION!B25="SI";PRODUCT_CALCULATION!W25;"")</f>
        <v/>
      </c>
      <c r="N36" s="0">
        <f>INPUT_PRODUCT!B11</f>
        <v/>
      </c>
      <c r="O36" s="0">
        <f>INPUT_PRODUCT!B7</f>
        <v/>
      </c>
      <c r="P36" s="0">
        <f>INPUT_PRODUCT!B9</f>
        <v/>
      </c>
    </row>
    <row r="37" ht="15.75" customHeight="1" s="125">
      <c r="A37" s="62">
        <f>INPUT_PRODUCT!B1</f>
        <v/>
      </c>
      <c r="B37" s="62">
        <f>INPUT_PRODUCT!B2</f>
        <v/>
      </c>
      <c r="C37" s="62">
        <f>INPUT_PRODUCT!B6</f>
        <v/>
      </c>
      <c r="D37" s="62">
        <f>INPUT_PRODUCT!B5</f>
        <v/>
      </c>
      <c r="E37" s="63">
        <f>IF(PRODUCT_CALCULATION!B26="SI";PRODUCT_CALCULATION!C26;"")</f>
        <v/>
      </c>
      <c r="F37" s="63">
        <f>IF(PRODUCT_CALCULATION!B26="SI";PRODUCT_CALCULATION!E26;"")</f>
        <v/>
      </c>
      <c r="G37" s="0">
        <f>IF(PRODUCT_CALCULATION!B26="SI";PRODUCT_CALCULATION!F26;"")</f>
        <v/>
      </c>
      <c r="H37" s="0">
        <f>IF(PRODUCT_CALCULATION!B26="SI";PRODUCT_CALCULATION!G26;"")</f>
        <v/>
      </c>
      <c r="I37" s="0">
        <f>IF(PRODUCT_CALCULATION!B26="SI";PRODUCT_CALCULATION!S26;"")</f>
        <v/>
      </c>
      <c r="J37" s="0">
        <f>IF(PRODUCT_CALCULATION!B26="SI";PRODUCT_CALCULATION!T26;"")</f>
        <v/>
      </c>
      <c r="K37" s="0">
        <f>CONFIG!$B$2</f>
        <v/>
      </c>
      <c r="L37" s="0">
        <f>IF(PRODUCT_CALCULATION!B26="SI";PRODUCT_CALCULATION!V26;"")</f>
        <v/>
      </c>
      <c r="M37" s="0">
        <f>IF(PRODUCT_CALCULATION!B26="SI";PRODUCT_CALCULATION!W26;"")</f>
        <v/>
      </c>
      <c r="N37" s="0">
        <f>INPUT_PRODUCT!B11</f>
        <v/>
      </c>
      <c r="O37" s="0">
        <f>INPUT_PRODUCT!B7</f>
        <v/>
      </c>
      <c r="P37" s="0">
        <f>INPUT_PRODUCT!B9</f>
        <v/>
      </c>
    </row>
    <row r="38" ht="15.75" customHeight="1" s="125">
      <c r="A38" s="62">
        <f>INPUT_PRODUCT!B1</f>
        <v/>
      </c>
      <c r="B38" s="62">
        <f>INPUT_PRODUCT!B2</f>
        <v/>
      </c>
      <c r="C38" s="62">
        <f>INPUT_PRODUCT!B6</f>
        <v/>
      </c>
      <c r="D38" s="62">
        <f>INPUT_PRODUCT!B5</f>
        <v/>
      </c>
      <c r="E38" s="63">
        <f>IF(PRODUCT_CALCULATION!B27="SI";PRODUCT_CALCULATION!C27;"")</f>
        <v/>
      </c>
      <c r="F38" s="63">
        <f>IF(PRODUCT_CALCULATION!B27="SI";PRODUCT_CALCULATION!E27;"")</f>
        <v/>
      </c>
      <c r="G38" s="0">
        <f>IF(PRODUCT_CALCULATION!B27="SI";PRODUCT_CALCULATION!F27;"")</f>
        <v/>
      </c>
      <c r="H38" s="0">
        <f>IF(PRODUCT_CALCULATION!B27="SI";PRODUCT_CALCULATION!G27;"")</f>
        <v/>
      </c>
      <c r="I38" s="0">
        <f>IF(PRODUCT_CALCULATION!B27="SI";PRODUCT_CALCULATION!S27;"")</f>
        <v/>
      </c>
      <c r="J38" s="0">
        <f>IF(PRODUCT_CALCULATION!B27="SI";PRODUCT_CALCULATION!T27;"")</f>
        <v/>
      </c>
      <c r="K38" s="0">
        <f>CONFIG!$B$2</f>
        <v/>
      </c>
      <c r="L38" s="0">
        <f>IF(PRODUCT_CALCULATION!B27="SI";PRODUCT_CALCULATION!V27;"")</f>
        <v/>
      </c>
      <c r="M38" s="0">
        <f>IF(PRODUCT_CALCULATION!B27="SI";PRODUCT_CALCULATION!W27;"")</f>
        <v/>
      </c>
      <c r="N38" s="0">
        <f>INPUT_PRODUCT!B11</f>
        <v/>
      </c>
      <c r="O38" s="0">
        <f>INPUT_PRODUCT!B7</f>
        <v/>
      </c>
      <c r="P38" s="0">
        <f>INPUT_PRODUCT!B9</f>
        <v/>
      </c>
    </row>
    <row r="39" ht="15.75" customHeight="1" s="125">
      <c r="A39" s="62">
        <f>INPUT_PRODUCT!B1</f>
        <v/>
      </c>
      <c r="B39" s="62">
        <f>INPUT_PRODUCT!B2</f>
        <v/>
      </c>
      <c r="C39" s="62">
        <f>INPUT_PRODUCT!B6</f>
        <v/>
      </c>
      <c r="D39" s="62">
        <f>INPUT_PRODUCT!B5</f>
        <v/>
      </c>
      <c r="E39" s="63">
        <f>IF(PRODUCT_CALCULATION!B28="SI";PRODUCT_CALCULATION!C28;"")</f>
        <v/>
      </c>
      <c r="F39" s="63">
        <f>IF(PRODUCT_CALCULATION!B28="SI";PRODUCT_CALCULATION!E28;"")</f>
        <v/>
      </c>
      <c r="G39" s="0">
        <f>IF(PRODUCT_CALCULATION!B28="SI";PRODUCT_CALCULATION!F28;"")</f>
        <v/>
      </c>
      <c r="H39" s="0">
        <f>IF(PRODUCT_CALCULATION!B28="SI";PRODUCT_CALCULATION!G28;"")</f>
        <v/>
      </c>
      <c r="I39" s="0">
        <f>IF(PRODUCT_CALCULATION!B28="SI";PRODUCT_CALCULATION!S28;"")</f>
        <v/>
      </c>
      <c r="J39" s="0">
        <f>IF(PRODUCT_CALCULATION!B28="SI";PRODUCT_CALCULATION!T28;"")</f>
        <v/>
      </c>
      <c r="K39" s="0">
        <f>CONFIG!$B$2</f>
        <v/>
      </c>
      <c r="L39" s="0">
        <f>IF(PRODUCT_CALCULATION!B28="SI";PRODUCT_CALCULATION!V28;"")</f>
        <v/>
      </c>
      <c r="M39" s="0">
        <f>IF(PRODUCT_CALCULATION!B28="SI";PRODUCT_CALCULATION!W28;"")</f>
        <v/>
      </c>
      <c r="N39" s="0">
        <f>INPUT_PRODUCT!B11</f>
        <v/>
      </c>
      <c r="O39" s="0">
        <f>INPUT_PRODUCT!B7</f>
        <v/>
      </c>
      <c r="P39" s="0">
        <f>INPUT_PRODUCT!B9</f>
        <v/>
      </c>
    </row>
    <row r="40" ht="15.75" customHeight="1" s="125">
      <c r="A40" s="62">
        <f>INPUT_PRODUCT!B1</f>
        <v/>
      </c>
      <c r="B40" s="62">
        <f>INPUT_PRODUCT!B2</f>
        <v/>
      </c>
      <c r="C40" s="62">
        <f>INPUT_PRODUCT!B6</f>
        <v/>
      </c>
      <c r="D40" s="62">
        <f>INPUT_PRODUCT!B5</f>
        <v/>
      </c>
      <c r="E40" s="63">
        <f>IF(PRODUCT_CALCULATION!B29="SI";PRODUCT_CALCULATION!C29;"")</f>
        <v/>
      </c>
      <c r="F40" s="63">
        <f>IF(PRODUCT_CALCULATION!B29="SI";PRODUCT_CALCULATION!E29;"")</f>
        <v/>
      </c>
      <c r="G40" s="0">
        <f>IF(PRODUCT_CALCULATION!B29="SI";PRODUCT_CALCULATION!F29;"")</f>
        <v/>
      </c>
      <c r="H40" s="0">
        <f>IF(PRODUCT_CALCULATION!B29="SI";PRODUCT_CALCULATION!G29;"")</f>
        <v/>
      </c>
      <c r="I40" s="0">
        <f>IF(PRODUCT_CALCULATION!B29="SI";PRODUCT_CALCULATION!S29;"")</f>
        <v/>
      </c>
      <c r="J40" s="0">
        <f>IF(PRODUCT_CALCULATION!B29="SI";PRODUCT_CALCULATION!T29;"")</f>
        <v/>
      </c>
      <c r="K40" s="0">
        <f>CONFIG!$B$2</f>
        <v/>
      </c>
      <c r="L40" s="0">
        <f>IF(PRODUCT_CALCULATION!B29="SI";PRODUCT_CALCULATION!V29;"")</f>
        <v/>
      </c>
      <c r="M40" s="0">
        <f>IF(PRODUCT_CALCULATION!B29="SI";PRODUCT_CALCULATION!W29;"")</f>
        <v/>
      </c>
      <c r="N40" s="0">
        <f>INPUT_PRODUCT!B11</f>
        <v/>
      </c>
      <c r="O40" s="0">
        <f>INPUT_PRODUCT!B7</f>
        <v/>
      </c>
      <c r="P40" s="0">
        <f>INPUT_PRODUCT!B9</f>
        <v/>
      </c>
    </row>
    <row r="41" ht="15.75" customHeight="1" s="125">
      <c r="A41" s="62">
        <f>INPUT_PRODUCT!B1</f>
        <v/>
      </c>
      <c r="B41" s="62">
        <f>INPUT_PRODUCT!B2</f>
        <v/>
      </c>
      <c r="C41" s="62">
        <f>INPUT_PRODUCT!B6</f>
        <v/>
      </c>
      <c r="D41" s="62">
        <f>INPUT_PRODUCT!B5</f>
        <v/>
      </c>
      <c r="E41" s="63">
        <f>IF(PRODUCT_CALCULATION!B30="SI";PRODUCT_CALCULATION!C30;"")</f>
        <v/>
      </c>
      <c r="F41" s="63">
        <f>IF(PRODUCT_CALCULATION!B30="SI";PRODUCT_CALCULATION!E30;"")</f>
        <v/>
      </c>
      <c r="G41" s="0">
        <f>IF(PRODUCT_CALCULATION!B30="SI";PRODUCT_CALCULATION!F30;"")</f>
        <v/>
      </c>
      <c r="H41" s="0">
        <f>IF(PRODUCT_CALCULATION!B30="SI";PRODUCT_CALCULATION!G30;"")</f>
        <v/>
      </c>
      <c r="I41" s="0">
        <f>IF(PRODUCT_CALCULATION!B30="SI";PRODUCT_CALCULATION!S30;"")</f>
        <v/>
      </c>
      <c r="J41" s="0">
        <f>IF(PRODUCT_CALCULATION!B30="SI";PRODUCT_CALCULATION!T30;"")</f>
        <v/>
      </c>
      <c r="K41" s="0">
        <f>CONFIG!$B$2</f>
        <v/>
      </c>
      <c r="L41" s="0">
        <f>IF(PRODUCT_CALCULATION!B30="SI";PRODUCT_CALCULATION!V30;"")</f>
        <v/>
      </c>
      <c r="M41" s="0">
        <f>IF(PRODUCT_CALCULATION!B30="SI";PRODUCT_CALCULATION!W30;"")</f>
        <v/>
      </c>
      <c r="N41" s="0">
        <f>INPUT_PRODUCT!B11</f>
        <v/>
      </c>
      <c r="O41" s="0">
        <f>INPUT_PRODUCT!B7</f>
        <v/>
      </c>
      <c r="P41" s="0">
        <f>INPUT_PRODUCT!B9</f>
        <v/>
      </c>
    </row>
    <row r="42" ht="15.75" customHeight="1" s="125">
      <c r="A42" s="62">
        <f>INPUT_PRODUCT!B1</f>
        <v/>
      </c>
      <c r="B42" s="62">
        <f>INPUT_PRODUCT!B2</f>
        <v/>
      </c>
      <c r="C42" s="62">
        <f>INPUT_PRODUCT!B6</f>
        <v/>
      </c>
      <c r="D42" s="62">
        <f>INPUT_PRODUCT!B5</f>
        <v/>
      </c>
      <c r="E42" s="63">
        <f>IF(PRODUCT_CALCULATION!B31="SI";PRODUCT_CALCULATION!C31;"")</f>
        <v/>
      </c>
      <c r="F42" s="63">
        <f>IF(PRODUCT_CALCULATION!B31="SI";PRODUCT_CALCULATION!E31;"")</f>
        <v/>
      </c>
      <c r="G42" s="0">
        <f>IF(PRODUCT_CALCULATION!B31="SI";PRODUCT_CALCULATION!F31;"")</f>
        <v/>
      </c>
      <c r="H42" s="0">
        <f>IF(PRODUCT_CALCULATION!B31="SI";PRODUCT_CALCULATION!G31;"")</f>
        <v/>
      </c>
      <c r="I42" s="0">
        <f>IF(PRODUCT_CALCULATION!B31="SI";PRODUCT_CALCULATION!S31;"")</f>
        <v/>
      </c>
      <c r="J42" s="0">
        <f>IF(PRODUCT_CALCULATION!B31="SI";PRODUCT_CALCULATION!T31;"")</f>
        <v/>
      </c>
      <c r="K42" s="0">
        <f>CONFIG!$B$2</f>
        <v/>
      </c>
      <c r="L42" s="0">
        <f>IF(PRODUCT_CALCULATION!B31="SI";PRODUCT_CALCULATION!V31;"")</f>
        <v/>
      </c>
      <c r="M42" s="0">
        <f>IF(PRODUCT_CALCULATION!B31="SI";PRODUCT_CALCULATION!W31;"")</f>
        <v/>
      </c>
      <c r="N42" s="0">
        <f>INPUT_PRODUCT!B11</f>
        <v/>
      </c>
      <c r="O42" s="0">
        <f>INPUT_PRODUCT!B7</f>
        <v/>
      </c>
      <c r="P42" s="0">
        <f>INPUT_PRODUCT!B9</f>
        <v/>
      </c>
    </row>
    <row r="43" ht="15.75" customHeight="1" s="125">
      <c r="A43" s="62">
        <f>INPUT_PRODUCT!B1</f>
        <v/>
      </c>
      <c r="B43" s="62">
        <f>INPUT_PRODUCT!B2</f>
        <v/>
      </c>
      <c r="C43" s="62">
        <f>INPUT_PRODUCT!B6</f>
        <v/>
      </c>
      <c r="D43" s="62">
        <f>INPUT_PRODUCT!B5</f>
        <v/>
      </c>
      <c r="E43" s="63">
        <f>IF(PRODUCT_CALCULATION!B32="SI";PRODUCT_CALCULATION!C32;"")</f>
        <v/>
      </c>
      <c r="F43" s="63">
        <f>IF(PRODUCT_CALCULATION!B32="SI";PRODUCT_CALCULATION!E32;"")</f>
        <v/>
      </c>
      <c r="G43" s="0">
        <f>IF(PRODUCT_CALCULATION!B32="SI";PRODUCT_CALCULATION!F32;"")</f>
        <v/>
      </c>
      <c r="H43" s="0">
        <f>IF(PRODUCT_CALCULATION!B32="SI";PRODUCT_CALCULATION!G32;"")</f>
        <v/>
      </c>
      <c r="I43" s="0">
        <f>IF(PRODUCT_CALCULATION!B32="SI";PRODUCT_CALCULATION!S32;"")</f>
        <v/>
      </c>
      <c r="J43" s="0">
        <f>IF(PRODUCT_CALCULATION!B32="SI";PRODUCT_CALCULATION!T32;"")</f>
        <v/>
      </c>
      <c r="K43" s="0">
        <f>CONFIG!$B$2</f>
        <v/>
      </c>
      <c r="L43" s="0">
        <f>IF(PRODUCT_CALCULATION!B32="SI";PRODUCT_CALCULATION!V32;"")</f>
        <v/>
      </c>
      <c r="M43" s="0">
        <f>IF(PRODUCT_CALCULATION!B32="SI";PRODUCT_CALCULATION!W32;"")</f>
        <v/>
      </c>
      <c r="N43" s="0">
        <f>INPUT_PRODUCT!B11</f>
        <v/>
      </c>
      <c r="O43" s="0">
        <f>INPUT_PRODUCT!B7</f>
        <v/>
      </c>
      <c r="P43" s="0">
        <f>INPUT_PRODUCT!B9</f>
        <v/>
      </c>
    </row>
    <row r="44" ht="15.75" customHeight="1" s="125">
      <c r="A44" s="62">
        <f>INPUT_PRODUCT!B1</f>
        <v/>
      </c>
      <c r="B44" s="62">
        <f>INPUT_PRODUCT!B2</f>
        <v/>
      </c>
      <c r="C44" s="62">
        <f>INPUT_PRODUCT!B6</f>
        <v/>
      </c>
      <c r="D44" s="62">
        <f>INPUT_PRODUCT!B5</f>
        <v/>
      </c>
      <c r="E44" s="63">
        <f>IF(PRODUCT_CALCULATION!B33="SI";PRODUCT_CALCULATION!C33;"")</f>
        <v/>
      </c>
      <c r="F44" s="63">
        <f>IF(PRODUCT_CALCULATION!B33="SI";PRODUCT_CALCULATION!E33;"")</f>
        <v/>
      </c>
      <c r="G44" s="0">
        <f>IF(PRODUCT_CALCULATION!B33="SI";PRODUCT_CALCULATION!F33;"")</f>
        <v/>
      </c>
      <c r="H44" s="0">
        <f>IF(PRODUCT_CALCULATION!B33="SI";PRODUCT_CALCULATION!G33;"")</f>
        <v/>
      </c>
      <c r="I44" s="0">
        <f>IF(PRODUCT_CALCULATION!B33="SI";PRODUCT_CALCULATION!S33;"")</f>
        <v/>
      </c>
      <c r="J44" s="0">
        <f>IF(PRODUCT_CALCULATION!B33="SI";PRODUCT_CALCULATION!T33;"")</f>
        <v/>
      </c>
      <c r="K44" s="0">
        <f>CONFIG!$B$2</f>
        <v/>
      </c>
      <c r="L44" s="0">
        <f>IF(PRODUCT_CALCULATION!B33="SI";PRODUCT_CALCULATION!V33;"")</f>
        <v/>
      </c>
      <c r="M44" s="0">
        <f>IF(PRODUCT_CALCULATION!B33="SI";PRODUCT_CALCULATION!W33;"")</f>
        <v/>
      </c>
      <c r="N44" s="0">
        <f>INPUT_PRODUCT!B11</f>
        <v/>
      </c>
      <c r="O44" s="0">
        <f>INPUT_PRODUCT!B7</f>
        <v/>
      </c>
      <c r="P44" s="0">
        <f>INPUT_PRODUCT!B9</f>
        <v/>
      </c>
    </row>
    <row r="45" ht="15.75" customHeight="1" s="125">
      <c r="A45" s="62">
        <f>INPUT_PRODUCT!B1</f>
        <v/>
      </c>
      <c r="B45" s="62">
        <f>INPUT_PRODUCT!B2</f>
        <v/>
      </c>
      <c r="C45" s="62">
        <f>INPUT_PRODUCT!B6</f>
        <v/>
      </c>
      <c r="D45" s="62">
        <f>INPUT_PRODUCT!B5</f>
        <v/>
      </c>
      <c r="E45" s="63">
        <f>IF(PRODUCT_CALCULATION!B34="SI";PRODUCT_CALCULATION!C34;"")</f>
        <v/>
      </c>
      <c r="F45" s="63">
        <f>IF(PRODUCT_CALCULATION!B34="SI";PRODUCT_CALCULATION!E34;"")</f>
        <v/>
      </c>
      <c r="G45" s="0">
        <f>IF(PRODUCT_CALCULATION!B34="SI";PRODUCT_CALCULATION!F34;"")</f>
        <v/>
      </c>
      <c r="H45" s="0">
        <f>IF(PRODUCT_CALCULATION!B34="SI";PRODUCT_CALCULATION!G34;"")</f>
        <v/>
      </c>
      <c r="I45" s="0">
        <f>IF(PRODUCT_CALCULATION!B34="SI";PRODUCT_CALCULATION!S34;"")</f>
        <v/>
      </c>
      <c r="J45" s="0">
        <f>IF(PRODUCT_CALCULATION!B34="SI";PRODUCT_CALCULATION!T34;"")</f>
        <v/>
      </c>
      <c r="K45" s="0">
        <f>CONFIG!$B$2</f>
        <v/>
      </c>
      <c r="L45" s="0">
        <f>IF(PRODUCT_CALCULATION!B34="SI";PRODUCT_CALCULATION!V34;"")</f>
        <v/>
      </c>
      <c r="M45" s="0">
        <f>IF(PRODUCT_CALCULATION!B34="SI";PRODUCT_CALCULATION!W34;"")</f>
        <v/>
      </c>
      <c r="N45" s="0">
        <f>INPUT_PRODUCT!B11</f>
        <v/>
      </c>
      <c r="O45" s="0">
        <f>INPUT_PRODUCT!B7</f>
        <v/>
      </c>
      <c r="P45" s="0">
        <f>INPUT_PRODUCT!B9</f>
        <v/>
      </c>
    </row>
    <row r="46" ht="15.75" customHeight="1" s="125">
      <c r="A46" s="62">
        <f>INPUT_PRODUCT!B1</f>
        <v/>
      </c>
      <c r="B46" s="62">
        <f>INPUT_PRODUCT!B2</f>
        <v/>
      </c>
      <c r="C46" s="62">
        <f>INPUT_PRODUCT!B6</f>
        <v/>
      </c>
      <c r="D46" s="62">
        <f>INPUT_PRODUCT!B5</f>
        <v/>
      </c>
      <c r="E46" s="63">
        <f>IF(PRODUCT_CALCULATION!B35="SI";PRODUCT_CALCULATION!C35;"")</f>
        <v/>
      </c>
      <c r="F46" s="63">
        <f>IF(PRODUCT_CALCULATION!B35="SI";PRODUCT_CALCULATION!E35;"")</f>
        <v/>
      </c>
      <c r="G46" s="0">
        <f>IF(PRODUCT_CALCULATION!B35="SI";PRODUCT_CALCULATION!F35;"")</f>
        <v/>
      </c>
      <c r="H46" s="0">
        <f>IF(PRODUCT_CALCULATION!B35="SI";PRODUCT_CALCULATION!G35;"")</f>
        <v/>
      </c>
      <c r="I46" s="0">
        <f>IF(PRODUCT_CALCULATION!B35="SI";PRODUCT_CALCULATION!S35;"")</f>
        <v/>
      </c>
      <c r="J46" s="0">
        <f>IF(PRODUCT_CALCULATION!B35="SI";PRODUCT_CALCULATION!T35;"")</f>
        <v/>
      </c>
      <c r="K46" s="0">
        <f>CONFIG!$B$2</f>
        <v/>
      </c>
      <c r="L46" s="0">
        <f>IF(PRODUCT_CALCULATION!B35="SI";PRODUCT_CALCULATION!V35;"")</f>
        <v/>
      </c>
      <c r="M46" s="0">
        <f>IF(PRODUCT_CALCULATION!B35="SI";PRODUCT_CALCULATION!W35;"")</f>
        <v/>
      </c>
      <c r="N46" s="0">
        <f>INPUT_PRODUCT!B11</f>
        <v/>
      </c>
      <c r="O46" s="0">
        <f>INPUT_PRODUCT!B7</f>
        <v/>
      </c>
      <c r="P46" s="0">
        <f>INPUT_PRODUCT!B9</f>
        <v/>
      </c>
    </row>
    <row r="47" ht="15.75" customHeight="1" s="125">
      <c r="A47" s="62">
        <f>INPUT_PRODUCT!B1</f>
        <v/>
      </c>
      <c r="B47" s="62">
        <f>INPUT_PRODUCT!B2</f>
        <v/>
      </c>
      <c r="C47" s="62">
        <f>INPUT_PRODUCT!B6</f>
        <v/>
      </c>
      <c r="D47" s="62">
        <f>INPUT_PRODUCT!B5</f>
        <v/>
      </c>
      <c r="E47" s="63">
        <f>IF(PRODUCT_CALCULATION!B36="SI";PRODUCT_CALCULATION!C36;"")</f>
        <v/>
      </c>
      <c r="F47" s="63">
        <f>IF(PRODUCT_CALCULATION!B36="SI";PRODUCT_CALCULATION!E36;"")</f>
        <v/>
      </c>
      <c r="G47" s="0">
        <f>IF(PRODUCT_CALCULATION!B36="SI";PRODUCT_CALCULATION!F36;"")</f>
        <v/>
      </c>
      <c r="H47" s="0">
        <f>IF(PRODUCT_CALCULATION!B36="SI";PRODUCT_CALCULATION!G36;"")</f>
        <v/>
      </c>
      <c r="I47" s="0">
        <f>IF(PRODUCT_CALCULATION!B36="SI";PRODUCT_CALCULATION!S36;"")</f>
        <v/>
      </c>
      <c r="J47" s="0">
        <f>IF(PRODUCT_CALCULATION!B36="SI";PRODUCT_CALCULATION!T36;"")</f>
        <v/>
      </c>
      <c r="K47" s="0">
        <f>CONFIG!$B$2</f>
        <v/>
      </c>
      <c r="L47" s="0">
        <f>IF(PRODUCT_CALCULATION!B36="SI";PRODUCT_CALCULATION!V36;"")</f>
        <v/>
      </c>
      <c r="M47" s="0">
        <f>IF(PRODUCT_CALCULATION!B36="SI";PRODUCT_CALCULATION!W36;"")</f>
        <v/>
      </c>
      <c r="N47" s="0">
        <f>INPUT_PRODUCT!B11</f>
        <v/>
      </c>
      <c r="O47" s="0">
        <f>INPUT_PRODUCT!B7</f>
        <v/>
      </c>
      <c r="P47" s="0">
        <f>INPUT_PRODUCT!B9</f>
        <v/>
      </c>
    </row>
    <row r="48" ht="15.75" customHeight="1" s="125">
      <c r="A48" s="62">
        <f>INPUT_PRODUCT!B1</f>
        <v/>
      </c>
      <c r="B48" s="62">
        <f>INPUT_PRODUCT!B2</f>
        <v/>
      </c>
      <c r="C48" s="62">
        <f>INPUT_PRODUCT!B6</f>
        <v/>
      </c>
      <c r="D48" s="62">
        <f>INPUT_PRODUCT!B5</f>
        <v/>
      </c>
      <c r="E48" s="63">
        <f>IF(PRODUCT_CALCULATION!B37="SI";PRODUCT_CALCULATION!C37;"")</f>
        <v/>
      </c>
      <c r="F48" s="63">
        <f>IF(PRODUCT_CALCULATION!B37="SI";PRODUCT_CALCULATION!E37;"")</f>
        <v/>
      </c>
      <c r="G48" s="0">
        <f>IF(PRODUCT_CALCULATION!B37="SI";PRODUCT_CALCULATION!F37;"")</f>
        <v/>
      </c>
      <c r="H48" s="0">
        <f>IF(PRODUCT_CALCULATION!B37="SI";PRODUCT_CALCULATION!G37;"")</f>
        <v/>
      </c>
      <c r="I48" s="0">
        <f>IF(PRODUCT_CALCULATION!B37="SI";PRODUCT_CALCULATION!S37;"")</f>
        <v/>
      </c>
      <c r="J48" s="0">
        <f>IF(PRODUCT_CALCULATION!B37="SI";PRODUCT_CALCULATION!T37;"")</f>
        <v/>
      </c>
      <c r="K48" s="0">
        <f>CONFIG!$B$2</f>
        <v/>
      </c>
      <c r="L48" s="0">
        <f>IF(PRODUCT_CALCULATION!B37="SI";PRODUCT_CALCULATION!V37;"")</f>
        <v/>
      </c>
      <c r="M48" s="0">
        <f>IF(PRODUCT_CALCULATION!B37="SI";PRODUCT_CALCULATION!W37;"")</f>
        <v/>
      </c>
      <c r="N48" s="0">
        <f>INPUT_PRODUCT!B11</f>
        <v/>
      </c>
      <c r="O48" s="0">
        <f>INPUT_PRODUCT!B7</f>
        <v/>
      </c>
      <c r="P48" s="0">
        <f>INPUT_PRODUCT!B9</f>
        <v/>
      </c>
    </row>
    <row r="49" ht="15.75" customHeight="1" s="125">
      <c r="A49" s="62">
        <f>INPUT_PRODUCT!B1</f>
        <v/>
      </c>
      <c r="B49" s="62">
        <f>INPUT_PRODUCT!B2</f>
        <v/>
      </c>
      <c r="C49" s="62">
        <f>INPUT_PRODUCT!B6</f>
        <v/>
      </c>
      <c r="D49" s="62">
        <f>INPUT_PRODUCT!B5</f>
        <v/>
      </c>
      <c r="E49" s="63">
        <f>IF(PRODUCT_CALCULATION!B38="SI";PRODUCT_CALCULATION!C38;"")</f>
        <v/>
      </c>
      <c r="F49" s="63">
        <f>IF(PRODUCT_CALCULATION!B38="SI";PRODUCT_CALCULATION!E38;"")</f>
        <v/>
      </c>
      <c r="G49" s="0">
        <f>IF(PRODUCT_CALCULATION!B38="SI";PRODUCT_CALCULATION!F38;"")</f>
        <v/>
      </c>
      <c r="H49" s="0">
        <f>IF(PRODUCT_CALCULATION!B38="SI";PRODUCT_CALCULATION!G38;"")</f>
        <v/>
      </c>
      <c r="I49" s="0">
        <f>IF(PRODUCT_CALCULATION!B38="SI";PRODUCT_CALCULATION!S38;"")</f>
        <v/>
      </c>
      <c r="J49" s="0">
        <f>IF(PRODUCT_CALCULATION!B38="SI";PRODUCT_CALCULATION!T38;"")</f>
        <v/>
      </c>
      <c r="K49" s="0">
        <f>CONFIG!$B$2</f>
        <v/>
      </c>
      <c r="L49" s="0">
        <f>IF(PRODUCT_CALCULATION!B38="SI";PRODUCT_CALCULATION!V38;"")</f>
        <v/>
      </c>
      <c r="M49" s="0">
        <f>IF(PRODUCT_CALCULATION!B38="SI";PRODUCT_CALCULATION!W38;"")</f>
        <v/>
      </c>
      <c r="N49" s="0">
        <f>INPUT_PRODUCT!B11</f>
        <v/>
      </c>
      <c r="O49" s="0">
        <f>INPUT_PRODUCT!B7</f>
        <v/>
      </c>
      <c r="P49" s="0">
        <f>INPUT_PRODUCT!B9</f>
        <v/>
      </c>
    </row>
    <row r="50" ht="15.75" customHeight="1" s="125">
      <c r="A50" s="62">
        <f>INPUT_PRODUCT!B1</f>
        <v/>
      </c>
      <c r="B50" s="62">
        <f>INPUT_PRODUCT!B2</f>
        <v/>
      </c>
      <c r="C50" s="62">
        <f>INPUT_PRODUCT!B6</f>
        <v/>
      </c>
      <c r="D50" s="62">
        <f>INPUT_PRODUCT!B5</f>
        <v/>
      </c>
      <c r="E50" s="63">
        <f>IF(PRODUCT_CALCULATION!B39="SI";PRODUCT_CALCULATION!C39;"")</f>
        <v/>
      </c>
      <c r="F50" s="63">
        <f>IF(PRODUCT_CALCULATION!B39="SI";PRODUCT_CALCULATION!E39;"")</f>
        <v/>
      </c>
      <c r="G50" s="0">
        <f>IF(PRODUCT_CALCULATION!B39="SI";PRODUCT_CALCULATION!F39;"")</f>
        <v/>
      </c>
      <c r="H50" s="0">
        <f>IF(PRODUCT_CALCULATION!B39="SI";PRODUCT_CALCULATION!G39;"")</f>
        <v/>
      </c>
      <c r="I50" s="0">
        <f>IF(PRODUCT_CALCULATION!B39="SI";PRODUCT_CALCULATION!S39;"")</f>
        <v/>
      </c>
      <c r="J50" s="0">
        <f>IF(PRODUCT_CALCULATION!B39="SI";PRODUCT_CALCULATION!T39;"")</f>
        <v/>
      </c>
      <c r="K50" s="0">
        <f>CONFIG!$B$2</f>
        <v/>
      </c>
      <c r="L50" s="0">
        <f>IF(PRODUCT_CALCULATION!B39="SI";PRODUCT_CALCULATION!V39;"")</f>
        <v/>
      </c>
      <c r="M50" s="0">
        <f>IF(PRODUCT_CALCULATION!B39="SI";PRODUCT_CALCULATION!W39;"")</f>
        <v/>
      </c>
      <c r="N50" s="0">
        <f>INPUT_PRODUCT!B11</f>
        <v/>
      </c>
      <c r="O50" s="0">
        <f>INPUT_PRODUCT!B7</f>
        <v/>
      </c>
      <c r="P50" s="0">
        <f>INPUT_PRODUCT!B9</f>
        <v/>
      </c>
    </row>
    <row r="51" ht="15.75" customHeight="1" s="125">
      <c r="A51" s="62">
        <f>INPUT_PRODUCT!B1</f>
        <v/>
      </c>
      <c r="B51" s="62">
        <f>INPUT_PRODUCT!B2</f>
        <v/>
      </c>
      <c r="C51" s="62">
        <f>INPUT_PRODUCT!B6</f>
        <v/>
      </c>
      <c r="D51" s="62">
        <f>INPUT_PRODUCT!B5</f>
        <v/>
      </c>
      <c r="E51" s="63">
        <f>IF(PRODUCT_CALCULATION!B40="SI";PRODUCT_CALCULATION!C40;"")</f>
        <v/>
      </c>
      <c r="F51" s="63">
        <f>IF(PRODUCT_CALCULATION!B40="SI";PRODUCT_CALCULATION!E40;"")</f>
        <v/>
      </c>
      <c r="G51" s="0">
        <f>IF(PRODUCT_CALCULATION!B40="SI";PRODUCT_CALCULATION!F40;"")</f>
        <v/>
      </c>
      <c r="H51" s="0">
        <f>IF(PRODUCT_CALCULATION!B40="SI";PRODUCT_CALCULATION!G40;"")</f>
        <v/>
      </c>
      <c r="I51" s="0">
        <f>IF(PRODUCT_CALCULATION!B40="SI";PRODUCT_CALCULATION!S40;"")</f>
        <v/>
      </c>
      <c r="J51" s="0">
        <f>IF(PRODUCT_CALCULATION!B40="SI";PRODUCT_CALCULATION!T40;"")</f>
        <v/>
      </c>
      <c r="K51" s="0">
        <f>CONFIG!$B$2</f>
        <v/>
      </c>
      <c r="L51" s="0">
        <f>IF(PRODUCT_CALCULATION!B40="SI";PRODUCT_CALCULATION!V40;"")</f>
        <v/>
      </c>
      <c r="M51" s="0">
        <f>IF(PRODUCT_CALCULATION!B40="SI";PRODUCT_CALCULATION!W40;"")</f>
        <v/>
      </c>
      <c r="N51" s="0">
        <f>INPUT_PRODUCT!B11</f>
        <v/>
      </c>
      <c r="O51" s="0">
        <f>INPUT_PRODUCT!B7</f>
        <v/>
      </c>
      <c r="P51" s="0">
        <f>INPUT_PRODUCT!B9</f>
        <v/>
      </c>
    </row>
    <row r="52" ht="15.75" customHeight="1" s="125">
      <c r="A52" s="62">
        <f>INPUT_PRODUCT!B1</f>
        <v/>
      </c>
      <c r="B52" s="62">
        <f>INPUT_PRODUCT!B2</f>
        <v/>
      </c>
      <c r="C52" s="62">
        <f>INPUT_PRODUCT!B6</f>
        <v/>
      </c>
      <c r="D52" s="62">
        <f>INPUT_PRODUCT!B5</f>
        <v/>
      </c>
      <c r="E52" s="63">
        <f>IF(PRODUCT_CALCULATION!B41="SI";PRODUCT_CALCULATION!C41;"")</f>
        <v/>
      </c>
      <c r="F52" s="63">
        <f>IF(PRODUCT_CALCULATION!B41="SI";PRODUCT_CALCULATION!E41;"")</f>
        <v/>
      </c>
      <c r="G52" s="0">
        <f>IF(PRODUCT_CALCULATION!B41="SI";PRODUCT_CALCULATION!F41;"")</f>
        <v/>
      </c>
      <c r="H52" s="0">
        <f>IF(PRODUCT_CALCULATION!B41="SI";PRODUCT_CALCULATION!G41;"")</f>
        <v/>
      </c>
      <c r="I52" s="0">
        <f>IF(PRODUCT_CALCULATION!B41="SI";PRODUCT_CALCULATION!S41;"")</f>
        <v/>
      </c>
      <c r="J52" s="0">
        <f>IF(PRODUCT_CALCULATION!B41="SI";PRODUCT_CALCULATION!T41;"")</f>
        <v/>
      </c>
      <c r="K52" s="0">
        <f>CONFIG!$B$2</f>
        <v/>
      </c>
      <c r="L52" s="0">
        <f>IF(PRODUCT_CALCULATION!B41="SI";PRODUCT_CALCULATION!V41;"")</f>
        <v/>
      </c>
      <c r="M52" s="0">
        <f>IF(PRODUCT_CALCULATION!B41="SI";PRODUCT_CALCULATION!W41;"")</f>
        <v/>
      </c>
      <c r="N52" s="0">
        <f>INPUT_PRODUCT!B11</f>
        <v/>
      </c>
      <c r="O52" s="0">
        <f>INPUT_PRODUCT!B7</f>
        <v/>
      </c>
      <c r="P52" s="0">
        <f>INPUT_PRODUCT!B9</f>
        <v/>
      </c>
    </row>
    <row r="53" ht="15.75" customHeight="1" s="125">
      <c r="A53" s="62">
        <f>INPUT_PRODUCT!B1</f>
        <v/>
      </c>
      <c r="B53" s="62">
        <f>INPUT_PRODUCT!B2</f>
        <v/>
      </c>
      <c r="C53" s="62">
        <f>INPUT_PRODUCT!B6</f>
        <v/>
      </c>
      <c r="D53" s="62">
        <f>INPUT_PRODUCT!B5</f>
        <v/>
      </c>
      <c r="E53" s="63">
        <f>IF(PRODUCT_CALCULATION!B42="SI";PRODUCT_CALCULATION!C42;"")</f>
        <v/>
      </c>
      <c r="F53" s="63">
        <f>IF(PRODUCT_CALCULATION!B42="SI";PRODUCT_CALCULATION!E42;"")</f>
        <v/>
      </c>
      <c r="G53" s="0">
        <f>IF(PRODUCT_CALCULATION!B42="SI";PRODUCT_CALCULATION!F42;"")</f>
        <v/>
      </c>
      <c r="H53" s="0">
        <f>IF(PRODUCT_CALCULATION!B42="SI";PRODUCT_CALCULATION!G42;"")</f>
        <v/>
      </c>
      <c r="I53" s="0">
        <f>IF(PRODUCT_CALCULATION!B42="SI";PRODUCT_CALCULATION!S42;"")</f>
        <v/>
      </c>
      <c r="J53" s="0">
        <f>IF(PRODUCT_CALCULATION!B42="SI";PRODUCT_CALCULATION!T42;"")</f>
        <v/>
      </c>
      <c r="K53" s="0">
        <f>CONFIG!$B$2</f>
        <v/>
      </c>
      <c r="L53" s="0">
        <f>IF(PRODUCT_CALCULATION!B42="SI";PRODUCT_CALCULATION!V42;"")</f>
        <v/>
      </c>
      <c r="M53" s="0">
        <f>IF(PRODUCT_CALCULATION!B42="SI";PRODUCT_CALCULATION!W42;"")</f>
        <v/>
      </c>
      <c r="N53" s="0">
        <f>INPUT_PRODUCT!B11</f>
        <v/>
      </c>
      <c r="O53" s="0">
        <f>INPUT_PRODUCT!B7</f>
        <v/>
      </c>
      <c r="P53" s="0">
        <f>INPUT_PRODUCT!B9</f>
        <v/>
      </c>
    </row>
    <row r="54" ht="15.75" customHeight="1" s="125">
      <c r="A54" s="62">
        <f>INPUT_PRODUCT!B1</f>
        <v/>
      </c>
      <c r="B54" s="62">
        <f>INPUT_PRODUCT!B2</f>
        <v/>
      </c>
      <c r="C54" s="62">
        <f>INPUT_PRODUCT!B6</f>
        <v/>
      </c>
      <c r="D54" s="62">
        <f>INPUT_PRODUCT!B5</f>
        <v/>
      </c>
      <c r="E54" s="63">
        <f>IF(PRODUCT_CALCULATION!B43="SI";PRODUCT_CALCULATION!C43;"")</f>
        <v/>
      </c>
      <c r="F54" s="63">
        <f>IF(PRODUCT_CALCULATION!B43="SI";PRODUCT_CALCULATION!E43;"")</f>
        <v/>
      </c>
      <c r="G54" s="0">
        <f>IF(PRODUCT_CALCULATION!B43="SI";PRODUCT_CALCULATION!F43;"")</f>
        <v/>
      </c>
      <c r="H54" s="0">
        <f>IF(PRODUCT_CALCULATION!B43="SI";PRODUCT_CALCULATION!G43;"")</f>
        <v/>
      </c>
      <c r="I54" s="0">
        <f>IF(PRODUCT_CALCULATION!B43="SI";PRODUCT_CALCULATION!S43;"")</f>
        <v/>
      </c>
      <c r="J54" s="0">
        <f>IF(PRODUCT_CALCULATION!B43="SI";PRODUCT_CALCULATION!T43;"")</f>
        <v/>
      </c>
      <c r="K54" s="0">
        <f>CONFIG!$B$2</f>
        <v/>
      </c>
      <c r="L54" s="0">
        <f>IF(PRODUCT_CALCULATION!B43="SI";PRODUCT_CALCULATION!V43;"")</f>
        <v/>
      </c>
      <c r="M54" s="0">
        <f>IF(PRODUCT_CALCULATION!B43="SI";PRODUCT_CALCULATION!W43;"")</f>
        <v/>
      </c>
      <c r="N54" s="0">
        <f>INPUT_PRODUCT!B11</f>
        <v/>
      </c>
      <c r="O54" s="0">
        <f>INPUT_PRODUCT!B7</f>
        <v/>
      </c>
      <c r="P54" s="0">
        <f>INPUT_PRODUCT!B9</f>
        <v/>
      </c>
    </row>
    <row r="55" ht="15.75" customHeight="1" s="125">
      <c r="A55" s="62">
        <f>INPUT_PRODUCT!B1</f>
        <v/>
      </c>
      <c r="B55" s="62">
        <f>INPUT_PRODUCT!B2</f>
        <v/>
      </c>
      <c r="C55" s="62">
        <f>INPUT_PRODUCT!B6</f>
        <v/>
      </c>
      <c r="D55" s="62">
        <f>INPUT_PRODUCT!B5</f>
        <v/>
      </c>
      <c r="E55" s="63">
        <f>IF(PRODUCT_CALCULATION!B44="SI";PRODUCT_CALCULATION!C44;"")</f>
        <v/>
      </c>
      <c r="F55" s="63">
        <f>IF(PRODUCT_CALCULATION!B44="SI";PRODUCT_CALCULATION!E44;"")</f>
        <v/>
      </c>
      <c r="G55" s="0">
        <f>IF(PRODUCT_CALCULATION!B44="SI";PRODUCT_CALCULATION!F44;"")</f>
        <v/>
      </c>
      <c r="H55" s="0">
        <f>IF(PRODUCT_CALCULATION!B44="SI";PRODUCT_CALCULATION!G44;"")</f>
        <v/>
      </c>
      <c r="I55" s="0">
        <f>IF(PRODUCT_CALCULATION!B44="SI";PRODUCT_CALCULATION!S44;"")</f>
        <v/>
      </c>
      <c r="J55" s="0">
        <f>IF(PRODUCT_CALCULATION!B44="SI";PRODUCT_CALCULATION!T44;"")</f>
        <v/>
      </c>
      <c r="K55" s="0">
        <f>CONFIG!$B$2</f>
        <v/>
      </c>
      <c r="L55" s="0">
        <f>IF(PRODUCT_CALCULATION!B44="SI";PRODUCT_CALCULATION!V44;"")</f>
        <v/>
      </c>
      <c r="M55" s="0">
        <f>IF(PRODUCT_CALCULATION!B44="SI";PRODUCT_CALCULATION!W44;"")</f>
        <v/>
      </c>
      <c r="N55" s="0">
        <f>INPUT_PRODUCT!B11</f>
        <v/>
      </c>
      <c r="O55" s="0">
        <f>INPUT_PRODUCT!B7</f>
        <v/>
      </c>
      <c r="P55" s="0">
        <f>INPUT_PRODUCT!B9</f>
        <v/>
      </c>
    </row>
    <row r="56" ht="15.75" customHeight="1" s="125">
      <c r="A56" s="62">
        <f>INPUT_PRODUCT!B1</f>
        <v/>
      </c>
      <c r="B56" s="62">
        <f>INPUT_PRODUCT!B2</f>
        <v/>
      </c>
      <c r="C56" s="62">
        <f>INPUT_PRODUCT!B6</f>
        <v/>
      </c>
      <c r="D56" s="62">
        <f>INPUT_PRODUCT!B5</f>
        <v/>
      </c>
      <c r="E56" s="63">
        <f>IF(PRODUCT_CALCULATION!B45="SI";PRODUCT_CALCULATION!C45;"")</f>
        <v/>
      </c>
      <c r="F56" s="63">
        <f>IF(PRODUCT_CALCULATION!B45="SI";PRODUCT_CALCULATION!E45;"")</f>
        <v/>
      </c>
      <c r="G56" s="0">
        <f>IF(PRODUCT_CALCULATION!B45="SI";PRODUCT_CALCULATION!F45;"")</f>
        <v/>
      </c>
      <c r="H56" s="0">
        <f>IF(PRODUCT_CALCULATION!B45="SI";PRODUCT_CALCULATION!G45;"")</f>
        <v/>
      </c>
      <c r="I56" s="0">
        <f>IF(PRODUCT_CALCULATION!B45="SI";PRODUCT_CALCULATION!S45;"")</f>
        <v/>
      </c>
      <c r="J56" s="0">
        <f>IF(PRODUCT_CALCULATION!B45="SI";PRODUCT_CALCULATION!T45;"")</f>
        <v/>
      </c>
      <c r="K56" s="0">
        <f>CONFIG!$B$2</f>
        <v/>
      </c>
      <c r="L56" s="0">
        <f>IF(PRODUCT_CALCULATION!B45="SI";PRODUCT_CALCULATION!V45;"")</f>
        <v/>
      </c>
      <c r="M56" s="0">
        <f>IF(PRODUCT_CALCULATION!B45="SI";PRODUCT_CALCULATION!W45;"")</f>
        <v/>
      </c>
      <c r="N56" s="0">
        <f>INPUT_PRODUCT!B11</f>
        <v/>
      </c>
      <c r="O56" s="0">
        <f>INPUT_PRODUCT!B7</f>
        <v/>
      </c>
      <c r="P56" s="0">
        <f>INPUT_PRODUCT!B9</f>
        <v/>
      </c>
    </row>
    <row r="57" ht="15.75" customHeight="1" s="125">
      <c r="A57" s="62">
        <f>INPUT_PRODUCT!B1</f>
        <v/>
      </c>
      <c r="B57" s="62">
        <f>INPUT_PRODUCT!B2</f>
        <v/>
      </c>
      <c r="C57" s="62">
        <f>INPUT_PRODUCT!B6</f>
        <v/>
      </c>
      <c r="D57" s="62">
        <f>INPUT_PRODUCT!B5</f>
        <v/>
      </c>
      <c r="E57" s="63">
        <f>IF(PRODUCT_CALCULATION!B46="SI";PRODUCT_CALCULATION!C46;"")</f>
        <v/>
      </c>
      <c r="F57" s="63">
        <f>IF(PRODUCT_CALCULATION!B46="SI";PRODUCT_CALCULATION!E46;"")</f>
        <v/>
      </c>
      <c r="G57" s="0">
        <f>IF(PRODUCT_CALCULATION!B46="SI";PRODUCT_CALCULATION!F46;"")</f>
        <v/>
      </c>
      <c r="H57" s="0">
        <f>IF(PRODUCT_CALCULATION!B46="SI";PRODUCT_CALCULATION!G46;"")</f>
        <v/>
      </c>
      <c r="I57" s="0">
        <f>IF(PRODUCT_CALCULATION!B46="SI";PRODUCT_CALCULATION!S46;"")</f>
        <v/>
      </c>
      <c r="J57" s="0">
        <f>IF(PRODUCT_CALCULATION!B46="SI";PRODUCT_CALCULATION!T46;"")</f>
        <v/>
      </c>
      <c r="K57" s="0">
        <f>CONFIG!$B$2</f>
        <v/>
      </c>
      <c r="L57" s="0">
        <f>IF(PRODUCT_CALCULATION!B46="SI";PRODUCT_CALCULATION!V46;"")</f>
        <v/>
      </c>
      <c r="M57" s="0">
        <f>IF(PRODUCT_CALCULATION!B46="SI";PRODUCT_CALCULATION!W46;"")</f>
        <v/>
      </c>
      <c r="N57" s="0">
        <f>INPUT_PRODUCT!B11</f>
        <v/>
      </c>
      <c r="O57" s="0">
        <f>INPUT_PRODUCT!B7</f>
        <v/>
      </c>
      <c r="P57" s="0">
        <f>INPUT_PRODUCT!B9</f>
        <v/>
      </c>
    </row>
    <row r="58" ht="15.75" customHeight="1" s="125">
      <c r="A58" s="62">
        <f>INPUT_PRODUCT!B1</f>
        <v/>
      </c>
      <c r="B58" s="62">
        <f>INPUT_PRODUCT!B2</f>
        <v/>
      </c>
      <c r="C58" s="62">
        <f>INPUT_PRODUCT!B6</f>
        <v/>
      </c>
      <c r="D58" s="62">
        <f>INPUT_PRODUCT!B5</f>
        <v/>
      </c>
      <c r="E58" s="63">
        <f>IF(PRODUCT_CALCULATION!B47="SI";PRODUCT_CALCULATION!C47;"")</f>
        <v/>
      </c>
      <c r="F58" s="63">
        <f>IF(PRODUCT_CALCULATION!B47="SI";PRODUCT_CALCULATION!E47;"")</f>
        <v/>
      </c>
      <c r="G58" s="0">
        <f>IF(PRODUCT_CALCULATION!B47="SI";PRODUCT_CALCULATION!F47;"")</f>
        <v/>
      </c>
      <c r="H58" s="0">
        <f>IF(PRODUCT_CALCULATION!B47="SI";PRODUCT_CALCULATION!G47;"")</f>
        <v/>
      </c>
      <c r="I58" s="0">
        <f>IF(PRODUCT_CALCULATION!B47="SI";PRODUCT_CALCULATION!S47;"")</f>
        <v/>
      </c>
      <c r="J58" s="0">
        <f>IF(PRODUCT_CALCULATION!B47="SI";PRODUCT_CALCULATION!T47;"")</f>
        <v/>
      </c>
      <c r="K58" s="0">
        <f>CONFIG!$B$2</f>
        <v/>
      </c>
      <c r="L58" s="0">
        <f>IF(PRODUCT_CALCULATION!B47="SI";PRODUCT_CALCULATION!V47;"")</f>
        <v/>
      </c>
      <c r="M58" s="0">
        <f>IF(PRODUCT_CALCULATION!B47="SI";PRODUCT_CALCULATION!W47;"")</f>
        <v/>
      </c>
      <c r="N58" s="0">
        <f>INPUT_PRODUCT!B11</f>
        <v/>
      </c>
      <c r="O58" s="0">
        <f>INPUT_PRODUCT!B7</f>
        <v/>
      </c>
      <c r="P58" s="0">
        <f>INPUT_PRODUCT!B9</f>
        <v/>
      </c>
    </row>
    <row r="59" ht="15.75" customHeight="1" s="125">
      <c r="A59" s="62">
        <f>INPUT_PRODUCT!B1</f>
        <v/>
      </c>
      <c r="B59" s="62">
        <f>INPUT_PRODUCT!B2</f>
        <v/>
      </c>
      <c r="C59" s="62">
        <f>INPUT_PRODUCT!B6</f>
        <v/>
      </c>
      <c r="D59" s="62">
        <f>INPUT_PRODUCT!B5</f>
        <v/>
      </c>
      <c r="E59" s="63">
        <f>IF(PRODUCT_CALCULATION!B48="SI";PRODUCT_CALCULATION!C48;"")</f>
        <v/>
      </c>
      <c r="F59" s="63">
        <f>IF(PRODUCT_CALCULATION!B48="SI";PRODUCT_CALCULATION!E48;"")</f>
        <v/>
      </c>
      <c r="G59" s="0">
        <f>IF(PRODUCT_CALCULATION!B48="SI";PRODUCT_CALCULATION!F48;"")</f>
        <v/>
      </c>
      <c r="H59" s="0">
        <f>IF(PRODUCT_CALCULATION!B48="SI";PRODUCT_CALCULATION!G48;"")</f>
        <v/>
      </c>
      <c r="I59" s="0">
        <f>IF(PRODUCT_CALCULATION!B48="SI";PRODUCT_CALCULATION!S48;"")</f>
        <v/>
      </c>
      <c r="J59" s="0">
        <f>IF(PRODUCT_CALCULATION!B48="SI";PRODUCT_CALCULATION!T48;"")</f>
        <v/>
      </c>
      <c r="K59" s="0">
        <f>CONFIG!$B$2</f>
        <v/>
      </c>
      <c r="L59" s="0">
        <f>IF(PRODUCT_CALCULATION!B48="SI";PRODUCT_CALCULATION!V48;"")</f>
        <v/>
      </c>
      <c r="M59" s="0">
        <f>IF(PRODUCT_CALCULATION!B48="SI";PRODUCT_CALCULATION!W48;"")</f>
        <v/>
      </c>
      <c r="N59" s="0">
        <f>INPUT_PRODUCT!B11</f>
        <v/>
      </c>
      <c r="O59" s="0">
        <f>INPUT_PRODUCT!B7</f>
        <v/>
      </c>
      <c r="P59" s="0">
        <f>INPUT_PRODUCT!B9</f>
        <v/>
      </c>
    </row>
    <row r="60" ht="15.75" customHeight="1" s="125">
      <c r="A60" s="62">
        <f>INPUT_PRODUCT!B1</f>
        <v/>
      </c>
      <c r="B60" s="62">
        <f>INPUT_PRODUCT!B2</f>
        <v/>
      </c>
      <c r="C60" s="62">
        <f>INPUT_PRODUCT!B6</f>
        <v/>
      </c>
      <c r="D60" s="62">
        <f>INPUT_PRODUCT!B5</f>
        <v/>
      </c>
      <c r="E60" s="63">
        <f>IF(PRODUCT_CALCULATION!B49="SI";PRODUCT_CALCULATION!C49;"")</f>
        <v/>
      </c>
      <c r="F60" s="63">
        <f>IF(PRODUCT_CALCULATION!B49="SI";PRODUCT_CALCULATION!E49;"")</f>
        <v/>
      </c>
      <c r="G60" s="0">
        <f>IF(PRODUCT_CALCULATION!B49="SI";PRODUCT_CALCULATION!F49;"")</f>
        <v/>
      </c>
      <c r="H60" s="0">
        <f>IF(PRODUCT_CALCULATION!B49="SI";PRODUCT_CALCULATION!G49;"")</f>
        <v/>
      </c>
      <c r="I60" s="0">
        <f>IF(PRODUCT_CALCULATION!B49="SI";PRODUCT_CALCULATION!S49;"")</f>
        <v/>
      </c>
      <c r="J60" s="0">
        <f>IF(PRODUCT_CALCULATION!B49="SI";PRODUCT_CALCULATION!T49;"")</f>
        <v/>
      </c>
      <c r="K60" s="0">
        <f>CONFIG!$B$2</f>
        <v/>
      </c>
      <c r="L60" s="0">
        <f>IF(PRODUCT_CALCULATION!B49="SI";PRODUCT_CALCULATION!V49;"")</f>
        <v/>
      </c>
      <c r="M60" s="0">
        <f>IF(PRODUCT_CALCULATION!B49="SI";PRODUCT_CALCULATION!W49;"")</f>
        <v/>
      </c>
      <c r="N60" s="0">
        <f>INPUT_PRODUCT!B11</f>
        <v/>
      </c>
      <c r="O60" s="0">
        <f>INPUT_PRODUCT!B7</f>
        <v/>
      </c>
      <c r="P60" s="0">
        <f>INPUT_PRODUCT!B9</f>
        <v/>
      </c>
    </row>
    <row r="61" ht="15.75" customHeight="1" s="125">
      <c r="A61" s="62">
        <f>INPUT_PRODUCT!B1</f>
        <v/>
      </c>
      <c r="B61" s="62">
        <f>INPUT_PRODUCT!B2</f>
        <v/>
      </c>
      <c r="C61" s="62">
        <f>INPUT_PRODUCT!B6</f>
        <v/>
      </c>
      <c r="D61" s="62">
        <f>INPUT_PRODUCT!B5</f>
        <v/>
      </c>
      <c r="E61" s="63">
        <f>IF(PRODUCT_CALCULATION!B50="SI";PRODUCT_CALCULATION!C50;"")</f>
        <v/>
      </c>
      <c r="F61" s="63">
        <f>IF(PRODUCT_CALCULATION!B50="SI";PRODUCT_CALCULATION!E50;"")</f>
        <v/>
      </c>
      <c r="G61" s="0">
        <f>IF(PRODUCT_CALCULATION!B50="SI";PRODUCT_CALCULATION!F50;"")</f>
        <v/>
      </c>
      <c r="H61" s="0">
        <f>IF(PRODUCT_CALCULATION!B50="SI";PRODUCT_CALCULATION!G50;"")</f>
        <v/>
      </c>
      <c r="I61" s="0">
        <f>IF(PRODUCT_CALCULATION!B50="SI";PRODUCT_CALCULATION!S50;"")</f>
        <v/>
      </c>
      <c r="J61" s="0">
        <f>IF(PRODUCT_CALCULATION!B50="SI";PRODUCT_CALCULATION!T50;"")</f>
        <v/>
      </c>
      <c r="K61" s="0">
        <f>CONFIG!$B$2</f>
        <v/>
      </c>
      <c r="L61" s="0">
        <f>IF(PRODUCT_CALCULATION!B50="SI";PRODUCT_CALCULATION!V50;"")</f>
        <v/>
      </c>
      <c r="M61" s="0">
        <f>IF(PRODUCT_CALCULATION!B50="SI";PRODUCT_CALCULATION!W50;"")</f>
        <v/>
      </c>
      <c r="N61" s="0">
        <f>INPUT_PRODUCT!B11</f>
        <v/>
      </c>
      <c r="O61" s="0">
        <f>INPUT_PRODUCT!B7</f>
        <v/>
      </c>
      <c r="P61" s="0">
        <f>INPUT_PRODUCT!B9</f>
        <v/>
      </c>
    </row>
    <row r="62" ht="15.75" customHeight="1" s="125">
      <c r="A62" s="62">
        <f>INPUT_PRODUCT!B1</f>
        <v/>
      </c>
      <c r="B62" s="62">
        <f>INPUT_PRODUCT!B2</f>
        <v/>
      </c>
      <c r="C62" s="62">
        <f>INPUT_PRODUCT!B6</f>
        <v/>
      </c>
      <c r="D62" s="62">
        <f>INPUT_PRODUCT!B5</f>
        <v/>
      </c>
      <c r="E62" s="63">
        <f>IF(PRODUCT_CALCULATION!B51="SI";PRODUCT_CALCULATION!C51;"")</f>
        <v/>
      </c>
      <c r="F62" s="63">
        <f>IF(PRODUCT_CALCULATION!B51="SI";PRODUCT_CALCULATION!E51;"")</f>
        <v/>
      </c>
      <c r="G62" s="0">
        <f>IF(PRODUCT_CALCULATION!B51="SI";PRODUCT_CALCULATION!F51;"")</f>
        <v/>
      </c>
      <c r="H62" s="0">
        <f>IF(PRODUCT_CALCULATION!B51="SI";PRODUCT_CALCULATION!G51;"")</f>
        <v/>
      </c>
      <c r="I62" s="0">
        <f>IF(PRODUCT_CALCULATION!B51="SI";PRODUCT_CALCULATION!S51;"")</f>
        <v/>
      </c>
      <c r="J62" s="0">
        <f>IF(PRODUCT_CALCULATION!B51="SI";PRODUCT_CALCULATION!T51;"")</f>
        <v/>
      </c>
      <c r="K62" s="0">
        <f>CONFIG!$B$2</f>
        <v/>
      </c>
      <c r="L62" s="0">
        <f>IF(PRODUCT_CALCULATION!B51="SI";PRODUCT_CALCULATION!V51;"")</f>
        <v/>
      </c>
      <c r="M62" s="0">
        <f>IF(PRODUCT_CALCULATION!B51="SI";PRODUCT_CALCULATION!W51;"")</f>
        <v/>
      </c>
      <c r="N62" s="0">
        <f>INPUT_PRODUCT!B11</f>
        <v/>
      </c>
      <c r="O62" s="0">
        <f>INPUT_PRODUCT!B7</f>
        <v/>
      </c>
      <c r="P62" s="0">
        <f>INPUT_PRODUCT!B9</f>
        <v/>
      </c>
    </row>
    <row r="63" ht="15.75" customHeight="1" s="125">
      <c r="A63" s="62">
        <f>INPUT_PRODUCT!B1</f>
        <v/>
      </c>
      <c r="B63" s="62">
        <f>INPUT_PRODUCT!B2</f>
        <v/>
      </c>
      <c r="C63" s="62">
        <f>INPUT_PRODUCT!B6</f>
        <v/>
      </c>
      <c r="D63" s="62">
        <f>INPUT_PRODUCT!B5</f>
        <v/>
      </c>
      <c r="E63" s="63">
        <f>IF(PRODUCT_CALCULATION!B52="SI";PRODUCT_CALCULATION!C52;"")</f>
        <v/>
      </c>
      <c r="F63" s="63">
        <f>IF(PRODUCT_CALCULATION!B52="SI";PRODUCT_CALCULATION!E52;"")</f>
        <v/>
      </c>
      <c r="G63" s="0">
        <f>IF(PRODUCT_CALCULATION!B52="SI";PRODUCT_CALCULATION!F52;"")</f>
        <v/>
      </c>
      <c r="H63" s="0">
        <f>IF(PRODUCT_CALCULATION!B52="SI";PRODUCT_CALCULATION!G52;"")</f>
        <v/>
      </c>
      <c r="I63" s="0">
        <f>IF(PRODUCT_CALCULATION!B52="SI";PRODUCT_CALCULATION!S52;"")</f>
        <v/>
      </c>
      <c r="J63" s="0">
        <f>IF(PRODUCT_CALCULATION!B52="SI";PRODUCT_CALCULATION!T52;"")</f>
        <v/>
      </c>
      <c r="K63" s="0">
        <f>CONFIG!$B$2</f>
        <v/>
      </c>
      <c r="L63" s="0">
        <f>IF(PRODUCT_CALCULATION!B52="SI";PRODUCT_CALCULATION!V52;"")</f>
        <v/>
      </c>
      <c r="M63" s="0">
        <f>IF(PRODUCT_CALCULATION!B52="SI";PRODUCT_CALCULATION!W52;"")</f>
        <v/>
      </c>
      <c r="N63" s="0">
        <f>INPUT_PRODUCT!B11</f>
        <v/>
      </c>
      <c r="O63" s="0">
        <f>INPUT_PRODUCT!B7</f>
        <v/>
      </c>
      <c r="P63" s="0">
        <f>INPUT_PRODUCT!B9</f>
        <v/>
      </c>
    </row>
    <row r="64" ht="15.75" customHeight="1" s="125">
      <c r="A64" s="62">
        <f>INPUT_PRODUCT!B1</f>
        <v/>
      </c>
      <c r="B64" s="62">
        <f>INPUT_PRODUCT!B2</f>
        <v/>
      </c>
      <c r="C64" s="62">
        <f>INPUT_PRODUCT!B6</f>
        <v/>
      </c>
      <c r="D64" s="62">
        <f>INPUT_PRODUCT!B5</f>
        <v/>
      </c>
      <c r="E64" s="63">
        <f>IF(PRODUCT_CALCULATION!B53="SI";PRODUCT_CALCULATION!C53;"")</f>
        <v/>
      </c>
      <c r="F64" s="63">
        <f>IF(PRODUCT_CALCULATION!B53="SI";PRODUCT_CALCULATION!E53;"")</f>
        <v/>
      </c>
      <c r="G64" s="0">
        <f>IF(PRODUCT_CALCULATION!B53="SI";PRODUCT_CALCULATION!F53;"")</f>
        <v/>
      </c>
      <c r="H64" s="0">
        <f>IF(PRODUCT_CALCULATION!B53="SI";PRODUCT_CALCULATION!G53;"")</f>
        <v/>
      </c>
      <c r="I64" s="0">
        <f>IF(PRODUCT_CALCULATION!B53="SI";PRODUCT_CALCULATION!S53;"")</f>
        <v/>
      </c>
      <c r="J64" s="0">
        <f>IF(PRODUCT_CALCULATION!B53="SI";PRODUCT_CALCULATION!T53;"")</f>
        <v/>
      </c>
      <c r="K64" s="0">
        <f>CONFIG!$B$2</f>
        <v/>
      </c>
      <c r="L64" s="0">
        <f>IF(PRODUCT_CALCULATION!B53="SI";PRODUCT_CALCULATION!V53;"")</f>
        <v/>
      </c>
      <c r="M64" s="0">
        <f>IF(PRODUCT_CALCULATION!B53="SI";PRODUCT_CALCULATION!W53;"")</f>
        <v/>
      </c>
      <c r="N64" s="0">
        <f>INPUT_PRODUCT!B11</f>
        <v/>
      </c>
      <c r="O64" s="0">
        <f>INPUT_PRODUCT!B7</f>
        <v/>
      </c>
      <c r="P64" s="0">
        <f>INPUT_PRODUCT!B9</f>
        <v/>
      </c>
    </row>
    <row r="65" ht="15.75" customHeight="1" s="125">
      <c r="A65" s="62">
        <f>INPUT_PRODUCT!B1</f>
        <v/>
      </c>
      <c r="B65" s="62">
        <f>INPUT_PRODUCT!B2</f>
        <v/>
      </c>
      <c r="C65" s="62">
        <f>INPUT_PRODUCT!B6</f>
        <v/>
      </c>
      <c r="D65" s="62">
        <f>INPUT_PRODUCT!B5</f>
        <v/>
      </c>
      <c r="E65" s="63">
        <f>IF(PRODUCT_CALCULATION!B54="SI";PRODUCT_CALCULATION!C54;"")</f>
        <v/>
      </c>
      <c r="F65" s="63">
        <f>IF(PRODUCT_CALCULATION!B54="SI";PRODUCT_CALCULATION!E54;"")</f>
        <v/>
      </c>
      <c r="G65" s="0">
        <f>IF(PRODUCT_CALCULATION!B54="SI";PRODUCT_CALCULATION!F54;"")</f>
        <v/>
      </c>
      <c r="H65" s="0">
        <f>IF(PRODUCT_CALCULATION!B54="SI";PRODUCT_CALCULATION!G54;"")</f>
        <v/>
      </c>
      <c r="I65" s="0">
        <f>IF(PRODUCT_CALCULATION!B54="SI";PRODUCT_CALCULATION!S54;"")</f>
        <v/>
      </c>
      <c r="J65" s="0">
        <f>IF(PRODUCT_CALCULATION!B54="SI";PRODUCT_CALCULATION!T54;"")</f>
        <v/>
      </c>
      <c r="K65" s="0">
        <f>CONFIG!$B$2</f>
        <v/>
      </c>
      <c r="L65" s="0">
        <f>IF(PRODUCT_CALCULATION!B54="SI";PRODUCT_CALCULATION!V54;"")</f>
        <v/>
      </c>
      <c r="M65" s="0">
        <f>IF(PRODUCT_CALCULATION!B54="SI";PRODUCT_CALCULATION!W54;"")</f>
        <v/>
      </c>
      <c r="N65" s="0">
        <f>INPUT_PRODUCT!B11</f>
        <v/>
      </c>
      <c r="O65" s="0">
        <f>INPUT_PRODUCT!B7</f>
        <v/>
      </c>
      <c r="P65" s="0">
        <f>INPUT_PRODUCT!B9</f>
        <v/>
      </c>
    </row>
    <row r="66" ht="15.75" customHeight="1" s="125">
      <c r="A66" s="62">
        <f>INPUT_PRODUCT!B1</f>
        <v/>
      </c>
      <c r="B66" s="62">
        <f>INPUT_PRODUCT!B2</f>
        <v/>
      </c>
      <c r="C66" s="62">
        <f>INPUT_PRODUCT!B6</f>
        <v/>
      </c>
      <c r="D66" s="62">
        <f>INPUT_PRODUCT!B5</f>
        <v/>
      </c>
      <c r="E66" s="63">
        <f>IF(PRODUCT_CALCULATION!B55="SI";PRODUCT_CALCULATION!C55;"")</f>
        <v/>
      </c>
      <c r="F66" s="63">
        <f>IF(PRODUCT_CALCULATION!B55="SI";PRODUCT_CALCULATION!E55;"")</f>
        <v/>
      </c>
      <c r="G66" s="0">
        <f>IF(PRODUCT_CALCULATION!B55="SI";PRODUCT_CALCULATION!F55;"")</f>
        <v/>
      </c>
      <c r="H66" s="0">
        <f>IF(PRODUCT_CALCULATION!B55="SI";PRODUCT_CALCULATION!G55;"")</f>
        <v/>
      </c>
      <c r="I66" s="0">
        <f>IF(PRODUCT_CALCULATION!B55="SI";PRODUCT_CALCULATION!S55;"")</f>
        <v/>
      </c>
      <c r="J66" s="0">
        <f>IF(PRODUCT_CALCULATION!B55="SI";PRODUCT_CALCULATION!T55;"")</f>
        <v/>
      </c>
      <c r="K66" s="0">
        <f>CONFIG!$B$2</f>
        <v/>
      </c>
      <c r="L66" s="0">
        <f>IF(PRODUCT_CALCULATION!B55="SI";PRODUCT_CALCULATION!V55;"")</f>
        <v/>
      </c>
      <c r="M66" s="0">
        <f>IF(PRODUCT_CALCULATION!B55="SI";PRODUCT_CALCULATION!W55;"")</f>
        <v/>
      </c>
      <c r="N66" s="0">
        <f>INPUT_PRODUCT!B11</f>
        <v/>
      </c>
      <c r="O66" s="0">
        <f>INPUT_PRODUCT!B7</f>
        <v/>
      </c>
      <c r="P66" s="0">
        <f>INPUT_PRODUCT!B9</f>
        <v/>
      </c>
    </row>
    <row r="67" ht="15.75" customHeight="1" s="125">
      <c r="A67" s="62">
        <f>INPUT_PRODUCT!B1</f>
        <v/>
      </c>
      <c r="B67" s="62">
        <f>INPUT_PRODUCT!B2</f>
        <v/>
      </c>
      <c r="C67" s="62">
        <f>INPUT_PRODUCT!B6</f>
        <v/>
      </c>
      <c r="D67" s="62">
        <f>INPUT_PRODUCT!B5</f>
        <v/>
      </c>
      <c r="E67" s="63">
        <f>IF(PRODUCT_CALCULATION!B56="SI";PRODUCT_CALCULATION!C56;"")</f>
        <v/>
      </c>
      <c r="F67" s="63">
        <f>IF(PRODUCT_CALCULATION!B56="SI";PRODUCT_CALCULATION!E56;"")</f>
        <v/>
      </c>
      <c r="G67" s="0">
        <f>IF(PRODUCT_CALCULATION!B56="SI";PRODUCT_CALCULATION!F56;"")</f>
        <v/>
      </c>
      <c r="H67" s="0">
        <f>IF(PRODUCT_CALCULATION!B56="SI";PRODUCT_CALCULATION!G56;"")</f>
        <v/>
      </c>
      <c r="I67" s="0">
        <f>IF(PRODUCT_CALCULATION!B56="SI";PRODUCT_CALCULATION!S56;"")</f>
        <v/>
      </c>
      <c r="J67" s="0">
        <f>IF(PRODUCT_CALCULATION!B56="SI";PRODUCT_CALCULATION!T56;"")</f>
        <v/>
      </c>
      <c r="K67" s="0">
        <f>CONFIG!$B$2</f>
        <v/>
      </c>
      <c r="L67" s="0">
        <f>IF(PRODUCT_CALCULATION!B56="SI";PRODUCT_CALCULATION!V56;"")</f>
        <v/>
      </c>
      <c r="M67" s="0">
        <f>IF(PRODUCT_CALCULATION!B56="SI";PRODUCT_CALCULATION!W56;"")</f>
        <v/>
      </c>
      <c r="N67" s="0">
        <f>INPUT_PRODUCT!B11</f>
        <v/>
      </c>
      <c r="O67" s="0">
        <f>INPUT_PRODUCT!B7</f>
        <v/>
      </c>
      <c r="P67" s="0">
        <f>INPUT_PRODUCT!B9</f>
        <v/>
      </c>
    </row>
    <row r="68" ht="15.75" customHeight="1" s="125">
      <c r="A68" s="62">
        <f>INPUT_PRODUCT!B1</f>
        <v/>
      </c>
      <c r="B68" s="62">
        <f>INPUT_PRODUCT!B2</f>
        <v/>
      </c>
      <c r="C68" s="62">
        <f>INPUT_PRODUCT!B6</f>
        <v/>
      </c>
      <c r="D68" s="62">
        <f>INPUT_PRODUCT!B5</f>
        <v/>
      </c>
      <c r="E68" s="63">
        <f>IF(PRODUCT_CALCULATION!B57="SI";PRODUCT_CALCULATION!C57;"")</f>
        <v/>
      </c>
      <c r="F68" s="63">
        <f>IF(PRODUCT_CALCULATION!B57="SI";PRODUCT_CALCULATION!E57;"")</f>
        <v/>
      </c>
      <c r="G68" s="0">
        <f>IF(PRODUCT_CALCULATION!B57="SI";PRODUCT_CALCULATION!F57;"")</f>
        <v/>
      </c>
      <c r="H68" s="0">
        <f>IF(PRODUCT_CALCULATION!B57="SI";PRODUCT_CALCULATION!G57;"")</f>
        <v/>
      </c>
      <c r="I68" s="0">
        <f>IF(PRODUCT_CALCULATION!B57="SI";PRODUCT_CALCULATION!S57;"")</f>
        <v/>
      </c>
      <c r="J68" s="0">
        <f>IF(PRODUCT_CALCULATION!B57="SI";PRODUCT_CALCULATION!T57;"")</f>
        <v/>
      </c>
      <c r="K68" s="0">
        <f>CONFIG!$B$2</f>
        <v/>
      </c>
      <c r="L68" s="0">
        <f>IF(PRODUCT_CALCULATION!B57="SI";PRODUCT_CALCULATION!V57;"")</f>
        <v/>
      </c>
      <c r="M68" s="0">
        <f>IF(PRODUCT_CALCULATION!B57="SI";PRODUCT_CALCULATION!W57;"")</f>
        <v/>
      </c>
      <c r="N68" s="0">
        <f>INPUT_PRODUCT!B11</f>
        <v/>
      </c>
      <c r="O68" s="0">
        <f>INPUT_PRODUCT!B7</f>
        <v/>
      </c>
      <c r="P68" s="0">
        <f>INPUT_PRODUCT!B9</f>
        <v/>
      </c>
    </row>
    <row r="69" ht="15.75" customHeight="1" s="125">
      <c r="A69" s="62">
        <f>INPUT_PRODUCT!B1</f>
        <v/>
      </c>
      <c r="B69" s="62">
        <f>INPUT_PRODUCT!B2</f>
        <v/>
      </c>
      <c r="C69" s="62">
        <f>INPUT_PRODUCT!B6</f>
        <v/>
      </c>
      <c r="D69" s="62">
        <f>INPUT_PRODUCT!B5</f>
        <v/>
      </c>
      <c r="E69" s="63">
        <f>IF(PRODUCT_CALCULATION!B58="SI";PRODUCT_CALCULATION!C58;"")</f>
        <v/>
      </c>
      <c r="F69" s="63">
        <f>IF(PRODUCT_CALCULATION!B58="SI";PRODUCT_CALCULATION!E58;"")</f>
        <v/>
      </c>
      <c r="G69" s="0">
        <f>IF(PRODUCT_CALCULATION!B58="SI";PRODUCT_CALCULATION!F58;"")</f>
        <v/>
      </c>
      <c r="H69" s="0">
        <f>IF(PRODUCT_CALCULATION!B58="SI";PRODUCT_CALCULATION!G58;"")</f>
        <v/>
      </c>
      <c r="I69" s="0">
        <f>IF(PRODUCT_CALCULATION!B58="SI";PRODUCT_CALCULATION!S58;"")</f>
        <v/>
      </c>
      <c r="J69" s="0">
        <f>IF(PRODUCT_CALCULATION!B58="SI";PRODUCT_CALCULATION!T58;"")</f>
        <v/>
      </c>
      <c r="K69" s="0">
        <f>CONFIG!$B$2</f>
        <v/>
      </c>
      <c r="L69" s="0">
        <f>IF(PRODUCT_CALCULATION!B58="SI";PRODUCT_CALCULATION!V58;"")</f>
        <v/>
      </c>
      <c r="M69" s="0">
        <f>IF(PRODUCT_CALCULATION!B58="SI";PRODUCT_CALCULATION!W58;"")</f>
        <v/>
      </c>
      <c r="N69" s="0">
        <f>INPUT_PRODUCT!B11</f>
        <v/>
      </c>
      <c r="O69" s="0">
        <f>INPUT_PRODUCT!B7</f>
        <v/>
      </c>
      <c r="P69" s="0">
        <f>INPUT_PRODUCT!B9</f>
        <v/>
      </c>
    </row>
    <row r="70" ht="15.75" customHeight="1" s="125">
      <c r="A70" s="62">
        <f>INPUT_PRODUCT!B1</f>
        <v/>
      </c>
      <c r="B70" s="62">
        <f>INPUT_PRODUCT!B2</f>
        <v/>
      </c>
      <c r="C70" s="62">
        <f>INPUT_PRODUCT!B6</f>
        <v/>
      </c>
      <c r="D70" s="62">
        <f>INPUT_PRODUCT!B5</f>
        <v/>
      </c>
      <c r="E70" s="63">
        <f>IF(PRODUCT_CALCULATION!B59="SI";PRODUCT_CALCULATION!C59;"")</f>
        <v/>
      </c>
      <c r="F70" s="63">
        <f>IF(PRODUCT_CALCULATION!B59="SI";PRODUCT_CALCULATION!E59;"")</f>
        <v/>
      </c>
      <c r="G70" s="0">
        <f>IF(PRODUCT_CALCULATION!B59="SI";PRODUCT_CALCULATION!F59;"")</f>
        <v/>
      </c>
      <c r="H70" s="0">
        <f>IF(PRODUCT_CALCULATION!B59="SI";PRODUCT_CALCULATION!G59;"")</f>
        <v/>
      </c>
      <c r="I70" s="0">
        <f>IF(PRODUCT_CALCULATION!B59="SI";PRODUCT_CALCULATION!S59;"")</f>
        <v/>
      </c>
      <c r="J70" s="0">
        <f>IF(PRODUCT_CALCULATION!B59="SI";PRODUCT_CALCULATION!T59;"")</f>
        <v/>
      </c>
      <c r="K70" s="0">
        <f>CONFIG!$B$2</f>
        <v/>
      </c>
      <c r="L70" s="0">
        <f>IF(PRODUCT_CALCULATION!B59="SI";PRODUCT_CALCULATION!V59;"")</f>
        <v/>
      </c>
      <c r="M70" s="0">
        <f>IF(PRODUCT_CALCULATION!B59="SI";PRODUCT_CALCULATION!W59;"")</f>
        <v/>
      </c>
      <c r="N70" s="0">
        <f>INPUT_PRODUCT!B11</f>
        <v/>
      </c>
      <c r="O70" s="0">
        <f>INPUT_PRODUCT!B7</f>
        <v/>
      </c>
      <c r="P70" s="0">
        <f>INPUT_PRODUCT!B9</f>
        <v/>
      </c>
    </row>
    <row r="71" ht="15.75" customHeight="1" s="125">
      <c r="A71" s="62">
        <f>INPUT_PRODUCT!B1</f>
        <v/>
      </c>
      <c r="B71" s="62">
        <f>INPUT_PRODUCT!B2</f>
        <v/>
      </c>
      <c r="C71" s="62">
        <f>INPUT_PRODUCT!B6</f>
        <v/>
      </c>
      <c r="D71" s="62">
        <f>INPUT_PRODUCT!B5</f>
        <v/>
      </c>
      <c r="E71" s="63">
        <f>IF(PRODUCT_CALCULATION!B60="SI";PRODUCT_CALCULATION!C60;"")</f>
        <v/>
      </c>
      <c r="F71" s="63">
        <f>IF(PRODUCT_CALCULATION!B60="SI";PRODUCT_CALCULATION!E60;"")</f>
        <v/>
      </c>
      <c r="G71" s="0">
        <f>IF(PRODUCT_CALCULATION!B60="SI";PRODUCT_CALCULATION!F60;"")</f>
        <v/>
      </c>
      <c r="H71" s="0">
        <f>IF(PRODUCT_CALCULATION!B60="SI";PRODUCT_CALCULATION!G60;"")</f>
        <v/>
      </c>
      <c r="I71" s="0">
        <f>IF(PRODUCT_CALCULATION!B60="SI";PRODUCT_CALCULATION!S60;"")</f>
        <v/>
      </c>
      <c r="J71" s="0">
        <f>IF(PRODUCT_CALCULATION!B60="SI";PRODUCT_CALCULATION!T60;"")</f>
        <v/>
      </c>
      <c r="K71" s="0">
        <f>CONFIG!$B$2</f>
        <v/>
      </c>
      <c r="L71" s="0">
        <f>IF(PRODUCT_CALCULATION!B60="SI";PRODUCT_CALCULATION!V60;"")</f>
        <v/>
      </c>
      <c r="M71" s="0">
        <f>IF(PRODUCT_CALCULATION!B60="SI";PRODUCT_CALCULATION!W60;"")</f>
        <v/>
      </c>
      <c r="N71" s="0">
        <f>INPUT_PRODUCT!B11</f>
        <v/>
      </c>
      <c r="O71" s="0">
        <f>INPUT_PRODUCT!B7</f>
        <v/>
      </c>
      <c r="P71" s="0">
        <f>INPUT_PRODUCT!B9</f>
        <v/>
      </c>
    </row>
    <row r="72" ht="15.75" customHeight="1" s="125">
      <c r="A72" s="62">
        <f>INPUT_PRODUCT!B1</f>
        <v/>
      </c>
      <c r="B72" s="62">
        <f>INPUT_PRODUCT!B2</f>
        <v/>
      </c>
      <c r="C72" s="62">
        <f>INPUT_PRODUCT!B6</f>
        <v/>
      </c>
      <c r="D72" s="62">
        <f>INPUT_PRODUCT!B5</f>
        <v/>
      </c>
      <c r="E72" s="63">
        <f>IF(PRODUCT_CALCULATION!B61="SI";PRODUCT_CALCULATION!C61;"")</f>
        <v/>
      </c>
      <c r="F72" s="63">
        <f>IF(PRODUCT_CALCULATION!B61="SI";PRODUCT_CALCULATION!E61;"")</f>
        <v/>
      </c>
      <c r="G72" s="0">
        <f>IF(PRODUCT_CALCULATION!B61="SI";PRODUCT_CALCULATION!F61;"")</f>
        <v/>
      </c>
      <c r="H72" s="0">
        <f>IF(PRODUCT_CALCULATION!B61="SI";PRODUCT_CALCULATION!G61;"")</f>
        <v/>
      </c>
      <c r="I72" s="0">
        <f>IF(PRODUCT_CALCULATION!B61="SI";PRODUCT_CALCULATION!S61;"")</f>
        <v/>
      </c>
      <c r="J72" s="0">
        <f>IF(PRODUCT_CALCULATION!B61="SI";PRODUCT_CALCULATION!T61;"")</f>
        <v/>
      </c>
      <c r="K72" s="0">
        <f>CONFIG!$B$2</f>
        <v/>
      </c>
      <c r="L72" s="0">
        <f>IF(PRODUCT_CALCULATION!B61="SI";PRODUCT_CALCULATION!V61;"")</f>
        <v/>
      </c>
      <c r="M72" s="0">
        <f>IF(PRODUCT_CALCULATION!B61="SI";PRODUCT_CALCULATION!W61;"")</f>
        <v/>
      </c>
      <c r="N72" s="0">
        <f>INPUT_PRODUCT!B11</f>
        <v/>
      </c>
      <c r="O72" s="0">
        <f>INPUT_PRODUCT!B7</f>
        <v/>
      </c>
      <c r="P72" s="0">
        <f>INPUT_PRODUCT!B9</f>
        <v/>
      </c>
    </row>
    <row r="73" ht="15.75" customHeight="1" s="125">
      <c r="A73" s="62">
        <f>INPUT_PRODUCT!B1</f>
        <v/>
      </c>
      <c r="B73" s="62">
        <f>INPUT_PRODUCT!B2</f>
        <v/>
      </c>
      <c r="C73" s="62">
        <f>INPUT_PRODUCT!B6</f>
        <v/>
      </c>
      <c r="D73" s="62">
        <f>INPUT_PRODUCT!B5</f>
        <v/>
      </c>
      <c r="E73" s="63">
        <f>IF(PRODUCT_CALCULATION!B62="SI";PRODUCT_CALCULATION!C62;"")</f>
        <v/>
      </c>
      <c r="F73" s="63">
        <f>IF(PRODUCT_CALCULATION!B62="SI";PRODUCT_CALCULATION!E62;"")</f>
        <v/>
      </c>
      <c r="G73" s="0">
        <f>IF(PRODUCT_CALCULATION!B62="SI";PRODUCT_CALCULATION!F62;"")</f>
        <v/>
      </c>
      <c r="H73" s="0">
        <f>IF(PRODUCT_CALCULATION!B62="SI";PRODUCT_CALCULATION!G62;"")</f>
        <v/>
      </c>
      <c r="I73" s="0">
        <f>IF(PRODUCT_CALCULATION!B62="SI";PRODUCT_CALCULATION!S62;"")</f>
        <v/>
      </c>
      <c r="J73" s="0">
        <f>IF(PRODUCT_CALCULATION!B62="SI";PRODUCT_CALCULATION!T62;"")</f>
        <v/>
      </c>
      <c r="K73" s="0">
        <f>CONFIG!$B$2</f>
        <v/>
      </c>
      <c r="L73" s="0">
        <f>IF(PRODUCT_CALCULATION!B62="SI";PRODUCT_CALCULATION!V62;"")</f>
        <v/>
      </c>
      <c r="M73" s="0">
        <f>IF(PRODUCT_CALCULATION!B62="SI";PRODUCT_CALCULATION!W62;"")</f>
        <v/>
      </c>
      <c r="N73" s="0">
        <f>INPUT_PRODUCT!B11</f>
        <v/>
      </c>
      <c r="O73" s="0">
        <f>INPUT_PRODUCT!B7</f>
        <v/>
      </c>
      <c r="P73" s="0">
        <f>INPUT_PRODUCT!B9</f>
        <v/>
      </c>
    </row>
    <row r="74" ht="15.75" customHeight="1" s="125">
      <c r="A74" s="62">
        <f>INPUT_PRODUCT!B1</f>
        <v/>
      </c>
      <c r="B74" s="62">
        <f>INPUT_PRODUCT!B2</f>
        <v/>
      </c>
      <c r="C74" s="62">
        <f>INPUT_PRODUCT!B6</f>
        <v/>
      </c>
      <c r="D74" s="62">
        <f>INPUT_PRODUCT!B5</f>
        <v/>
      </c>
      <c r="E74" s="63">
        <f>IF(PRODUCT_CALCULATION!B63="SI";PRODUCT_CALCULATION!C63;"")</f>
        <v/>
      </c>
      <c r="F74" s="63">
        <f>IF(PRODUCT_CALCULATION!B63="SI";PRODUCT_CALCULATION!E63;"")</f>
        <v/>
      </c>
      <c r="G74" s="0">
        <f>IF(PRODUCT_CALCULATION!B63="SI";PRODUCT_CALCULATION!F63;"")</f>
        <v/>
      </c>
      <c r="H74" s="0">
        <f>IF(PRODUCT_CALCULATION!B63="SI";PRODUCT_CALCULATION!G63;"")</f>
        <v/>
      </c>
      <c r="I74" s="0">
        <f>IF(PRODUCT_CALCULATION!B63="SI";PRODUCT_CALCULATION!S63;"")</f>
        <v/>
      </c>
      <c r="J74" s="0">
        <f>IF(PRODUCT_CALCULATION!B63="SI";PRODUCT_CALCULATION!T63;"")</f>
        <v/>
      </c>
      <c r="K74" s="0">
        <f>CONFIG!$B$2</f>
        <v/>
      </c>
      <c r="L74" s="0">
        <f>IF(PRODUCT_CALCULATION!B63="SI";PRODUCT_CALCULATION!V63;"")</f>
        <v/>
      </c>
      <c r="M74" s="0">
        <f>IF(PRODUCT_CALCULATION!B63="SI";PRODUCT_CALCULATION!W63;"")</f>
        <v/>
      </c>
      <c r="N74" s="0">
        <f>INPUT_PRODUCT!B11</f>
        <v/>
      </c>
      <c r="O74" s="0">
        <f>INPUT_PRODUCT!B7</f>
        <v/>
      </c>
      <c r="P74" s="0">
        <f>INPUT_PRODUCT!B9</f>
        <v/>
      </c>
    </row>
    <row r="75" ht="15.75" customHeight="1" s="125">
      <c r="A75" s="62">
        <f>INPUT_PRODUCT!B1</f>
        <v/>
      </c>
      <c r="B75" s="62">
        <f>INPUT_PRODUCT!B2</f>
        <v/>
      </c>
      <c r="C75" s="62">
        <f>INPUT_PRODUCT!B6</f>
        <v/>
      </c>
      <c r="D75" s="62">
        <f>INPUT_PRODUCT!B5</f>
        <v/>
      </c>
      <c r="E75" s="63">
        <f>IF(PRODUCT_CALCULATION!B64="SI";PRODUCT_CALCULATION!C64;"")</f>
        <v/>
      </c>
      <c r="F75" s="63">
        <f>IF(PRODUCT_CALCULATION!B64="SI";PRODUCT_CALCULATION!E64;"")</f>
        <v/>
      </c>
      <c r="G75" s="0">
        <f>IF(PRODUCT_CALCULATION!B64="SI";PRODUCT_CALCULATION!F64;"")</f>
        <v/>
      </c>
      <c r="H75" s="0">
        <f>IF(PRODUCT_CALCULATION!B64="SI";PRODUCT_CALCULATION!G64;"")</f>
        <v/>
      </c>
      <c r="I75" s="0">
        <f>IF(PRODUCT_CALCULATION!B64="SI";PRODUCT_CALCULATION!S64;"")</f>
        <v/>
      </c>
      <c r="J75" s="0">
        <f>IF(PRODUCT_CALCULATION!B64="SI";PRODUCT_CALCULATION!T64;"")</f>
        <v/>
      </c>
      <c r="K75" s="0">
        <f>CONFIG!$B$2</f>
        <v/>
      </c>
      <c r="L75" s="0">
        <f>IF(PRODUCT_CALCULATION!B64="SI";PRODUCT_CALCULATION!V64;"")</f>
        <v/>
      </c>
      <c r="M75" s="0">
        <f>IF(PRODUCT_CALCULATION!B64="SI";PRODUCT_CALCULATION!W64;"")</f>
        <v/>
      </c>
      <c r="N75" s="0">
        <f>INPUT_PRODUCT!B11</f>
        <v/>
      </c>
      <c r="O75" s="0">
        <f>INPUT_PRODUCT!B7</f>
        <v/>
      </c>
      <c r="P75" s="0">
        <f>INPUT_PRODUCT!B9</f>
        <v/>
      </c>
    </row>
    <row r="76" ht="15.75" customHeight="1" s="125">
      <c r="A76" s="62">
        <f>INPUT_PRODUCT!B1</f>
        <v/>
      </c>
      <c r="B76" s="62">
        <f>INPUT_PRODUCT!B2</f>
        <v/>
      </c>
      <c r="C76" s="62">
        <f>INPUT_PRODUCT!B6</f>
        <v/>
      </c>
      <c r="D76" s="62">
        <f>INPUT_PRODUCT!B5</f>
        <v/>
      </c>
      <c r="E76" s="63">
        <f>IF(PRODUCT_CALCULATION!B65="SI";PRODUCT_CALCULATION!C65;"")</f>
        <v/>
      </c>
      <c r="F76" s="63">
        <f>IF(PRODUCT_CALCULATION!B65="SI";PRODUCT_CALCULATION!E65;"")</f>
        <v/>
      </c>
      <c r="G76" s="0">
        <f>IF(PRODUCT_CALCULATION!B65="SI";PRODUCT_CALCULATION!F65;"")</f>
        <v/>
      </c>
      <c r="H76" s="0">
        <f>IF(PRODUCT_CALCULATION!B65="SI";PRODUCT_CALCULATION!G65;"")</f>
        <v/>
      </c>
      <c r="I76" s="0">
        <f>IF(PRODUCT_CALCULATION!B65="SI";PRODUCT_CALCULATION!S65;"")</f>
        <v/>
      </c>
      <c r="J76" s="0">
        <f>IF(PRODUCT_CALCULATION!B65="SI";PRODUCT_CALCULATION!T65;"")</f>
        <v/>
      </c>
      <c r="K76" s="0">
        <f>CONFIG!$B$2</f>
        <v/>
      </c>
      <c r="L76" s="0">
        <f>IF(PRODUCT_CALCULATION!B65="SI";PRODUCT_CALCULATION!V65;"")</f>
        <v/>
      </c>
      <c r="M76" s="0">
        <f>IF(PRODUCT_CALCULATION!B65="SI";PRODUCT_CALCULATION!W65;"")</f>
        <v/>
      </c>
      <c r="N76" s="0">
        <f>INPUT_PRODUCT!B11</f>
        <v/>
      </c>
      <c r="O76" s="0">
        <f>INPUT_PRODUCT!B7</f>
        <v/>
      </c>
      <c r="P76" s="0">
        <f>INPUT_PRODUCT!B9</f>
        <v/>
      </c>
    </row>
    <row r="77" ht="15.75" customHeight="1" s="125">
      <c r="A77" s="62">
        <f>INPUT_PRODUCT!B1</f>
        <v/>
      </c>
      <c r="B77" s="62">
        <f>INPUT_PRODUCT!B2</f>
        <v/>
      </c>
      <c r="C77" s="62">
        <f>INPUT_PRODUCT!B6</f>
        <v/>
      </c>
      <c r="D77" s="62">
        <f>INPUT_PRODUCT!B5</f>
        <v/>
      </c>
      <c r="E77" s="63">
        <f>IF(PRODUCT_CALCULATION!B66="SI";PRODUCT_CALCULATION!C66;"")</f>
        <v/>
      </c>
      <c r="F77" s="63">
        <f>IF(PRODUCT_CALCULATION!B66="SI";PRODUCT_CALCULATION!E66;"")</f>
        <v/>
      </c>
      <c r="G77" s="0">
        <f>IF(PRODUCT_CALCULATION!B66="SI";PRODUCT_CALCULATION!F66;"")</f>
        <v/>
      </c>
      <c r="H77" s="0">
        <f>IF(PRODUCT_CALCULATION!B66="SI";PRODUCT_CALCULATION!G66;"")</f>
        <v/>
      </c>
      <c r="I77" s="0">
        <f>IF(PRODUCT_CALCULATION!B66="SI";PRODUCT_CALCULATION!S66;"")</f>
        <v/>
      </c>
      <c r="J77" s="0">
        <f>IF(PRODUCT_CALCULATION!B66="SI";PRODUCT_CALCULATION!T66;"")</f>
        <v/>
      </c>
      <c r="K77" s="0">
        <f>CONFIG!$B$2</f>
        <v/>
      </c>
      <c r="L77" s="0">
        <f>IF(PRODUCT_CALCULATION!B66="SI";PRODUCT_CALCULATION!V66;"")</f>
        <v/>
      </c>
      <c r="M77" s="0">
        <f>IF(PRODUCT_CALCULATION!B66="SI";PRODUCT_CALCULATION!W66;"")</f>
        <v/>
      </c>
      <c r="N77" s="0">
        <f>INPUT_PRODUCT!B11</f>
        <v/>
      </c>
      <c r="O77" s="0">
        <f>INPUT_PRODUCT!B7</f>
        <v/>
      </c>
      <c r="P77" s="0">
        <f>INPUT_PRODUCT!B9</f>
        <v/>
      </c>
    </row>
    <row r="78" ht="15.75" customHeight="1" s="125">
      <c r="A78" s="62">
        <f>INPUT_PRODUCT!B1</f>
        <v/>
      </c>
      <c r="B78" s="62">
        <f>INPUT_PRODUCT!B2</f>
        <v/>
      </c>
      <c r="C78" s="62">
        <f>INPUT_PRODUCT!B6</f>
        <v/>
      </c>
      <c r="D78" s="62">
        <f>INPUT_PRODUCT!B5</f>
        <v/>
      </c>
      <c r="E78" s="63">
        <f>IF(PRODUCT_CALCULATION!B67="SI";PRODUCT_CALCULATION!C67;"")</f>
        <v/>
      </c>
      <c r="F78" s="63">
        <f>IF(PRODUCT_CALCULATION!B67="SI";PRODUCT_CALCULATION!E67;"")</f>
        <v/>
      </c>
      <c r="G78" s="0">
        <f>IF(PRODUCT_CALCULATION!B67="SI";PRODUCT_CALCULATION!F67;"")</f>
        <v/>
      </c>
      <c r="H78" s="0">
        <f>IF(PRODUCT_CALCULATION!B67="SI";PRODUCT_CALCULATION!G67;"")</f>
        <v/>
      </c>
      <c r="I78" s="0">
        <f>IF(PRODUCT_CALCULATION!B67="SI";PRODUCT_CALCULATION!S67;"")</f>
        <v/>
      </c>
      <c r="J78" s="0">
        <f>IF(PRODUCT_CALCULATION!B67="SI";PRODUCT_CALCULATION!T67;"")</f>
        <v/>
      </c>
      <c r="K78" s="0">
        <f>CONFIG!$B$2</f>
        <v/>
      </c>
      <c r="L78" s="0">
        <f>IF(PRODUCT_CALCULATION!B67="SI";PRODUCT_CALCULATION!V67;"")</f>
        <v/>
      </c>
      <c r="M78" s="0">
        <f>IF(PRODUCT_CALCULATION!B67="SI";PRODUCT_CALCULATION!W67;"")</f>
        <v/>
      </c>
      <c r="N78" s="0">
        <f>INPUT_PRODUCT!B11</f>
        <v/>
      </c>
      <c r="O78" s="0">
        <f>INPUT_PRODUCT!B7</f>
        <v/>
      </c>
      <c r="P78" s="0">
        <f>INPUT_PRODUCT!B9</f>
        <v/>
      </c>
    </row>
    <row r="79" ht="15.75" customHeight="1" s="125">
      <c r="A79" s="62">
        <f>INPUT_PRODUCT!B1</f>
        <v/>
      </c>
      <c r="B79" s="62">
        <f>INPUT_PRODUCT!B2</f>
        <v/>
      </c>
      <c r="C79" s="62">
        <f>INPUT_PRODUCT!B6</f>
        <v/>
      </c>
      <c r="D79" s="62">
        <f>INPUT_PRODUCT!B5</f>
        <v/>
      </c>
      <c r="E79" s="63">
        <f>IF(PRODUCT_CALCULATION!B68="SI";PRODUCT_CALCULATION!C68;"")</f>
        <v/>
      </c>
      <c r="F79" s="63">
        <f>IF(PRODUCT_CALCULATION!B68="SI";PRODUCT_CALCULATION!E68;"")</f>
        <v/>
      </c>
      <c r="G79" s="0">
        <f>IF(PRODUCT_CALCULATION!B68="SI";PRODUCT_CALCULATION!F68;"")</f>
        <v/>
      </c>
      <c r="H79" s="0">
        <f>IF(PRODUCT_CALCULATION!B68="SI";PRODUCT_CALCULATION!G68;"")</f>
        <v/>
      </c>
      <c r="I79" s="0">
        <f>IF(PRODUCT_CALCULATION!B68="SI";PRODUCT_CALCULATION!S68;"")</f>
        <v/>
      </c>
      <c r="J79" s="0">
        <f>IF(PRODUCT_CALCULATION!B68="SI";PRODUCT_CALCULATION!T68;"")</f>
        <v/>
      </c>
      <c r="K79" s="0">
        <f>CONFIG!$B$2</f>
        <v/>
      </c>
      <c r="L79" s="0">
        <f>IF(PRODUCT_CALCULATION!B68="SI";PRODUCT_CALCULATION!V68;"")</f>
        <v/>
      </c>
      <c r="M79" s="0">
        <f>IF(PRODUCT_CALCULATION!B68="SI";PRODUCT_CALCULATION!W68;"")</f>
        <v/>
      </c>
      <c r="N79" s="0">
        <f>INPUT_PRODUCT!B11</f>
        <v/>
      </c>
      <c r="O79" s="0">
        <f>INPUT_PRODUCT!B7</f>
        <v/>
      </c>
      <c r="P79" s="0">
        <f>INPUT_PRODUCT!B9</f>
        <v/>
      </c>
    </row>
    <row r="80" ht="15.75" customHeight="1" s="125">
      <c r="A80" s="62">
        <f>INPUT_PRODUCT!B1</f>
        <v/>
      </c>
      <c r="B80" s="62">
        <f>INPUT_PRODUCT!B2</f>
        <v/>
      </c>
      <c r="C80" s="62">
        <f>INPUT_PRODUCT!B6</f>
        <v/>
      </c>
      <c r="D80" s="62">
        <f>INPUT_PRODUCT!B5</f>
        <v/>
      </c>
      <c r="E80" s="63">
        <f>IF(PRODUCT_CALCULATION!B69="SI";PRODUCT_CALCULATION!C69;"")</f>
        <v/>
      </c>
      <c r="F80" s="63">
        <f>IF(PRODUCT_CALCULATION!B69="SI";PRODUCT_CALCULATION!E69;"")</f>
        <v/>
      </c>
      <c r="G80" s="0">
        <f>IF(PRODUCT_CALCULATION!B69="SI";PRODUCT_CALCULATION!F69;"")</f>
        <v/>
      </c>
      <c r="H80" s="0">
        <f>IF(PRODUCT_CALCULATION!B69="SI";PRODUCT_CALCULATION!G69;"")</f>
        <v/>
      </c>
      <c r="I80" s="0">
        <f>IF(PRODUCT_CALCULATION!B69="SI";PRODUCT_CALCULATION!S69;"")</f>
        <v/>
      </c>
      <c r="J80" s="0">
        <f>IF(PRODUCT_CALCULATION!B69="SI";PRODUCT_CALCULATION!T69;"")</f>
        <v/>
      </c>
      <c r="K80" s="0">
        <f>CONFIG!$B$2</f>
        <v/>
      </c>
      <c r="L80" s="0">
        <f>IF(PRODUCT_CALCULATION!B69="SI";PRODUCT_CALCULATION!V69;"")</f>
        <v/>
      </c>
      <c r="M80" s="0">
        <f>IF(PRODUCT_CALCULATION!B69="SI";PRODUCT_CALCULATION!W69;"")</f>
        <v/>
      </c>
      <c r="N80" s="0">
        <f>INPUT_PRODUCT!B11</f>
        <v/>
      </c>
      <c r="O80" s="0">
        <f>INPUT_PRODUCT!B7</f>
        <v/>
      </c>
      <c r="P80" s="0">
        <f>INPUT_PRODUCT!B9</f>
        <v/>
      </c>
    </row>
    <row r="81" ht="15.75" customHeight="1" s="125">
      <c r="A81" s="62">
        <f>INPUT_PRODUCT!B1</f>
        <v/>
      </c>
      <c r="B81" s="62">
        <f>INPUT_PRODUCT!B2</f>
        <v/>
      </c>
      <c r="C81" s="62">
        <f>INPUT_PRODUCT!B6</f>
        <v/>
      </c>
      <c r="D81" s="62">
        <f>INPUT_PRODUCT!B5</f>
        <v/>
      </c>
      <c r="E81" s="63">
        <f>IF(PRODUCT_CALCULATION!B70="SI";PRODUCT_CALCULATION!C70;"")</f>
        <v/>
      </c>
      <c r="F81" s="63">
        <f>IF(PRODUCT_CALCULATION!B70="SI";PRODUCT_CALCULATION!E70;"")</f>
        <v/>
      </c>
      <c r="G81" s="0">
        <f>IF(PRODUCT_CALCULATION!B70="SI";PRODUCT_CALCULATION!F70;"")</f>
        <v/>
      </c>
      <c r="H81" s="0">
        <f>IF(PRODUCT_CALCULATION!B70="SI";PRODUCT_CALCULATION!G70;"")</f>
        <v/>
      </c>
      <c r="I81" s="0">
        <f>IF(PRODUCT_CALCULATION!B70="SI";PRODUCT_CALCULATION!S70;"")</f>
        <v/>
      </c>
      <c r="J81" s="0">
        <f>IF(PRODUCT_CALCULATION!B70="SI";PRODUCT_CALCULATION!T70;"")</f>
        <v/>
      </c>
      <c r="K81" s="0">
        <f>CONFIG!$B$2</f>
        <v/>
      </c>
      <c r="L81" s="0">
        <f>IF(PRODUCT_CALCULATION!B70="SI";PRODUCT_CALCULATION!V70;"")</f>
        <v/>
      </c>
      <c r="M81" s="0">
        <f>IF(PRODUCT_CALCULATION!B70="SI";PRODUCT_CALCULATION!W70;"")</f>
        <v/>
      </c>
      <c r="N81" s="0">
        <f>INPUT_PRODUCT!B11</f>
        <v/>
      </c>
      <c r="O81" s="0">
        <f>INPUT_PRODUCT!B7</f>
        <v/>
      </c>
      <c r="P81" s="0">
        <f>INPUT_PRODUCT!B9</f>
        <v/>
      </c>
    </row>
    <row r="82" ht="15.75" customHeight="1" s="125">
      <c r="A82" s="62">
        <f>INPUT_PRODUCT!B1</f>
        <v/>
      </c>
      <c r="B82" s="62">
        <f>INPUT_PRODUCT!B2</f>
        <v/>
      </c>
      <c r="C82" s="62">
        <f>INPUT_PRODUCT!B6</f>
        <v/>
      </c>
      <c r="D82" s="62">
        <f>INPUT_PRODUCT!B5</f>
        <v/>
      </c>
      <c r="E82" s="63">
        <f>IF(PRODUCT_CALCULATION!B71="SI";PRODUCT_CALCULATION!C71;"")</f>
        <v/>
      </c>
      <c r="F82" s="63">
        <f>IF(PRODUCT_CALCULATION!B71="SI";PRODUCT_CALCULATION!E71;"")</f>
        <v/>
      </c>
      <c r="G82" s="0">
        <f>IF(PRODUCT_CALCULATION!B71="SI";PRODUCT_CALCULATION!F71;"")</f>
        <v/>
      </c>
      <c r="H82" s="0">
        <f>IF(PRODUCT_CALCULATION!B71="SI";PRODUCT_CALCULATION!G71;"")</f>
        <v/>
      </c>
      <c r="I82" s="0">
        <f>IF(PRODUCT_CALCULATION!B71="SI";PRODUCT_CALCULATION!S71;"")</f>
        <v/>
      </c>
      <c r="J82" s="0">
        <f>IF(PRODUCT_CALCULATION!B71="SI";PRODUCT_CALCULATION!T71;"")</f>
        <v/>
      </c>
      <c r="K82" s="0">
        <f>CONFIG!$B$2</f>
        <v/>
      </c>
      <c r="L82" s="0">
        <f>IF(PRODUCT_CALCULATION!B71="SI";PRODUCT_CALCULATION!V71;"")</f>
        <v/>
      </c>
      <c r="M82" s="0">
        <f>IF(PRODUCT_CALCULATION!B71="SI";PRODUCT_CALCULATION!W71;"")</f>
        <v/>
      </c>
      <c r="N82" s="0">
        <f>INPUT_PRODUCT!B11</f>
        <v/>
      </c>
      <c r="O82" s="0">
        <f>INPUT_PRODUCT!B7</f>
        <v/>
      </c>
      <c r="P82" s="0">
        <f>INPUT_PRODUCT!B9</f>
        <v/>
      </c>
    </row>
    <row r="83" ht="15.75" customHeight="1" s="125">
      <c r="A83" s="62">
        <f>INPUT_PRODUCT!B1</f>
        <v/>
      </c>
      <c r="B83" s="62">
        <f>INPUT_PRODUCT!B2</f>
        <v/>
      </c>
      <c r="C83" s="62">
        <f>INPUT_PRODUCT!B6</f>
        <v/>
      </c>
      <c r="D83" s="62">
        <f>INPUT_PRODUCT!B5</f>
        <v/>
      </c>
      <c r="E83" s="63">
        <f>IF(PRODUCT_CALCULATION!B72="SI";PRODUCT_CALCULATION!C72;"")</f>
        <v/>
      </c>
      <c r="F83" s="63">
        <f>IF(PRODUCT_CALCULATION!B72="SI";PRODUCT_CALCULATION!E72;"")</f>
        <v/>
      </c>
      <c r="G83" s="0">
        <f>IF(PRODUCT_CALCULATION!B72="SI";PRODUCT_CALCULATION!F72;"")</f>
        <v/>
      </c>
      <c r="H83" s="0">
        <f>IF(PRODUCT_CALCULATION!B72="SI";PRODUCT_CALCULATION!G72;"")</f>
        <v/>
      </c>
      <c r="I83" s="0">
        <f>IF(PRODUCT_CALCULATION!B72="SI";PRODUCT_CALCULATION!S72;"")</f>
        <v/>
      </c>
      <c r="J83" s="0">
        <f>IF(PRODUCT_CALCULATION!B72="SI";PRODUCT_CALCULATION!T72;"")</f>
        <v/>
      </c>
      <c r="K83" s="0">
        <f>CONFIG!$B$2</f>
        <v/>
      </c>
      <c r="L83" s="0">
        <f>IF(PRODUCT_CALCULATION!B72="SI";PRODUCT_CALCULATION!V72;"")</f>
        <v/>
      </c>
      <c r="M83" s="0">
        <f>IF(PRODUCT_CALCULATION!B72="SI";PRODUCT_CALCULATION!W72;"")</f>
        <v/>
      </c>
      <c r="N83" s="0">
        <f>INPUT_PRODUCT!B11</f>
        <v/>
      </c>
      <c r="O83" s="0">
        <f>INPUT_PRODUCT!B7</f>
        <v/>
      </c>
      <c r="P83" s="0">
        <f>INPUT_PRODUCT!B9</f>
        <v/>
      </c>
    </row>
    <row r="84" ht="15.75" customHeight="1" s="125">
      <c r="A84" s="62">
        <f>INPUT_PRODUCT!B1</f>
        <v/>
      </c>
      <c r="B84" s="62">
        <f>INPUT_PRODUCT!B2</f>
        <v/>
      </c>
      <c r="C84" s="62">
        <f>INPUT_PRODUCT!B6</f>
        <v/>
      </c>
      <c r="D84" s="62">
        <f>INPUT_PRODUCT!B5</f>
        <v/>
      </c>
      <c r="E84" s="63">
        <f>IF(PRODUCT_CALCULATION!B73="SI";PRODUCT_CALCULATION!C73;"")</f>
        <v/>
      </c>
      <c r="F84" s="63">
        <f>IF(PRODUCT_CALCULATION!B73="SI";PRODUCT_CALCULATION!E73;"")</f>
        <v/>
      </c>
      <c r="G84" s="0">
        <f>IF(PRODUCT_CALCULATION!B73="SI";PRODUCT_CALCULATION!F73;"")</f>
        <v/>
      </c>
      <c r="H84" s="0">
        <f>IF(PRODUCT_CALCULATION!B73="SI";PRODUCT_CALCULATION!G73;"")</f>
        <v/>
      </c>
      <c r="I84" s="0">
        <f>IF(PRODUCT_CALCULATION!B73="SI";PRODUCT_CALCULATION!S73;"")</f>
        <v/>
      </c>
      <c r="J84" s="0">
        <f>IF(PRODUCT_CALCULATION!B73="SI";PRODUCT_CALCULATION!T73;"")</f>
        <v/>
      </c>
      <c r="K84" s="0">
        <f>CONFIG!$B$2</f>
        <v/>
      </c>
      <c r="L84" s="0">
        <f>IF(PRODUCT_CALCULATION!B73="SI";PRODUCT_CALCULATION!V73;"")</f>
        <v/>
      </c>
      <c r="M84" s="0">
        <f>IF(PRODUCT_CALCULATION!B73="SI";PRODUCT_CALCULATION!W73;"")</f>
        <v/>
      </c>
      <c r="N84" s="0">
        <f>INPUT_PRODUCT!B11</f>
        <v/>
      </c>
      <c r="O84" s="0">
        <f>INPUT_PRODUCT!B7</f>
        <v/>
      </c>
      <c r="P84" s="0">
        <f>INPUT_PRODUCT!B9</f>
        <v/>
      </c>
    </row>
    <row r="85" ht="15.75" customHeight="1" s="125">
      <c r="A85" s="62">
        <f>INPUT_PRODUCT!B1</f>
        <v/>
      </c>
      <c r="B85" s="62">
        <f>INPUT_PRODUCT!B2</f>
        <v/>
      </c>
      <c r="C85" s="62">
        <f>INPUT_PRODUCT!B6</f>
        <v/>
      </c>
      <c r="D85" s="62">
        <f>INPUT_PRODUCT!B5</f>
        <v/>
      </c>
      <c r="E85" s="63">
        <f>IF(PRODUCT_CALCULATION!B74="SI";PRODUCT_CALCULATION!C74;"")</f>
        <v/>
      </c>
      <c r="F85" s="63">
        <f>IF(PRODUCT_CALCULATION!B74="SI";PRODUCT_CALCULATION!E74;"")</f>
        <v/>
      </c>
      <c r="G85" s="0">
        <f>IF(PRODUCT_CALCULATION!B74="SI";PRODUCT_CALCULATION!F74;"")</f>
        <v/>
      </c>
      <c r="H85" s="0">
        <f>IF(PRODUCT_CALCULATION!B74="SI";PRODUCT_CALCULATION!G74;"")</f>
        <v/>
      </c>
      <c r="I85" s="0">
        <f>IF(PRODUCT_CALCULATION!B74="SI";PRODUCT_CALCULATION!S74;"")</f>
        <v/>
      </c>
      <c r="J85" s="0">
        <f>IF(PRODUCT_CALCULATION!B74="SI";PRODUCT_CALCULATION!T74;"")</f>
        <v/>
      </c>
      <c r="K85" s="0">
        <f>CONFIG!$B$2</f>
        <v/>
      </c>
      <c r="L85" s="0">
        <f>IF(PRODUCT_CALCULATION!B74="SI";PRODUCT_CALCULATION!V74;"")</f>
        <v/>
      </c>
      <c r="M85" s="0">
        <f>IF(PRODUCT_CALCULATION!B74="SI";PRODUCT_CALCULATION!W74;"")</f>
        <v/>
      </c>
      <c r="N85" s="0">
        <f>INPUT_PRODUCT!B11</f>
        <v/>
      </c>
      <c r="O85" s="0">
        <f>INPUT_PRODUCT!B7</f>
        <v/>
      </c>
      <c r="P85" s="0">
        <f>INPUT_PRODUCT!B9</f>
        <v/>
      </c>
    </row>
    <row r="86" ht="15.75" customHeight="1" s="125">
      <c r="A86" s="62">
        <f>INPUT_PRODUCT!B1</f>
        <v/>
      </c>
      <c r="B86" s="62">
        <f>INPUT_PRODUCT!B2</f>
        <v/>
      </c>
      <c r="C86" s="62">
        <f>INPUT_PRODUCT!B6</f>
        <v/>
      </c>
      <c r="D86" s="62">
        <f>INPUT_PRODUCT!B5</f>
        <v/>
      </c>
      <c r="E86" s="63">
        <f>IF(PRODUCT_CALCULATION!B75="SI";PRODUCT_CALCULATION!C75;"")</f>
        <v/>
      </c>
      <c r="F86" s="63">
        <f>IF(PRODUCT_CALCULATION!B75="SI";PRODUCT_CALCULATION!E75;"")</f>
        <v/>
      </c>
      <c r="G86" s="0">
        <f>IF(PRODUCT_CALCULATION!B75="SI";PRODUCT_CALCULATION!F75;"")</f>
        <v/>
      </c>
      <c r="H86" s="0">
        <f>IF(PRODUCT_CALCULATION!B75="SI";PRODUCT_CALCULATION!G75;"")</f>
        <v/>
      </c>
      <c r="I86" s="0">
        <f>IF(PRODUCT_CALCULATION!B75="SI";PRODUCT_CALCULATION!S75;"")</f>
        <v/>
      </c>
      <c r="J86" s="0">
        <f>IF(PRODUCT_CALCULATION!B75="SI";PRODUCT_CALCULATION!T75;"")</f>
        <v/>
      </c>
      <c r="K86" s="0">
        <f>CONFIG!$B$2</f>
        <v/>
      </c>
      <c r="L86" s="0">
        <f>IF(PRODUCT_CALCULATION!B75="SI";PRODUCT_CALCULATION!V75;"")</f>
        <v/>
      </c>
      <c r="M86" s="0">
        <f>IF(PRODUCT_CALCULATION!B75="SI";PRODUCT_CALCULATION!W75;"")</f>
        <v/>
      </c>
      <c r="N86" s="0">
        <f>INPUT_PRODUCT!B11</f>
        <v/>
      </c>
      <c r="O86" s="0">
        <f>INPUT_PRODUCT!B7</f>
        <v/>
      </c>
      <c r="P86" s="0">
        <f>INPUT_PRODUCT!B9</f>
        <v/>
      </c>
    </row>
    <row r="87" ht="15.75" customHeight="1" s="125">
      <c r="A87" s="62">
        <f>INPUT_PRODUCT!B1</f>
        <v/>
      </c>
      <c r="B87" s="62">
        <f>INPUT_PRODUCT!B2</f>
        <v/>
      </c>
      <c r="C87" s="62">
        <f>INPUT_PRODUCT!B6</f>
        <v/>
      </c>
      <c r="D87" s="62">
        <f>INPUT_PRODUCT!B5</f>
        <v/>
      </c>
      <c r="E87" s="63">
        <f>IF(PRODUCT_CALCULATION!B76="SI";PRODUCT_CALCULATION!C76;"")</f>
        <v/>
      </c>
      <c r="F87" s="63">
        <f>IF(PRODUCT_CALCULATION!B76="SI";PRODUCT_CALCULATION!E76;"")</f>
        <v/>
      </c>
      <c r="G87" s="0">
        <f>IF(PRODUCT_CALCULATION!B76="SI";PRODUCT_CALCULATION!F76;"")</f>
        <v/>
      </c>
      <c r="H87" s="0">
        <f>IF(PRODUCT_CALCULATION!B76="SI";PRODUCT_CALCULATION!G76;"")</f>
        <v/>
      </c>
      <c r="I87" s="0">
        <f>IF(PRODUCT_CALCULATION!B76="SI";PRODUCT_CALCULATION!S76;"")</f>
        <v/>
      </c>
      <c r="J87" s="0">
        <f>IF(PRODUCT_CALCULATION!B76="SI";PRODUCT_CALCULATION!T76;"")</f>
        <v/>
      </c>
      <c r="K87" s="0">
        <f>CONFIG!$B$2</f>
        <v/>
      </c>
      <c r="L87" s="0">
        <f>IF(PRODUCT_CALCULATION!B76="SI";PRODUCT_CALCULATION!V76;"")</f>
        <v/>
      </c>
      <c r="M87" s="0">
        <f>IF(PRODUCT_CALCULATION!B76="SI";PRODUCT_CALCULATION!W76;"")</f>
        <v/>
      </c>
      <c r="N87" s="0">
        <f>INPUT_PRODUCT!B11</f>
        <v/>
      </c>
      <c r="O87" s="0">
        <f>INPUT_PRODUCT!B7</f>
        <v/>
      </c>
      <c r="P87" s="0">
        <f>INPUT_PRODUCT!B9</f>
        <v/>
      </c>
    </row>
    <row r="88" ht="15.75" customHeight="1" s="125">
      <c r="A88" s="62">
        <f>INPUT_PRODUCT!B1</f>
        <v/>
      </c>
      <c r="B88" s="62">
        <f>INPUT_PRODUCT!B2</f>
        <v/>
      </c>
      <c r="C88" s="62">
        <f>INPUT_PRODUCT!B6</f>
        <v/>
      </c>
      <c r="D88" s="62">
        <f>INPUT_PRODUCT!B5</f>
        <v/>
      </c>
      <c r="E88" s="63">
        <f>IF(PRODUCT_CALCULATION!B77="SI";PRODUCT_CALCULATION!C77;"")</f>
        <v/>
      </c>
      <c r="F88" s="63">
        <f>IF(PRODUCT_CALCULATION!B77="SI";PRODUCT_CALCULATION!E77;"")</f>
        <v/>
      </c>
      <c r="G88" s="0">
        <f>IF(PRODUCT_CALCULATION!B77="SI";PRODUCT_CALCULATION!F77;"")</f>
        <v/>
      </c>
      <c r="H88" s="0">
        <f>IF(PRODUCT_CALCULATION!B77="SI";PRODUCT_CALCULATION!G77;"")</f>
        <v/>
      </c>
      <c r="I88" s="0">
        <f>IF(PRODUCT_CALCULATION!B77="SI";PRODUCT_CALCULATION!S77;"")</f>
        <v/>
      </c>
      <c r="J88" s="0">
        <f>IF(PRODUCT_CALCULATION!B77="SI";PRODUCT_CALCULATION!T77;"")</f>
        <v/>
      </c>
      <c r="K88" s="0">
        <f>CONFIG!$B$2</f>
        <v/>
      </c>
      <c r="L88" s="0">
        <f>IF(PRODUCT_CALCULATION!B77="SI";PRODUCT_CALCULATION!V77;"")</f>
        <v/>
      </c>
      <c r="M88" s="0">
        <f>IF(PRODUCT_CALCULATION!B77="SI";PRODUCT_CALCULATION!W77;"")</f>
        <v/>
      </c>
      <c r="N88" s="0">
        <f>INPUT_PRODUCT!B11</f>
        <v/>
      </c>
      <c r="O88" s="0">
        <f>INPUT_PRODUCT!B7</f>
        <v/>
      </c>
      <c r="P88" s="0">
        <f>INPUT_PRODUCT!B9</f>
        <v/>
      </c>
    </row>
    <row r="89" ht="15.75" customHeight="1" s="125">
      <c r="A89" s="62">
        <f>INPUT_PRODUCT!B1</f>
        <v/>
      </c>
      <c r="B89" s="62">
        <f>INPUT_PRODUCT!B2</f>
        <v/>
      </c>
      <c r="C89" s="62">
        <f>INPUT_PRODUCT!B6</f>
        <v/>
      </c>
      <c r="D89" s="62">
        <f>INPUT_PRODUCT!B5</f>
        <v/>
      </c>
      <c r="E89" s="63">
        <f>IF(PRODUCT_CALCULATION!B78="SI";PRODUCT_CALCULATION!C78;"")</f>
        <v/>
      </c>
      <c r="F89" s="63">
        <f>IF(PRODUCT_CALCULATION!B78="SI";PRODUCT_CALCULATION!E78;"")</f>
        <v/>
      </c>
      <c r="G89" s="0">
        <f>IF(PRODUCT_CALCULATION!B78="SI";PRODUCT_CALCULATION!F78;"")</f>
        <v/>
      </c>
      <c r="H89" s="0">
        <f>IF(PRODUCT_CALCULATION!B78="SI";PRODUCT_CALCULATION!G78;"")</f>
        <v/>
      </c>
      <c r="I89" s="0">
        <f>IF(PRODUCT_CALCULATION!B78="SI";PRODUCT_CALCULATION!S78;"")</f>
        <v/>
      </c>
      <c r="J89" s="0">
        <f>IF(PRODUCT_CALCULATION!B78="SI";PRODUCT_CALCULATION!T78;"")</f>
        <v/>
      </c>
      <c r="K89" s="0">
        <f>CONFIG!$B$2</f>
        <v/>
      </c>
      <c r="L89" s="0">
        <f>IF(PRODUCT_CALCULATION!B78="SI";PRODUCT_CALCULATION!V78;"")</f>
        <v/>
      </c>
      <c r="M89" s="0">
        <f>IF(PRODUCT_CALCULATION!B78="SI";PRODUCT_CALCULATION!W78;"")</f>
        <v/>
      </c>
      <c r="N89" s="0">
        <f>INPUT_PRODUCT!B11</f>
        <v/>
      </c>
      <c r="O89" s="0">
        <f>INPUT_PRODUCT!B7</f>
        <v/>
      </c>
      <c r="P89" s="0">
        <f>INPUT_PRODUCT!B9</f>
        <v/>
      </c>
    </row>
    <row r="90" ht="15.75" customHeight="1" s="125">
      <c r="A90" s="62">
        <f>INPUT_PRODUCT!B1</f>
        <v/>
      </c>
      <c r="B90" s="62">
        <f>INPUT_PRODUCT!B2</f>
        <v/>
      </c>
      <c r="C90" s="62">
        <f>INPUT_PRODUCT!B6</f>
        <v/>
      </c>
      <c r="D90" s="62">
        <f>INPUT_PRODUCT!B5</f>
        <v/>
      </c>
      <c r="E90" s="63">
        <f>IF(PRODUCT_CALCULATION!B79="SI";PRODUCT_CALCULATION!C79;"")</f>
        <v/>
      </c>
      <c r="F90" s="63">
        <f>IF(PRODUCT_CALCULATION!B79="SI";PRODUCT_CALCULATION!E79;"")</f>
        <v/>
      </c>
      <c r="G90" s="0">
        <f>IF(PRODUCT_CALCULATION!B79="SI";PRODUCT_CALCULATION!F79;"")</f>
        <v/>
      </c>
      <c r="H90" s="0">
        <f>IF(PRODUCT_CALCULATION!B79="SI";PRODUCT_CALCULATION!G79;"")</f>
        <v/>
      </c>
      <c r="I90" s="0">
        <f>IF(PRODUCT_CALCULATION!B79="SI";PRODUCT_CALCULATION!S79;"")</f>
        <v/>
      </c>
      <c r="J90" s="0">
        <f>IF(PRODUCT_CALCULATION!B79="SI";PRODUCT_CALCULATION!T79;"")</f>
        <v/>
      </c>
      <c r="K90" s="0">
        <f>CONFIG!$B$2</f>
        <v/>
      </c>
      <c r="L90" s="0">
        <f>IF(PRODUCT_CALCULATION!B79="SI";PRODUCT_CALCULATION!V79;"")</f>
        <v/>
      </c>
      <c r="M90" s="0">
        <f>IF(PRODUCT_CALCULATION!B79="SI";PRODUCT_CALCULATION!W79;"")</f>
        <v/>
      </c>
      <c r="N90" s="0">
        <f>INPUT_PRODUCT!B11</f>
        <v/>
      </c>
      <c r="O90" s="0">
        <f>INPUT_PRODUCT!B7</f>
        <v/>
      </c>
      <c r="P90" s="0">
        <f>INPUT_PRODUCT!B9</f>
        <v/>
      </c>
    </row>
    <row r="91" ht="15.75" customHeight="1" s="125">
      <c r="A91" s="62">
        <f>INPUT_PRODUCT!B1</f>
        <v/>
      </c>
      <c r="B91" s="62">
        <f>INPUT_PRODUCT!B2</f>
        <v/>
      </c>
      <c r="C91" s="62">
        <f>INPUT_PRODUCT!B6</f>
        <v/>
      </c>
      <c r="D91" s="62">
        <f>INPUT_PRODUCT!B5</f>
        <v/>
      </c>
      <c r="E91" s="63">
        <f>IF(PRODUCT_CALCULATION!B80="SI";PRODUCT_CALCULATION!C80;"")</f>
        <v/>
      </c>
      <c r="F91" s="63">
        <f>IF(PRODUCT_CALCULATION!B80="SI";PRODUCT_CALCULATION!E80;"")</f>
        <v/>
      </c>
      <c r="G91" s="0">
        <f>IF(PRODUCT_CALCULATION!B80="SI";PRODUCT_CALCULATION!F80;"")</f>
        <v/>
      </c>
      <c r="H91" s="0">
        <f>IF(PRODUCT_CALCULATION!B80="SI";PRODUCT_CALCULATION!G80;"")</f>
        <v/>
      </c>
      <c r="I91" s="0">
        <f>IF(PRODUCT_CALCULATION!B80="SI";PRODUCT_CALCULATION!S80;"")</f>
        <v/>
      </c>
      <c r="J91" s="0">
        <f>IF(PRODUCT_CALCULATION!B80="SI";PRODUCT_CALCULATION!T80;"")</f>
        <v/>
      </c>
      <c r="K91" s="0">
        <f>CONFIG!$B$2</f>
        <v/>
      </c>
      <c r="L91" s="0">
        <f>IF(PRODUCT_CALCULATION!B80="SI";PRODUCT_CALCULATION!V80;"")</f>
        <v/>
      </c>
      <c r="M91" s="0">
        <f>IF(PRODUCT_CALCULATION!B80="SI";PRODUCT_CALCULATION!W80;"")</f>
        <v/>
      </c>
      <c r="N91" s="0">
        <f>INPUT_PRODUCT!B11</f>
        <v/>
      </c>
      <c r="O91" s="0">
        <f>INPUT_PRODUCT!B7</f>
        <v/>
      </c>
      <c r="P91" s="0">
        <f>INPUT_PRODUCT!B9</f>
        <v/>
      </c>
    </row>
    <row r="92" ht="15.75" customHeight="1" s="125">
      <c r="A92" s="62">
        <f>INPUT_PRODUCT!B1</f>
        <v/>
      </c>
      <c r="B92" s="62">
        <f>INPUT_PRODUCT!B2</f>
        <v/>
      </c>
      <c r="C92" s="62">
        <f>INPUT_PRODUCT!B6</f>
        <v/>
      </c>
      <c r="D92" s="62">
        <f>INPUT_PRODUCT!B5</f>
        <v/>
      </c>
      <c r="E92" s="63">
        <f>IF(PRODUCT_CALCULATION!B81="SI";PRODUCT_CALCULATION!C81;"")</f>
        <v/>
      </c>
      <c r="F92" s="63">
        <f>IF(PRODUCT_CALCULATION!B81="SI";PRODUCT_CALCULATION!E81;"")</f>
        <v/>
      </c>
      <c r="G92" s="0">
        <f>IF(PRODUCT_CALCULATION!B81="SI";PRODUCT_CALCULATION!F81;"")</f>
        <v/>
      </c>
      <c r="H92" s="0">
        <f>IF(PRODUCT_CALCULATION!B81="SI";PRODUCT_CALCULATION!G81;"")</f>
        <v/>
      </c>
      <c r="I92" s="0">
        <f>IF(PRODUCT_CALCULATION!B81="SI";PRODUCT_CALCULATION!S81;"")</f>
        <v/>
      </c>
      <c r="J92" s="0">
        <f>IF(PRODUCT_CALCULATION!B81="SI";PRODUCT_CALCULATION!T81;"")</f>
        <v/>
      </c>
      <c r="K92" s="0">
        <f>CONFIG!$B$2</f>
        <v/>
      </c>
      <c r="L92" s="0">
        <f>IF(PRODUCT_CALCULATION!B81="SI";PRODUCT_CALCULATION!V81;"")</f>
        <v/>
      </c>
      <c r="M92" s="0">
        <f>IF(PRODUCT_CALCULATION!B81="SI";PRODUCT_CALCULATION!W81;"")</f>
        <v/>
      </c>
      <c r="N92" s="0">
        <f>INPUT_PRODUCT!B11</f>
        <v/>
      </c>
      <c r="O92" s="0">
        <f>INPUT_PRODUCT!B7</f>
        <v/>
      </c>
      <c r="P92" s="0">
        <f>INPUT_PRODUCT!B9</f>
        <v/>
      </c>
    </row>
    <row r="93" ht="15.75" customHeight="1" s="125">
      <c r="A93" s="62">
        <f>INPUT_PRODUCT!B1</f>
        <v/>
      </c>
      <c r="B93" s="62">
        <f>INPUT_PRODUCT!B2</f>
        <v/>
      </c>
      <c r="C93" s="62">
        <f>INPUT_PRODUCT!B6</f>
        <v/>
      </c>
      <c r="D93" s="62">
        <f>INPUT_PRODUCT!B5</f>
        <v/>
      </c>
      <c r="E93" s="63">
        <f>IF(PRODUCT_CALCULATION!B82="SI";PRODUCT_CALCULATION!C82;"")</f>
        <v/>
      </c>
      <c r="F93" s="63">
        <f>IF(PRODUCT_CALCULATION!B82="SI";PRODUCT_CALCULATION!E82;"")</f>
        <v/>
      </c>
      <c r="G93" s="0">
        <f>IF(PRODUCT_CALCULATION!B82="SI";PRODUCT_CALCULATION!F82;"")</f>
        <v/>
      </c>
      <c r="H93" s="0">
        <f>IF(PRODUCT_CALCULATION!B82="SI";PRODUCT_CALCULATION!G82;"")</f>
        <v/>
      </c>
      <c r="I93" s="0">
        <f>IF(PRODUCT_CALCULATION!B82="SI";PRODUCT_CALCULATION!S82;"")</f>
        <v/>
      </c>
      <c r="J93" s="0">
        <f>IF(PRODUCT_CALCULATION!B82="SI";PRODUCT_CALCULATION!T82;"")</f>
        <v/>
      </c>
      <c r="K93" s="0">
        <f>CONFIG!$B$2</f>
        <v/>
      </c>
      <c r="L93" s="0">
        <f>IF(PRODUCT_CALCULATION!B82="SI";PRODUCT_CALCULATION!V82;"")</f>
        <v/>
      </c>
      <c r="M93" s="0">
        <f>IF(PRODUCT_CALCULATION!B82="SI";PRODUCT_CALCULATION!W82;"")</f>
        <v/>
      </c>
      <c r="N93" s="0">
        <f>INPUT_PRODUCT!B11</f>
        <v/>
      </c>
      <c r="O93" s="0">
        <f>INPUT_PRODUCT!B7</f>
        <v/>
      </c>
      <c r="P93" s="0">
        <f>INPUT_PRODUCT!B9</f>
        <v/>
      </c>
    </row>
    <row r="94" ht="15.75" customHeight="1" s="125">
      <c r="A94" s="62">
        <f>INPUT_PRODUCT!B1</f>
        <v/>
      </c>
      <c r="B94" s="62">
        <f>INPUT_PRODUCT!B2</f>
        <v/>
      </c>
      <c r="C94" s="62">
        <f>INPUT_PRODUCT!B6</f>
        <v/>
      </c>
      <c r="D94" s="62">
        <f>INPUT_PRODUCT!B5</f>
        <v/>
      </c>
      <c r="E94" s="63">
        <f>IF(PRODUCT_CALCULATION!B83="SI";PRODUCT_CALCULATION!C83;"")</f>
        <v/>
      </c>
      <c r="F94" s="63">
        <f>IF(PRODUCT_CALCULATION!B83="SI";PRODUCT_CALCULATION!E83;"")</f>
        <v/>
      </c>
      <c r="G94" s="0">
        <f>IF(PRODUCT_CALCULATION!B83="SI";PRODUCT_CALCULATION!F83;"")</f>
        <v/>
      </c>
      <c r="H94" s="0">
        <f>IF(PRODUCT_CALCULATION!B83="SI";PRODUCT_CALCULATION!G83;"")</f>
        <v/>
      </c>
      <c r="I94" s="0">
        <f>IF(PRODUCT_CALCULATION!B83="SI";PRODUCT_CALCULATION!S83;"")</f>
        <v/>
      </c>
      <c r="J94" s="0">
        <f>IF(PRODUCT_CALCULATION!B83="SI";PRODUCT_CALCULATION!T83;"")</f>
        <v/>
      </c>
      <c r="K94" s="0">
        <f>CONFIG!$B$2</f>
        <v/>
      </c>
      <c r="L94" s="0">
        <f>IF(PRODUCT_CALCULATION!B83="SI";PRODUCT_CALCULATION!V83;"")</f>
        <v/>
      </c>
      <c r="M94" s="0">
        <f>IF(PRODUCT_CALCULATION!B83="SI";PRODUCT_CALCULATION!W83;"")</f>
        <v/>
      </c>
      <c r="N94" s="0">
        <f>INPUT_PRODUCT!B11</f>
        <v/>
      </c>
      <c r="O94" s="0">
        <f>INPUT_PRODUCT!B7</f>
        <v/>
      </c>
      <c r="P94" s="0">
        <f>INPUT_PRODUCT!B9</f>
        <v/>
      </c>
    </row>
    <row r="95" ht="15.75" customHeight="1" s="125">
      <c r="A95" s="62">
        <f>INPUT_PRODUCT!B1</f>
        <v/>
      </c>
      <c r="B95" s="62">
        <f>INPUT_PRODUCT!B2</f>
        <v/>
      </c>
      <c r="C95" s="62">
        <f>INPUT_PRODUCT!B6</f>
        <v/>
      </c>
      <c r="D95" s="62">
        <f>INPUT_PRODUCT!B5</f>
        <v/>
      </c>
      <c r="E95" s="63">
        <f>IF(PRODUCT_CALCULATION!B84="SI";PRODUCT_CALCULATION!C84;"")</f>
        <v/>
      </c>
      <c r="F95" s="63">
        <f>IF(PRODUCT_CALCULATION!B84="SI";PRODUCT_CALCULATION!E84;"")</f>
        <v/>
      </c>
      <c r="G95" s="0">
        <f>IF(PRODUCT_CALCULATION!B84="SI";PRODUCT_CALCULATION!F84;"")</f>
        <v/>
      </c>
      <c r="H95" s="0">
        <f>IF(PRODUCT_CALCULATION!B84="SI";PRODUCT_CALCULATION!G84;"")</f>
        <v/>
      </c>
      <c r="I95" s="0">
        <f>IF(PRODUCT_CALCULATION!B84="SI";PRODUCT_CALCULATION!S84;"")</f>
        <v/>
      </c>
      <c r="J95" s="0">
        <f>IF(PRODUCT_CALCULATION!B84="SI";PRODUCT_CALCULATION!T84;"")</f>
        <v/>
      </c>
      <c r="K95" s="0">
        <f>CONFIG!$B$2</f>
        <v/>
      </c>
      <c r="L95" s="0">
        <f>IF(PRODUCT_CALCULATION!B84="SI";PRODUCT_CALCULATION!V84;"")</f>
        <v/>
      </c>
      <c r="M95" s="0">
        <f>IF(PRODUCT_CALCULATION!B84="SI";PRODUCT_CALCULATION!W84;"")</f>
        <v/>
      </c>
      <c r="N95" s="0">
        <f>INPUT_PRODUCT!B11</f>
        <v/>
      </c>
      <c r="O95" s="0">
        <f>INPUT_PRODUCT!B7</f>
        <v/>
      </c>
      <c r="P95" s="0">
        <f>INPUT_PRODUCT!B9</f>
        <v/>
      </c>
    </row>
    <row r="96" ht="15.75" customHeight="1" s="125">
      <c r="A96" s="62">
        <f>INPUT_PRODUCT!B1</f>
        <v/>
      </c>
      <c r="B96" s="62">
        <f>INPUT_PRODUCT!B2</f>
        <v/>
      </c>
      <c r="C96" s="62">
        <f>INPUT_PRODUCT!B6</f>
        <v/>
      </c>
      <c r="D96" s="62">
        <f>INPUT_PRODUCT!B5</f>
        <v/>
      </c>
      <c r="E96" s="63">
        <f>IF(PRODUCT_CALCULATION!B85="SI";PRODUCT_CALCULATION!C85;"")</f>
        <v/>
      </c>
      <c r="F96" s="63">
        <f>IF(PRODUCT_CALCULATION!B85="SI";PRODUCT_CALCULATION!E85;"")</f>
        <v/>
      </c>
      <c r="G96" s="0">
        <f>IF(PRODUCT_CALCULATION!B85="SI";PRODUCT_CALCULATION!F85;"")</f>
        <v/>
      </c>
      <c r="H96" s="0">
        <f>IF(PRODUCT_CALCULATION!B85="SI";PRODUCT_CALCULATION!G85;"")</f>
        <v/>
      </c>
      <c r="I96" s="0">
        <f>IF(PRODUCT_CALCULATION!B85="SI";PRODUCT_CALCULATION!S85;"")</f>
        <v/>
      </c>
      <c r="J96" s="0">
        <f>IF(PRODUCT_CALCULATION!B85="SI";PRODUCT_CALCULATION!T85;"")</f>
        <v/>
      </c>
      <c r="K96" s="0">
        <f>CONFIG!$B$2</f>
        <v/>
      </c>
      <c r="L96" s="0">
        <f>IF(PRODUCT_CALCULATION!B85="SI";PRODUCT_CALCULATION!V85;"")</f>
        <v/>
      </c>
      <c r="M96" s="0">
        <f>IF(PRODUCT_CALCULATION!B85="SI";PRODUCT_CALCULATION!W85;"")</f>
        <v/>
      </c>
      <c r="N96" s="0">
        <f>INPUT_PRODUCT!B11</f>
        <v/>
      </c>
      <c r="O96" s="0">
        <f>INPUT_PRODUCT!B7</f>
        <v/>
      </c>
      <c r="P96" s="0">
        <f>INPUT_PRODUCT!B9</f>
        <v/>
      </c>
    </row>
    <row r="97" ht="15.75" customHeight="1" s="125">
      <c r="A97" s="62">
        <f>INPUT_PRODUCT!B1</f>
        <v/>
      </c>
      <c r="B97" s="62">
        <f>INPUT_PRODUCT!B2</f>
        <v/>
      </c>
      <c r="C97" s="62">
        <f>INPUT_PRODUCT!B6</f>
        <v/>
      </c>
      <c r="D97" s="62">
        <f>INPUT_PRODUCT!B5</f>
        <v/>
      </c>
      <c r="E97" s="63">
        <f>IF(PRODUCT_CALCULATION!B86="SI";PRODUCT_CALCULATION!C86;"")</f>
        <v/>
      </c>
      <c r="F97" s="63">
        <f>IF(PRODUCT_CALCULATION!B86="SI";PRODUCT_CALCULATION!E86;"")</f>
        <v/>
      </c>
      <c r="G97" s="0">
        <f>IF(PRODUCT_CALCULATION!B86="SI";PRODUCT_CALCULATION!F86;"")</f>
        <v/>
      </c>
      <c r="H97" s="0">
        <f>IF(PRODUCT_CALCULATION!B86="SI";PRODUCT_CALCULATION!G86;"")</f>
        <v/>
      </c>
      <c r="I97" s="0">
        <f>IF(PRODUCT_CALCULATION!B86="SI";PRODUCT_CALCULATION!S86;"")</f>
        <v/>
      </c>
      <c r="J97" s="0">
        <f>IF(PRODUCT_CALCULATION!B86="SI";PRODUCT_CALCULATION!T86;"")</f>
        <v/>
      </c>
      <c r="K97" s="0">
        <f>CONFIG!$B$2</f>
        <v/>
      </c>
      <c r="L97" s="0">
        <f>IF(PRODUCT_CALCULATION!B86="SI";PRODUCT_CALCULATION!V86;"")</f>
        <v/>
      </c>
      <c r="M97" s="0">
        <f>IF(PRODUCT_CALCULATION!B86="SI";PRODUCT_CALCULATION!W86;"")</f>
        <v/>
      </c>
      <c r="N97" s="0">
        <f>INPUT_PRODUCT!B11</f>
        <v/>
      </c>
      <c r="O97" s="0">
        <f>INPUT_PRODUCT!B7</f>
        <v/>
      </c>
      <c r="P97" s="0">
        <f>INPUT_PRODUCT!B9</f>
        <v/>
      </c>
    </row>
    <row r="98" ht="15.75" customHeight="1" s="125">
      <c r="A98" s="62">
        <f>INPUT_PRODUCT!B1</f>
        <v/>
      </c>
      <c r="B98" s="62">
        <f>INPUT_PRODUCT!B2</f>
        <v/>
      </c>
      <c r="C98" s="62">
        <f>INPUT_PRODUCT!B6</f>
        <v/>
      </c>
      <c r="D98" s="62">
        <f>INPUT_PRODUCT!B5</f>
        <v/>
      </c>
      <c r="E98" s="63">
        <f>IF(PRODUCT_CALCULATION!B87="SI";PRODUCT_CALCULATION!C87;"")</f>
        <v/>
      </c>
      <c r="F98" s="63">
        <f>IF(PRODUCT_CALCULATION!B87="SI";PRODUCT_CALCULATION!E87;"")</f>
        <v/>
      </c>
      <c r="G98" s="0">
        <f>IF(PRODUCT_CALCULATION!B87="SI";PRODUCT_CALCULATION!F87;"")</f>
        <v/>
      </c>
      <c r="H98" s="0">
        <f>IF(PRODUCT_CALCULATION!B87="SI";PRODUCT_CALCULATION!G87;"")</f>
        <v/>
      </c>
      <c r="I98" s="0">
        <f>IF(PRODUCT_CALCULATION!B87="SI";PRODUCT_CALCULATION!S87;"")</f>
        <v/>
      </c>
      <c r="J98" s="0">
        <f>IF(PRODUCT_CALCULATION!B87="SI";PRODUCT_CALCULATION!T87;"")</f>
        <v/>
      </c>
      <c r="K98" s="0">
        <f>CONFIG!$B$2</f>
        <v/>
      </c>
      <c r="L98" s="0">
        <f>IF(PRODUCT_CALCULATION!B87="SI";PRODUCT_CALCULATION!V87;"")</f>
        <v/>
      </c>
      <c r="M98" s="0">
        <f>IF(PRODUCT_CALCULATION!B87="SI";PRODUCT_CALCULATION!W87;"")</f>
        <v/>
      </c>
      <c r="N98" s="0">
        <f>INPUT_PRODUCT!B11</f>
        <v/>
      </c>
      <c r="O98" s="0">
        <f>INPUT_PRODUCT!B7</f>
        <v/>
      </c>
      <c r="P98" s="0">
        <f>INPUT_PRODUCT!B9</f>
        <v/>
      </c>
    </row>
    <row r="99" ht="15.75" customHeight="1" s="125">
      <c r="A99" s="62">
        <f>INPUT_PRODUCT!B1</f>
        <v/>
      </c>
      <c r="B99" s="62">
        <f>INPUT_PRODUCT!B2</f>
        <v/>
      </c>
      <c r="C99" s="62">
        <f>INPUT_PRODUCT!B6</f>
        <v/>
      </c>
      <c r="D99" s="62">
        <f>INPUT_PRODUCT!B5</f>
        <v/>
      </c>
      <c r="E99" s="63">
        <f>IF(PRODUCT_CALCULATION!B88="SI";PRODUCT_CALCULATION!C88;"")</f>
        <v/>
      </c>
      <c r="F99" s="63">
        <f>IF(PRODUCT_CALCULATION!B88="SI";PRODUCT_CALCULATION!E88;"")</f>
        <v/>
      </c>
      <c r="G99" s="0">
        <f>IF(PRODUCT_CALCULATION!B88="SI";PRODUCT_CALCULATION!F88;"")</f>
        <v/>
      </c>
      <c r="H99" s="0">
        <f>IF(PRODUCT_CALCULATION!B88="SI";PRODUCT_CALCULATION!G88;"")</f>
        <v/>
      </c>
      <c r="I99" s="0">
        <f>IF(PRODUCT_CALCULATION!B88="SI";PRODUCT_CALCULATION!S88;"")</f>
        <v/>
      </c>
      <c r="J99" s="0">
        <f>IF(PRODUCT_CALCULATION!B88="SI";PRODUCT_CALCULATION!T88;"")</f>
        <v/>
      </c>
      <c r="K99" s="0">
        <f>CONFIG!$B$2</f>
        <v/>
      </c>
      <c r="L99" s="0">
        <f>IF(PRODUCT_CALCULATION!B88="SI";PRODUCT_CALCULATION!V88;"")</f>
        <v/>
      </c>
      <c r="M99" s="0">
        <f>IF(PRODUCT_CALCULATION!B88="SI";PRODUCT_CALCULATION!W88;"")</f>
        <v/>
      </c>
      <c r="N99" s="0">
        <f>INPUT_PRODUCT!B11</f>
        <v/>
      </c>
      <c r="O99" s="0">
        <f>INPUT_PRODUCT!B7</f>
        <v/>
      </c>
      <c r="P99" s="0">
        <f>INPUT_PRODUCT!B9</f>
        <v/>
      </c>
    </row>
    <row r="100" ht="15.75" customHeight="1" s="125">
      <c r="A100" s="62">
        <f>INPUT_PRODUCT!B1</f>
        <v/>
      </c>
      <c r="B100" s="62">
        <f>INPUT_PRODUCT!B2</f>
        <v/>
      </c>
      <c r="C100" s="62">
        <f>INPUT_PRODUCT!B6</f>
        <v/>
      </c>
      <c r="D100" s="62">
        <f>INPUT_PRODUCT!B5</f>
        <v/>
      </c>
      <c r="E100" s="63">
        <f>IF(PRODUCT_CALCULATION!B89="SI";PRODUCT_CALCULATION!C89;"")</f>
        <v/>
      </c>
      <c r="F100" s="63">
        <f>IF(PRODUCT_CALCULATION!B89="SI";PRODUCT_CALCULATION!E89;"")</f>
        <v/>
      </c>
      <c r="G100" s="0">
        <f>IF(PRODUCT_CALCULATION!B89="SI";PRODUCT_CALCULATION!F89;"")</f>
        <v/>
      </c>
      <c r="H100" s="0">
        <f>IF(PRODUCT_CALCULATION!B89="SI";PRODUCT_CALCULATION!G89;"")</f>
        <v/>
      </c>
      <c r="I100" s="0">
        <f>IF(PRODUCT_CALCULATION!B89="SI";PRODUCT_CALCULATION!S89;"")</f>
        <v/>
      </c>
      <c r="J100" s="0">
        <f>IF(PRODUCT_CALCULATION!B89="SI";PRODUCT_CALCULATION!T89;"")</f>
        <v/>
      </c>
      <c r="K100" s="0">
        <f>CONFIG!$B$2</f>
        <v/>
      </c>
      <c r="L100" s="0">
        <f>IF(PRODUCT_CALCULATION!B89="SI";PRODUCT_CALCULATION!V89;"")</f>
        <v/>
      </c>
      <c r="M100" s="0">
        <f>IF(PRODUCT_CALCULATION!B89="SI";PRODUCT_CALCULATION!W89;"")</f>
        <v/>
      </c>
      <c r="N100" s="0">
        <f>INPUT_PRODUCT!B11</f>
        <v/>
      </c>
      <c r="O100" s="0">
        <f>INPUT_PRODUCT!B7</f>
        <v/>
      </c>
      <c r="P100" s="0">
        <f>INPUT_PRODUCT!B9</f>
        <v/>
      </c>
    </row>
    <row r="101" ht="15.75" customHeight="1" s="125">
      <c r="A101" s="62">
        <f>INPUT_PRODUCT!B1</f>
        <v/>
      </c>
      <c r="B101" s="62">
        <f>INPUT_PRODUCT!B2</f>
        <v/>
      </c>
      <c r="C101" s="62">
        <f>INPUT_PRODUCT!B6</f>
        <v/>
      </c>
      <c r="D101" s="62">
        <f>INPUT_PRODUCT!B5</f>
        <v/>
      </c>
      <c r="E101" s="63">
        <f>IF(PRODUCT_CALCULATION!B90="SI";PRODUCT_CALCULATION!C90;"")</f>
        <v/>
      </c>
      <c r="F101" s="63">
        <f>IF(PRODUCT_CALCULATION!B90="SI";PRODUCT_CALCULATION!E90;"")</f>
        <v/>
      </c>
      <c r="G101" s="0">
        <f>IF(PRODUCT_CALCULATION!B90="SI";PRODUCT_CALCULATION!F90;"")</f>
        <v/>
      </c>
      <c r="H101" s="0">
        <f>IF(PRODUCT_CALCULATION!B90="SI";PRODUCT_CALCULATION!G90;"")</f>
        <v/>
      </c>
      <c r="I101" s="0">
        <f>IF(PRODUCT_CALCULATION!B90="SI";PRODUCT_CALCULATION!S90;"")</f>
        <v/>
      </c>
      <c r="J101" s="0">
        <f>IF(PRODUCT_CALCULATION!B90="SI";PRODUCT_CALCULATION!T90;"")</f>
        <v/>
      </c>
      <c r="K101" s="0">
        <f>CONFIG!$B$2</f>
        <v/>
      </c>
      <c r="L101" s="0">
        <f>IF(PRODUCT_CALCULATION!B90="SI";PRODUCT_CALCULATION!V90;"")</f>
        <v/>
      </c>
      <c r="M101" s="0">
        <f>IF(PRODUCT_CALCULATION!B90="SI";PRODUCT_CALCULATION!W90;"")</f>
        <v/>
      </c>
      <c r="N101" s="0">
        <f>INPUT_PRODUCT!B11</f>
        <v/>
      </c>
      <c r="O101" s="0">
        <f>INPUT_PRODUCT!B7</f>
        <v/>
      </c>
      <c r="P101" s="0">
        <f>INPUT_PRODUCT!B9</f>
        <v/>
      </c>
    </row>
    <row r="102" ht="15.75" customHeight="1" s="125">
      <c r="A102" s="62">
        <f>INPUT_PRODUCT!B1</f>
        <v/>
      </c>
      <c r="B102" s="62">
        <f>INPUT_PRODUCT!B2</f>
        <v/>
      </c>
      <c r="C102" s="62">
        <f>INPUT_PRODUCT!B6</f>
        <v/>
      </c>
      <c r="D102" s="62">
        <f>INPUT_PRODUCT!B5</f>
        <v/>
      </c>
      <c r="E102" s="63">
        <f>IF(PRODUCT_CALCULATION!B91="SI";PRODUCT_CALCULATION!C91;"")</f>
        <v/>
      </c>
      <c r="F102" s="63">
        <f>IF(PRODUCT_CALCULATION!B91="SI";PRODUCT_CALCULATION!E91;"")</f>
        <v/>
      </c>
      <c r="G102" s="0">
        <f>IF(PRODUCT_CALCULATION!B91="SI";PRODUCT_CALCULATION!F91;"")</f>
        <v/>
      </c>
      <c r="H102" s="0">
        <f>IF(PRODUCT_CALCULATION!B91="SI";PRODUCT_CALCULATION!G91;"")</f>
        <v/>
      </c>
      <c r="I102" s="0">
        <f>IF(PRODUCT_CALCULATION!B91="SI";PRODUCT_CALCULATION!S91;"")</f>
        <v/>
      </c>
      <c r="J102" s="0">
        <f>IF(PRODUCT_CALCULATION!B91="SI";PRODUCT_CALCULATION!T91;"")</f>
        <v/>
      </c>
      <c r="K102" s="0">
        <f>CONFIG!$B$2</f>
        <v/>
      </c>
      <c r="L102" s="0">
        <f>IF(PRODUCT_CALCULATION!B91="SI";PRODUCT_CALCULATION!V91;"")</f>
        <v/>
      </c>
      <c r="M102" s="0">
        <f>IF(PRODUCT_CALCULATION!B91="SI";PRODUCT_CALCULATION!W91;"")</f>
        <v/>
      </c>
      <c r="N102" s="0">
        <f>INPUT_PRODUCT!B11</f>
        <v/>
      </c>
      <c r="O102" s="0">
        <f>INPUT_PRODUCT!B7</f>
        <v/>
      </c>
      <c r="P102" s="0">
        <f>INPUT_PRODUCT!B9</f>
        <v/>
      </c>
    </row>
    <row r="103" ht="15.75" customHeight="1" s="125">
      <c r="A103" s="62">
        <f>INPUT_PRODUCT!B1</f>
        <v/>
      </c>
      <c r="B103" s="62">
        <f>INPUT_PRODUCT!B2</f>
        <v/>
      </c>
      <c r="C103" s="62">
        <f>INPUT_PRODUCT!B6</f>
        <v/>
      </c>
      <c r="D103" s="62">
        <f>INPUT_PRODUCT!B5</f>
        <v/>
      </c>
      <c r="E103" s="63">
        <f>IF(PRODUCT_CALCULATION!B92="SI";PRODUCT_CALCULATION!C92;"")</f>
        <v/>
      </c>
      <c r="F103" s="63">
        <f>IF(PRODUCT_CALCULATION!B92="SI";PRODUCT_CALCULATION!E92;"")</f>
        <v/>
      </c>
      <c r="G103" s="0">
        <f>IF(PRODUCT_CALCULATION!B92="SI";PRODUCT_CALCULATION!F92;"")</f>
        <v/>
      </c>
      <c r="H103" s="0">
        <f>IF(PRODUCT_CALCULATION!B92="SI";PRODUCT_CALCULATION!G92;"")</f>
        <v/>
      </c>
      <c r="I103" s="0">
        <f>IF(PRODUCT_CALCULATION!B92="SI";PRODUCT_CALCULATION!S92;"")</f>
        <v/>
      </c>
      <c r="J103" s="0">
        <f>IF(PRODUCT_CALCULATION!B92="SI";PRODUCT_CALCULATION!T92;"")</f>
        <v/>
      </c>
      <c r="K103" s="0">
        <f>CONFIG!$B$2</f>
        <v/>
      </c>
      <c r="L103" s="0">
        <f>IF(PRODUCT_CALCULATION!B92="SI";PRODUCT_CALCULATION!V92;"")</f>
        <v/>
      </c>
      <c r="M103" s="0">
        <f>IF(PRODUCT_CALCULATION!B92="SI";PRODUCT_CALCULATION!W92;"")</f>
        <v/>
      </c>
      <c r="N103" s="0">
        <f>INPUT_PRODUCT!B11</f>
        <v/>
      </c>
      <c r="O103" s="0">
        <f>INPUT_PRODUCT!B7</f>
        <v/>
      </c>
      <c r="P103" s="0">
        <f>INPUT_PRODUCT!B9</f>
        <v/>
      </c>
    </row>
    <row r="104" ht="15.75" customHeight="1" s="125">
      <c r="A104" s="62">
        <f>INPUT_PRODUCT!B1</f>
        <v/>
      </c>
      <c r="B104" s="62">
        <f>INPUT_PRODUCT!B2</f>
        <v/>
      </c>
      <c r="C104" s="62">
        <f>INPUT_PRODUCT!B6</f>
        <v/>
      </c>
      <c r="D104" s="62">
        <f>INPUT_PRODUCT!B5</f>
        <v/>
      </c>
      <c r="E104" s="63">
        <f>IF(PRODUCT_CALCULATION!B93="SI";PRODUCT_CALCULATION!C93;"")</f>
        <v/>
      </c>
      <c r="F104" s="63">
        <f>IF(PRODUCT_CALCULATION!B93="SI";PRODUCT_CALCULATION!E93;"")</f>
        <v/>
      </c>
      <c r="G104" s="0">
        <f>IF(PRODUCT_CALCULATION!B93="SI";PRODUCT_CALCULATION!F93;"")</f>
        <v/>
      </c>
      <c r="H104" s="0">
        <f>IF(PRODUCT_CALCULATION!B93="SI";PRODUCT_CALCULATION!G93;"")</f>
        <v/>
      </c>
      <c r="I104" s="0">
        <f>IF(PRODUCT_CALCULATION!B93="SI";PRODUCT_CALCULATION!S93;"")</f>
        <v/>
      </c>
      <c r="J104" s="0">
        <f>IF(PRODUCT_CALCULATION!B93="SI";PRODUCT_CALCULATION!T93;"")</f>
        <v/>
      </c>
      <c r="K104" s="0">
        <f>CONFIG!$B$2</f>
        <v/>
      </c>
      <c r="L104" s="0">
        <f>IF(PRODUCT_CALCULATION!B93="SI";PRODUCT_CALCULATION!V93;"")</f>
        <v/>
      </c>
      <c r="M104" s="0">
        <f>IF(PRODUCT_CALCULATION!B93="SI";PRODUCT_CALCULATION!W93;"")</f>
        <v/>
      </c>
      <c r="N104" s="0">
        <f>INPUT_PRODUCT!B11</f>
        <v/>
      </c>
      <c r="O104" s="0">
        <f>INPUT_PRODUCT!B7</f>
        <v/>
      </c>
      <c r="P104" s="0">
        <f>INPUT_PRODUCT!B9</f>
        <v/>
      </c>
    </row>
    <row r="105" ht="15.75" customHeight="1" s="125">
      <c r="A105" s="62">
        <f>INPUT_PRODUCT!B1</f>
        <v/>
      </c>
      <c r="B105" s="62">
        <f>INPUT_PRODUCT!B2</f>
        <v/>
      </c>
      <c r="C105" s="62">
        <f>INPUT_PRODUCT!B6</f>
        <v/>
      </c>
      <c r="D105" s="62">
        <f>INPUT_PRODUCT!B5</f>
        <v/>
      </c>
      <c r="E105" s="63">
        <f>IF(PRODUCT_CALCULATION!B94="SI";PRODUCT_CALCULATION!C94;"")</f>
        <v/>
      </c>
      <c r="F105" s="63">
        <f>IF(PRODUCT_CALCULATION!B94="SI";PRODUCT_CALCULATION!E94;"")</f>
        <v/>
      </c>
      <c r="G105" s="0">
        <f>IF(PRODUCT_CALCULATION!B94="SI";PRODUCT_CALCULATION!F94;"")</f>
        <v/>
      </c>
      <c r="H105" s="0">
        <f>IF(PRODUCT_CALCULATION!B94="SI";PRODUCT_CALCULATION!G94;"")</f>
        <v/>
      </c>
      <c r="I105" s="0">
        <f>IF(PRODUCT_CALCULATION!B94="SI";PRODUCT_CALCULATION!S94;"")</f>
        <v/>
      </c>
      <c r="J105" s="0">
        <f>IF(PRODUCT_CALCULATION!B94="SI";PRODUCT_CALCULATION!T94;"")</f>
        <v/>
      </c>
      <c r="K105" s="0">
        <f>CONFIG!$B$2</f>
        <v/>
      </c>
      <c r="L105" s="0">
        <f>IF(PRODUCT_CALCULATION!B94="SI";PRODUCT_CALCULATION!V94;"")</f>
        <v/>
      </c>
      <c r="M105" s="0">
        <f>IF(PRODUCT_CALCULATION!B94="SI";PRODUCT_CALCULATION!W94;"")</f>
        <v/>
      </c>
      <c r="N105" s="0">
        <f>INPUT_PRODUCT!B11</f>
        <v/>
      </c>
      <c r="O105" s="0">
        <f>INPUT_PRODUCT!B7</f>
        <v/>
      </c>
      <c r="P105" s="0">
        <f>INPUT_PRODUCT!B9</f>
        <v/>
      </c>
    </row>
    <row r="106" ht="15.75" customHeight="1" s="125">
      <c r="A106" s="62">
        <f>INPUT_PRODUCT!B1</f>
        <v/>
      </c>
      <c r="B106" s="62">
        <f>INPUT_PRODUCT!B2</f>
        <v/>
      </c>
      <c r="C106" s="62">
        <f>INPUT_PRODUCT!B6</f>
        <v/>
      </c>
      <c r="D106" s="62">
        <f>INPUT_PRODUCT!B5</f>
        <v/>
      </c>
      <c r="E106" s="63">
        <f>IF(PRODUCT_CALCULATION!B95="SI";PRODUCT_CALCULATION!C95;"")</f>
        <v/>
      </c>
      <c r="F106" s="63">
        <f>IF(PRODUCT_CALCULATION!B95="SI";PRODUCT_CALCULATION!E95;"")</f>
        <v/>
      </c>
      <c r="G106" s="0">
        <f>IF(PRODUCT_CALCULATION!B95="SI";PRODUCT_CALCULATION!F95;"")</f>
        <v/>
      </c>
      <c r="H106" s="0">
        <f>IF(PRODUCT_CALCULATION!B95="SI";PRODUCT_CALCULATION!G95;"")</f>
        <v/>
      </c>
      <c r="I106" s="0">
        <f>IF(PRODUCT_CALCULATION!B95="SI";PRODUCT_CALCULATION!S95;"")</f>
        <v/>
      </c>
      <c r="J106" s="0">
        <f>IF(PRODUCT_CALCULATION!B95="SI";PRODUCT_CALCULATION!T95;"")</f>
        <v/>
      </c>
      <c r="K106" s="0">
        <f>CONFIG!$B$2</f>
        <v/>
      </c>
      <c r="L106" s="0">
        <f>IF(PRODUCT_CALCULATION!B95="SI";PRODUCT_CALCULATION!V95;"")</f>
        <v/>
      </c>
      <c r="M106" s="0">
        <f>IF(PRODUCT_CALCULATION!B95="SI";PRODUCT_CALCULATION!W95;"")</f>
        <v/>
      </c>
      <c r="N106" s="0">
        <f>INPUT_PRODUCT!B11</f>
        <v/>
      </c>
      <c r="O106" s="0">
        <f>INPUT_PRODUCT!B7</f>
        <v/>
      </c>
      <c r="P106" s="0">
        <f>INPUT_PRODUCT!B9</f>
        <v/>
      </c>
    </row>
    <row r="107" ht="15.75" customHeight="1" s="125">
      <c r="A107" s="62">
        <f>INPUT_PRODUCT!B1</f>
        <v/>
      </c>
      <c r="B107" s="62">
        <f>INPUT_PRODUCT!B2</f>
        <v/>
      </c>
      <c r="C107" s="62">
        <f>INPUT_PRODUCT!B6</f>
        <v/>
      </c>
      <c r="D107" s="62">
        <f>INPUT_PRODUCT!B5</f>
        <v/>
      </c>
      <c r="E107" s="63">
        <f>IF(PRODUCT_CALCULATION!B96="SI";PRODUCT_CALCULATION!C96;"")</f>
        <v/>
      </c>
      <c r="F107" s="63">
        <f>IF(PRODUCT_CALCULATION!B96="SI";PRODUCT_CALCULATION!E96;"")</f>
        <v/>
      </c>
      <c r="G107" s="0">
        <f>IF(PRODUCT_CALCULATION!B96="SI";PRODUCT_CALCULATION!F96;"")</f>
        <v/>
      </c>
      <c r="H107" s="0">
        <f>IF(PRODUCT_CALCULATION!B96="SI";PRODUCT_CALCULATION!G96;"")</f>
        <v/>
      </c>
      <c r="I107" s="0">
        <f>IF(PRODUCT_CALCULATION!B96="SI";PRODUCT_CALCULATION!S96;"")</f>
        <v/>
      </c>
      <c r="J107" s="0">
        <f>IF(PRODUCT_CALCULATION!B96="SI";PRODUCT_CALCULATION!T96;"")</f>
        <v/>
      </c>
      <c r="K107" s="0">
        <f>CONFIG!$B$2</f>
        <v/>
      </c>
      <c r="L107" s="0">
        <f>IF(PRODUCT_CALCULATION!B96="SI";PRODUCT_CALCULATION!V96;"")</f>
        <v/>
      </c>
      <c r="M107" s="0">
        <f>IF(PRODUCT_CALCULATION!B96="SI";PRODUCT_CALCULATION!W96;"")</f>
        <v/>
      </c>
      <c r="N107" s="0">
        <f>INPUT_PRODUCT!B11</f>
        <v/>
      </c>
      <c r="O107" s="0">
        <f>INPUT_PRODUCT!B7</f>
        <v/>
      </c>
      <c r="P107" s="0">
        <f>INPUT_PRODUCT!B9</f>
        <v/>
      </c>
    </row>
    <row r="108" ht="15.75" customHeight="1" s="125">
      <c r="A108" s="62">
        <f>INPUT_PRODUCT!B1</f>
        <v/>
      </c>
      <c r="B108" s="62">
        <f>INPUT_PRODUCT!B2</f>
        <v/>
      </c>
      <c r="C108" s="62">
        <f>INPUT_PRODUCT!B6</f>
        <v/>
      </c>
      <c r="D108" s="62">
        <f>INPUT_PRODUCT!B5</f>
        <v/>
      </c>
      <c r="E108" s="63">
        <f>IF(PRODUCT_CALCULATION!B97="SI";PRODUCT_CALCULATION!C97;"")</f>
        <v/>
      </c>
      <c r="F108" s="63">
        <f>IF(PRODUCT_CALCULATION!B97="SI";PRODUCT_CALCULATION!E97;"")</f>
        <v/>
      </c>
      <c r="G108" s="0">
        <f>IF(PRODUCT_CALCULATION!B97="SI";PRODUCT_CALCULATION!F97;"")</f>
        <v/>
      </c>
      <c r="H108" s="0">
        <f>IF(PRODUCT_CALCULATION!B97="SI";PRODUCT_CALCULATION!G97;"")</f>
        <v/>
      </c>
      <c r="I108" s="0">
        <f>IF(PRODUCT_CALCULATION!B97="SI";PRODUCT_CALCULATION!S97;"")</f>
        <v/>
      </c>
      <c r="J108" s="0">
        <f>IF(PRODUCT_CALCULATION!B97="SI";PRODUCT_CALCULATION!T97;"")</f>
        <v/>
      </c>
      <c r="K108" s="0">
        <f>CONFIG!$B$2</f>
        <v/>
      </c>
      <c r="L108" s="0">
        <f>IF(PRODUCT_CALCULATION!B97="SI";PRODUCT_CALCULATION!V97;"")</f>
        <v/>
      </c>
      <c r="M108" s="0">
        <f>IF(PRODUCT_CALCULATION!B97="SI";PRODUCT_CALCULATION!W97;"")</f>
        <v/>
      </c>
      <c r="N108" s="0">
        <f>INPUT_PRODUCT!B11</f>
        <v/>
      </c>
      <c r="O108" s="0">
        <f>INPUT_PRODUCT!B7</f>
        <v/>
      </c>
      <c r="P108" s="0">
        <f>INPUT_PRODUCT!B9</f>
        <v/>
      </c>
    </row>
    <row r="109" ht="15.75" customHeight="1" s="125">
      <c r="A109" s="62">
        <f>INPUT_PRODUCT!B1</f>
        <v/>
      </c>
      <c r="B109" s="62">
        <f>INPUT_PRODUCT!B2</f>
        <v/>
      </c>
      <c r="C109" s="62">
        <f>INPUT_PRODUCT!B6</f>
        <v/>
      </c>
      <c r="D109" s="62">
        <f>INPUT_PRODUCT!B5</f>
        <v/>
      </c>
      <c r="E109" s="63">
        <f>IF(PRODUCT_CALCULATION!B98="SI";PRODUCT_CALCULATION!C98;"")</f>
        <v/>
      </c>
      <c r="F109" s="63">
        <f>IF(PRODUCT_CALCULATION!B98="SI";PRODUCT_CALCULATION!E98;"")</f>
        <v/>
      </c>
      <c r="G109" s="0">
        <f>IF(PRODUCT_CALCULATION!B98="SI";PRODUCT_CALCULATION!F98;"")</f>
        <v/>
      </c>
      <c r="H109" s="0">
        <f>IF(PRODUCT_CALCULATION!B98="SI";PRODUCT_CALCULATION!G98;"")</f>
        <v/>
      </c>
      <c r="I109" s="0">
        <f>IF(PRODUCT_CALCULATION!B98="SI";PRODUCT_CALCULATION!S98;"")</f>
        <v/>
      </c>
      <c r="J109" s="0">
        <f>IF(PRODUCT_CALCULATION!B98="SI";PRODUCT_CALCULATION!T98;"")</f>
        <v/>
      </c>
      <c r="K109" s="0">
        <f>CONFIG!$B$2</f>
        <v/>
      </c>
      <c r="L109" s="0">
        <f>IF(PRODUCT_CALCULATION!B98="SI";PRODUCT_CALCULATION!V98;"")</f>
        <v/>
      </c>
      <c r="M109" s="0">
        <f>IF(PRODUCT_CALCULATION!B98="SI";PRODUCT_CALCULATION!W98;"")</f>
        <v/>
      </c>
      <c r="N109" s="0">
        <f>INPUT_PRODUCT!B11</f>
        <v/>
      </c>
      <c r="O109" s="0">
        <f>INPUT_PRODUCT!B7</f>
        <v/>
      </c>
      <c r="P109" s="0">
        <f>INPUT_PRODUCT!B9</f>
        <v/>
      </c>
    </row>
    <row r="110" ht="15.75" customHeight="1" s="125">
      <c r="A110" s="62">
        <f>INPUT_PRODUCT!B1</f>
        <v/>
      </c>
      <c r="B110" s="62">
        <f>INPUT_PRODUCT!B2</f>
        <v/>
      </c>
      <c r="C110" s="62">
        <f>INPUT_PRODUCT!B6</f>
        <v/>
      </c>
      <c r="D110" s="62">
        <f>INPUT_PRODUCT!B5</f>
        <v/>
      </c>
      <c r="E110" s="63">
        <f>IF(PRODUCT_CALCULATION!B99="SI";PRODUCT_CALCULATION!C99;"")</f>
        <v/>
      </c>
      <c r="F110" s="63">
        <f>IF(PRODUCT_CALCULATION!B99="SI";PRODUCT_CALCULATION!E99;"")</f>
        <v/>
      </c>
      <c r="G110" s="0">
        <f>IF(PRODUCT_CALCULATION!B99="SI";PRODUCT_CALCULATION!F99;"")</f>
        <v/>
      </c>
      <c r="H110" s="0">
        <f>IF(PRODUCT_CALCULATION!B99="SI";PRODUCT_CALCULATION!G99;"")</f>
        <v/>
      </c>
      <c r="I110" s="0">
        <f>IF(PRODUCT_CALCULATION!B99="SI";PRODUCT_CALCULATION!S99;"")</f>
        <v/>
      </c>
      <c r="J110" s="0">
        <f>IF(PRODUCT_CALCULATION!B99="SI";PRODUCT_CALCULATION!T99;"")</f>
        <v/>
      </c>
      <c r="K110" s="0">
        <f>CONFIG!$B$2</f>
        <v/>
      </c>
      <c r="L110" s="0">
        <f>IF(PRODUCT_CALCULATION!B99="SI";PRODUCT_CALCULATION!V99;"")</f>
        <v/>
      </c>
      <c r="M110" s="0">
        <f>IF(PRODUCT_CALCULATION!B99="SI";PRODUCT_CALCULATION!W99;"")</f>
        <v/>
      </c>
      <c r="N110" s="0">
        <f>INPUT_PRODUCT!B11</f>
        <v/>
      </c>
      <c r="O110" s="0">
        <f>INPUT_PRODUCT!B7</f>
        <v/>
      </c>
      <c r="P110" s="0">
        <f>INPUT_PRODUCT!B9</f>
        <v/>
      </c>
    </row>
    <row r="111" ht="15.75" customHeight="1" s="125">
      <c r="A111" s="62">
        <f>INPUT_PRODUCT!B1</f>
        <v/>
      </c>
      <c r="B111" s="62">
        <f>INPUT_PRODUCT!B2</f>
        <v/>
      </c>
      <c r="C111" s="62">
        <f>INPUT_PRODUCT!B6</f>
        <v/>
      </c>
      <c r="D111" s="62">
        <f>INPUT_PRODUCT!B5</f>
        <v/>
      </c>
      <c r="E111" s="63">
        <f>IF(PRODUCT_CALCULATION!B100="SI";PRODUCT_CALCULATION!C100;"")</f>
        <v/>
      </c>
      <c r="F111" s="63">
        <f>IF(PRODUCT_CALCULATION!B100="SI";PRODUCT_CALCULATION!E100;"")</f>
        <v/>
      </c>
      <c r="G111" s="0">
        <f>IF(PRODUCT_CALCULATION!B100="SI";PRODUCT_CALCULATION!F100;"")</f>
        <v/>
      </c>
      <c r="H111" s="0">
        <f>IF(PRODUCT_CALCULATION!B100="SI";PRODUCT_CALCULATION!G100;"")</f>
        <v/>
      </c>
      <c r="I111" s="0">
        <f>IF(PRODUCT_CALCULATION!B100="SI";PRODUCT_CALCULATION!S100;"")</f>
        <v/>
      </c>
      <c r="J111" s="0">
        <f>IF(PRODUCT_CALCULATION!B100="SI";PRODUCT_CALCULATION!T100;"")</f>
        <v/>
      </c>
      <c r="K111" s="0">
        <f>CONFIG!$B$2</f>
        <v/>
      </c>
      <c r="L111" s="0">
        <f>IF(PRODUCT_CALCULATION!B100="SI";PRODUCT_CALCULATION!V100;"")</f>
        <v/>
      </c>
      <c r="M111" s="0">
        <f>IF(PRODUCT_CALCULATION!B100="SI";PRODUCT_CALCULATION!W100;"")</f>
        <v/>
      </c>
      <c r="N111" s="0">
        <f>INPUT_PRODUCT!B11</f>
        <v/>
      </c>
      <c r="O111" s="0">
        <f>INPUT_PRODUCT!B7</f>
        <v/>
      </c>
      <c r="P111" s="0">
        <f>INPUT_PRODUCT!B9</f>
        <v/>
      </c>
    </row>
    <row r="112" ht="15.75" customHeight="1" s="125">
      <c r="A112" s="62">
        <f>INPUT_PRODUCT!B1</f>
        <v/>
      </c>
      <c r="B112" s="62">
        <f>INPUT_PRODUCT!B2</f>
        <v/>
      </c>
      <c r="C112" s="62">
        <f>INPUT_PRODUCT!B6</f>
        <v/>
      </c>
      <c r="D112" s="62">
        <f>INPUT_PRODUCT!B5</f>
        <v/>
      </c>
      <c r="E112" s="63">
        <f>IF(PRODUCT_CALCULATION!B101="SI";PRODUCT_CALCULATION!C101;"")</f>
        <v/>
      </c>
      <c r="F112" s="63">
        <f>IF(PRODUCT_CALCULATION!B101="SI";PRODUCT_CALCULATION!E101;"")</f>
        <v/>
      </c>
      <c r="G112" s="0">
        <f>IF(PRODUCT_CALCULATION!B101="SI";PRODUCT_CALCULATION!F101;"")</f>
        <v/>
      </c>
      <c r="H112" s="0">
        <f>IF(PRODUCT_CALCULATION!B101="SI";PRODUCT_CALCULATION!G101;"")</f>
        <v/>
      </c>
      <c r="I112" s="0">
        <f>IF(PRODUCT_CALCULATION!B101="SI";PRODUCT_CALCULATION!S101;"")</f>
        <v/>
      </c>
      <c r="J112" s="0">
        <f>IF(PRODUCT_CALCULATION!B101="SI";PRODUCT_CALCULATION!T101;"")</f>
        <v/>
      </c>
      <c r="K112" s="0">
        <f>CONFIG!$B$2</f>
        <v/>
      </c>
      <c r="L112" s="0">
        <f>IF(PRODUCT_CALCULATION!B101="SI";PRODUCT_CALCULATION!V101;"")</f>
        <v/>
      </c>
      <c r="M112" s="0">
        <f>IF(PRODUCT_CALCULATION!B101="SI";PRODUCT_CALCULATION!W101;"")</f>
        <v/>
      </c>
      <c r="N112" s="0">
        <f>INPUT_PRODUCT!B11</f>
        <v/>
      </c>
      <c r="O112" s="0">
        <f>INPUT_PRODUCT!B7</f>
        <v/>
      </c>
      <c r="P112" s="0">
        <f>INPUT_PRODUCT!B9</f>
        <v/>
      </c>
    </row>
    <row r="113" ht="15.75" customHeight="1" s="125">
      <c r="A113" s="62" t="n"/>
      <c r="B113" s="62" t="n"/>
      <c r="C113" s="62" t="n"/>
      <c r="D113" s="62" t="n"/>
      <c r="E113" s="63" t="n"/>
      <c r="F113" s="63" t="n"/>
    </row>
    <row r="114" ht="15.75" customHeight="1" s="125">
      <c r="A114" s="62" t="n"/>
      <c r="B114" s="62" t="n"/>
      <c r="C114" s="62" t="n"/>
      <c r="D114" s="62" t="n"/>
      <c r="E114" s="63" t="n"/>
      <c r="F114" s="63" t="n"/>
    </row>
    <row r="115" ht="15.75" customHeight="1" s="125">
      <c r="A115" s="62" t="n"/>
      <c r="B115" s="62" t="n"/>
      <c r="C115" s="62" t="n"/>
      <c r="D115" s="62" t="n"/>
      <c r="E115" s="63" t="n"/>
      <c r="F115" s="63" t="n"/>
    </row>
    <row r="116" ht="15.75" customHeight="1" s="125">
      <c r="A116" s="62" t="n"/>
      <c r="B116" s="62" t="n"/>
      <c r="C116" s="62" t="n"/>
      <c r="D116" s="62" t="n"/>
      <c r="E116" s="63" t="n"/>
      <c r="F116" s="63" t="n"/>
    </row>
    <row r="117" ht="15.75" customHeight="1" s="125">
      <c r="A117" s="62" t="n"/>
      <c r="B117" s="62" t="n"/>
      <c r="C117" s="62" t="n"/>
      <c r="D117" s="62" t="n"/>
      <c r="E117" s="63" t="n"/>
      <c r="F117" s="63" t="n"/>
    </row>
    <row r="118" ht="15.75" customHeight="1" s="125">
      <c r="A118" s="62" t="n"/>
      <c r="B118" s="62" t="n"/>
      <c r="C118" s="62" t="n"/>
      <c r="D118" s="62" t="n"/>
      <c r="E118" s="63" t="n"/>
      <c r="F118" s="63" t="n"/>
    </row>
    <row r="119" ht="15.75" customHeight="1" s="125">
      <c r="A119" s="62" t="n"/>
      <c r="B119" s="62" t="n"/>
      <c r="C119" s="62" t="n"/>
      <c r="D119" s="62" t="n"/>
      <c r="E119" s="63" t="n"/>
      <c r="F119" s="63" t="n"/>
    </row>
    <row r="120" ht="15.75" customHeight="1" s="125">
      <c r="A120" s="62" t="n"/>
      <c r="B120" s="62" t="n"/>
      <c r="C120" s="62" t="n"/>
      <c r="D120" s="62" t="n"/>
      <c r="E120" s="63" t="n"/>
      <c r="F120" s="63" t="n"/>
    </row>
    <row r="121" ht="15.75" customHeight="1" s="125">
      <c r="A121" s="62" t="n"/>
      <c r="B121" s="62" t="n"/>
      <c r="C121" s="62" t="n"/>
      <c r="D121" s="62" t="n"/>
      <c r="E121" s="63" t="n"/>
      <c r="F121" s="63" t="n"/>
    </row>
    <row r="122" ht="15.75" customHeight="1" s="125">
      <c r="A122" s="62" t="n"/>
      <c r="B122" s="62" t="n"/>
      <c r="C122" s="62" t="n"/>
      <c r="D122" s="62" t="n"/>
      <c r="E122" s="63" t="n"/>
      <c r="F122" s="63" t="n"/>
    </row>
    <row r="123" ht="15.75" customHeight="1" s="125">
      <c r="A123" s="62" t="n"/>
      <c r="B123" s="62" t="n"/>
      <c r="C123" s="62" t="n"/>
      <c r="D123" s="62" t="n"/>
      <c r="E123" s="63" t="n"/>
      <c r="F123" s="63" t="n"/>
    </row>
    <row r="124" ht="15.75" customHeight="1" s="125">
      <c r="A124" s="62" t="n"/>
      <c r="B124" s="62" t="n"/>
      <c r="C124" s="62" t="n"/>
      <c r="D124" s="62" t="n"/>
      <c r="E124" s="63" t="n"/>
      <c r="F124" s="63" t="n"/>
    </row>
    <row r="125" ht="15.75" customHeight="1" s="125">
      <c r="A125" s="62" t="n"/>
      <c r="B125" s="62" t="n"/>
      <c r="C125" s="62" t="n"/>
      <c r="D125" s="62" t="n"/>
      <c r="E125" s="63" t="n"/>
      <c r="F125" s="63" t="n"/>
    </row>
    <row r="126" ht="15.75" customHeight="1" s="125">
      <c r="A126" s="62" t="n"/>
      <c r="B126" s="62" t="n"/>
      <c r="C126" s="62" t="n"/>
      <c r="D126" s="62" t="n"/>
      <c r="E126" s="63" t="n"/>
      <c r="F126" s="63" t="n"/>
    </row>
    <row r="127" ht="15.75" customHeight="1" s="125">
      <c r="A127" s="62" t="n"/>
      <c r="B127" s="62" t="n"/>
      <c r="C127" s="62" t="n"/>
      <c r="D127" s="62" t="n"/>
      <c r="E127" s="63" t="n"/>
      <c r="F127" s="63" t="n"/>
    </row>
    <row r="128" ht="15.75" customHeight="1" s="125">
      <c r="A128" s="62" t="n"/>
      <c r="B128" s="62" t="n"/>
      <c r="C128" s="62" t="n"/>
      <c r="D128" s="62" t="n"/>
      <c r="E128" s="63" t="n"/>
      <c r="F128" s="63" t="n"/>
    </row>
    <row r="129" ht="15.75" customHeight="1" s="125">
      <c r="A129" s="62" t="n"/>
      <c r="B129" s="62" t="n"/>
      <c r="C129" s="62" t="n"/>
      <c r="D129" s="62" t="n"/>
      <c r="E129" s="63" t="n"/>
      <c r="F129" s="63" t="n"/>
    </row>
    <row r="130" ht="15.75" customHeight="1" s="125">
      <c r="A130" s="62" t="n"/>
      <c r="B130" s="62" t="n"/>
      <c r="C130" s="62" t="n"/>
      <c r="D130" s="62" t="n"/>
      <c r="E130" s="63" t="n"/>
      <c r="F130" s="63" t="n"/>
    </row>
    <row r="131" ht="15.75" customHeight="1" s="125">
      <c r="A131" s="62" t="n"/>
      <c r="B131" s="62" t="n"/>
      <c r="C131" s="62" t="n"/>
      <c r="D131" s="62" t="n"/>
      <c r="E131" s="63" t="n"/>
      <c r="F131" s="63" t="n"/>
    </row>
    <row r="132" ht="15.75" customHeight="1" s="125">
      <c r="A132" s="62" t="n"/>
      <c r="B132" s="62" t="n"/>
      <c r="C132" s="62" t="n"/>
      <c r="D132" s="62" t="n"/>
      <c r="E132" s="63" t="n"/>
      <c r="F132" s="63" t="n"/>
    </row>
    <row r="133" ht="15.75" customHeight="1" s="125">
      <c r="A133" s="62" t="n"/>
      <c r="B133" s="62" t="n"/>
      <c r="C133" s="62" t="n"/>
      <c r="D133" s="62" t="n"/>
      <c r="E133" s="63" t="n"/>
      <c r="F133" s="63" t="n"/>
    </row>
    <row r="134" ht="15.75" customHeight="1" s="125">
      <c r="A134" s="62" t="n"/>
      <c r="B134" s="62" t="n"/>
      <c r="C134" s="62" t="n"/>
      <c r="D134" s="62" t="n"/>
      <c r="E134" s="63" t="n"/>
      <c r="F134" s="63" t="n"/>
    </row>
    <row r="135" ht="15.75" customHeight="1" s="125">
      <c r="A135" s="62" t="n"/>
      <c r="B135" s="62" t="n"/>
      <c r="C135" s="62" t="n"/>
      <c r="D135" s="62" t="n"/>
      <c r="E135" s="63" t="n"/>
      <c r="F135" s="63" t="n"/>
    </row>
    <row r="136" ht="15.75" customHeight="1" s="125">
      <c r="A136" s="62" t="n"/>
      <c r="B136" s="62" t="n"/>
      <c r="C136" s="62" t="n"/>
      <c r="D136" s="62" t="n"/>
      <c r="E136" s="63" t="n"/>
      <c r="F136" s="63" t="n"/>
    </row>
    <row r="137" ht="15.75" customHeight="1" s="125">
      <c r="A137" s="62" t="n"/>
      <c r="B137" s="62" t="n"/>
      <c r="C137" s="62" t="n"/>
      <c r="D137" s="62" t="n"/>
      <c r="E137" s="63" t="n"/>
      <c r="F137" s="63" t="n"/>
    </row>
    <row r="138" ht="15.75" customHeight="1" s="125">
      <c r="A138" s="62" t="n"/>
      <c r="B138" s="62" t="n"/>
      <c r="C138" s="62" t="n"/>
      <c r="D138" s="62" t="n"/>
      <c r="E138" s="63" t="n"/>
      <c r="F138" s="63" t="n"/>
    </row>
    <row r="139" ht="15.75" customHeight="1" s="125">
      <c r="A139" s="62" t="n"/>
      <c r="B139" s="62" t="n"/>
      <c r="C139" s="62" t="n"/>
      <c r="D139" s="62" t="n"/>
      <c r="E139" s="63" t="n"/>
      <c r="F139" s="63" t="n"/>
    </row>
    <row r="140" ht="15.75" customHeight="1" s="125">
      <c r="A140" s="62" t="n"/>
      <c r="B140" s="62" t="n"/>
      <c r="C140" s="62" t="n"/>
      <c r="D140" s="62" t="n"/>
      <c r="E140" s="63" t="n"/>
      <c r="F140" s="63" t="n"/>
    </row>
    <row r="141" ht="15.75" customHeight="1" s="125">
      <c r="A141" s="62" t="n"/>
      <c r="B141" s="62" t="n"/>
      <c r="C141" s="62" t="n"/>
      <c r="D141" s="62" t="n"/>
      <c r="E141" s="63" t="n"/>
      <c r="F141" s="63" t="n"/>
    </row>
    <row r="142" ht="15.75" customHeight="1" s="125">
      <c r="A142" s="62" t="n"/>
      <c r="B142" s="62" t="n"/>
      <c r="C142" s="62" t="n"/>
      <c r="D142" s="62" t="n"/>
      <c r="E142" s="63" t="n"/>
      <c r="F142" s="63" t="n"/>
    </row>
    <row r="143" ht="15.75" customHeight="1" s="125">
      <c r="A143" s="62" t="n"/>
      <c r="B143" s="62" t="n"/>
      <c r="C143" s="62" t="n"/>
      <c r="D143" s="62" t="n"/>
      <c r="E143" s="63" t="n"/>
      <c r="F143" s="63" t="n"/>
    </row>
    <row r="144" ht="15.75" customHeight="1" s="125">
      <c r="A144" s="62" t="n"/>
      <c r="B144" s="62" t="n"/>
      <c r="C144" s="62" t="n"/>
      <c r="D144" s="62" t="n"/>
      <c r="E144" s="63" t="n"/>
      <c r="F144" s="63" t="n"/>
    </row>
    <row r="145" ht="15.75" customHeight="1" s="125">
      <c r="A145" s="62" t="n"/>
      <c r="B145" s="62" t="n"/>
      <c r="C145" s="62" t="n"/>
      <c r="D145" s="62" t="n"/>
      <c r="E145" s="63" t="n"/>
      <c r="F145" s="63" t="n"/>
    </row>
    <row r="146" ht="15.75" customHeight="1" s="125">
      <c r="A146" s="62" t="n"/>
      <c r="B146" s="62" t="n"/>
      <c r="C146" s="62" t="n"/>
      <c r="D146" s="62" t="n"/>
      <c r="E146" s="63" t="n"/>
      <c r="F146" s="63" t="n"/>
    </row>
    <row r="147" ht="15.75" customHeight="1" s="125">
      <c r="A147" s="62" t="n"/>
      <c r="B147" s="62" t="n"/>
      <c r="C147" s="62" t="n"/>
      <c r="D147" s="62" t="n"/>
      <c r="E147" s="63" t="n"/>
      <c r="F147" s="63" t="n"/>
    </row>
    <row r="148" ht="15.75" customHeight="1" s="125">
      <c r="A148" s="62" t="n"/>
      <c r="B148" s="62" t="n"/>
      <c r="C148" s="62" t="n"/>
      <c r="D148" s="62" t="n"/>
      <c r="E148" s="63" t="n"/>
      <c r="F148" s="63" t="n"/>
    </row>
    <row r="149" ht="15.75" customHeight="1" s="125">
      <c r="A149" s="62" t="n"/>
      <c r="B149" s="62" t="n"/>
      <c r="C149" s="62" t="n"/>
      <c r="D149" s="62" t="n"/>
      <c r="E149" s="63" t="n"/>
      <c r="F149" s="63" t="n"/>
    </row>
    <row r="150" ht="15.75" customHeight="1" s="125">
      <c r="A150" s="62" t="n"/>
      <c r="B150" s="62" t="n"/>
      <c r="C150" s="62" t="n"/>
      <c r="D150" s="62" t="n"/>
      <c r="E150" s="63" t="n"/>
      <c r="F150" s="63" t="n"/>
    </row>
    <row r="151" ht="15.75" customHeight="1" s="125">
      <c r="A151" s="62" t="n"/>
      <c r="B151" s="62" t="n"/>
      <c r="C151" s="62" t="n"/>
      <c r="D151" s="62" t="n"/>
      <c r="E151" s="63" t="n"/>
      <c r="F151" s="63" t="n"/>
    </row>
    <row r="152" ht="15.75" customHeight="1" s="125">
      <c r="A152" s="62" t="n"/>
      <c r="B152" s="62" t="n"/>
      <c r="C152" s="62" t="n"/>
      <c r="D152" s="62" t="n"/>
      <c r="E152" s="63" t="n"/>
      <c r="F152" s="63" t="n"/>
    </row>
    <row r="153" ht="15.75" customHeight="1" s="125">
      <c r="A153" s="62" t="n"/>
      <c r="B153" s="62" t="n"/>
      <c r="C153" s="62" t="n"/>
      <c r="D153" s="62" t="n"/>
      <c r="E153" s="63" t="n"/>
      <c r="F153" s="63" t="n"/>
    </row>
    <row r="154" ht="15.75" customHeight="1" s="125">
      <c r="A154" s="62" t="n"/>
      <c r="B154" s="62" t="n"/>
      <c r="C154" s="62" t="n"/>
      <c r="D154" s="62" t="n"/>
      <c r="E154" s="63" t="n"/>
      <c r="F154" s="63" t="n"/>
    </row>
    <row r="155" ht="15.75" customHeight="1" s="125">
      <c r="A155" s="62" t="n"/>
      <c r="B155" s="62" t="n"/>
      <c r="C155" s="62" t="n"/>
      <c r="D155" s="62" t="n"/>
      <c r="E155" s="63" t="n"/>
      <c r="F155" s="63" t="n"/>
    </row>
    <row r="156" ht="15.75" customHeight="1" s="125">
      <c r="A156" s="62" t="n"/>
      <c r="B156" s="62" t="n"/>
      <c r="C156" s="62" t="n"/>
      <c r="D156" s="62" t="n"/>
      <c r="E156" s="63" t="n"/>
      <c r="F156" s="63" t="n"/>
    </row>
    <row r="157" ht="15.75" customHeight="1" s="125">
      <c r="A157" s="62" t="n"/>
      <c r="B157" s="62" t="n"/>
      <c r="C157" s="62" t="n"/>
      <c r="D157" s="62" t="n"/>
      <c r="E157" s="63" t="n"/>
      <c r="F157" s="63" t="n"/>
    </row>
    <row r="158" ht="15.75" customHeight="1" s="125">
      <c r="A158" s="62" t="n"/>
      <c r="B158" s="62" t="n"/>
      <c r="C158" s="62" t="n"/>
      <c r="D158" s="62" t="n"/>
      <c r="E158" s="63" t="n"/>
      <c r="F158" s="63" t="n"/>
    </row>
    <row r="159" ht="15.75" customHeight="1" s="125">
      <c r="A159" s="62" t="n"/>
      <c r="B159" s="62" t="n"/>
      <c r="C159" s="62" t="n"/>
      <c r="D159" s="62" t="n"/>
      <c r="E159" s="63" t="n"/>
      <c r="F159" s="63" t="n"/>
    </row>
    <row r="160" ht="15.75" customHeight="1" s="125">
      <c r="A160" s="62" t="n"/>
      <c r="B160" s="62" t="n"/>
      <c r="C160" s="62" t="n"/>
      <c r="D160" s="62" t="n"/>
      <c r="E160" s="63" t="n"/>
      <c r="F160" s="63" t="n"/>
    </row>
    <row r="161" ht="15.75" customHeight="1" s="125">
      <c r="A161" s="62" t="n"/>
      <c r="B161" s="62" t="n"/>
      <c r="C161" s="62" t="n"/>
      <c r="D161" s="62" t="n"/>
      <c r="E161" s="63" t="n"/>
      <c r="F161" s="63" t="n"/>
    </row>
    <row r="162" ht="15.75" customHeight="1" s="125">
      <c r="A162" s="62" t="n"/>
      <c r="B162" s="62" t="n"/>
      <c r="C162" s="62" t="n"/>
      <c r="D162" s="62" t="n"/>
      <c r="E162" s="63" t="n"/>
      <c r="F162" s="63" t="n"/>
    </row>
    <row r="163" ht="15.75" customHeight="1" s="125">
      <c r="A163" s="62" t="n"/>
      <c r="B163" s="62" t="n"/>
      <c r="C163" s="62" t="n"/>
      <c r="D163" s="62" t="n"/>
      <c r="E163" s="63" t="n"/>
      <c r="F163" s="63" t="n"/>
    </row>
    <row r="164" ht="15.75" customHeight="1" s="125">
      <c r="A164" s="62" t="n"/>
      <c r="B164" s="62" t="n"/>
      <c r="C164" s="62" t="n"/>
      <c r="D164" s="62" t="n"/>
      <c r="E164" s="63" t="n"/>
      <c r="F164" s="63" t="n"/>
    </row>
    <row r="165" ht="15.75" customHeight="1" s="125">
      <c r="A165" s="62" t="n"/>
      <c r="B165" s="62" t="n"/>
      <c r="C165" s="62" t="n"/>
      <c r="D165" s="62" t="n"/>
      <c r="E165" s="63" t="n"/>
      <c r="F165" s="63" t="n"/>
    </row>
    <row r="166" ht="15.75" customHeight="1" s="125">
      <c r="A166" s="62" t="n"/>
      <c r="B166" s="62" t="n"/>
      <c r="C166" s="62" t="n"/>
      <c r="D166" s="62" t="n"/>
      <c r="E166" s="63" t="n"/>
      <c r="F166" s="63" t="n"/>
    </row>
    <row r="167" ht="15.75" customHeight="1" s="125">
      <c r="A167" s="62" t="n"/>
      <c r="B167" s="62" t="n"/>
      <c r="C167" s="62" t="n"/>
      <c r="D167" s="62" t="n"/>
      <c r="E167" s="63" t="n"/>
      <c r="F167" s="63" t="n"/>
    </row>
    <row r="168" ht="15.75" customHeight="1" s="125">
      <c r="A168" s="62" t="n"/>
      <c r="B168" s="62" t="n"/>
      <c r="C168" s="62" t="n"/>
      <c r="D168" s="62" t="n"/>
      <c r="E168" s="63" t="n"/>
      <c r="F168" s="63" t="n"/>
    </row>
    <row r="169" ht="15.75" customHeight="1" s="125">
      <c r="A169" s="62" t="n"/>
      <c r="B169" s="62" t="n"/>
      <c r="C169" s="62" t="n"/>
      <c r="D169" s="62" t="n"/>
      <c r="E169" s="63" t="n"/>
      <c r="F169" s="63" t="n"/>
    </row>
    <row r="170" ht="15.75" customHeight="1" s="125">
      <c r="A170" s="62" t="n"/>
      <c r="B170" s="62" t="n"/>
      <c r="C170" s="62" t="n"/>
      <c r="D170" s="62" t="n"/>
      <c r="E170" s="63" t="n"/>
      <c r="F170" s="63" t="n"/>
    </row>
    <row r="171" ht="15.75" customHeight="1" s="125">
      <c r="A171" s="62" t="n"/>
      <c r="B171" s="62" t="n"/>
      <c r="C171" s="62" t="n"/>
      <c r="D171" s="62" t="n"/>
      <c r="E171" s="63" t="n"/>
      <c r="F171" s="63" t="n"/>
    </row>
    <row r="172" ht="15.75" customHeight="1" s="125">
      <c r="A172" s="62" t="n"/>
      <c r="B172" s="62" t="n"/>
      <c r="C172" s="62" t="n"/>
      <c r="D172" s="62" t="n"/>
      <c r="E172" s="63" t="n"/>
      <c r="F172" s="63" t="n"/>
    </row>
    <row r="173" ht="15.75" customHeight="1" s="125">
      <c r="A173" s="62" t="n"/>
      <c r="B173" s="62" t="n"/>
      <c r="C173" s="62" t="n"/>
      <c r="D173" s="62" t="n"/>
      <c r="E173" s="63" t="n"/>
      <c r="F173" s="63" t="n"/>
    </row>
    <row r="174" ht="15.75" customHeight="1" s="125">
      <c r="A174" s="62" t="n"/>
      <c r="B174" s="62" t="n"/>
      <c r="C174" s="62" t="n"/>
      <c r="D174" s="62" t="n"/>
      <c r="E174" s="63" t="n"/>
      <c r="F174" s="63" t="n"/>
    </row>
    <row r="175" ht="15.75" customHeight="1" s="125">
      <c r="A175" s="62" t="n"/>
      <c r="B175" s="62" t="n"/>
      <c r="C175" s="62" t="n"/>
      <c r="D175" s="62" t="n"/>
      <c r="E175" s="63" t="n"/>
      <c r="F175" s="63" t="n"/>
    </row>
    <row r="176" ht="15.75" customHeight="1" s="125">
      <c r="A176" s="62" t="n"/>
      <c r="B176" s="62" t="n"/>
      <c r="C176" s="62" t="n"/>
      <c r="D176" s="62" t="n"/>
      <c r="E176" s="63" t="n"/>
      <c r="F176" s="63" t="n"/>
    </row>
    <row r="177" ht="15.75" customHeight="1" s="125">
      <c r="A177" s="62" t="n"/>
      <c r="B177" s="62" t="n"/>
      <c r="C177" s="62" t="n"/>
      <c r="D177" s="62" t="n"/>
      <c r="E177" s="63" t="n"/>
      <c r="F177" s="63" t="n"/>
    </row>
    <row r="178" ht="15.75" customHeight="1" s="125">
      <c r="A178" s="62" t="n"/>
      <c r="B178" s="62" t="n"/>
      <c r="C178" s="62" t="n"/>
      <c r="D178" s="62" t="n"/>
      <c r="E178" s="63" t="n"/>
      <c r="F178" s="63" t="n"/>
    </row>
    <row r="179" ht="15.75" customHeight="1" s="125">
      <c r="A179" s="62" t="n"/>
      <c r="B179" s="62" t="n"/>
      <c r="C179" s="62" t="n"/>
      <c r="D179" s="62" t="n"/>
      <c r="E179" s="63" t="n"/>
      <c r="F179" s="63" t="n"/>
    </row>
    <row r="180" ht="15.75" customHeight="1" s="125">
      <c r="A180" s="62" t="n"/>
      <c r="B180" s="62" t="n"/>
      <c r="C180" s="62" t="n"/>
      <c r="D180" s="62" t="n"/>
      <c r="E180" s="63" t="n"/>
      <c r="F180" s="63" t="n"/>
    </row>
    <row r="181" ht="15.75" customHeight="1" s="125">
      <c r="A181" s="62" t="n"/>
      <c r="B181" s="62" t="n"/>
      <c r="C181" s="62" t="n"/>
      <c r="D181" s="62" t="n"/>
      <c r="E181" s="63" t="n"/>
      <c r="F181" s="63" t="n"/>
    </row>
    <row r="182" ht="15.75" customHeight="1" s="125">
      <c r="A182" s="62" t="n"/>
      <c r="B182" s="62" t="n"/>
      <c r="C182" s="62" t="n"/>
      <c r="D182" s="62" t="n"/>
      <c r="E182" s="63" t="n"/>
      <c r="F182" s="63" t="n"/>
    </row>
    <row r="183" ht="15.75" customHeight="1" s="125">
      <c r="A183" s="62" t="n"/>
      <c r="B183" s="62" t="n"/>
      <c r="C183" s="62" t="n"/>
      <c r="D183" s="62" t="n"/>
      <c r="E183" s="63" t="n"/>
      <c r="F183" s="63" t="n"/>
    </row>
    <row r="184" ht="15.75" customHeight="1" s="125">
      <c r="A184" s="62" t="n"/>
      <c r="B184" s="62" t="n"/>
      <c r="C184" s="62" t="n"/>
      <c r="D184" s="62" t="n"/>
      <c r="E184" s="63" t="n"/>
      <c r="F184" s="63" t="n"/>
    </row>
    <row r="185" ht="15.75" customHeight="1" s="125">
      <c r="A185" s="62" t="n"/>
      <c r="B185" s="62" t="n"/>
      <c r="C185" s="62" t="n"/>
      <c r="D185" s="62" t="n"/>
      <c r="E185" s="63" t="n"/>
      <c r="F185" s="63" t="n"/>
    </row>
    <row r="186" ht="15.75" customHeight="1" s="125">
      <c r="A186" s="62" t="n"/>
      <c r="B186" s="62" t="n"/>
      <c r="C186" s="62" t="n"/>
      <c r="D186" s="62" t="n"/>
      <c r="E186" s="63" t="n"/>
      <c r="F186" s="63" t="n"/>
    </row>
    <row r="187" ht="15.75" customHeight="1" s="125">
      <c r="A187" s="62" t="n"/>
      <c r="B187" s="62" t="n"/>
      <c r="C187" s="62" t="n"/>
      <c r="D187" s="62" t="n"/>
      <c r="E187" s="63" t="n"/>
      <c r="F187" s="63" t="n"/>
    </row>
    <row r="188" ht="15.75" customHeight="1" s="125">
      <c r="A188" s="62" t="n"/>
      <c r="B188" s="62" t="n"/>
      <c r="C188" s="62" t="n"/>
      <c r="D188" s="62" t="n"/>
      <c r="E188" s="63" t="n"/>
      <c r="F188" s="63" t="n"/>
    </row>
    <row r="189" ht="15.75" customHeight="1" s="125">
      <c r="A189" s="62" t="n"/>
      <c r="B189" s="62" t="n"/>
      <c r="C189" s="62" t="n"/>
      <c r="D189" s="62" t="n"/>
      <c r="E189" s="63" t="n"/>
      <c r="F189" s="63" t="n"/>
    </row>
    <row r="190" ht="15.75" customHeight="1" s="125">
      <c r="A190" s="62" t="n"/>
      <c r="B190" s="62" t="n"/>
      <c r="C190" s="62" t="n"/>
      <c r="D190" s="62" t="n"/>
      <c r="E190" s="63" t="n"/>
      <c r="F190" s="63" t="n"/>
    </row>
    <row r="191" ht="15.75" customHeight="1" s="125">
      <c r="A191" s="62" t="n"/>
      <c r="B191" s="62" t="n"/>
      <c r="C191" s="62" t="n"/>
      <c r="D191" s="62" t="n"/>
      <c r="E191" s="63" t="n"/>
      <c r="F191" s="63" t="n"/>
    </row>
    <row r="192" ht="15.75" customHeight="1" s="125">
      <c r="A192" s="62" t="n"/>
      <c r="B192" s="62" t="n"/>
      <c r="C192" s="62" t="n"/>
      <c r="D192" s="62" t="n"/>
      <c r="E192" s="63" t="n"/>
      <c r="F192" s="63" t="n"/>
    </row>
    <row r="193" ht="15.75" customHeight="1" s="125">
      <c r="A193" s="62" t="n"/>
      <c r="B193" s="62" t="n"/>
      <c r="C193" s="62" t="n"/>
      <c r="D193" s="62" t="n"/>
      <c r="E193" s="63" t="n"/>
      <c r="F193" s="63" t="n"/>
    </row>
    <row r="194" ht="15.75" customHeight="1" s="125">
      <c r="A194" s="62" t="n"/>
      <c r="B194" s="62" t="n"/>
      <c r="C194" s="62" t="n"/>
      <c r="D194" s="62" t="n"/>
      <c r="E194" s="63" t="n"/>
      <c r="F194" s="63" t="n"/>
    </row>
    <row r="195" ht="15.75" customHeight="1" s="125">
      <c r="A195" s="62" t="n"/>
      <c r="B195" s="62" t="n"/>
      <c r="C195" s="62" t="n"/>
      <c r="D195" s="62" t="n"/>
      <c r="E195" s="63" t="n"/>
      <c r="F195" s="63" t="n"/>
    </row>
    <row r="196" ht="15.75" customHeight="1" s="125">
      <c r="A196" s="62" t="n"/>
      <c r="B196" s="62" t="n"/>
      <c r="C196" s="62" t="n"/>
      <c r="D196" s="62" t="n"/>
      <c r="E196" s="63" t="n"/>
      <c r="F196" s="63" t="n"/>
    </row>
    <row r="197" ht="15.75" customHeight="1" s="125">
      <c r="A197" s="62" t="n"/>
      <c r="B197" s="62" t="n"/>
      <c r="C197" s="62" t="n"/>
      <c r="D197" s="62" t="n"/>
      <c r="E197" s="63" t="n"/>
      <c r="F197" s="63" t="n"/>
    </row>
    <row r="198" ht="15.75" customHeight="1" s="125">
      <c r="A198" s="62" t="n"/>
      <c r="B198" s="62" t="n"/>
      <c r="C198" s="62" t="n"/>
      <c r="D198" s="62" t="n"/>
      <c r="E198" s="63" t="n"/>
      <c r="F198" s="63" t="n"/>
    </row>
    <row r="199" ht="15.75" customHeight="1" s="125">
      <c r="A199" s="62" t="n"/>
      <c r="B199" s="62" t="n"/>
      <c r="C199" s="62" t="n"/>
      <c r="D199" s="62" t="n"/>
      <c r="E199" s="63" t="n"/>
      <c r="F199" s="63" t="n"/>
    </row>
    <row r="200" ht="15.75" customHeight="1" s="125">
      <c r="A200" s="62" t="n"/>
      <c r="B200" s="62" t="n"/>
      <c r="C200" s="62" t="n"/>
      <c r="D200" s="62" t="n"/>
      <c r="E200" s="63" t="n"/>
      <c r="F200" s="63" t="n"/>
    </row>
    <row r="201" ht="15.75" customHeight="1" s="125">
      <c r="A201" s="62" t="n"/>
      <c r="B201" s="62" t="n"/>
      <c r="C201" s="62" t="n"/>
      <c r="D201" s="62" t="n"/>
      <c r="E201" s="63" t="n"/>
      <c r="F201" s="63" t="n"/>
    </row>
    <row r="202" ht="15.75" customHeight="1" s="125">
      <c r="A202" s="62" t="n"/>
      <c r="B202" s="62" t="n"/>
      <c r="C202" s="62" t="n"/>
      <c r="D202" s="62" t="n"/>
      <c r="E202" s="63" t="n"/>
      <c r="F202" s="63" t="n"/>
    </row>
    <row r="203" ht="15.75" customHeight="1" s="125">
      <c r="A203" s="62" t="n"/>
      <c r="B203" s="62" t="n"/>
      <c r="C203" s="62" t="n"/>
      <c r="D203" s="62" t="n"/>
      <c r="E203" s="63" t="n"/>
      <c r="F203" s="63" t="n"/>
    </row>
    <row r="204" ht="15.75" customHeight="1" s="125">
      <c r="A204" s="62" t="n"/>
      <c r="B204" s="62" t="n"/>
      <c r="C204" s="62" t="n"/>
      <c r="D204" s="62" t="n"/>
      <c r="E204" s="63" t="n"/>
      <c r="F204" s="63" t="n"/>
    </row>
    <row r="205" ht="15.75" customHeight="1" s="125">
      <c r="A205" s="62" t="n"/>
      <c r="B205" s="62" t="n"/>
      <c r="C205" s="62" t="n"/>
      <c r="D205" s="62" t="n"/>
      <c r="E205" s="63" t="n"/>
      <c r="F205" s="63" t="n"/>
    </row>
    <row r="206" ht="15.75" customHeight="1" s="125">
      <c r="A206" s="62" t="n"/>
      <c r="B206" s="62" t="n"/>
      <c r="C206" s="62" t="n"/>
      <c r="D206" s="62" t="n"/>
      <c r="E206" s="63" t="n"/>
      <c r="F206" s="63" t="n"/>
    </row>
    <row r="207" ht="15.75" customHeight="1" s="125">
      <c r="A207" s="62" t="n"/>
      <c r="B207" s="62" t="n"/>
      <c r="C207" s="62" t="n"/>
      <c r="D207" s="62" t="n"/>
      <c r="E207" s="63" t="n"/>
      <c r="F207" s="63" t="n"/>
    </row>
    <row r="208" ht="15.75" customHeight="1" s="125">
      <c r="A208" s="62" t="n"/>
      <c r="B208" s="62" t="n"/>
      <c r="C208" s="62" t="n"/>
      <c r="D208" s="62" t="n"/>
      <c r="E208" s="63" t="n"/>
      <c r="F208" s="63" t="n"/>
    </row>
    <row r="209" ht="15.75" customHeight="1" s="125">
      <c r="A209" s="62" t="n"/>
      <c r="B209" s="62" t="n"/>
      <c r="C209" s="62" t="n"/>
      <c r="D209" s="62" t="n"/>
      <c r="E209" s="63" t="n"/>
      <c r="F209" s="63" t="n"/>
    </row>
    <row r="210" ht="15.75" customHeight="1" s="125">
      <c r="A210" s="62" t="n"/>
      <c r="B210" s="62" t="n"/>
      <c r="C210" s="62" t="n"/>
      <c r="D210" s="62" t="n"/>
      <c r="E210" s="63" t="n"/>
      <c r="F210" s="63" t="n"/>
    </row>
    <row r="211" ht="15.75" customHeight="1" s="125">
      <c r="A211" s="62" t="n"/>
      <c r="B211" s="62" t="n"/>
      <c r="C211" s="62" t="n"/>
      <c r="D211" s="62" t="n"/>
      <c r="E211" s="63" t="n"/>
      <c r="F211" s="63" t="n"/>
    </row>
    <row r="212" ht="15.75" customHeight="1" s="125">
      <c r="A212" s="62" t="n"/>
      <c r="B212" s="62" t="n"/>
      <c r="C212" s="62" t="n"/>
      <c r="D212" s="62" t="n"/>
      <c r="E212" s="63" t="n"/>
      <c r="F212" s="63" t="n"/>
    </row>
    <row r="213" ht="15.75" customHeight="1" s="125">
      <c r="A213" s="62" t="n"/>
      <c r="B213" s="62" t="n"/>
      <c r="C213" s="62" t="n"/>
      <c r="D213" s="62" t="n"/>
      <c r="E213" s="63" t="n"/>
      <c r="F213" s="63" t="n"/>
    </row>
    <row r="214" ht="15.75" customHeight="1" s="125">
      <c r="A214" s="62" t="n"/>
      <c r="B214" s="62" t="n"/>
      <c r="C214" s="62" t="n"/>
      <c r="D214" s="62" t="n"/>
      <c r="E214" s="63" t="n"/>
      <c r="F214" s="63" t="n"/>
    </row>
    <row r="215" ht="15.75" customHeight="1" s="125">
      <c r="A215" s="62" t="n"/>
      <c r="B215" s="62" t="n"/>
      <c r="C215" s="62" t="n"/>
      <c r="D215" s="62" t="n"/>
      <c r="E215" s="63" t="n"/>
      <c r="F215" s="63" t="n"/>
    </row>
    <row r="216" ht="15.75" customHeight="1" s="125">
      <c r="A216" s="62" t="n"/>
      <c r="B216" s="62" t="n"/>
      <c r="C216" s="62" t="n"/>
      <c r="D216" s="62" t="n"/>
      <c r="E216" s="63" t="n"/>
      <c r="F216" s="63" t="n"/>
    </row>
    <row r="217" ht="15.75" customHeight="1" s="125">
      <c r="A217" s="62" t="n"/>
      <c r="B217" s="62" t="n"/>
      <c r="C217" s="62" t="n"/>
      <c r="D217" s="62" t="n"/>
      <c r="E217" s="63" t="n"/>
      <c r="F217" s="63" t="n"/>
    </row>
    <row r="218" ht="15.75" customHeight="1" s="125">
      <c r="A218" s="62" t="n"/>
      <c r="B218" s="62" t="n"/>
      <c r="C218" s="62" t="n"/>
      <c r="D218" s="62" t="n"/>
      <c r="E218" s="63" t="n"/>
      <c r="F218" s="63" t="n"/>
    </row>
    <row r="219" ht="15.75" customHeight="1" s="125">
      <c r="A219" s="62" t="n"/>
      <c r="B219" s="62" t="n"/>
      <c r="C219" s="62" t="n"/>
      <c r="D219" s="62" t="n"/>
      <c r="E219" s="63" t="n"/>
      <c r="F219" s="63" t="n"/>
    </row>
    <row r="220" ht="15.75" customHeight="1" s="125">
      <c r="A220" s="62" t="n"/>
      <c r="B220" s="62" t="n"/>
      <c r="C220" s="62" t="n"/>
      <c r="D220" s="62" t="n"/>
      <c r="E220" s="63" t="n"/>
      <c r="F220" s="63" t="n"/>
    </row>
    <row r="221" ht="15.75" customHeight="1" s="125">
      <c r="A221" s="62" t="n"/>
      <c r="B221" s="62" t="n"/>
      <c r="C221" s="62" t="n"/>
      <c r="D221" s="62" t="n"/>
      <c r="E221" s="63" t="n"/>
      <c r="F221" s="63" t="n"/>
    </row>
    <row r="222" ht="15.75" customHeight="1" s="125">
      <c r="A222" s="62" t="n"/>
      <c r="B222" s="62" t="n"/>
      <c r="C222" s="62" t="n"/>
      <c r="D222" s="62" t="n"/>
      <c r="E222" s="63" t="n"/>
      <c r="F222" s="63" t="n"/>
    </row>
    <row r="223" ht="15.75" customHeight="1" s="125">
      <c r="A223" s="62" t="n"/>
      <c r="B223" s="62" t="n"/>
      <c r="C223" s="62" t="n"/>
      <c r="D223" s="62" t="n"/>
      <c r="E223" s="63" t="n"/>
      <c r="F223" s="63" t="n"/>
    </row>
    <row r="224" ht="15.75" customHeight="1" s="125">
      <c r="A224" s="62" t="n"/>
      <c r="B224" s="62" t="n"/>
      <c r="C224" s="62" t="n"/>
      <c r="D224" s="62" t="n"/>
      <c r="E224" s="63" t="n"/>
      <c r="F224" s="63" t="n"/>
    </row>
    <row r="225" ht="15.75" customHeight="1" s="125">
      <c r="A225" s="62" t="n"/>
      <c r="B225" s="62" t="n"/>
      <c r="C225" s="62" t="n"/>
      <c r="D225" s="62" t="n"/>
      <c r="E225" s="63" t="n"/>
      <c r="F225" s="63" t="n"/>
    </row>
    <row r="226" ht="15.75" customHeight="1" s="125">
      <c r="A226" s="62" t="n"/>
      <c r="B226" s="62" t="n"/>
      <c r="C226" s="62" t="n"/>
      <c r="D226" s="62" t="n"/>
      <c r="E226" s="63" t="n"/>
      <c r="F226" s="63" t="n"/>
    </row>
    <row r="227" ht="15.75" customHeight="1" s="125">
      <c r="A227" s="62" t="n"/>
      <c r="B227" s="62" t="n"/>
      <c r="C227" s="62" t="n"/>
      <c r="D227" s="62" t="n"/>
      <c r="E227" s="63" t="n"/>
      <c r="F227" s="63" t="n"/>
    </row>
    <row r="228" ht="15.75" customHeight="1" s="125">
      <c r="A228" s="62" t="n"/>
      <c r="B228" s="62" t="n"/>
      <c r="C228" s="62" t="n"/>
      <c r="D228" s="62" t="n"/>
      <c r="E228" s="63" t="n"/>
      <c r="F228" s="63" t="n"/>
    </row>
    <row r="229" ht="15.75" customHeight="1" s="125">
      <c r="A229" s="62" t="n"/>
      <c r="B229" s="62" t="n"/>
      <c r="C229" s="62" t="n"/>
      <c r="D229" s="62" t="n"/>
      <c r="E229" s="63" t="n"/>
      <c r="F229" s="63" t="n"/>
    </row>
    <row r="230" ht="15.75" customHeight="1" s="125">
      <c r="A230" s="62" t="n"/>
      <c r="B230" s="62" t="n"/>
      <c r="C230" s="62" t="n"/>
      <c r="D230" s="62" t="n"/>
      <c r="E230" s="63" t="n"/>
      <c r="F230" s="63" t="n"/>
    </row>
    <row r="231" ht="15.75" customHeight="1" s="125">
      <c r="A231" s="62" t="n"/>
      <c r="B231" s="62" t="n"/>
      <c r="C231" s="62" t="n"/>
      <c r="D231" s="62" t="n"/>
      <c r="E231" s="63" t="n"/>
      <c r="F231" s="63" t="n"/>
    </row>
    <row r="232" ht="15.75" customHeight="1" s="125">
      <c r="A232" s="62" t="n"/>
      <c r="B232" s="62" t="n"/>
      <c r="C232" s="62" t="n"/>
      <c r="D232" s="62" t="n"/>
      <c r="E232" s="63" t="n"/>
      <c r="F232" s="63" t="n"/>
    </row>
    <row r="233" ht="15.75" customHeight="1" s="125">
      <c r="A233" s="62" t="n"/>
      <c r="B233" s="62" t="n"/>
      <c r="C233" s="62" t="n"/>
      <c r="D233" s="62" t="n"/>
      <c r="E233" s="63" t="n"/>
      <c r="F233" s="63" t="n"/>
    </row>
    <row r="234" ht="15.75" customHeight="1" s="125">
      <c r="A234" s="62" t="n"/>
      <c r="B234" s="62" t="n"/>
      <c r="C234" s="62" t="n"/>
      <c r="D234" s="62" t="n"/>
      <c r="E234" s="63" t="n"/>
      <c r="F234" s="63" t="n"/>
    </row>
    <row r="235" ht="15.75" customHeight="1" s="125">
      <c r="A235" s="62" t="n"/>
      <c r="B235" s="62" t="n"/>
      <c r="C235" s="62" t="n"/>
      <c r="D235" s="62" t="n"/>
      <c r="E235" s="63" t="n"/>
      <c r="F235" s="63" t="n"/>
    </row>
    <row r="236" ht="15.75" customHeight="1" s="125">
      <c r="A236" s="62" t="n"/>
      <c r="B236" s="62" t="n"/>
      <c r="C236" s="62" t="n"/>
      <c r="D236" s="62" t="n"/>
      <c r="E236" s="63" t="n"/>
      <c r="F236" s="63" t="n"/>
    </row>
    <row r="237" ht="15.75" customHeight="1" s="125">
      <c r="A237" s="62" t="n"/>
      <c r="B237" s="62" t="n"/>
      <c r="C237" s="62" t="n"/>
      <c r="D237" s="62" t="n"/>
      <c r="E237" s="63" t="n"/>
      <c r="F237" s="63" t="n"/>
    </row>
    <row r="238" ht="15.75" customHeight="1" s="125">
      <c r="A238" s="62" t="n"/>
      <c r="B238" s="62" t="n"/>
      <c r="C238" s="62" t="n"/>
      <c r="D238" s="62" t="n"/>
      <c r="E238" s="63" t="n"/>
      <c r="F238" s="63" t="n"/>
    </row>
    <row r="239" ht="15.75" customHeight="1" s="125">
      <c r="A239" s="62" t="n"/>
      <c r="B239" s="62" t="n"/>
      <c r="C239" s="62" t="n"/>
      <c r="D239" s="62" t="n"/>
      <c r="E239" s="63" t="n"/>
      <c r="F239" s="63" t="n"/>
    </row>
    <row r="240" ht="15.75" customHeight="1" s="125">
      <c r="A240" s="62" t="n"/>
      <c r="B240" s="62" t="n"/>
      <c r="C240" s="62" t="n"/>
      <c r="D240" s="62" t="n"/>
      <c r="E240" s="63" t="n"/>
      <c r="F240" s="63" t="n"/>
    </row>
    <row r="241" ht="15.75" customHeight="1" s="125">
      <c r="A241" s="62" t="n"/>
      <c r="B241" s="62" t="n"/>
      <c r="C241" s="62" t="n"/>
      <c r="D241" s="62" t="n"/>
      <c r="E241" s="63" t="n"/>
      <c r="F241" s="63" t="n"/>
    </row>
    <row r="242" ht="15.75" customHeight="1" s="125">
      <c r="A242" s="62" t="n"/>
      <c r="B242" s="62" t="n"/>
      <c r="C242" s="62" t="n"/>
      <c r="D242" s="62" t="n"/>
      <c r="E242" s="63" t="n"/>
      <c r="F242" s="63" t="n"/>
    </row>
    <row r="243" ht="15.75" customHeight="1" s="125">
      <c r="A243" s="62" t="n"/>
      <c r="B243" s="62" t="n"/>
      <c r="C243" s="62" t="n"/>
      <c r="D243" s="62" t="n"/>
      <c r="E243" s="63" t="n"/>
      <c r="F243" s="63" t="n"/>
    </row>
    <row r="244" ht="15.75" customHeight="1" s="125">
      <c r="A244" s="62" t="n"/>
      <c r="B244" s="62" t="n"/>
      <c r="C244" s="62" t="n"/>
      <c r="D244" s="62" t="n"/>
      <c r="E244" s="63" t="n"/>
      <c r="F244" s="63" t="n"/>
    </row>
    <row r="245" ht="15.75" customHeight="1" s="125">
      <c r="A245" s="62" t="n"/>
      <c r="B245" s="62" t="n"/>
      <c r="C245" s="62" t="n"/>
      <c r="D245" s="62" t="n"/>
      <c r="E245" s="63" t="n"/>
      <c r="F245" s="63" t="n"/>
    </row>
    <row r="246" ht="15.75" customHeight="1" s="125">
      <c r="A246" s="62" t="n"/>
      <c r="B246" s="62" t="n"/>
      <c r="C246" s="62" t="n"/>
      <c r="D246" s="62" t="n"/>
      <c r="E246" s="63" t="n"/>
      <c r="F246" s="63" t="n"/>
    </row>
    <row r="247" ht="15.75" customHeight="1" s="125">
      <c r="A247" s="62" t="n"/>
      <c r="B247" s="62" t="n"/>
      <c r="C247" s="62" t="n"/>
      <c r="D247" s="62" t="n"/>
      <c r="E247" s="63" t="n"/>
      <c r="F247" s="63" t="n"/>
    </row>
    <row r="248" ht="15.75" customHeight="1" s="125">
      <c r="A248" s="62" t="n"/>
      <c r="B248" s="62" t="n"/>
      <c r="C248" s="62" t="n"/>
      <c r="D248" s="62" t="n"/>
      <c r="E248" s="63" t="n"/>
      <c r="F248" s="63" t="n"/>
    </row>
    <row r="249" ht="15.75" customHeight="1" s="125">
      <c r="A249" s="62" t="n"/>
      <c r="B249" s="62" t="n"/>
      <c r="C249" s="62" t="n"/>
      <c r="D249" s="62" t="n"/>
      <c r="E249" s="63" t="n"/>
      <c r="F249" s="63" t="n"/>
    </row>
    <row r="250" ht="15.75" customHeight="1" s="125">
      <c r="A250" s="62" t="n"/>
      <c r="B250" s="62" t="n"/>
      <c r="C250" s="62" t="n"/>
      <c r="D250" s="62" t="n"/>
      <c r="E250" s="63" t="n"/>
      <c r="F250" s="63" t="n"/>
    </row>
    <row r="251" ht="15.75" customHeight="1" s="125">
      <c r="A251" s="62" t="n"/>
      <c r="B251" s="62" t="n"/>
      <c r="C251" s="62" t="n"/>
      <c r="D251" s="62" t="n"/>
      <c r="E251" s="63" t="n"/>
      <c r="F251" s="63" t="n"/>
    </row>
    <row r="252" ht="15.75" customHeight="1" s="125">
      <c r="A252" s="62" t="n"/>
      <c r="B252" s="62" t="n"/>
      <c r="C252" s="62" t="n"/>
      <c r="D252" s="62" t="n"/>
      <c r="E252" s="63" t="n"/>
      <c r="F252" s="63" t="n"/>
    </row>
    <row r="253" ht="15.75" customHeight="1" s="125">
      <c r="A253" s="62" t="n"/>
      <c r="B253" s="62" t="n"/>
      <c r="C253" s="62" t="n"/>
      <c r="D253" s="62" t="n"/>
      <c r="E253" s="63" t="n"/>
      <c r="F253" s="63" t="n"/>
    </row>
    <row r="254" ht="15.75" customHeight="1" s="125">
      <c r="A254" s="62" t="n"/>
      <c r="B254" s="62" t="n"/>
      <c r="C254" s="62" t="n"/>
      <c r="D254" s="62" t="n"/>
      <c r="E254" s="63" t="n"/>
      <c r="F254" s="63" t="n"/>
    </row>
    <row r="255" ht="15.75" customHeight="1" s="125">
      <c r="A255" s="62" t="n"/>
      <c r="B255" s="62" t="n"/>
      <c r="C255" s="62" t="n"/>
      <c r="D255" s="62" t="n"/>
      <c r="E255" s="63" t="n"/>
      <c r="F255" s="63" t="n"/>
    </row>
    <row r="256" ht="15.75" customHeight="1" s="125">
      <c r="A256" s="62" t="n"/>
      <c r="B256" s="62" t="n"/>
      <c r="C256" s="62" t="n"/>
      <c r="D256" s="62" t="n"/>
      <c r="E256" s="63" t="n"/>
      <c r="F256" s="63" t="n"/>
    </row>
    <row r="257" ht="15.75" customHeight="1" s="125">
      <c r="A257" s="62" t="n"/>
      <c r="B257" s="62" t="n"/>
      <c r="C257" s="62" t="n"/>
      <c r="D257" s="62" t="n"/>
      <c r="E257" s="63" t="n"/>
      <c r="F257" s="63" t="n"/>
    </row>
    <row r="258" ht="15.75" customHeight="1" s="125">
      <c r="A258" s="62" t="n"/>
      <c r="B258" s="62" t="n"/>
      <c r="C258" s="62" t="n"/>
      <c r="D258" s="62" t="n"/>
      <c r="E258" s="63" t="n"/>
      <c r="F258" s="63" t="n"/>
    </row>
    <row r="259" ht="15.75" customHeight="1" s="125">
      <c r="A259" s="62" t="n"/>
      <c r="B259" s="62" t="n"/>
      <c r="C259" s="62" t="n"/>
      <c r="D259" s="62" t="n"/>
      <c r="E259" s="63" t="n"/>
      <c r="F259" s="63" t="n"/>
    </row>
    <row r="260" ht="15.75" customHeight="1" s="125">
      <c r="A260" s="62" t="n"/>
      <c r="B260" s="62" t="n"/>
      <c r="C260" s="62" t="n"/>
      <c r="D260" s="62" t="n"/>
      <c r="E260" s="63" t="n"/>
      <c r="F260" s="63" t="n"/>
    </row>
    <row r="261" ht="15.75" customHeight="1" s="125">
      <c r="A261" s="62" t="n"/>
      <c r="B261" s="62" t="n"/>
      <c r="C261" s="62" t="n"/>
      <c r="D261" s="62" t="n"/>
      <c r="E261" s="63" t="n"/>
      <c r="F261" s="63" t="n"/>
    </row>
    <row r="262" ht="15.75" customHeight="1" s="125">
      <c r="A262" s="62" t="n"/>
      <c r="B262" s="62" t="n"/>
      <c r="C262" s="62" t="n"/>
      <c r="D262" s="62" t="n"/>
      <c r="E262" s="63" t="n"/>
      <c r="F262" s="63" t="n"/>
    </row>
    <row r="263" ht="15.75" customHeight="1" s="125">
      <c r="A263" s="62" t="n"/>
      <c r="B263" s="62" t="n"/>
      <c r="C263" s="62" t="n"/>
      <c r="D263" s="62" t="n"/>
      <c r="E263" s="63" t="n"/>
      <c r="F263" s="63" t="n"/>
    </row>
    <row r="264" ht="15.75" customHeight="1" s="125">
      <c r="A264" s="62" t="n"/>
      <c r="B264" s="62" t="n"/>
      <c r="C264" s="62" t="n"/>
      <c r="D264" s="62" t="n"/>
      <c r="E264" s="63" t="n"/>
      <c r="F264" s="63" t="n"/>
    </row>
    <row r="265" ht="15.75" customHeight="1" s="125">
      <c r="A265" s="62" t="n"/>
      <c r="B265" s="62" t="n"/>
      <c r="C265" s="62" t="n"/>
      <c r="D265" s="62" t="n"/>
      <c r="E265" s="63" t="n"/>
      <c r="F265" s="63" t="n"/>
    </row>
    <row r="266" ht="15.75" customHeight="1" s="125">
      <c r="A266" s="62" t="n"/>
      <c r="B266" s="62" t="n"/>
      <c r="C266" s="62" t="n"/>
      <c r="D266" s="62" t="n"/>
      <c r="E266" s="63" t="n"/>
      <c r="F266" s="63" t="n"/>
    </row>
    <row r="267" ht="15.75" customHeight="1" s="125">
      <c r="A267" s="62" t="n"/>
      <c r="B267" s="62" t="n"/>
      <c r="C267" s="62" t="n"/>
      <c r="D267" s="62" t="n"/>
      <c r="E267" s="63" t="n"/>
      <c r="F267" s="63" t="n"/>
    </row>
    <row r="268" ht="15.75" customHeight="1" s="125">
      <c r="A268" s="62" t="n"/>
      <c r="B268" s="62" t="n"/>
      <c r="C268" s="62" t="n"/>
      <c r="D268" s="62" t="n"/>
      <c r="E268" s="63" t="n"/>
      <c r="F268" s="63" t="n"/>
    </row>
    <row r="269" ht="15.75" customHeight="1" s="125">
      <c r="A269" s="62" t="n"/>
      <c r="B269" s="62" t="n"/>
      <c r="C269" s="62" t="n"/>
      <c r="D269" s="62" t="n"/>
      <c r="E269" s="63" t="n"/>
      <c r="F269" s="63" t="n"/>
    </row>
    <row r="270" ht="15.75" customHeight="1" s="125">
      <c r="A270" s="62" t="n"/>
      <c r="B270" s="62" t="n"/>
      <c r="C270" s="62" t="n"/>
      <c r="D270" s="62" t="n"/>
      <c r="E270" s="63" t="n"/>
      <c r="F270" s="63" t="n"/>
    </row>
    <row r="271" ht="15.75" customHeight="1" s="125">
      <c r="A271" s="62" t="n"/>
      <c r="B271" s="62" t="n"/>
      <c r="C271" s="62" t="n"/>
      <c r="D271" s="62" t="n"/>
      <c r="E271" s="63" t="n"/>
      <c r="F271" s="63" t="n"/>
    </row>
    <row r="272" ht="15.75" customHeight="1" s="125">
      <c r="A272" s="62" t="n"/>
      <c r="B272" s="62" t="n"/>
      <c r="C272" s="62" t="n"/>
      <c r="D272" s="62" t="n"/>
      <c r="E272" s="63" t="n"/>
      <c r="F272" s="63" t="n"/>
    </row>
    <row r="273" ht="15.75" customHeight="1" s="125">
      <c r="A273" s="62" t="n"/>
      <c r="B273" s="62" t="n"/>
      <c r="C273" s="62" t="n"/>
      <c r="D273" s="62" t="n"/>
      <c r="E273" s="63" t="n"/>
      <c r="F273" s="63" t="n"/>
    </row>
    <row r="274" ht="15.75" customHeight="1" s="125">
      <c r="A274" s="62" t="n"/>
      <c r="B274" s="62" t="n"/>
      <c r="C274" s="62" t="n"/>
      <c r="D274" s="62" t="n"/>
      <c r="E274" s="63" t="n"/>
      <c r="F274" s="63" t="n"/>
    </row>
    <row r="275" ht="15.75" customHeight="1" s="125">
      <c r="A275" s="62" t="n"/>
      <c r="B275" s="62" t="n"/>
      <c r="C275" s="62" t="n"/>
      <c r="D275" s="62" t="n"/>
      <c r="E275" s="63" t="n"/>
      <c r="F275" s="63" t="n"/>
    </row>
    <row r="276" ht="15.75" customHeight="1" s="125">
      <c r="A276" s="62" t="n"/>
      <c r="B276" s="62" t="n"/>
      <c r="C276" s="62" t="n"/>
      <c r="D276" s="62" t="n"/>
      <c r="E276" s="63" t="n"/>
      <c r="F276" s="63" t="n"/>
    </row>
    <row r="277" ht="15.75" customHeight="1" s="125">
      <c r="A277" s="62" t="n"/>
      <c r="B277" s="62" t="n"/>
      <c r="C277" s="62" t="n"/>
      <c r="D277" s="62" t="n"/>
      <c r="E277" s="63" t="n"/>
      <c r="F277" s="63" t="n"/>
    </row>
    <row r="278" ht="15.75" customHeight="1" s="125">
      <c r="A278" s="62" t="n"/>
      <c r="B278" s="62" t="n"/>
      <c r="C278" s="62" t="n"/>
      <c r="D278" s="62" t="n"/>
      <c r="E278" s="63" t="n"/>
      <c r="F278" s="63" t="n"/>
    </row>
    <row r="279" ht="15.75" customHeight="1" s="125">
      <c r="A279" s="62" t="n"/>
      <c r="B279" s="62" t="n"/>
      <c r="C279" s="62" t="n"/>
      <c r="D279" s="62" t="n"/>
      <c r="E279" s="63" t="n"/>
      <c r="F279" s="63" t="n"/>
    </row>
    <row r="280" ht="15.75" customHeight="1" s="125">
      <c r="A280" s="62" t="n"/>
      <c r="B280" s="62" t="n"/>
      <c r="C280" s="62" t="n"/>
      <c r="D280" s="62" t="n"/>
      <c r="E280" s="63" t="n"/>
      <c r="F280" s="63" t="n"/>
    </row>
    <row r="281" ht="15.75" customHeight="1" s="125">
      <c r="A281" s="62" t="n"/>
      <c r="B281" s="62" t="n"/>
      <c r="C281" s="62" t="n"/>
      <c r="D281" s="62" t="n"/>
      <c r="E281" s="63" t="n"/>
      <c r="F281" s="63" t="n"/>
    </row>
    <row r="282" ht="15.75" customHeight="1" s="125">
      <c r="A282" s="62" t="n"/>
      <c r="B282" s="62" t="n"/>
      <c r="C282" s="62" t="n"/>
      <c r="D282" s="62" t="n"/>
      <c r="E282" s="63" t="n"/>
      <c r="F282" s="63" t="n"/>
    </row>
    <row r="283" ht="15.75" customHeight="1" s="125">
      <c r="A283" s="62" t="n"/>
      <c r="B283" s="62" t="n"/>
      <c r="C283" s="62" t="n"/>
      <c r="D283" s="62" t="n"/>
      <c r="E283" s="63" t="n"/>
      <c r="F283" s="63" t="n"/>
    </row>
    <row r="284" ht="15.75" customHeight="1" s="125">
      <c r="A284" s="62" t="n"/>
      <c r="B284" s="62" t="n"/>
      <c r="C284" s="62" t="n"/>
      <c r="D284" s="62" t="n"/>
      <c r="E284" s="63" t="n"/>
      <c r="F284" s="63" t="n"/>
    </row>
    <row r="285" ht="15.75" customHeight="1" s="125">
      <c r="A285" s="62" t="n"/>
      <c r="B285" s="62" t="n"/>
      <c r="C285" s="62" t="n"/>
      <c r="D285" s="62" t="n"/>
      <c r="E285" s="63" t="n"/>
      <c r="F285" s="63" t="n"/>
    </row>
    <row r="286" ht="15.75" customHeight="1" s="125">
      <c r="A286" s="62" t="n"/>
      <c r="B286" s="62" t="n"/>
      <c r="C286" s="62" t="n"/>
      <c r="D286" s="62" t="n"/>
      <c r="E286" s="63" t="n"/>
      <c r="F286" s="63" t="n"/>
    </row>
    <row r="287" ht="15.75" customHeight="1" s="125">
      <c r="A287" s="62" t="n"/>
      <c r="B287" s="62" t="n"/>
      <c r="C287" s="62" t="n"/>
      <c r="D287" s="62" t="n"/>
      <c r="E287" s="63" t="n"/>
      <c r="F287" s="63" t="n"/>
    </row>
    <row r="288" ht="15.75" customHeight="1" s="125">
      <c r="A288" s="62" t="n"/>
      <c r="B288" s="62" t="n"/>
      <c r="C288" s="62" t="n"/>
      <c r="D288" s="62" t="n"/>
      <c r="E288" s="63" t="n"/>
      <c r="F288" s="63" t="n"/>
    </row>
    <row r="289" ht="15.75" customHeight="1" s="125">
      <c r="A289" s="62" t="n"/>
      <c r="B289" s="62" t="n"/>
      <c r="C289" s="62" t="n"/>
      <c r="D289" s="62" t="n"/>
      <c r="E289" s="63" t="n"/>
      <c r="F289" s="63" t="n"/>
    </row>
    <row r="290" ht="15.75" customHeight="1" s="125">
      <c r="A290" s="62" t="n"/>
      <c r="B290" s="62" t="n"/>
      <c r="C290" s="62" t="n"/>
      <c r="D290" s="62" t="n"/>
      <c r="E290" s="63" t="n"/>
      <c r="F290" s="63" t="n"/>
    </row>
    <row r="291" ht="15.75" customHeight="1" s="125">
      <c r="A291" s="62" t="n"/>
      <c r="B291" s="62" t="n"/>
      <c r="C291" s="62" t="n"/>
      <c r="D291" s="62" t="n"/>
      <c r="E291" s="63" t="n"/>
      <c r="F291" s="63" t="n"/>
    </row>
    <row r="292" ht="15.75" customHeight="1" s="125">
      <c r="A292" s="62" t="n"/>
      <c r="B292" s="62" t="n"/>
      <c r="C292" s="62" t="n"/>
      <c r="D292" s="62" t="n"/>
      <c r="E292" s="63" t="n"/>
      <c r="F292" s="63" t="n"/>
    </row>
    <row r="293" ht="15.75" customHeight="1" s="125">
      <c r="A293" s="62" t="n"/>
      <c r="B293" s="62" t="n"/>
      <c r="C293" s="62" t="n"/>
      <c r="D293" s="62" t="n"/>
      <c r="E293" s="63" t="n"/>
      <c r="F293" s="63" t="n"/>
    </row>
    <row r="294" ht="15.75" customHeight="1" s="125">
      <c r="A294" s="62" t="n"/>
      <c r="B294" s="62" t="n"/>
      <c r="C294" s="62" t="n"/>
      <c r="D294" s="62" t="n"/>
      <c r="E294" s="63" t="n"/>
      <c r="F294" s="63" t="n"/>
    </row>
    <row r="295" ht="15.75" customHeight="1" s="125">
      <c r="A295" s="62" t="n"/>
      <c r="B295" s="62" t="n"/>
      <c r="C295" s="62" t="n"/>
      <c r="D295" s="62" t="n"/>
      <c r="E295" s="63" t="n"/>
      <c r="F295" s="63" t="n"/>
    </row>
    <row r="296" ht="15.75" customHeight="1" s="125">
      <c r="A296" s="62" t="n"/>
      <c r="B296" s="62" t="n"/>
      <c r="C296" s="62" t="n"/>
      <c r="D296" s="62" t="n"/>
      <c r="E296" s="63" t="n"/>
      <c r="F296" s="63" t="n"/>
    </row>
    <row r="297" ht="15.75" customHeight="1" s="125">
      <c r="A297" s="62" t="n"/>
      <c r="B297" s="62" t="n"/>
      <c r="C297" s="62" t="n"/>
      <c r="D297" s="62" t="n"/>
      <c r="E297" s="63" t="n"/>
      <c r="F297" s="63" t="n"/>
    </row>
    <row r="298" ht="15.75" customHeight="1" s="125">
      <c r="A298" s="62" t="n"/>
      <c r="B298" s="62" t="n"/>
      <c r="C298" s="62" t="n"/>
      <c r="D298" s="62" t="n"/>
      <c r="E298" s="63" t="n"/>
      <c r="F298" s="63" t="n"/>
    </row>
    <row r="299" ht="15.75" customHeight="1" s="125">
      <c r="A299" s="62" t="n"/>
      <c r="B299" s="62" t="n"/>
      <c r="C299" s="62" t="n"/>
      <c r="D299" s="62" t="n"/>
      <c r="E299" s="63" t="n"/>
      <c r="F299" s="63" t="n"/>
    </row>
    <row r="300" ht="15.75" customHeight="1" s="125">
      <c r="A300" s="62" t="n"/>
      <c r="B300" s="62" t="n"/>
      <c r="C300" s="62" t="n"/>
      <c r="D300" s="62" t="n"/>
      <c r="E300" s="63" t="n"/>
      <c r="F300" s="63" t="n"/>
    </row>
    <row r="301" ht="15.75" customHeight="1" s="125">
      <c r="A301" s="62" t="n"/>
      <c r="B301" s="62" t="n"/>
      <c r="C301" s="62" t="n"/>
      <c r="D301" s="62" t="n"/>
      <c r="E301" s="63" t="n"/>
      <c r="F301" s="63" t="n"/>
    </row>
    <row r="302" ht="15.75" customHeight="1" s="125">
      <c r="A302" s="62" t="n"/>
      <c r="B302" s="62" t="n"/>
      <c r="C302" s="62" t="n"/>
      <c r="D302" s="62" t="n"/>
      <c r="E302" s="63" t="n"/>
      <c r="F302" s="63" t="n"/>
    </row>
    <row r="303" ht="15.75" customHeight="1" s="125">
      <c r="A303" s="62" t="n"/>
      <c r="B303" s="62" t="n"/>
      <c r="C303" s="62" t="n"/>
      <c r="D303" s="62" t="n"/>
      <c r="E303" s="63" t="n"/>
      <c r="F303" s="63" t="n"/>
    </row>
    <row r="304" ht="15.75" customHeight="1" s="125">
      <c r="A304" s="62" t="n"/>
      <c r="B304" s="62" t="n"/>
      <c r="C304" s="62" t="n"/>
      <c r="D304" s="62" t="n"/>
      <c r="E304" s="63" t="n"/>
      <c r="F304" s="63" t="n"/>
    </row>
    <row r="305" ht="15.75" customHeight="1" s="125">
      <c r="A305" s="62" t="n"/>
      <c r="B305" s="62" t="n"/>
      <c r="C305" s="62" t="n"/>
      <c r="D305" s="62" t="n"/>
      <c r="E305" s="63" t="n"/>
      <c r="F305" s="63" t="n"/>
    </row>
    <row r="306" ht="15.75" customHeight="1" s="125">
      <c r="A306" s="62" t="n"/>
      <c r="B306" s="62" t="n"/>
      <c r="C306" s="62" t="n"/>
      <c r="D306" s="62" t="n"/>
      <c r="E306" s="63" t="n"/>
      <c r="F306" s="63" t="n"/>
    </row>
    <row r="307" ht="15.75" customHeight="1" s="125">
      <c r="A307" s="62" t="n"/>
      <c r="B307" s="62" t="n"/>
      <c r="C307" s="62" t="n"/>
      <c r="D307" s="62" t="n"/>
      <c r="E307" s="63" t="n"/>
      <c r="F307" s="63" t="n"/>
    </row>
    <row r="308" ht="15.75" customHeight="1" s="125">
      <c r="A308" s="62" t="n"/>
      <c r="B308" s="62" t="n"/>
      <c r="C308" s="62" t="n"/>
      <c r="D308" s="62" t="n"/>
      <c r="E308" s="63" t="n"/>
      <c r="F308" s="63" t="n"/>
    </row>
    <row r="309" ht="15.75" customHeight="1" s="125">
      <c r="A309" s="62" t="n"/>
      <c r="B309" s="62" t="n"/>
      <c r="C309" s="62" t="n"/>
      <c r="D309" s="62" t="n"/>
      <c r="E309" s="63" t="n"/>
      <c r="F309" s="63" t="n"/>
    </row>
    <row r="310" ht="15.75" customHeight="1" s="125">
      <c r="A310" s="62" t="n"/>
      <c r="B310" s="62" t="n"/>
      <c r="C310" s="62" t="n"/>
      <c r="D310" s="62" t="n"/>
      <c r="E310" s="63" t="n"/>
      <c r="F310" s="63" t="n"/>
    </row>
    <row r="311" ht="15.75" customHeight="1" s="125">
      <c r="A311" s="62" t="n"/>
      <c r="B311" s="62" t="n"/>
      <c r="C311" s="62" t="n"/>
      <c r="D311" s="62" t="n"/>
      <c r="E311" s="63" t="n"/>
      <c r="F311" s="63" t="n"/>
    </row>
    <row r="312" ht="15.75" customHeight="1" s="125">
      <c r="A312" s="62" t="n"/>
      <c r="B312" s="62" t="n"/>
      <c r="C312" s="62" t="n"/>
      <c r="D312" s="62" t="n"/>
      <c r="E312" s="63" t="n"/>
      <c r="F312" s="63" t="n"/>
    </row>
    <row r="313" ht="15.75" customHeight="1" s="125">
      <c r="A313" s="62" t="n"/>
      <c r="B313" s="62" t="n"/>
      <c r="C313" s="62" t="n"/>
      <c r="D313" s="62" t="n"/>
      <c r="E313" s="63" t="n"/>
      <c r="F313" s="63" t="n"/>
    </row>
    <row r="314" ht="15.75" customHeight="1" s="125">
      <c r="A314" s="62" t="n"/>
      <c r="B314" s="62" t="n"/>
      <c r="C314" s="62" t="n"/>
      <c r="D314" s="62" t="n"/>
      <c r="E314" s="63" t="n"/>
      <c r="F314" s="63" t="n"/>
    </row>
    <row r="315" ht="15.75" customHeight="1" s="125">
      <c r="A315" s="62" t="n"/>
      <c r="B315" s="62" t="n"/>
      <c r="C315" s="62" t="n"/>
      <c r="D315" s="62" t="n"/>
      <c r="E315" s="63" t="n"/>
      <c r="F315" s="63" t="n"/>
    </row>
    <row r="316" ht="15.75" customHeight="1" s="125">
      <c r="A316" s="62" t="n"/>
      <c r="B316" s="62" t="n"/>
      <c r="C316" s="62" t="n"/>
      <c r="D316" s="62" t="n"/>
      <c r="E316" s="63" t="n"/>
      <c r="F316" s="63" t="n"/>
    </row>
    <row r="317" ht="15.75" customHeight="1" s="125">
      <c r="A317" s="62" t="n"/>
      <c r="B317" s="62" t="n"/>
      <c r="C317" s="62" t="n"/>
      <c r="D317" s="62" t="n"/>
      <c r="E317" s="63" t="n"/>
      <c r="F317" s="63" t="n"/>
    </row>
    <row r="318" ht="15.75" customHeight="1" s="125">
      <c r="A318" s="62" t="n"/>
      <c r="B318" s="62" t="n"/>
      <c r="C318" s="62" t="n"/>
      <c r="D318" s="62" t="n"/>
      <c r="E318" s="63" t="n"/>
      <c r="F318" s="63" t="n"/>
    </row>
    <row r="319" ht="15.75" customHeight="1" s="125">
      <c r="A319" s="62" t="n"/>
      <c r="B319" s="62" t="n"/>
      <c r="C319" s="62" t="n"/>
      <c r="D319" s="62" t="n"/>
      <c r="E319" s="63" t="n"/>
      <c r="F319" s="63" t="n"/>
    </row>
    <row r="320" ht="15.75" customHeight="1" s="125">
      <c r="A320" s="62" t="n"/>
      <c r="B320" s="62" t="n"/>
      <c r="C320" s="62" t="n"/>
      <c r="D320" s="62" t="n"/>
      <c r="E320" s="63" t="n"/>
      <c r="F320" s="63" t="n"/>
    </row>
    <row r="321" ht="15.75" customHeight="1" s="125">
      <c r="A321" s="62" t="n"/>
      <c r="B321" s="62" t="n"/>
      <c r="C321" s="62" t="n"/>
      <c r="D321" s="62" t="n"/>
      <c r="E321" s="63" t="n"/>
      <c r="F321" s="63" t="n"/>
    </row>
    <row r="322" ht="15.75" customHeight="1" s="125">
      <c r="A322" s="62" t="n"/>
      <c r="B322" s="62" t="n"/>
      <c r="C322" s="62" t="n"/>
      <c r="D322" s="62" t="n"/>
      <c r="E322" s="63" t="n"/>
      <c r="F322" s="63" t="n"/>
    </row>
    <row r="323" ht="15.75" customHeight="1" s="125">
      <c r="A323" s="62" t="n"/>
      <c r="B323" s="62" t="n"/>
      <c r="C323" s="62" t="n"/>
      <c r="D323" s="62" t="n"/>
      <c r="E323" s="63" t="n"/>
      <c r="F323" s="63" t="n"/>
    </row>
    <row r="324" ht="15.75" customHeight="1" s="125">
      <c r="A324" s="62" t="n"/>
      <c r="B324" s="62" t="n"/>
      <c r="C324" s="62" t="n"/>
      <c r="D324" s="62" t="n"/>
      <c r="E324" s="63" t="n"/>
      <c r="F324" s="63" t="n"/>
    </row>
    <row r="325" ht="15.75" customHeight="1" s="125">
      <c r="A325" s="62" t="n"/>
      <c r="B325" s="62" t="n"/>
      <c r="C325" s="62" t="n"/>
      <c r="D325" s="62" t="n"/>
      <c r="E325" s="63" t="n"/>
      <c r="F325" s="63" t="n"/>
    </row>
    <row r="326" ht="15.75" customHeight="1" s="125">
      <c r="A326" s="62" t="n"/>
      <c r="B326" s="62" t="n"/>
      <c r="C326" s="62" t="n"/>
      <c r="D326" s="62" t="n"/>
      <c r="E326" s="63" t="n"/>
      <c r="F326" s="63" t="n"/>
    </row>
    <row r="327" ht="15.75" customHeight="1" s="125">
      <c r="A327" s="62" t="n"/>
      <c r="B327" s="62" t="n"/>
      <c r="C327" s="62" t="n"/>
      <c r="D327" s="62" t="n"/>
      <c r="E327" s="63" t="n"/>
      <c r="F327" s="63" t="n"/>
    </row>
    <row r="328" ht="15.75" customHeight="1" s="125">
      <c r="A328" s="62" t="n"/>
      <c r="B328" s="62" t="n"/>
      <c r="C328" s="62" t="n"/>
      <c r="D328" s="62" t="n"/>
      <c r="E328" s="63" t="n"/>
      <c r="F328" s="63" t="n"/>
    </row>
    <row r="329" ht="15.75" customHeight="1" s="125">
      <c r="A329" s="62" t="n"/>
      <c r="B329" s="62" t="n"/>
      <c r="C329" s="62" t="n"/>
      <c r="D329" s="62" t="n"/>
      <c r="E329" s="63" t="n"/>
      <c r="F329" s="63" t="n"/>
    </row>
    <row r="330" ht="15.75" customHeight="1" s="125">
      <c r="A330" s="62" t="n"/>
      <c r="B330" s="62" t="n"/>
      <c r="C330" s="62" t="n"/>
      <c r="D330" s="62" t="n"/>
      <c r="E330" s="63" t="n"/>
      <c r="F330" s="63" t="n"/>
    </row>
    <row r="331" ht="15.75" customHeight="1" s="125">
      <c r="A331" s="62" t="n"/>
      <c r="B331" s="62" t="n"/>
      <c r="C331" s="62" t="n"/>
      <c r="D331" s="62" t="n"/>
      <c r="E331" s="63" t="n"/>
      <c r="F331" s="63" t="n"/>
    </row>
    <row r="332" ht="15.75" customHeight="1" s="125">
      <c r="A332" s="62" t="n"/>
      <c r="B332" s="62" t="n"/>
      <c r="C332" s="62" t="n"/>
      <c r="D332" s="62" t="n"/>
      <c r="E332" s="63" t="n"/>
      <c r="F332" s="63" t="n"/>
    </row>
    <row r="333" ht="15.75" customHeight="1" s="125">
      <c r="A333" s="62" t="n"/>
      <c r="B333" s="62" t="n"/>
      <c r="C333" s="62" t="n"/>
      <c r="D333" s="62" t="n"/>
      <c r="E333" s="63" t="n"/>
      <c r="F333" s="63" t="n"/>
    </row>
    <row r="334" ht="15.75" customHeight="1" s="125">
      <c r="A334" s="62" t="n"/>
      <c r="B334" s="62" t="n"/>
      <c r="C334" s="62" t="n"/>
      <c r="D334" s="62" t="n"/>
      <c r="E334" s="63" t="n"/>
      <c r="F334" s="63" t="n"/>
    </row>
    <row r="335" ht="15.75" customHeight="1" s="125">
      <c r="A335" s="62" t="n"/>
      <c r="B335" s="62" t="n"/>
      <c r="C335" s="62" t="n"/>
      <c r="D335" s="62" t="n"/>
      <c r="E335" s="63" t="n"/>
      <c r="F335" s="63" t="n"/>
    </row>
    <row r="336" ht="15.75" customHeight="1" s="125">
      <c r="A336" s="62" t="n"/>
      <c r="B336" s="62" t="n"/>
      <c r="C336" s="62" t="n"/>
      <c r="D336" s="62" t="n"/>
      <c r="E336" s="63" t="n"/>
      <c r="F336" s="63" t="n"/>
    </row>
    <row r="337" ht="15.75" customHeight="1" s="125">
      <c r="A337" s="62" t="n"/>
      <c r="B337" s="62" t="n"/>
      <c r="C337" s="62" t="n"/>
      <c r="D337" s="62" t="n"/>
      <c r="E337" s="63" t="n"/>
      <c r="F337" s="63" t="n"/>
    </row>
    <row r="338" ht="15.75" customHeight="1" s="125">
      <c r="A338" s="62" t="n"/>
      <c r="B338" s="62" t="n"/>
      <c r="C338" s="62" t="n"/>
      <c r="D338" s="62" t="n"/>
      <c r="E338" s="63" t="n"/>
      <c r="F338" s="63" t="n"/>
    </row>
    <row r="339" ht="15.75" customHeight="1" s="125">
      <c r="A339" s="62" t="n"/>
      <c r="B339" s="62" t="n"/>
      <c r="C339" s="62" t="n"/>
      <c r="D339" s="62" t="n"/>
      <c r="E339" s="63" t="n"/>
      <c r="F339" s="63" t="n"/>
    </row>
    <row r="340" ht="15.75" customHeight="1" s="125">
      <c r="A340" s="62" t="n"/>
      <c r="B340" s="62" t="n"/>
      <c r="C340" s="62" t="n"/>
      <c r="D340" s="62" t="n"/>
      <c r="E340" s="63" t="n"/>
      <c r="F340" s="63" t="n"/>
    </row>
    <row r="341" ht="15.75" customHeight="1" s="125">
      <c r="A341" s="62" t="n"/>
      <c r="B341" s="62" t="n"/>
      <c r="C341" s="62" t="n"/>
      <c r="D341" s="62" t="n"/>
      <c r="E341" s="63" t="n"/>
      <c r="F341" s="63" t="n"/>
    </row>
    <row r="342" ht="15.75" customHeight="1" s="125">
      <c r="A342" s="62" t="n"/>
      <c r="B342" s="62" t="n"/>
      <c r="C342" s="62" t="n"/>
      <c r="D342" s="62" t="n"/>
      <c r="E342" s="63" t="n"/>
      <c r="F342" s="63" t="n"/>
    </row>
    <row r="343" ht="15.75" customHeight="1" s="125">
      <c r="A343" s="62" t="n"/>
      <c r="B343" s="62" t="n"/>
      <c r="C343" s="62" t="n"/>
      <c r="D343" s="62" t="n"/>
      <c r="E343" s="63" t="n"/>
      <c r="F343" s="63" t="n"/>
    </row>
    <row r="344" ht="15.75" customHeight="1" s="125">
      <c r="A344" s="62" t="n"/>
      <c r="B344" s="62" t="n"/>
      <c r="C344" s="62" t="n"/>
      <c r="D344" s="62" t="n"/>
      <c r="E344" s="63" t="n"/>
      <c r="F344" s="63" t="n"/>
    </row>
    <row r="345" ht="15.75" customHeight="1" s="125">
      <c r="A345" s="62" t="n"/>
      <c r="B345" s="62" t="n"/>
      <c r="C345" s="62" t="n"/>
      <c r="D345" s="62" t="n"/>
      <c r="E345" s="63" t="n"/>
      <c r="F345" s="63" t="n"/>
    </row>
    <row r="346" ht="15.75" customHeight="1" s="125">
      <c r="A346" s="62" t="n"/>
      <c r="B346" s="62" t="n"/>
      <c r="C346" s="62" t="n"/>
      <c r="D346" s="62" t="n"/>
      <c r="E346" s="63" t="n"/>
      <c r="F346" s="63" t="n"/>
    </row>
    <row r="347" ht="15.75" customHeight="1" s="125">
      <c r="A347" s="62" t="n"/>
      <c r="B347" s="62" t="n"/>
      <c r="C347" s="62" t="n"/>
      <c r="D347" s="62" t="n"/>
      <c r="E347" s="63" t="n"/>
      <c r="F347" s="63" t="n"/>
    </row>
    <row r="348" ht="15.75" customHeight="1" s="125">
      <c r="A348" s="62" t="n"/>
      <c r="B348" s="62" t="n"/>
      <c r="C348" s="62" t="n"/>
      <c r="D348" s="62" t="n"/>
      <c r="E348" s="63" t="n"/>
      <c r="F348" s="63" t="n"/>
    </row>
    <row r="349" ht="15.75" customHeight="1" s="125">
      <c r="A349" s="62" t="n"/>
      <c r="B349" s="62" t="n"/>
      <c r="C349" s="62" t="n"/>
      <c r="D349" s="62" t="n"/>
      <c r="E349" s="63" t="n"/>
      <c r="F349" s="63" t="n"/>
    </row>
    <row r="350" ht="15.75" customHeight="1" s="125">
      <c r="A350" s="62" t="n"/>
      <c r="B350" s="62" t="n"/>
      <c r="C350" s="62" t="n"/>
      <c r="D350" s="62" t="n"/>
      <c r="E350" s="63" t="n"/>
      <c r="F350" s="63" t="n"/>
    </row>
    <row r="351" ht="15.75" customHeight="1" s="125">
      <c r="A351" s="62" t="n"/>
      <c r="B351" s="62" t="n"/>
      <c r="C351" s="62" t="n"/>
      <c r="D351" s="62" t="n"/>
      <c r="E351" s="63" t="n"/>
      <c r="F351" s="63" t="n"/>
    </row>
    <row r="352" ht="15.75" customHeight="1" s="125">
      <c r="A352" s="62" t="n"/>
      <c r="B352" s="62" t="n"/>
      <c r="C352" s="62" t="n"/>
      <c r="D352" s="62" t="n"/>
      <c r="E352" s="63" t="n"/>
      <c r="F352" s="63" t="n"/>
    </row>
    <row r="353" ht="15.75" customHeight="1" s="125">
      <c r="A353" s="62" t="n"/>
      <c r="B353" s="62" t="n"/>
      <c r="C353" s="62" t="n"/>
      <c r="D353" s="62" t="n"/>
      <c r="E353" s="63" t="n"/>
      <c r="F353" s="63" t="n"/>
    </row>
    <row r="354" ht="15.75" customHeight="1" s="125">
      <c r="A354" s="62" t="n"/>
      <c r="B354" s="62" t="n"/>
      <c r="C354" s="62" t="n"/>
      <c r="D354" s="62" t="n"/>
      <c r="E354" s="63" t="n"/>
      <c r="F354" s="63" t="n"/>
    </row>
    <row r="355" ht="15.75" customHeight="1" s="125">
      <c r="A355" s="62" t="n"/>
      <c r="B355" s="62" t="n"/>
      <c r="C355" s="62" t="n"/>
      <c r="D355" s="62" t="n"/>
      <c r="E355" s="63" t="n"/>
      <c r="F355" s="63" t="n"/>
    </row>
    <row r="356" ht="15.75" customHeight="1" s="125">
      <c r="A356" s="62" t="n"/>
      <c r="B356" s="62" t="n"/>
      <c r="C356" s="62" t="n"/>
      <c r="D356" s="62" t="n"/>
      <c r="E356" s="63" t="n"/>
      <c r="F356" s="63" t="n"/>
    </row>
    <row r="357" ht="15.75" customHeight="1" s="125">
      <c r="A357" s="62" t="n"/>
      <c r="B357" s="62" t="n"/>
      <c r="C357" s="62" t="n"/>
      <c r="D357" s="62" t="n"/>
      <c r="E357" s="63" t="n"/>
      <c r="F357" s="63" t="n"/>
    </row>
    <row r="358" ht="15.75" customHeight="1" s="125">
      <c r="A358" s="62" t="n"/>
      <c r="B358" s="62" t="n"/>
      <c r="C358" s="62" t="n"/>
      <c r="D358" s="62" t="n"/>
      <c r="E358" s="63" t="n"/>
      <c r="F358" s="63" t="n"/>
    </row>
    <row r="359" ht="15.75" customHeight="1" s="125">
      <c r="A359" s="62" t="n"/>
      <c r="B359" s="62" t="n"/>
      <c r="C359" s="62" t="n"/>
      <c r="D359" s="62" t="n"/>
      <c r="E359" s="63" t="n"/>
      <c r="F359" s="63" t="n"/>
    </row>
    <row r="360" ht="15.75" customHeight="1" s="125">
      <c r="A360" s="62" t="n"/>
      <c r="B360" s="62" t="n"/>
      <c r="C360" s="62" t="n"/>
      <c r="D360" s="62" t="n"/>
      <c r="E360" s="63" t="n"/>
      <c r="F360" s="63" t="n"/>
    </row>
    <row r="361" ht="15.75" customHeight="1" s="125">
      <c r="A361" s="62" t="n"/>
      <c r="B361" s="62" t="n"/>
      <c r="C361" s="62" t="n"/>
      <c r="D361" s="62" t="n"/>
      <c r="E361" s="63" t="n"/>
      <c r="F361" s="63" t="n"/>
    </row>
    <row r="362" ht="15.75" customHeight="1" s="125">
      <c r="A362" s="62" t="n"/>
      <c r="B362" s="62" t="n"/>
      <c r="C362" s="62" t="n"/>
      <c r="D362" s="62" t="n"/>
      <c r="E362" s="63" t="n"/>
      <c r="F362" s="63" t="n"/>
    </row>
    <row r="363" ht="15.75" customHeight="1" s="125">
      <c r="A363" s="62" t="n"/>
      <c r="B363" s="62" t="n"/>
      <c r="C363" s="62" t="n"/>
      <c r="D363" s="62" t="n"/>
      <c r="E363" s="63" t="n"/>
      <c r="F363" s="63" t="n"/>
    </row>
    <row r="364" ht="15.75" customHeight="1" s="125">
      <c r="A364" s="62" t="n"/>
      <c r="B364" s="62" t="n"/>
      <c r="C364" s="62" t="n"/>
      <c r="D364" s="62" t="n"/>
      <c r="E364" s="63" t="n"/>
      <c r="F364" s="63" t="n"/>
    </row>
    <row r="365" ht="15.75" customHeight="1" s="125">
      <c r="A365" s="62" t="n"/>
      <c r="B365" s="62" t="n"/>
      <c r="C365" s="62" t="n"/>
      <c r="D365" s="62" t="n"/>
      <c r="E365" s="63" t="n"/>
      <c r="F365" s="63" t="n"/>
    </row>
    <row r="366" ht="15.75" customHeight="1" s="125">
      <c r="A366" s="62" t="n"/>
      <c r="B366" s="62" t="n"/>
      <c r="C366" s="62" t="n"/>
      <c r="D366" s="62" t="n"/>
      <c r="E366" s="63" t="n"/>
      <c r="F366" s="63" t="n"/>
    </row>
    <row r="367" ht="15.75" customHeight="1" s="125">
      <c r="A367" s="62" t="n"/>
      <c r="B367" s="62" t="n"/>
      <c r="C367" s="62" t="n"/>
      <c r="D367" s="62" t="n"/>
      <c r="E367" s="63" t="n"/>
      <c r="F367" s="63" t="n"/>
    </row>
    <row r="368" ht="15.75" customHeight="1" s="125">
      <c r="A368" s="62" t="n"/>
      <c r="B368" s="62" t="n"/>
      <c r="C368" s="62" t="n"/>
      <c r="D368" s="62" t="n"/>
      <c r="E368" s="63" t="n"/>
      <c r="F368" s="63" t="n"/>
    </row>
    <row r="369" ht="15.75" customHeight="1" s="125">
      <c r="A369" s="62" t="n"/>
      <c r="B369" s="62" t="n"/>
      <c r="C369" s="62" t="n"/>
      <c r="D369" s="62" t="n"/>
      <c r="E369" s="63" t="n"/>
      <c r="F369" s="63" t="n"/>
    </row>
    <row r="370" ht="15.75" customHeight="1" s="125">
      <c r="A370" s="62" t="n"/>
      <c r="B370" s="62" t="n"/>
      <c r="C370" s="62" t="n"/>
      <c r="D370" s="62" t="n"/>
      <c r="E370" s="63" t="n"/>
      <c r="F370" s="63" t="n"/>
    </row>
    <row r="371" ht="15.75" customHeight="1" s="125">
      <c r="A371" s="62" t="n"/>
      <c r="B371" s="62" t="n"/>
      <c r="C371" s="62" t="n"/>
      <c r="D371" s="62" t="n"/>
      <c r="E371" s="63" t="n"/>
      <c r="F371" s="63" t="n"/>
    </row>
    <row r="372" ht="15.75" customHeight="1" s="125">
      <c r="A372" s="62" t="n"/>
      <c r="B372" s="62" t="n"/>
      <c r="C372" s="62" t="n"/>
      <c r="D372" s="62" t="n"/>
      <c r="E372" s="63" t="n"/>
      <c r="F372" s="63" t="n"/>
    </row>
    <row r="373" ht="15.75" customHeight="1" s="125">
      <c r="A373" s="62" t="n"/>
      <c r="B373" s="62" t="n"/>
      <c r="C373" s="62" t="n"/>
      <c r="D373" s="62" t="n"/>
      <c r="E373" s="63" t="n"/>
      <c r="F373" s="63" t="n"/>
    </row>
    <row r="374" ht="15.75" customHeight="1" s="125">
      <c r="A374" s="62" t="n"/>
      <c r="B374" s="62" t="n"/>
      <c r="C374" s="62" t="n"/>
      <c r="D374" s="62" t="n"/>
      <c r="E374" s="63" t="n"/>
      <c r="F374" s="63" t="n"/>
    </row>
    <row r="375" ht="15.75" customHeight="1" s="125">
      <c r="A375" s="62" t="n"/>
      <c r="B375" s="62" t="n"/>
      <c r="C375" s="62" t="n"/>
      <c r="D375" s="62" t="n"/>
      <c r="E375" s="63" t="n"/>
      <c r="F375" s="63" t="n"/>
    </row>
    <row r="376" ht="15.75" customHeight="1" s="125">
      <c r="A376" s="62" t="n"/>
      <c r="B376" s="62" t="n"/>
      <c r="C376" s="62" t="n"/>
      <c r="D376" s="62" t="n"/>
      <c r="E376" s="63" t="n"/>
      <c r="F376" s="63" t="n"/>
    </row>
    <row r="377" ht="15.75" customHeight="1" s="125">
      <c r="A377" s="62" t="n"/>
      <c r="B377" s="62" t="n"/>
      <c r="C377" s="62" t="n"/>
      <c r="D377" s="62" t="n"/>
      <c r="E377" s="63" t="n"/>
      <c r="F377" s="63" t="n"/>
    </row>
    <row r="378" ht="15.75" customHeight="1" s="125">
      <c r="A378" s="62" t="n"/>
      <c r="B378" s="62" t="n"/>
      <c r="C378" s="62" t="n"/>
      <c r="D378" s="62" t="n"/>
      <c r="E378" s="63" t="n"/>
      <c r="F378" s="63" t="n"/>
    </row>
    <row r="379" ht="15.75" customHeight="1" s="125">
      <c r="A379" s="62" t="n"/>
      <c r="B379" s="62" t="n"/>
      <c r="C379" s="62" t="n"/>
      <c r="D379" s="62" t="n"/>
      <c r="E379" s="63" t="n"/>
      <c r="F379" s="63" t="n"/>
    </row>
    <row r="380" ht="15.75" customHeight="1" s="125">
      <c r="A380" s="62" t="n"/>
      <c r="B380" s="62" t="n"/>
      <c r="C380" s="62" t="n"/>
      <c r="D380" s="62" t="n"/>
      <c r="E380" s="63" t="n"/>
      <c r="F380" s="63" t="n"/>
    </row>
    <row r="381" ht="15.75" customHeight="1" s="125">
      <c r="A381" s="62" t="n"/>
      <c r="B381" s="62" t="n"/>
      <c r="C381" s="62" t="n"/>
      <c r="D381" s="62" t="n"/>
      <c r="E381" s="63" t="n"/>
      <c r="F381" s="63" t="n"/>
    </row>
    <row r="382" ht="15.75" customHeight="1" s="125">
      <c r="A382" s="62" t="n"/>
      <c r="B382" s="62" t="n"/>
      <c r="C382" s="62" t="n"/>
      <c r="D382" s="62" t="n"/>
      <c r="E382" s="63" t="n"/>
      <c r="F382" s="63" t="n"/>
    </row>
    <row r="383" ht="15.75" customHeight="1" s="125">
      <c r="A383" s="62" t="n"/>
      <c r="B383" s="62" t="n"/>
      <c r="C383" s="62" t="n"/>
      <c r="D383" s="62" t="n"/>
      <c r="E383" s="63" t="n"/>
      <c r="F383" s="63" t="n"/>
    </row>
    <row r="384" ht="15.75" customHeight="1" s="125">
      <c r="A384" s="62" t="n"/>
      <c r="B384" s="62" t="n"/>
      <c r="C384" s="62" t="n"/>
      <c r="D384" s="62" t="n"/>
      <c r="E384" s="63" t="n"/>
      <c r="F384" s="63" t="n"/>
    </row>
    <row r="385" ht="15.75" customHeight="1" s="125">
      <c r="A385" s="62" t="n"/>
      <c r="B385" s="62" t="n"/>
      <c r="C385" s="62" t="n"/>
      <c r="D385" s="62" t="n"/>
      <c r="E385" s="63" t="n"/>
      <c r="F385" s="63" t="n"/>
    </row>
    <row r="386" ht="15.75" customHeight="1" s="125">
      <c r="A386" s="62" t="n"/>
      <c r="B386" s="62" t="n"/>
      <c r="C386" s="62" t="n"/>
      <c r="D386" s="62" t="n"/>
      <c r="E386" s="63" t="n"/>
      <c r="F386" s="63" t="n"/>
    </row>
    <row r="387" ht="15.75" customHeight="1" s="125">
      <c r="A387" s="62" t="n"/>
      <c r="B387" s="62" t="n"/>
      <c r="C387" s="62" t="n"/>
      <c r="D387" s="62" t="n"/>
      <c r="E387" s="63" t="n"/>
      <c r="F387" s="63" t="n"/>
    </row>
    <row r="388" ht="15.75" customHeight="1" s="125">
      <c r="A388" s="62" t="n"/>
      <c r="B388" s="62" t="n"/>
      <c r="C388" s="62" t="n"/>
      <c r="D388" s="62" t="n"/>
      <c r="E388" s="63" t="n"/>
      <c r="F388" s="63" t="n"/>
    </row>
    <row r="389" ht="15.75" customHeight="1" s="125">
      <c r="A389" s="62" t="n"/>
      <c r="B389" s="62" t="n"/>
      <c r="C389" s="62" t="n"/>
      <c r="D389" s="62" t="n"/>
      <c r="E389" s="63" t="n"/>
      <c r="F389" s="63" t="n"/>
    </row>
    <row r="390" ht="15.75" customHeight="1" s="125">
      <c r="A390" s="62" t="n"/>
      <c r="B390" s="62" t="n"/>
      <c r="C390" s="62" t="n"/>
      <c r="D390" s="62" t="n"/>
      <c r="E390" s="63" t="n"/>
      <c r="F390" s="63" t="n"/>
    </row>
    <row r="391" ht="15.75" customHeight="1" s="125">
      <c r="A391" s="62" t="n"/>
      <c r="B391" s="62" t="n"/>
      <c r="C391" s="62" t="n"/>
      <c r="D391" s="62" t="n"/>
      <c r="E391" s="63" t="n"/>
      <c r="F391" s="63" t="n"/>
    </row>
    <row r="392" ht="15.75" customHeight="1" s="125">
      <c r="A392" s="62" t="n"/>
      <c r="B392" s="62" t="n"/>
      <c r="C392" s="62" t="n"/>
      <c r="D392" s="62" t="n"/>
      <c r="E392" s="63" t="n"/>
      <c r="F392" s="63" t="n"/>
    </row>
    <row r="393" ht="15.75" customHeight="1" s="125">
      <c r="A393" s="62" t="n"/>
      <c r="B393" s="62" t="n"/>
      <c r="C393" s="62" t="n"/>
      <c r="D393" s="62" t="n"/>
      <c r="E393" s="63" t="n"/>
      <c r="F393" s="63" t="n"/>
    </row>
    <row r="394" ht="15.75" customHeight="1" s="125">
      <c r="A394" s="62" t="n"/>
      <c r="B394" s="62" t="n"/>
      <c r="C394" s="62" t="n"/>
      <c r="D394" s="62" t="n"/>
      <c r="E394" s="63" t="n"/>
      <c r="F394" s="63" t="n"/>
    </row>
    <row r="395" ht="15.75" customHeight="1" s="125">
      <c r="A395" s="62" t="n"/>
      <c r="B395" s="62" t="n"/>
      <c r="C395" s="62" t="n"/>
      <c r="D395" s="62" t="n"/>
      <c r="E395" s="63" t="n"/>
      <c r="F395" s="63" t="n"/>
    </row>
    <row r="396" ht="15.75" customHeight="1" s="125">
      <c r="A396" s="62" t="n"/>
      <c r="B396" s="62" t="n"/>
      <c r="C396" s="62" t="n"/>
      <c r="D396" s="62" t="n"/>
      <c r="E396" s="63" t="n"/>
      <c r="F396" s="63" t="n"/>
    </row>
    <row r="397" ht="15.75" customHeight="1" s="125">
      <c r="A397" s="62" t="n"/>
      <c r="B397" s="62" t="n"/>
      <c r="C397" s="62" t="n"/>
      <c r="D397" s="62" t="n"/>
      <c r="E397" s="63" t="n"/>
      <c r="F397" s="63" t="n"/>
    </row>
    <row r="398" ht="15.75" customHeight="1" s="125">
      <c r="A398" s="62" t="n"/>
      <c r="B398" s="62" t="n"/>
      <c r="C398" s="62" t="n"/>
      <c r="D398" s="62" t="n"/>
      <c r="E398" s="63" t="n"/>
      <c r="F398" s="63" t="n"/>
    </row>
    <row r="399" ht="15.75" customHeight="1" s="125">
      <c r="A399" s="62" t="n"/>
      <c r="B399" s="62" t="n"/>
      <c r="C399" s="62" t="n"/>
      <c r="D399" s="62" t="n"/>
      <c r="E399" s="63" t="n"/>
      <c r="F399" s="63" t="n"/>
    </row>
    <row r="400" ht="15.75" customHeight="1" s="125">
      <c r="A400" s="62" t="n"/>
      <c r="B400" s="62" t="n"/>
      <c r="C400" s="62" t="n"/>
      <c r="D400" s="62" t="n"/>
      <c r="E400" s="63" t="n"/>
      <c r="F400" s="63" t="n"/>
    </row>
    <row r="401" ht="15.75" customHeight="1" s="125">
      <c r="A401" s="62" t="n"/>
      <c r="B401" s="62" t="n"/>
      <c r="C401" s="62" t="n"/>
      <c r="D401" s="62" t="n"/>
      <c r="E401" s="63" t="n"/>
      <c r="F401" s="63" t="n"/>
    </row>
    <row r="402" ht="15.75" customHeight="1" s="125">
      <c r="A402" s="62" t="n"/>
      <c r="B402" s="62" t="n"/>
      <c r="C402" s="62" t="n"/>
      <c r="D402" s="62" t="n"/>
      <c r="E402" s="63" t="n"/>
      <c r="F402" s="63" t="n"/>
    </row>
    <row r="403" ht="15.75" customHeight="1" s="125">
      <c r="A403" s="62" t="n"/>
      <c r="B403" s="62" t="n"/>
      <c r="C403" s="62" t="n"/>
      <c r="D403" s="62" t="n"/>
      <c r="E403" s="63" t="n"/>
      <c r="F403" s="63" t="n"/>
    </row>
    <row r="404" ht="15.75" customHeight="1" s="125">
      <c r="A404" s="62" t="n"/>
      <c r="B404" s="62" t="n"/>
      <c r="C404" s="62" t="n"/>
      <c r="D404" s="62" t="n"/>
      <c r="E404" s="63" t="n"/>
      <c r="F404" s="63" t="n"/>
    </row>
    <row r="405" ht="15.75" customHeight="1" s="125">
      <c r="A405" s="62" t="n"/>
      <c r="B405" s="62" t="n"/>
      <c r="C405" s="62" t="n"/>
      <c r="D405" s="62" t="n"/>
      <c r="E405" s="63" t="n"/>
      <c r="F405" s="63" t="n"/>
    </row>
    <row r="406" ht="15.75" customHeight="1" s="125">
      <c r="A406" s="62" t="n"/>
      <c r="B406" s="62" t="n"/>
      <c r="C406" s="62" t="n"/>
      <c r="D406" s="62" t="n"/>
      <c r="E406" s="63" t="n"/>
      <c r="F406" s="63" t="n"/>
    </row>
    <row r="407" ht="15.75" customHeight="1" s="125">
      <c r="A407" s="62" t="n"/>
      <c r="B407" s="62" t="n"/>
      <c r="C407" s="62" t="n"/>
      <c r="D407" s="62" t="n"/>
      <c r="E407" s="63" t="n"/>
      <c r="F407" s="63" t="n"/>
    </row>
    <row r="408" ht="15.75" customHeight="1" s="125">
      <c r="A408" s="62" t="n"/>
      <c r="B408" s="62" t="n"/>
      <c r="C408" s="62" t="n"/>
      <c r="D408" s="62" t="n"/>
      <c r="E408" s="63" t="n"/>
      <c r="F408" s="63" t="n"/>
    </row>
    <row r="409" ht="15.75" customHeight="1" s="125">
      <c r="A409" s="62" t="n"/>
      <c r="B409" s="62" t="n"/>
      <c r="C409" s="62" t="n"/>
      <c r="D409" s="62" t="n"/>
      <c r="E409" s="63" t="n"/>
      <c r="F409" s="63" t="n"/>
    </row>
    <row r="410" ht="15.75" customHeight="1" s="125">
      <c r="A410" s="62" t="n"/>
      <c r="B410" s="62" t="n"/>
      <c r="C410" s="62" t="n"/>
      <c r="D410" s="62" t="n"/>
      <c r="E410" s="63" t="n"/>
      <c r="F410" s="63" t="n"/>
    </row>
    <row r="411" ht="15.75" customHeight="1" s="125">
      <c r="A411" s="62" t="n"/>
      <c r="B411" s="62" t="n"/>
      <c r="C411" s="62" t="n"/>
      <c r="D411" s="62" t="n"/>
      <c r="E411" s="63" t="n"/>
      <c r="F411" s="63" t="n"/>
    </row>
    <row r="412" ht="15.75" customHeight="1" s="125">
      <c r="A412" s="62" t="n"/>
      <c r="B412" s="62" t="n"/>
      <c r="C412" s="62" t="n"/>
      <c r="D412" s="62" t="n"/>
      <c r="E412" s="63" t="n"/>
      <c r="F412" s="63" t="n"/>
    </row>
    <row r="413" ht="15.75" customHeight="1" s="125">
      <c r="A413" s="62" t="n"/>
      <c r="B413" s="62" t="n"/>
      <c r="C413" s="62" t="n"/>
      <c r="D413" s="62" t="n"/>
      <c r="E413" s="63" t="n"/>
      <c r="F413" s="63" t="n"/>
    </row>
    <row r="414" ht="15.75" customHeight="1" s="125">
      <c r="A414" s="62" t="n"/>
      <c r="B414" s="62" t="n"/>
      <c r="C414" s="62" t="n"/>
      <c r="D414" s="62" t="n"/>
      <c r="E414" s="63" t="n"/>
      <c r="F414" s="63" t="n"/>
    </row>
    <row r="415" ht="15.75" customHeight="1" s="125">
      <c r="A415" s="62" t="n"/>
      <c r="B415" s="62" t="n"/>
      <c r="C415" s="62" t="n"/>
      <c r="D415" s="62" t="n"/>
      <c r="E415" s="63" t="n"/>
      <c r="F415" s="63" t="n"/>
    </row>
    <row r="416" ht="15.75" customHeight="1" s="125">
      <c r="A416" s="62" t="n"/>
      <c r="B416" s="62" t="n"/>
      <c r="C416" s="62" t="n"/>
      <c r="D416" s="62" t="n"/>
      <c r="E416" s="63" t="n"/>
      <c r="F416" s="63" t="n"/>
    </row>
    <row r="417" ht="15.75" customHeight="1" s="125">
      <c r="A417" s="62" t="n"/>
      <c r="B417" s="62" t="n"/>
      <c r="C417" s="62" t="n"/>
      <c r="D417" s="62" t="n"/>
      <c r="E417" s="63" t="n"/>
      <c r="F417" s="63" t="n"/>
    </row>
    <row r="418" ht="15.75" customHeight="1" s="125">
      <c r="A418" s="62" t="n"/>
      <c r="B418" s="62" t="n"/>
      <c r="C418" s="62" t="n"/>
      <c r="D418" s="62" t="n"/>
      <c r="E418" s="63" t="n"/>
      <c r="F418" s="63" t="n"/>
    </row>
    <row r="419" ht="15.75" customHeight="1" s="125">
      <c r="A419" s="62" t="n"/>
      <c r="B419" s="62" t="n"/>
      <c r="C419" s="62" t="n"/>
      <c r="D419" s="62" t="n"/>
      <c r="E419" s="63" t="n"/>
      <c r="F419" s="63" t="n"/>
    </row>
    <row r="420" ht="15.75" customHeight="1" s="125">
      <c r="A420" s="62" t="n"/>
      <c r="B420" s="62" t="n"/>
      <c r="C420" s="62" t="n"/>
      <c r="D420" s="62" t="n"/>
      <c r="E420" s="63" t="n"/>
      <c r="F420" s="63" t="n"/>
    </row>
    <row r="421" ht="15.75" customHeight="1" s="125">
      <c r="A421" s="62" t="n"/>
      <c r="B421" s="62" t="n"/>
      <c r="C421" s="62" t="n"/>
      <c r="D421" s="62" t="n"/>
      <c r="E421" s="63" t="n"/>
      <c r="F421" s="63" t="n"/>
    </row>
    <row r="422" ht="15.75" customHeight="1" s="125">
      <c r="A422" s="62" t="n"/>
      <c r="B422" s="62" t="n"/>
      <c r="C422" s="62" t="n"/>
      <c r="D422" s="62" t="n"/>
      <c r="E422" s="63" t="n"/>
      <c r="F422" s="63" t="n"/>
    </row>
    <row r="423" ht="15.75" customHeight="1" s="125">
      <c r="A423" s="62" t="n"/>
      <c r="B423" s="62" t="n"/>
      <c r="C423" s="62" t="n"/>
      <c r="D423" s="62" t="n"/>
      <c r="E423" s="63" t="n"/>
      <c r="F423" s="63" t="n"/>
    </row>
    <row r="424" ht="15.75" customHeight="1" s="125">
      <c r="A424" s="62" t="n"/>
      <c r="B424" s="62" t="n"/>
      <c r="C424" s="62" t="n"/>
      <c r="D424" s="62" t="n"/>
      <c r="E424" s="63" t="n"/>
      <c r="F424" s="63" t="n"/>
    </row>
    <row r="425" ht="15.75" customHeight="1" s="125">
      <c r="A425" s="62" t="n"/>
      <c r="B425" s="62" t="n"/>
      <c r="C425" s="62" t="n"/>
      <c r="D425" s="62" t="n"/>
      <c r="E425" s="63" t="n"/>
      <c r="F425" s="63" t="n"/>
    </row>
    <row r="426" ht="15.75" customHeight="1" s="125">
      <c r="A426" s="62" t="n"/>
      <c r="B426" s="62" t="n"/>
      <c r="C426" s="62" t="n"/>
      <c r="D426" s="62" t="n"/>
      <c r="E426" s="63" t="n"/>
      <c r="F426" s="63" t="n"/>
    </row>
    <row r="427" ht="15.75" customHeight="1" s="125">
      <c r="A427" s="62" t="n"/>
      <c r="B427" s="62" t="n"/>
      <c r="C427" s="62" t="n"/>
      <c r="D427" s="62" t="n"/>
      <c r="E427" s="63" t="n"/>
      <c r="F427" s="63" t="n"/>
    </row>
    <row r="428" ht="15.75" customHeight="1" s="125">
      <c r="A428" s="62" t="n"/>
      <c r="B428" s="62" t="n"/>
      <c r="C428" s="62" t="n"/>
      <c r="D428" s="62" t="n"/>
      <c r="E428" s="63" t="n"/>
      <c r="F428" s="63" t="n"/>
    </row>
    <row r="429" ht="15.75" customHeight="1" s="125">
      <c r="A429" s="62" t="n"/>
      <c r="B429" s="62" t="n"/>
      <c r="C429" s="62" t="n"/>
      <c r="D429" s="62" t="n"/>
      <c r="E429" s="63" t="n"/>
      <c r="F429" s="63" t="n"/>
    </row>
    <row r="430" ht="15.75" customHeight="1" s="125">
      <c r="A430" s="62" t="n"/>
      <c r="B430" s="62" t="n"/>
      <c r="C430" s="62" t="n"/>
      <c r="D430" s="62" t="n"/>
      <c r="E430" s="63" t="n"/>
      <c r="F430" s="63" t="n"/>
    </row>
    <row r="431" ht="15.75" customHeight="1" s="125">
      <c r="A431" s="62" t="n"/>
      <c r="B431" s="62" t="n"/>
      <c r="C431" s="62" t="n"/>
      <c r="D431" s="62" t="n"/>
      <c r="E431" s="63" t="n"/>
      <c r="F431" s="63" t="n"/>
    </row>
    <row r="432" ht="15.75" customHeight="1" s="125">
      <c r="A432" s="62" t="n"/>
      <c r="B432" s="62" t="n"/>
      <c r="C432" s="62" t="n"/>
      <c r="D432" s="62" t="n"/>
      <c r="E432" s="63" t="n"/>
      <c r="F432" s="63" t="n"/>
    </row>
    <row r="433" ht="15.75" customHeight="1" s="125">
      <c r="A433" s="62" t="n"/>
      <c r="B433" s="62" t="n"/>
      <c r="C433" s="62" t="n"/>
      <c r="D433" s="62" t="n"/>
      <c r="E433" s="63" t="n"/>
      <c r="F433" s="63" t="n"/>
    </row>
    <row r="434" ht="15.75" customHeight="1" s="125">
      <c r="A434" s="62" t="n"/>
      <c r="B434" s="62" t="n"/>
      <c r="C434" s="62" t="n"/>
      <c r="D434" s="62" t="n"/>
      <c r="E434" s="63" t="n"/>
      <c r="F434" s="63" t="n"/>
    </row>
    <row r="435" ht="15.75" customHeight="1" s="125">
      <c r="A435" s="62" t="n"/>
      <c r="B435" s="62" t="n"/>
      <c r="C435" s="62" t="n"/>
      <c r="D435" s="62" t="n"/>
      <c r="E435" s="63" t="n"/>
      <c r="F435" s="63" t="n"/>
    </row>
    <row r="436" ht="15.75" customHeight="1" s="125">
      <c r="A436" s="62" t="n"/>
      <c r="B436" s="62" t="n"/>
      <c r="C436" s="62" t="n"/>
      <c r="D436" s="62" t="n"/>
      <c r="E436" s="63" t="n"/>
      <c r="F436" s="63" t="n"/>
    </row>
    <row r="437" ht="15.75" customHeight="1" s="125">
      <c r="A437" s="62" t="n"/>
      <c r="B437" s="62" t="n"/>
      <c r="C437" s="62" t="n"/>
      <c r="D437" s="62" t="n"/>
      <c r="E437" s="63" t="n"/>
      <c r="F437" s="63" t="n"/>
    </row>
    <row r="438" ht="15.75" customHeight="1" s="125">
      <c r="A438" s="62" t="n"/>
      <c r="B438" s="62" t="n"/>
      <c r="C438" s="62" t="n"/>
      <c r="D438" s="62" t="n"/>
      <c r="E438" s="63" t="n"/>
      <c r="F438" s="63" t="n"/>
    </row>
    <row r="439" ht="15.75" customHeight="1" s="125">
      <c r="A439" s="62" t="n"/>
      <c r="B439" s="62" t="n"/>
      <c r="C439" s="62" t="n"/>
      <c r="D439" s="62" t="n"/>
      <c r="E439" s="63" t="n"/>
      <c r="F439" s="63" t="n"/>
    </row>
    <row r="440" ht="15.75" customHeight="1" s="125">
      <c r="A440" s="62" t="n"/>
      <c r="B440" s="62" t="n"/>
      <c r="C440" s="62" t="n"/>
      <c r="D440" s="62" t="n"/>
      <c r="E440" s="63" t="n"/>
      <c r="F440" s="63" t="n"/>
    </row>
    <row r="441" ht="15.75" customHeight="1" s="125">
      <c r="A441" s="62" t="n"/>
      <c r="B441" s="62" t="n"/>
      <c r="C441" s="62" t="n"/>
      <c r="D441" s="62" t="n"/>
      <c r="E441" s="63" t="n"/>
      <c r="F441" s="63" t="n"/>
    </row>
    <row r="442" ht="15.75" customHeight="1" s="125">
      <c r="A442" s="62" t="n"/>
      <c r="B442" s="62" t="n"/>
      <c r="C442" s="62" t="n"/>
      <c r="D442" s="62" t="n"/>
      <c r="E442" s="63" t="n"/>
      <c r="F442" s="63" t="n"/>
    </row>
    <row r="443" ht="15.75" customHeight="1" s="125">
      <c r="A443" s="62" t="n"/>
      <c r="B443" s="62" t="n"/>
      <c r="C443" s="62" t="n"/>
      <c r="D443" s="62" t="n"/>
      <c r="E443" s="63" t="n"/>
      <c r="F443" s="63" t="n"/>
    </row>
    <row r="444" ht="15.75" customHeight="1" s="125">
      <c r="A444" s="62" t="n"/>
      <c r="B444" s="62" t="n"/>
      <c r="C444" s="62" t="n"/>
      <c r="D444" s="62" t="n"/>
      <c r="E444" s="63" t="n"/>
      <c r="F444" s="63" t="n"/>
    </row>
    <row r="445" ht="15.75" customHeight="1" s="125">
      <c r="A445" s="62" t="n"/>
      <c r="B445" s="62" t="n"/>
      <c r="C445" s="62" t="n"/>
      <c r="D445" s="62" t="n"/>
      <c r="E445" s="63" t="n"/>
      <c r="F445" s="63" t="n"/>
    </row>
    <row r="446" ht="15.75" customHeight="1" s="125">
      <c r="A446" s="62" t="n"/>
      <c r="B446" s="62" t="n"/>
      <c r="C446" s="62" t="n"/>
      <c r="D446" s="62" t="n"/>
      <c r="E446" s="63" t="n"/>
      <c r="F446" s="63" t="n"/>
    </row>
    <row r="447" ht="15.75" customHeight="1" s="125">
      <c r="A447" s="62" t="n"/>
      <c r="B447" s="62" t="n"/>
      <c r="C447" s="62" t="n"/>
      <c r="D447" s="62" t="n"/>
      <c r="E447" s="63" t="n"/>
      <c r="F447" s="63" t="n"/>
    </row>
    <row r="448" ht="15.75" customHeight="1" s="125">
      <c r="A448" s="62" t="n"/>
      <c r="B448" s="62" t="n"/>
      <c r="C448" s="62" t="n"/>
      <c r="D448" s="62" t="n"/>
      <c r="E448" s="63" t="n"/>
      <c r="F448" s="63" t="n"/>
    </row>
    <row r="449" ht="15.75" customHeight="1" s="125">
      <c r="A449" s="62" t="n"/>
      <c r="B449" s="62" t="n"/>
      <c r="C449" s="62" t="n"/>
      <c r="D449" s="62" t="n"/>
      <c r="E449" s="63" t="n"/>
      <c r="F449" s="63" t="n"/>
    </row>
    <row r="450" ht="15.75" customHeight="1" s="125">
      <c r="A450" s="62" t="n"/>
      <c r="B450" s="62" t="n"/>
      <c r="C450" s="62" t="n"/>
      <c r="D450" s="62" t="n"/>
      <c r="E450" s="63" t="n"/>
      <c r="F450" s="63" t="n"/>
    </row>
    <row r="451" ht="15.75" customHeight="1" s="125">
      <c r="A451" s="62" t="n"/>
      <c r="B451" s="62" t="n"/>
      <c r="C451" s="62" t="n"/>
      <c r="D451" s="62" t="n"/>
      <c r="E451" s="63" t="n"/>
      <c r="F451" s="63" t="n"/>
    </row>
    <row r="452" ht="15.75" customHeight="1" s="125">
      <c r="A452" s="62" t="n"/>
      <c r="B452" s="62" t="n"/>
      <c r="C452" s="62" t="n"/>
      <c r="D452" s="62" t="n"/>
      <c r="E452" s="63" t="n"/>
      <c r="F452" s="63" t="n"/>
    </row>
    <row r="453" ht="15.75" customHeight="1" s="125">
      <c r="A453" s="62" t="n"/>
      <c r="B453" s="62" t="n"/>
      <c r="C453" s="62" t="n"/>
      <c r="D453" s="62" t="n"/>
      <c r="E453" s="63" t="n"/>
      <c r="F453" s="63" t="n"/>
    </row>
    <row r="454" ht="15.75" customHeight="1" s="125">
      <c r="A454" s="62" t="n"/>
      <c r="B454" s="62" t="n"/>
      <c r="C454" s="62" t="n"/>
      <c r="D454" s="62" t="n"/>
      <c r="E454" s="63" t="n"/>
      <c r="F454" s="63" t="n"/>
    </row>
    <row r="455" ht="15.75" customHeight="1" s="125">
      <c r="A455" s="62" t="n"/>
      <c r="B455" s="62" t="n"/>
      <c r="C455" s="62" t="n"/>
      <c r="D455" s="62" t="n"/>
      <c r="E455" s="63" t="n"/>
      <c r="F455" s="63" t="n"/>
    </row>
    <row r="456" ht="15.75" customHeight="1" s="125">
      <c r="A456" s="62" t="n"/>
      <c r="B456" s="62" t="n"/>
      <c r="C456" s="62" t="n"/>
      <c r="D456" s="62" t="n"/>
      <c r="E456" s="63" t="n"/>
      <c r="F456" s="63" t="n"/>
    </row>
    <row r="457" ht="15.75" customHeight="1" s="125">
      <c r="A457" s="62" t="n"/>
      <c r="B457" s="62" t="n"/>
      <c r="C457" s="62" t="n"/>
      <c r="D457" s="62" t="n"/>
      <c r="E457" s="63" t="n"/>
      <c r="F457" s="63" t="n"/>
    </row>
    <row r="458" ht="15.75" customHeight="1" s="125">
      <c r="A458" s="62" t="n"/>
      <c r="B458" s="62" t="n"/>
      <c r="C458" s="62" t="n"/>
      <c r="D458" s="62" t="n"/>
      <c r="E458" s="63" t="n"/>
      <c r="F458" s="63" t="n"/>
    </row>
    <row r="459" ht="15.75" customHeight="1" s="125">
      <c r="A459" s="62" t="n"/>
      <c r="B459" s="62" t="n"/>
      <c r="C459" s="62" t="n"/>
      <c r="D459" s="62" t="n"/>
      <c r="E459" s="63" t="n"/>
      <c r="F459" s="63" t="n"/>
    </row>
    <row r="460" ht="15.75" customHeight="1" s="125">
      <c r="A460" s="62" t="n"/>
      <c r="B460" s="62" t="n"/>
      <c r="C460" s="62" t="n"/>
      <c r="D460" s="62" t="n"/>
      <c r="E460" s="63" t="n"/>
      <c r="F460" s="63" t="n"/>
    </row>
    <row r="461" ht="15.75" customHeight="1" s="125">
      <c r="A461" s="62" t="n"/>
      <c r="B461" s="62" t="n"/>
      <c r="C461" s="62" t="n"/>
      <c r="D461" s="62" t="n"/>
      <c r="E461" s="63" t="n"/>
      <c r="F461" s="63" t="n"/>
    </row>
    <row r="462" ht="15.75" customHeight="1" s="125">
      <c r="A462" s="62" t="n"/>
      <c r="B462" s="62" t="n"/>
      <c r="C462" s="62" t="n"/>
      <c r="D462" s="62" t="n"/>
      <c r="E462" s="63" t="n"/>
      <c r="F462" s="63" t="n"/>
    </row>
    <row r="463" ht="15.75" customHeight="1" s="125">
      <c r="A463" s="62" t="n"/>
      <c r="B463" s="62" t="n"/>
      <c r="C463" s="62" t="n"/>
      <c r="D463" s="62" t="n"/>
      <c r="E463" s="63" t="n"/>
      <c r="F463" s="63" t="n"/>
    </row>
    <row r="464" ht="15.75" customHeight="1" s="125">
      <c r="A464" s="62" t="n"/>
      <c r="B464" s="62" t="n"/>
      <c r="C464" s="62" t="n"/>
      <c r="D464" s="62" t="n"/>
      <c r="E464" s="63" t="n"/>
      <c r="F464" s="63" t="n"/>
    </row>
    <row r="465" ht="15.75" customHeight="1" s="125">
      <c r="A465" s="62" t="n"/>
      <c r="B465" s="62" t="n"/>
      <c r="C465" s="62" t="n"/>
      <c r="D465" s="62" t="n"/>
      <c r="E465" s="63" t="n"/>
      <c r="F465" s="63" t="n"/>
    </row>
    <row r="466" ht="15.75" customHeight="1" s="125">
      <c r="A466" s="62" t="n"/>
      <c r="B466" s="62" t="n"/>
      <c r="C466" s="62" t="n"/>
      <c r="D466" s="62" t="n"/>
      <c r="E466" s="63" t="n"/>
      <c r="F466" s="63" t="n"/>
    </row>
    <row r="467" ht="15.75" customHeight="1" s="125">
      <c r="A467" s="62" t="n"/>
      <c r="B467" s="62" t="n"/>
      <c r="C467" s="62" t="n"/>
      <c r="D467" s="62" t="n"/>
      <c r="E467" s="63" t="n"/>
      <c r="F467" s="63" t="n"/>
    </row>
    <row r="468" ht="15.75" customHeight="1" s="125">
      <c r="A468" s="62" t="n"/>
      <c r="B468" s="62" t="n"/>
      <c r="C468" s="62" t="n"/>
      <c r="D468" s="62" t="n"/>
      <c r="E468" s="63" t="n"/>
      <c r="F468" s="63" t="n"/>
    </row>
    <row r="469" ht="15.75" customHeight="1" s="125">
      <c r="A469" s="62" t="n"/>
      <c r="B469" s="62" t="n"/>
      <c r="C469" s="62" t="n"/>
      <c r="D469" s="62" t="n"/>
      <c r="E469" s="63" t="n"/>
      <c r="F469" s="63" t="n"/>
    </row>
    <row r="470" ht="15.75" customHeight="1" s="125">
      <c r="A470" s="62" t="n"/>
      <c r="B470" s="62" t="n"/>
      <c r="C470" s="62" t="n"/>
      <c r="D470" s="62" t="n"/>
      <c r="E470" s="63" t="n"/>
      <c r="F470" s="63" t="n"/>
    </row>
    <row r="471" ht="15.75" customHeight="1" s="125">
      <c r="A471" s="62" t="n"/>
      <c r="B471" s="62" t="n"/>
      <c r="C471" s="62" t="n"/>
      <c r="D471" s="62" t="n"/>
      <c r="E471" s="63" t="n"/>
      <c r="F471" s="63" t="n"/>
    </row>
    <row r="472" ht="15.75" customHeight="1" s="125">
      <c r="A472" s="62" t="n"/>
      <c r="B472" s="62" t="n"/>
      <c r="C472" s="62" t="n"/>
      <c r="D472" s="62" t="n"/>
      <c r="E472" s="63" t="n"/>
      <c r="F472" s="63" t="n"/>
    </row>
    <row r="473" ht="15.75" customHeight="1" s="125">
      <c r="A473" s="62" t="n"/>
      <c r="B473" s="62" t="n"/>
      <c r="C473" s="62" t="n"/>
      <c r="D473" s="62" t="n"/>
      <c r="E473" s="63" t="n"/>
      <c r="F473" s="63" t="n"/>
    </row>
    <row r="474" ht="15.75" customHeight="1" s="125">
      <c r="A474" s="62" t="n"/>
      <c r="B474" s="62" t="n"/>
      <c r="C474" s="62" t="n"/>
      <c r="D474" s="62" t="n"/>
      <c r="E474" s="63" t="n"/>
      <c r="F474" s="63" t="n"/>
    </row>
    <row r="475" ht="15.75" customHeight="1" s="125">
      <c r="A475" s="62" t="n"/>
      <c r="B475" s="62" t="n"/>
      <c r="C475" s="62" t="n"/>
      <c r="D475" s="62" t="n"/>
      <c r="E475" s="63" t="n"/>
      <c r="F475" s="63" t="n"/>
    </row>
    <row r="476" ht="15.75" customHeight="1" s="125">
      <c r="A476" s="62" t="n"/>
      <c r="B476" s="62" t="n"/>
      <c r="C476" s="62" t="n"/>
      <c r="D476" s="62" t="n"/>
      <c r="E476" s="63" t="n"/>
      <c r="F476" s="63" t="n"/>
    </row>
    <row r="477" ht="15.75" customHeight="1" s="125">
      <c r="A477" s="62" t="n"/>
      <c r="B477" s="62" t="n"/>
      <c r="C477" s="62" t="n"/>
      <c r="D477" s="62" t="n"/>
      <c r="E477" s="63" t="n"/>
      <c r="F477" s="63" t="n"/>
    </row>
    <row r="478" ht="15.75" customHeight="1" s="125">
      <c r="A478" s="62" t="n"/>
      <c r="B478" s="62" t="n"/>
      <c r="C478" s="62" t="n"/>
      <c r="D478" s="62" t="n"/>
      <c r="E478" s="63" t="n"/>
      <c r="F478" s="63" t="n"/>
    </row>
    <row r="479" ht="15.75" customHeight="1" s="125">
      <c r="A479" s="62" t="n"/>
      <c r="B479" s="62" t="n"/>
      <c r="C479" s="62" t="n"/>
      <c r="D479" s="62" t="n"/>
      <c r="E479" s="63" t="n"/>
      <c r="F479" s="63" t="n"/>
    </row>
    <row r="480" ht="15.75" customHeight="1" s="125">
      <c r="A480" s="62" t="n"/>
      <c r="B480" s="62" t="n"/>
      <c r="C480" s="62" t="n"/>
      <c r="D480" s="62" t="n"/>
      <c r="E480" s="63" t="n"/>
      <c r="F480" s="63" t="n"/>
    </row>
    <row r="481" ht="15.75" customHeight="1" s="125">
      <c r="A481" s="62" t="n"/>
      <c r="B481" s="62" t="n"/>
      <c r="C481" s="62" t="n"/>
      <c r="D481" s="62" t="n"/>
      <c r="E481" s="63" t="n"/>
      <c r="F481" s="63" t="n"/>
    </row>
    <row r="482" ht="15.75" customHeight="1" s="125">
      <c r="A482" s="62" t="n"/>
      <c r="B482" s="62" t="n"/>
      <c r="C482" s="62" t="n"/>
      <c r="D482" s="62" t="n"/>
      <c r="E482" s="63" t="n"/>
      <c r="F482" s="63" t="n"/>
    </row>
    <row r="483" ht="15.75" customHeight="1" s="125">
      <c r="A483" s="62" t="n"/>
      <c r="B483" s="62" t="n"/>
      <c r="C483" s="62" t="n"/>
      <c r="D483" s="62" t="n"/>
      <c r="E483" s="63" t="n"/>
      <c r="F483" s="63" t="n"/>
    </row>
    <row r="484" ht="15.75" customHeight="1" s="125">
      <c r="A484" s="62" t="n"/>
      <c r="B484" s="62" t="n"/>
      <c r="C484" s="62" t="n"/>
      <c r="D484" s="62" t="n"/>
      <c r="E484" s="63" t="n"/>
      <c r="F484" s="63" t="n"/>
    </row>
    <row r="485" ht="15.75" customHeight="1" s="125">
      <c r="A485" s="62" t="n"/>
      <c r="B485" s="62" t="n"/>
      <c r="C485" s="62" t="n"/>
      <c r="D485" s="62" t="n"/>
      <c r="E485" s="63" t="n"/>
      <c r="F485" s="63" t="n"/>
    </row>
    <row r="486" ht="15.75" customHeight="1" s="125">
      <c r="A486" s="62" t="n"/>
      <c r="B486" s="62" t="n"/>
      <c r="C486" s="62" t="n"/>
      <c r="D486" s="62" t="n"/>
      <c r="E486" s="63" t="n"/>
      <c r="F486" s="63" t="n"/>
    </row>
    <row r="487" ht="15.75" customHeight="1" s="125">
      <c r="A487" s="62" t="n"/>
      <c r="B487" s="62" t="n"/>
      <c r="C487" s="62" t="n"/>
      <c r="D487" s="62" t="n"/>
      <c r="E487" s="63" t="n"/>
      <c r="F487" s="63" t="n"/>
    </row>
    <row r="488" ht="15.75" customHeight="1" s="125">
      <c r="A488" s="62" t="n"/>
      <c r="B488" s="62" t="n"/>
      <c r="C488" s="62" t="n"/>
      <c r="D488" s="62" t="n"/>
      <c r="E488" s="63" t="n"/>
      <c r="F488" s="63" t="n"/>
    </row>
    <row r="489" ht="15.75" customHeight="1" s="125">
      <c r="A489" s="62" t="n"/>
      <c r="B489" s="62" t="n"/>
      <c r="C489" s="62" t="n"/>
      <c r="D489" s="62" t="n"/>
      <c r="E489" s="63" t="n"/>
      <c r="F489" s="63" t="n"/>
    </row>
    <row r="490" ht="15.75" customHeight="1" s="125">
      <c r="A490" s="62" t="n"/>
      <c r="B490" s="62" t="n"/>
      <c r="C490" s="62" t="n"/>
      <c r="D490" s="62" t="n"/>
      <c r="E490" s="63" t="n"/>
      <c r="F490" s="63" t="n"/>
    </row>
    <row r="491" ht="15.75" customHeight="1" s="125">
      <c r="A491" s="62" t="n"/>
      <c r="B491" s="62" t="n"/>
      <c r="C491" s="62" t="n"/>
      <c r="D491" s="62" t="n"/>
      <c r="E491" s="63" t="n"/>
      <c r="F491" s="63" t="n"/>
    </row>
    <row r="492" ht="15.75" customHeight="1" s="125">
      <c r="A492" s="62" t="n"/>
      <c r="B492" s="62" t="n"/>
      <c r="C492" s="62" t="n"/>
      <c r="D492" s="62" t="n"/>
      <c r="E492" s="63" t="n"/>
      <c r="F492" s="63" t="n"/>
    </row>
    <row r="493" ht="15.75" customHeight="1" s="125">
      <c r="A493" s="62" t="n"/>
      <c r="B493" s="62" t="n"/>
      <c r="C493" s="62" t="n"/>
      <c r="D493" s="62" t="n"/>
      <c r="E493" s="63" t="n"/>
      <c r="F493" s="63" t="n"/>
    </row>
    <row r="494" ht="15.75" customHeight="1" s="125">
      <c r="A494" s="62" t="n"/>
      <c r="B494" s="62" t="n"/>
      <c r="C494" s="62" t="n"/>
      <c r="D494" s="62" t="n"/>
      <c r="E494" s="63" t="n"/>
      <c r="F494" s="63" t="n"/>
    </row>
    <row r="495" ht="15.75" customHeight="1" s="125">
      <c r="A495" s="62" t="n"/>
      <c r="B495" s="62" t="n"/>
      <c r="C495" s="62" t="n"/>
      <c r="D495" s="62" t="n"/>
      <c r="E495" s="63" t="n"/>
      <c r="F495" s="63" t="n"/>
    </row>
    <row r="496" ht="15.75" customHeight="1" s="125">
      <c r="A496" s="62" t="n"/>
      <c r="B496" s="62" t="n"/>
      <c r="C496" s="62" t="n"/>
      <c r="D496" s="62" t="n"/>
      <c r="E496" s="63" t="n"/>
      <c r="F496" s="63" t="n"/>
    </row>
    <row r="497" ht="15.75" customHeight="1" s="125">
      <c r="A497" s="62" t="n"/>
      <c r="B497" s="62" t="n"/>
      <c r="C497" s="62" t="n"/>
      <c r="D497" s="62" t="n"/>
      <c r="E497" s="63" t="n"/>
      <c r="F497" s="63" t="n"/>
    </row>
    <row r="498" ht="15.75" customHeight="1" s="125">
      <c r="A498" s="62" t="n"/>
      <c r="B498" s="62" t="n"/>
      <c r="C498" s="62" t="n"/>
      <c r="D498" s="62" t="n"/>
      <c r="E498" s="63" t="n"/>
      <c r="F498" s="63" t="n"/>
    </row>
    <row r="499" ht="15.75" customHeight="1" s="125">
      <c r="A499" s="62" t="n"/>
      <c r="B499" s="62" t="n"/>
      <c r="C499" s="62" t="n"/>
      <c r="D499" s="62" t="n"/>
      <c r="E499" s="63" t="n"/>
      <c r="F499" s="63" t="n"/>
    </row>
    <row r="500" ht="15.75" customHeight="1" s="125">
      <c r="A500" s="62" t="n"/>
      <c r="B500" s="62" t="n"/>
      <c r="C500" s="62" t="n"/>
      <c r="D500" s="62" t="n"/>
      <c r="E500" s="63" t="n"/>
      <c r="F500" s="63" t="n"/>
    </row>
    <row r="501" ht="15.75" customHeight="1" s="125">
      <c r="A501" s="2" t="n"/>
      <c r="B501" s="2" t="n"/>
      <c r="C501" s="2" t="n"/>
      <c r="D501" s="2" t="n"/>
      <c r="E501" s="2" t="n"/>
      <c r="F501" s="2" t="n"/>
    </row>
    <row r="502" ht="15.75" customHeight="1" s="125">
      <c r="A502" s="2" t="n"/>
      <c r="B502" s="2" t="n"/>
      <c r="C502" s="2" t="n"/>
      <c r="D502" s="2" t="n"/>
      <c r="E502" s="2" t="n"/>
      <c r="F502" s="2" t="n"/>
    </row>
    <row r="503" ht="15.75" customHeight="1" s="125">
      <c r="A503" s="2" t="n"/>
      <c r="B503" s="2" t="n"/>
      <c r="C503" s="2" t="n"/>
      <c r="D503" s="2" t="n"/>
      <c r="E503" s="2" t="n"/>
      <c r="F503" s="2" t="n"/>
    </row>
    <row r="504" ht="15.75" customHeight="1" s="125">
      <c r="A504" s="2" t="n"/>
      <c r="B504" s="2" t="n"/>
      <c r="C504" s="2" t="n"/>
      <c r="D504" s="2" t="n"/>
      <c r="E504" s="2" t="n"/>
      <c r="F504" s="2" t="n"/>
    </row>
    <row r="505" ht="15.75" customHeight="1" s="125">
      <c r="A505" s="2" t="n"/>
      <c r="B505" s="2" t="n"/>
      <c r="C505" s="2" t="n"/>
      <c r="D505" s="2" t="n"/>
      <c r="E505" s="2" t="n"/>
      <c r="F505" s="2" t="n"/>
    </row>
    <row r="506" ht="15.75" customHeight="1" s="125">
      <c r="A506" s="2" t="n"/>
      <c r="B506" s="2" t="n"/>
      <c r="C506" s="2" t="n"/>
      <c r="D506" s="2" t="n"/>
      <c r="E506" s="2" t="n"/>
      <c r="F506" s="2" t="n"/>
    </row>
    <row r="507" ht="15.75" customHeight="1" s="125">
      <c r="A507" s="2" t="n"/>
      <c r="B507" s="2" t="n"/>
      <c r="C507" s="2" t="n"/>
      <c r="D507" s="2" t="n"/>
      <c r="E507" s="2" t="n"/>
      <c r="F507" s="2" t="n"/>
    </row>
    <row r="508" ht="15.75" customHeight="1" s="125">
      <c r="A508" s="2" t="n"/>
      <c r="B508" s="2" t="n"/>
      <c r="C508" s="2" t="n"/>
      <c r="D508" s="2" t="n"/>
      <c r="E508" s="2" t="n"/>
      <c r="F508" s="2" t="n"/>
    </row>
    <row r="509" ht="15.75" customHeight="1" s="125">
      <c r="A509" s="2" t="n"/>
      <c r="B509" s="2" t="n"/>
      <c r="C509" s="2" t="n"/>
      <c r="D509" s="2" t="n"/>
      <c r="E509" s="2" t="n"/>
      <c r="F509" s="2" t="n"/>
    </row>
    <row r="510" ht="15.75" customHeight="1" s="125">
      <c r="A510" s="2" t="n"/>
      <c r="B510" s="2" t="n"/>
      <c r="C510" s="2" t="n"/>
      <c r="D510" s="2" t="n"/>
      <c r="E510" s="2" t="n"/>
      <c r="F510" s="2" t="n"/>
    </row>
    <row r="511" ht="15.75" customHeight="1" s="125">
      <c r="A511" s="2" t="n"/>
      <c r="B511" s="2" t="n"/>
      <c r="C511" s="2" t="n"/>
      <c r="D511" s="2" t="n"/>
      <c r="E511" s="2" t="n"/>
      <c r="F511" s="2" t="n"/>
    </row>
    <row r="512" ht="15.75" customHeight="1" s="125">
      <c r="A512" s="2" t="n"/>
      <c r="B512" s="2" t="n"/>
      <c r="C512" s="2" t="n"/>
      <c r="D512" s="2" t="n"/>
      <c r="E512" s="2" t="n"/>
      <c r="F512" s="2" t="n"/>
    </row>
    <row r="513" ht="15.75" customHeight="1" s="125">
      <c r="A513" s="2" t="n"/>
      <c r="B513" s="2" t="n"/>
      <c r="C513" s="2" t="n"/>
      <c r="D513" s="2" t="n"/>
      <c r="E513" s="2" t="n"/>
      <c r="F513" s="2" t="n"/>
    </row>
    <row r="514" ht="15.75" customHeight="1" s="125">
      <c r="A514" s="2" t="n"/>
      <c r="B514" s="2" t="n"/>
      <c r="C514" s="2" t="n"/>
      <c r="D514" s="2" t="n"/>
      <c r="E514" s="2" t="n"/>
      <c r="F514" s="2" t="n"/>
    </row>
    <row r="515" ht="15.75" customHeight="1" s="125">
      <c r="A515" s="2" t="n"/>
      <c r="B515" s="2" t="n"/>
      <c r="C515" s="2" t="n"/>
      <c r="D515" s="2" t="n"/>
      <c r="E515" s="2" t="n"/>
      <c r="F515" s="2" t="n"/>
    </row>
    <row r="516" ht="15.75" customHeight="1" s="125">
      <c r="A516" s="2" t="n"/>
      <c r="B516" s="2" t="n"/>
      <c r="C516" s="2" t="n"/>
      <c r="D516" s="2" t="n"/>
      <c r="E516" s="2" t="n"/>
      <c r="F516" s="2" t="n"/>
    </row>
    <row r="517" ht="15.75" customHeight="1" s="125">
      <c r="A517" s="2" t="n"/>
      <c r="B517" s="2" t="n"/>
      <c r="C517" s="2" t="n"/>
      <c r="D517" s="2" t="n"/>
      <c r="E517" s="2" t="n"/>
      <c r="F517" s="2" t="n"/>
    </row>
    <row r="518" ht="15.75" customHeight="1" s="125">
      <c r="A518" s="2" t="n"/>
      <c r="B518" s="2" t="n"/>
      <c r="C518" s="2" t="n"/>
      <c r="D518" s="2" t="n"/>
      <c r="E518" s="2" t="n"/>
      <c r="F518" s="2" t="n"/>
    </row>
    <row r="519" ht="15.75" customHeight="1" s="125">
      <c r="A519" s="2" t="n"/>
      <c r="B519" s="2" t="n"/>
      <c r="C519" s="2" t="n"/>
      <c r="D519" s="2" t="n"/>
      <c r="E519" s="2" t="n"/>
      <c r="F519" s="2" t="n"/>
    </row>
    <row r="520" ht="15.75" customHeight="1" s="125">
      <c r="A520" s="2" t="n"/>
      <c r="B520" s="2" t="n"/>
      <c r="C520" s="2" t="n"/>
      <c r="D520" s="2" t="n"/>
      <c r="E520" s="2" t="n"/>
      <c r="F520" s="2" t="n"/>
    </row>
    <row r="521" ht="15.75" customHeight="1" s="125">
      <c r="A521" s="2" t="n"/>
      <c r="B521" s="2" t="n"/>
      <c r="C521" s="2" t="n"/>
      <c r="D521" s="2" t="n"/>
      <c r="E521" s="2" t="n"/>
      <c r="F521" s="2" t="n"/>
    </row>
    <row r="522" ht="15.75" customHeight="1" s="125">
      <c r="A522" s="2" t="n"/>
      <c r="B522" s="2" t="n"/>
      <c r="C522" s="2" t="n"/>
      <c r="D522" s="2" t="n"/>
      <c r="E522" s="2" t="n"/>
      <c r="F522" s="2" t="n"/>
    </row>
    <row r="523" ht="15.75" customHeight="1" s="125">
      <c r="A523" s="2" t="n"/>
      <c r="B523" s="2" t="n"/>
      <c r="C523" s="2" t="n"/>
      <c r="D523" s="2" t="n"/>
      <c r="E523" s="2" t="n"/>
      <c r="F523" s="2" t="n"/>
    </row>
    <row r="524" ht="15.75" customHeight="1" s="125">
      <c r="A524" s="2" t="n"/>
      <c r="B524" s="2" t="n"/>
      <c r="C524" s="2" t="n"/>
      <c r="D524" s="2" t="n"/>
      <c r="E524" s="2" t="n"/>
      <c r="F524" s="2" t="n"/>
    </row>
    <row r="525" ht="15.75" customHeight="1" s="125">
      <c r="A525" s="2" t="n"/>
      <c r="B525" s="2" t="n"/>
      <c r="C525" s="2" t="n"/>
      <c r="D525" s="2" t="n"/>
      <c r="E525" s="2" t="n"/>
      <c r="F525" s="2" t="n"/>
    </row>
    <row r="526" ht="15.75" customHeight="1" s="125">
      <c r="A526" s="2" t="n"/>
      <c r="B526" s="2" t="n"/>
      <c r="C526" s="2" t="n"/>
      <c r="D526" s="2" t="n"/>
      <c r="E526" s="2" t="n"/>
      <c r="F526" s="2" t="n"/>
    </row>
    <row r="527" ht="15.75" customHeight="1" s="125">
      <c r="A527" s="2" t="n"/>
      <c r="B527" s="2" t="n"/>
      <c r="C527" s="2" t="n"/>
      <c r="D527" s="2" t="n"/>
      <c r="E527" s="2" t="n"/>
      <c r="F527" s="2" t="n"/>
    </row>
    <row r="528" ht="15.75" customHeight="1" s="125">
      <c r="A528" s="2" t="n"/>
      <c r="B528" s="2" t="n"/>
      <c r="C528" s="2" t="n"/>
      <c r="D528" s="2" t="n"/>
      <c r="E528" s="2" t="n"/>
      <c r="F528" s="2" t="n"/>
    </row>
    <row r="529" ht="15.75" customHeight="1" s="125">
      <c r="A529" s="2" t="n"/>
      <c r="B529" s="2" t="n"/>
      <c r="C529" s="2" t="n"/>
      <c r="D529" s="2" t="n"/>
      <c r="E529" s="2" t="n"/>
      <c r="F529" s="2" t="n"/>
    </row>
    <row r="530" ht="15.75" customHeight="1" s="125">
      <c r="A530" s="2" t="n"/>
      <c r="B530" s="2" t="n"/>
      <c r="C530" s="2" t="n"/>
      <c r="D530" s="2" t="n"/>
      <c r="E530" s="2" t="n"/>
      <c r="F530" s="2" t="n"/>
    </row>
    <row r="531" ht="15.75" customHeight="1" s="125">
      <c r="A531" s="2" t="n"/>
      <c r="B531" s="2" t="n"/>
      <c r="C531" s="2" t="n"/>
      <c r="D531" s="2" t="n"/>
      <c r="E531" s="2" t="n"/>
      <c r="F531" s="2" t="n"/>
    </row>
    <row r="532" ht="15.75" customHeight="1" s="125">
      <c r="A532" s="2" t="n"/>
      <c r="B532" s="2" t="n"/>
      <c r="C532" s="2" t="n"/>
      <c r="D532" s="2" t="n"/>
      <c r="E532" s="2" t="n"/>
      <c r="F532" s="2" t="n"/>
    </row>
    <row r="533" ht="15.75" customHeight="1" s="125">
      <c r="A533" s="2" t="n"/>
      <c r="B533" s="2" t="n"/>
      <c r="C533" s="2" t="n"/>
      <c r="D533" s="2" t="n"/>
      <c r="E533" s="2" t="n"/>
      <c r="F533" s="2" t="n"/>
    </row>
    <row r="534" ht="15.75" customHeight="1" s="125">
      <c r="A534" s="2" t="n"/>
      <c r="B534" s="2" t="n"/>
      <c r="C534" s="2" t="n"/>
      <c r="D534" s="2" t="n"/>
      <c r="E534" s="2" t="n"/>
      <c r="F534" s="2" t="n"/>
    </row>
    <row r="535" ht="15.75" customHeight="1" s="125">
      <c r="A535" s="2" t="n"/>
      <c r="B535" s="2" t="n"/>
      <c r="C535" s="2" t="n"/>
      <c r="D535" s="2" t="n"/>
      <c r="E535" s="2" t="n"/>
      <c r="F535" s="2" t="n"/>
    </row>
    <row r="536" ht="15.75" customHeight="1" s="125">
      <c r="A536" s="2" t="n"/>
      <c r="B536" s="2" t="n"/>
      <c r="C536" s="2" t="n"/>
      <c r="D536" s="2" t="n"/>
      <c r="E536" s="2" t="n"/>
      <c r="F536" s="2" t="n"/>
    </row>
    <row r="537" ht="15.75" customHeight="1" s="125">
      <c r="A537" s="2" t="n"/>
      <c r="B537" s="2" t="n"/>
      <c r="C537" s="2" t="n"/>
      <c r="D537" s="2" t="n"/>
      <c r="E537" s="2" t="n"/>
      <c r="F537" s="2" t="n"/>
    </row>
    <row r="538" ht="15.75" customHeight="1" s="125">
      <c r="A538" s="2" t="n"/>
      <c r="B538" s="2" t="n"/>
      <c r="C538" s="2" t="n"/>
      <c r="D538" s="2" t="n"/>
      <c r="E538" s="2" t="n"/>
      <c r="F538" s="2" t="n"/>
    </row>
    <row r="539" ht="15.75" customHeight="1" s="125">
      <c r="A539" s="2" t="n"/>
      <c r="B539" s="2" t="n"/>
      <c r="C539" s="2" t="n"/>
      <c r="D539" s="2" t="n"/>
      <c r="E539" s="2" t="n"/>
      <c r="F539" s="2" t="n"/>
    </row>
    <row r="540" ht="15.75" customHeight="1" s="125">
      <c r="A540" s="2" t="n"/>
      <c r="B540" s="2" t="n"/>
      <c r="C540" s="2" t="n"/>
      <c r="D540" s="2" t="n"/>
      <c r="E540" s="2" t="n"/>
      <c r="F540" s="2" t="n"/>
    </row>
    <row r="541" ht="15.75" customHeight="1" s="125">
      <c r="A541" s="2" t="n"/>
      <c r="B541" s="2" t="n"/>
      <c r="C541" s="2" t="n"/>
      <c r="D541" s="2" t="n"/>
      <c r="E541" s="2" t="n"/>
      <c r="F541" s="2" t="n"/>
    </row>
    <row r="542" ht="15.75" customHeight="1" s="125">
      <c r="A542" s="2" t="n"/>
      <c r="B542" s="2" t="n"/>
      <c r="C542" s="2" t="n"/>
      <c r="D542" s="2" t="n"/>
      <c r="E542" s="2" t="n"/>
      <c r="F542" s="2" t="n"/>
    </row>
    <row r="543" ht="15.75" customHeight="1" s="125">
      <c r="A543" s="2" t="n"/>
      <c r="B543" s="2" t="n"/>
      <c r="C543" s="2" t="n"/>
      <c r="D543" s="2" t="n"/>
      <c r="E543" s="2" t="n"/>
      <c r="F543" s="2" t="n"/>
    </row>
    <row r="544" ht="15.75" customHeight="1" s="125">
      <c r="A544" s="2" t="n"/>
      <c r="B544" s="2" t="n"/>
      <c r="C544" s="2" t="n"/>
      <c r="D544" s="2" t="n"/>
      <c r="E544" s="2" t="n"/>
      <c r="F544" s="2" t="n"/>
    </row>
    <row r="545" ht="15.75" customHeight="1" s="125">
      <c r="A545" s="2" t="n"/>
      <c r="B545" s="2" t="n"/>
      <c r="C545" s="2" t="n"/>
      <c r="D545" s="2" t="n"/>
      <c r="E545" s="2" t="n"/>
      <c r="F545" s="2" t="n"/>
    </row>
    <row r="546" ht="15.75" customHeight="1" s="125">
      <c r="A546" s="2" t="n"/>
      <c r="B546" s="2" t="n"/>
      <c r="C546" s="2" t="n"/>
      <c r="D546" s="2" t="n"/>
      <c r="E546" s="2" t="n"/>
      <c r="F546" s="2" t="n"/>
    </row>
    <row r="547" ht="15.75" customHeight="1" s="125">
      <c r="A547" s="2" t="n"/>
      <c r="B547" s="2" t="n"/>
      <c r="C547" s="2" t="n"/>
      <c r="D547" s="2" t="n"/>
      <c r="E547" s="2" t="n"/>
      <c r="F547" s="2" t="n"/>
    </row>
    <row r="548" ht="15.75" customHeight="1" s="125">
      <c r="A548" s="2" t="n"/>
      <c r="B548" s="2" t="n"/>
      <c r="C548" s="2" t="n"/>
      <c r="D548" s="2" t="n"/>
      <c r="E548" s="2" t="n"/>
      <c r="F548" s="2" t="n"/>
    </row>
    <row r="549" ht="15.75" customHeight="1" s="125">
      <c r="A549" s="2" t="n"/>
      <c r="B549" s="2" t="n"/>
      <c r="C549" s="2" t="n"/>
      <c r="D549" s="2" t="n"/>
      <c r="E549" s="2" t="n"/>
      <c r="F549" s="2" t="n"/>
    </row>
    <row r="550" ht="15.75" customHeight="1" s="125">
      <c r="A550" s="2" t="n"/>
      <c r="B550" s="2" t="n"/>
      <c r="C550" s="2" t="n"/>
      <c r="D550" s="2" t="n"/>
      <c r="E550" s="2" t="n"/>
      <c r="F550" s="2" t="n"/>
    </row>
    <row r="551" ht="15.75" customHeight="1" s="125">
      <c r="A551" s="2" t="n"/>
      <c r="B551" s="2" t="n"/>
      <c r="C551" s="2" t="n"/>
      <c r="D551" s="2" t="n"/>
      <c r="E551" s="2" t="n"/>
      <c r="F551" s="2" t="n"/>
    </row>
    <row r="552" ht="15.75" customHeight="1" s="125">
      <c r="A552" s="2" t="n"/>
      <c r="B552" s="2" t="n"/>
      <c r="C552" s="2" t="n"/>
      <c r="D552" s="2" t="n"/>
      <c r="E552" s="2" t="n"/>
      <c r="F552" s="2" t="n"/>
    </row>
    <row r="553" ht="15.75" customHeight="1" s="125">
      <c r="A553" s="2" t="n"/>
      <c r="B553" s="2" t="n"/>
      <c r="C553" s="2" t="n"/>
      <c r="D553" s="2" t="n"/>
      <c r="E553" s="2" t="n"/>
      <c r="F553" s="2" t="n"/>
    </row>
    <row r="554" ht="15.75" customHeight="1" s="125">
      <c r="A554" s="2" t="n"/>
      <c r="B554" s="2" t="n"/>
      <c r="C554" s="2" t="n"/>
      <c r="D554" s="2" t="n"/>
      <c r="E554" s="2" t="n"/>
      <c r="F554" s="2" t="n"/>
    </row>
    <row r="555" ht="15.75" customHeight="1" s="125">
      <c r="A555" s="2" t="n"/>
      <c r="B555" s="2" t="n"/>
      <c r="C555" s="2" t="n"/>
      <c r="D555" s="2" t="n"/>
      <c r="E555" s="2" t="n"/>
      <c r="F555" s="2" t="n"/>
    </row>
    <row r="556" ht="15.75" customHeight="1" s="125">
      <c r="A556" s="2" t="n"/>
      <c r="B556" s="2" t="n"/>
      <c r="C556" s="2" t="n"/>
      <c r="D556" s="2" t="n"/>
      <c r="E556" s="2" t="n"/>
      <c r="F556" s="2" t="n"/>
    </row>
    <row r="557" ht="15.75" customHeight="1" s="125">
      <c r="A557" s="2" t="n"/>
      <c r="B557" s="2" t="n"/>
      <c r="C557" s="2" t="n"/>
      <c r="D557" s="2" t="n"/>
      <c r="E557" s="2" t="n"/>
      <c r="F557" s="2" t="n"/>
    </row>
    <row r="558" ht="15.75" customHeight="1" s="125">
      <c r="A558" s="2" t="n"/>
      <c r="B558" s="2" t="n"/>
      <c r="C558" s="2" t="n"/>
      <c r="D558" s="2" t="n"/>
      <c r="E558" s="2" t="n"/>
      <c r="F558" s="2" t="n"/>
    </row>
    <row r="559" ht="15.75" customHeight="1" s="125">
      <c r="A559" s="2" t="n"/>
      <c r="B559" s="2" t="n"/>
      <c r="C559" s="2" t="n"/>
      <c r="D559" s="2" t="n"/>
      <c r="E559" s="2" t="n"/>
      <c r="F559" s="2" t="n"/>
    </row>
    <row r="560" ht="15.75" customHeight="1" s="125">
      <c r="A560" s="2" t="n"/>
      <c r="B560" s="2" t="n"/>
      <c r="C560" s="2" t="n"/>
      <c r="D560" s="2" t="n"/>
      <c r="E560" s="2" t="n"/>
      <c r="F560" s="2" t="n"/>
    </row>
    <row r="561" ht="15.75" customHeight="1" s="125">
      <c r="A561" s="2" t="n"/>
      <c r="B561" s="2" t="n"/>
      <c r="C561" s="2" t="n"/>
      <c r="D561" s="2" t="n"/>
      <c r="E561" s="2" t="n"/>
      <c r="F561" s="2" t="n"/>
    </row>
    <row r="562" ht="15.75" customHeight="1" s="125">
      <c r="A562" s="2" t="n"/>
      <c r="B562" s="2" t="n"/>
      <c r="C562" s="2" t="n"/>
      <c r="D562" s="2" t="n"/>
      <c r="E562" s="2" t="n"/>
      <c r="F562" s="2" t="n"/>
    </row>
    <row r="563" ht="15.75" customHeight="1" s="125">
      <c r="A563" s="2" t="n"/>
      <c r="B563" s="2" t="n"/>
      <c r="C563" s="2" t="n"/>
      <c r="D563" s="2" t="n"/>
      <c r="E563" s="2" t="n"/>
      <c r="F563" s="2" t="n"/>
    </row>
    <row r="564" ht="15.75" customHeight="1" s="125">
      <c r="A564" s="2" t="n"/>
      <c r="B564" s="2" t="n"/>
      <c r="C564" s="2" t="n"/>
      <c r="D564" s="2" t="n"/>
      <c r="E564" s="2" t="n"/>
      <c r="F564" s="2" t="n"/>
    </row>
    <row r="565" ht="15.75" customHeight="1" s="125">
      <c r="A565" s="2" t="n"/>
      <c r="B565" s="2" t="n"/>
      <c r="C565" s="2" t="n"/>
      <c r="D565" s="2" t="n"/>
      <c r="E565" s="2" t="n"/>
      <c r="F565" s="2" t="n"/>
    </row>
    <row r="566" ht="15.75" customHeight="1" s="125">
      <c r="A566" s="2" t="n"/>
      <c r="B566" s="2" t="n"/>
      <c r="C566" s="2" t="n"/>
      <c r="D566" s="2" t="n"/>
      <c r="E566" s="2" t="n"/>
      <c r="F566" s="2" t="n"/>
    </row>
    <row r="567" ht="15.75" customHeight="1" s="125">
      <c r="A567" s="2" t="n"/>
      <c r="B567" s="2" t="n"/>
      <c r="C567" s="2" t="n"/>
      <c r="D567" s="2" t="n"/>
      <c r="E567" s="2" t="n"/>
      <c r="F567" s="2" t="n"/>
    </row>
    <row r="568" ht="15.75" customHeight="1" s="125">
      <c r="A568" s="2" t="n"/>
      <c r="B568" s="2" t="n"/>
      <c r="C568" s="2" t="n"/>
      <c r="D568" s="2" t="n"/>
      <c r="E568" s="2" t="n"/>
      <c r="F568" s="2" t="n"/>
    </row>
    <row r="569" ht="15.75" customHeight="1" s="125">
      <c r="A569" s="2" t="n"/>
      <c r="B569" s="2" t="n"/>
      <c r="C569" s="2" t="n"/>
      <c r="D569" s="2" t="n"/>
      <c r="E569" s="2" t="n"/>
      <c r="F569" s="2" t="n"/>
    </row>
    <row r="570" ht="15.75" customHeight="1" s="125">
      <c r="A570" s="2" t="n"/>
      <c r="B570" s="2" t="n"/>
      <c r="C570" s="2" t="n"/>
      <c r="D570" s="2" t="n"/>
      <c r="E570" s="2" t="n"/>
      <c r="F570" s="2" t="n"/>
    </row>
    <row r="571" ht="15.75" customHeight="1" s="125">
      <c r="A571" s="2" t="n"/>
      <c r="B571" s="2" t="n"/>
      <c r="C571" s="2" t="n"/>
      <c r="D571" s="2" t="n"/>
      <c r="E571" s="2" t="n"/>
      <c r="F571" s="2" t="n"/>
    </row>
    <row r="572" ht="15.75" customHeight="1" s="125">
      <c r="A572" s="2" t="n"/>
      <c r="B572" s="2" t="n"/>
      <c r="C572" s="2" t="n"/>
      <c r="D572" s="2" t="n"/>
      <c r="E572" s="2" t="n"/>
      <c r="F572" s="2" t="n"/>
    </row>
    <row r="573" ht="15.75" customHeight="1" s="125">
      <c r="A573" s="2" t="n"/>
      <c r="B573" s="2" t="n"/>
      <c r="C573" s="2" t="n"/>
      <c r="D573" s="2" t="n"/>
      <c r="E573" s="2" t="n"/>
      <c r="F573" s="2" t="n"/>
    </row>
    <row r="574" ht="15.75" customHeight="1" s="125">
      <c r="A574" s="2" t="n"/>
      <c r="B574" s="2" t="n"/>
      <c r="C574" s="2" t="n"/>
      <c r="D574" s="2" t="n"/>
      <c r="E574" s="2" t="n"/>
      <c r="F574" s="2" t="n"/>
    </row>
    <row r="575" ht="15.75" customHeight="1" s="125">
      <c r="A575" s="2" t="n"/>
      <c r="B575" s="2" t="n"/>
      <c r="C575" s="2" t="n"/>
      <c r="D575" s="2" t="n"/>
      <c r="E575" s="2" t="n"/>
      <c r="F575" s="2" t="n"/>
    </row>
    <row r="576" ht="15.75" customHeight="1" s="125">
      <c r="A576" s="2" t="n"/>
      <c r="B576" s="2" t="n"/>
      <c r="C576" s="2" t="n"/>
      <c r="D576" s="2" t="n"/>
      <c r="E576" s="2" t="n"/>
      <c r="F576" s="2" t="n"/>
    </row>
    <row r="577" ht="15.75" customHeight="1" s="125">
      <c r="A577" s="2" t="n"/>
      <c r="B577" s="2" t="n"/>
      <c r="C577" s="2" t="n"/>
      <c r="D577" s="2" t="n"/>
      <c r="E577" s="2" t="n"/>
      <c r="F577" s="2" t="n"/>
    </row>
    <row r="578" ht="15.75" customHeight="1" s="125">
      <c r="A578" s="2" t="n"/>
      <c r="B578" s="2" t="n"/>
      <c r="C578" s="2" t="n"/>
      <c r="D578" s="2" t="n"/>
      <c r="E578" s="2" t="n"/>
      <c r="F578" s="2" t="n"/>
    </row>
    <row r="579" ht="15.75" customHeight="1" s="125">
      <c r="A579" s="2" t="n"/>
      <c r="B579" s="2" t="n"/>
      <c r="C579" s="2" t="n"/>
      <c r="D579" s="2" t="n"/>
      <c r="E579" s="2" t="n"/>
      <c r="F579" s="2" t="n"/>
    </row>
    <row r="580" ht="15.75" customHeight="1" s="125">
      <c r="A580" s="2" t="n"/>
      <c r="B580" s="2" t="n"/>
      <c r="C580" s="2" t="n"/>
      <c r="D580" s="2" t="n"/>
      <c r="E580" s="2" t="n"/>
      <c r="F580" s="2" t="n"/>
    </row>
    <row r="581" ht="15.75" customHeight="1" s="125">
      <c r="A581" s="2" t="n"/>
      <c r="B581" s="2" t="n"/>
      <c r="C581" s="2" t="n"/>
      <c r="D581" s="2" t="n"/>
      <c r="E581" s="2" t="n"/>
      <c r="F581" s="2" t="n"/>
    </row>
    <row r="582" ht="15.75" customHeight="1" s="125">
      <c r="A582" s="2" t="n"/>
      <c r="B582" s="2" t="n"/>
      <c r="C582" s="2" t="n"/>
      <c r="D582" s="2" t="n"/>
      <c r="E582" s="2" t="n"/>
      <c r="F582" s="2" t="n"/>
    </row>
    <row r="583" ht="15.75" customHeight="1" s="125">
      <c r="A583" s="2" t="n"/>
      <c r="B583" s="2" t="n"/>
      <c r="C583" s="2" t="n"/>
      <c r="D583" s="2" t="n"/>
      <c r="E583" s="2" t="n"/>
      <c r="F583" s="2" t="n"/>
    </row>
    <row r="584" ht="15.75" customHeight="1" s="125">
      <c r="A584" s="2" t="n"/>
      <c r="B584" s="2" t="n"/>
      <c r="C584" s="2" t="n"/>
      <c r="D584" s="2" t="n"/>
      <c r="E584" s="2" t="n"/>
      <c r="F584" s="2" t="n"/>
    </row>
    <row r="585" ht="15.75" customHeight="1" s="125">
      <c r="A585" s="2" t="n"/>
      <c r="B585" s="2" t="n"/>
      <c r="C585" s="2" t="n"/>
      <c r="D585" s="2" t="n"/>
      <c r="E585" s="2" t="n"/>
      <c r="F585" s="2" t="n"/>
    </row>
    <row r="586" ht="15.75" customHeight="1" s="125">
      <c r="A586" s="2" t="n"/>
      <c r="B586" s="2" t="n"/>
      <c r="C586" s="2" t="n"/>
      <c r="D586" s="2" t="n"/>
      <c r="E586" s="2" t="n"/>
      <c r="F586" s="2" t="n"/>
    </row>
    <row r="587" ht="15.75" customHeight="1" s="125">
      <c r="A587" s="2" t="n"/>
      <c r="B587" s="2" t="n"/>
      <c r="C587" s="2" t="n"/>
      <c r="D587" s="2" t="n"/>
      <c r="E587" s="2" t="n"/>
      <c r="F587" s="2" t="n"/>
    </row>
    <row r="588" ht="15.75" customHeight="1" s="125">
      <c r="A588" s="2" t="n"/>
      <c r="B588" s="2" t="n"/>
      <c r="C588" s="2" t="n"/>
      <c r="D588" s="2" t="n"/>
      <c r="E588" s="2" t="n"/>
      <c r="F588" s="2" t="n"/>
    </row>
    <row r="589" ht="15.75" customHeight="1" s="125">
      <c r="A589" s="2" t="n"/>
      <c r="B589" s="2" t="n"/>
      <c r="C589" s="2" t="n"/>
      <c r="D589" s="2" t="n"/>
      <c r="E589" s="2" t="n"/>
      <c r="F589" s="2" t="n"/>
    </row>
    <row r="590" ht="15.75" customHeight="1" s="125">
      <c r="A590" s="2" t="n"/>
      <c r="B590" s="2" t="n"/>
      <c r="C590" s="2" t="n"/>
      <c r="D590" s="2" t="n"/>
      <c r="E590" s="2" t="n"/>
      <c r="F590" s="2" t="n"/>
    </row>
    <row r="591" ht="15.75" customHeight="1" s="125">
      <c r="A591" s="2" t="n"/>
      <c r="B591" s="2" t="n"/>
      <c r="C591" s="2" t="n"/>
      <c r="D591" s="2" t="n"/>
      <c r="E591" s="2" t="n"/>
      <c r="F591" s="2" t="n"/>
    </row>
    <row r="592" ht="15.75" customHeight="1" s="125">
      <c r="A592" s="2" t="n"/>
      <c r="B592" s="2" t="n"/>
      <c r="C592" s="2" t="n"/>
      <c r="D592" s="2" t="n"/>
      <c r="E592" s="2" t="n"/>
      <c r="F592" s="2" t="n"/>
    </row>
    <row r="593" ht="15.75" customHeight="1" s="125">
      <c r="A593" s="2" t="n"/>
      <c r="B593" s="2" t="n"/>
      <c r="C593" s="2" t="n"/>
      <c r="D593" s="2" t="n"/>
      <c r="E593" s="2" t="n"/>
      <c r="F593" s="2" t="n"/>
    </row>
    <row r="594" ht="15.75" customHeight="1" s="125">
      <c r="A594" s="2" t="n"/>
      <c r="B594" s="2" t="n"/>
      <c r="C594" s="2" t="n"/>
      <c r="D594" s="2" t="n"/>
      <c r="E594" s="2" t="n"/>
      <c r="F594" s="2" t="n"/>
    </row>
    <row r="595" ht="15.75" customHeight="1" s="125">
      <c r="A595" s="2" t="n"/>
      <c r="B595" s="2" t="n"/>
      <c r="C595" s="2" t="n"/>
      <c r="D595" s="2" t="n"/>
      <c r="E595" s="2" t="n"/>
      <c r="F595" s="2" t="n"/>
    </row>
    <row r="596" ht="15.75" customHeight="1" s="125">
      <c r="A596" s="2" t="n"/>
      <c r="B596" s="2" t="n"/>
      <c r="C596" s="2" t="n"/>
      <c r="D596" s="2" t="n"/>
      <c r="E596" s="2" t="n"/>
      <c r="F596" s="2" t="n"/>
    </row>
    <row r="597" ht="15.75" customHeight="1" s="125">
      <c r="A597" s="2" t="n"/>
      <c r="B597" s="2" t="n"/>
      <c r="C597" s="2" t="n"/>
      <c r="D597" s="2" t="n"/>
      <c r="E597" s="2" t="n"/>
      <c r="F597" s="2" t="n"/>
    </row>
    <row r="598" ht="15.75" customHeight="1" s="125">
      <c r="A598" s="2" t="n"/>
      <c r="B598" s="2" t="n"/>
      <c r="C598" s="2" t="n"/>
      <c r="D598" s="2" t="n"/>
      <c r="E598" s="2" t="n"/>
      <c r="F598" s="2" t="n"/>
    </row>
    <row r="599" ht="15.75" customHeight="1" s="125">
      <c r="A599" s="2" t="n"/>
      <c r="B599" s="2" t="n"/>
      <c r="C599" s="2" t="n"/>
      <c r="D599" s="2" t="n"/>
      <c r="E599" s="2" t="n"/>
      <c r="F599" s="2" t="n"/>
    </row>
    <row r="600" ht="15.75" customHeight="1" s="125">
      <c r="A600" s="2" t="n"/>
      <c r="B600" s="2" t="n"/>
      <c r="C600" s="2" t="n"/>
      <c r="D600" s="2" t="n"/>
      <c r="E600" s="2" t="n"/>
      <c r="F600" s="2" t="n"/>
    </row>
    <row r="601" ht="15.75" customHeight="1" s="125">
      <c r="A601" s="2" t="n"/>
      <c r="B601" s="2" t="n"/>
      <c r="C601" s="2" t="n"/>
      <c r="D601" s="2" t="n"/>
      <c r="E601" s="2" t="n"/>
      <c r="F601" s="2" t="n"/>
    </row>
    <row r="602" ht="15.75" customHeight="1" s="125">
      <c r="A602" s="2" t="n"/>
      <c r="B602" s="2" t="n"/>
      <c r="C602" s="2" t="n"/>
      <c r="D602" s="2" t="n"/>
      <c r="E602" s="2" t="n"/>
      <c r="F602" s="2" t="n"/>
    </row>
    <row r="603" ht="15.75" customHeight="1" s="125">
      <c r="A603" s="2" t="n"/>
      <c r="B603" s="2" t="n"/>
      <c r="C603" s="2" t="n"/>
      <c r="D603" s="2" t="n"/>
      <c r="E603" s="2" t="n"/>
      <c r="F603" s="2" t="n"/>
    </row>
    <row r="604" ht="15.75" customHeight="1" s="125">
      <c r="A604" s="2" t="n"/>
      <c r="B604" s="2" t="n"/>
      <c r="C604" s="2" t="n"/>
      <c r="D604" s="2" t="n"/>
      <c r="E604" s="2" t="n"/>
      <c r="F604" s="2" t="n"/>
    </row>
    <row r="605" ht="15.75" customHeight="1" s="125">
      <c r="A605" s="2" t="n"/>
      <c r="B605" s="2" t="n"/>
      <c r="C605" s="2" t="n"/>
      <c r="D605" s="2" t="n"/>
      <c r="E605" s="2" t="n"/>
      <c r="F605" s="2" t="n"/>
    </row>
    <row r="606" ht="15.75" customHeight="1" s="125">
      <c r="A606" s="2" t="n"/>
      <c r="B606" s="2" t="n"/>
      <c r="C606" s="2" t="n"/>
      <c r="D606" s="2" t="n"/>
      <c r="E606" s="2" t="n"/>
      <c r="F606" s="2" t="n"/>
    </row>
    <row r="607" ht="15.75" customHeight="1" s="125">
      <c r="A607" s="2" t="n"/>
      <c r="B607" s="2" t="n"/>
      <c r="C607" s="2" t="n"/>
      <c r="D607" s="2" t="n"/>
      <c r="E607" s="2" t="n"/>
      <c r="F607" s="2" t="n"/>
    </row>
    <row r="608" ht="15.75" customHeight="1" s="125">
      <c r="A608" s="2" t="n"/>
      <c r="B608" s="2" t="n"/>
      <c r="C608" s="2" t="n"/>
      <c r="D608" s="2" t="n"/>
      <c r="E608" s="2" t="n"/>
      <c r="F608" s="2" t="n"/>
    </row>
    <row r="609" ht="15.75" customHeight="1" s="125">
      <c r="A609" s="2" t="n"/>
      <c r="B609" s="2" t="n"/>
      <c r="C609" s="2" t="n"/>
      <c r="D609" s="2" t="n"/>
      <c r="E609" s="2" t="n"/>
      <c r="F609" s="2" t="n"/>
    </row>
    <row r="610" ht="15.75" customHeight="1" s="125">
      <c r="A610" s="2" t="n"/>
      <c r="B610" s="2" t="n"/>
      <c r="C610" s="2" t="n"/>
      <c r="D610" s="2" t="n"/>
      <c r="E610" s="2" t="n"/>
      <c r="F610" s="2" t="n"/>
    </row>
    <row r="611" ht="15.75" customHeight="1" s="125">
      <c r="A611" s="2" t="n"/>
      <c r="B611" s="2" t="n"/>
      <c r="C611" s="2" t="n"/>
      <c r="D611" s="2" t="n"/>
      <c r="E611" s="2" t="n"/>
      <c r="F611" s="2" t="n"/>
    </row>
    <row r="612" ht="15.75" customHeight="1" s="125">
      <c r="A612" s="2" t="n"/>
      <c r="B612" s="2" t="n"/>
      <c r="C612" s="2" t="n"/>
      <c r="D612" s="2" t="n"/>
      <c r="E612" s="2" t="n"/>
      <c r="F612" s="2" t="n"/>
    </row>
    <row r="613" ht="15.75" customHeight="1" s="125">
      <c r="A613" s="2" t="n"/>
      <c r="B613" s="2" t="n"/>
      <c r="C613" s="2" t="n"/>
      <c r="D613" s="2" t="n"/>
      <c r="E613" s="2" t="n"/>
      <c r="F613" s="2" t="n"/>
    </row>
    <row r="614" ht="15.75" customHeight="1" s="125">
      <c r="A614" s="2" t="n"/>
      <c r="B614" s="2" t="n"/>
      <c r="C614" s="2" t="n"/>
      <c r="D614" s="2" t="n"/>
      <c r="E614" s="2" t="n"/>
      <c r="F614" s="2" t="n"/>
    </row>
    <row r="615" ht="15.75" customHeight="1" s="125">
      <c r="A615" s="2" t="n"/>
      <c r="B615" s="2" t="n"/>
      <c r="C615" s="2" t="n"/>
      <c r="D615" s="2" t="n"/>
      <c r="E615" s="2" t="n"/>
      <c r="F615" s="2" t="n"/>
    </row>
    <row r="616" ht="15.75" customHeight="1" s="125">
      <c r="A616" s="2" t="n"/>
      <c r="B616" s="2" t="n"/>
      <c r="C616" s="2" t="n"/>
      <c r="D616" s="2" t="n"/>
      <c r="E616" s="2" t="n"/>
      <c r="F616" s="2" t="n"/>
    </row>
    <row r="617" ht="15.75" customHeight="1" s="125">
      <c r="A617" s="2" t="n"/>
      <c r="B617" s="2" t="n"/>
      <c r="C617" s="2" t="n"/>
      <c r="D617" s="2" t="n"/>
      <c r="E617" s="2" t="n"/>
      <c r="F617" s="2" t="n"/>
    </row>
    <row r="618" ht="15.75" customHeight="1" s="125">
      <c r="A618" s="2" t="n"/>
      <c r="B618" s="2" t="n"/>
      <c r="C618" s="2" t="n"/>
      <c r="D618" s="2" t="n"/>
      <c r="E618" s="2" t="n"/>
      <c r="F618" s="2" t="n"/>
    </row>
    <row r="619" ht="15.75" customHeight="1" s="125">
      <c r="A619" s="2" t="n"/>
      <c r="B619" s="2" t="n"/>
      <c r="C619" s="2" t="n"/>
      <c r="D619" s="2" t="n"/>
      <c r="E619" s="2" t="n"/>
      <c r="F619" s="2" t="n"/>
    </row>
    <row r="620" ht="15.75" customHeight="1" s="125">
      <c r="A620" s="2" t="n"/>
      <c r="B620" s="2" t="n"/>
      <c r="C620" s="2" t="n"/>
      <c r="D620" s="2" t="n"/>
      <c r="E620" s="2" t="n"/>
      <c r="F620" s="2" t="n"/>
    </row>
    <row r="621" ht="15.75" customHeight="1" s="125">
      <c r="A621" s="2" t="n"/>
      <c r="B621" s="2" t="n"/>
      <c r="C621" s="2" t="n"/>
      <c r="D621" s="2" t="n"/>
      <c r="E621" s="2" t="n"/>
      <c r="F621" s="2" t="n"/>
    </row>
    <row r="622" ht="15.75" customHeight="1" s="125">
      <c r="A622" s="2" t="n"/>
      <c r="B622" s="2" t="n"/>
      <c r="C622" s="2" t="n"/>
      <c r="D622" s="2" t="n"/>
      <c r="E622" s="2" t="n"/>
      <c r="F622" s="2" t="n"/>
    </row>
    <row r="623" ht="15.75" customHeight="1" s="125">
      <c r="A623" s="2" t="n"/>
      <c r="B623" s="2" t="n"/>
      <c r="C623" s="2" t="n"/>
      <c r="D623" s="2" t="n"/>
      <c r="E623" s="2" t="n"/>
      <c r="F623" s="2" t="n"/>
    </row>
    <row r="624" ht="15.75" customHeight="1" s="125">
      <c r="A624" s="2" t="n"/>
      <c r="B624" s="2" t="n"/>
      <c r="C624" s="2" t="n"/>
      <c r="D624" s="2" t="n"/>
      <c r="E624" s="2" t="n"/>
      <c r="F624" s="2" t="n"/>
    </row>
    <row r="625" ht="15.75" customHeight="1" s="125">
      <c r="A625" s="2" t="n"/>
      <c r="B625" s="2" t="n"/>
      <c r="C625" s="2" t="n"/>
      <c r="D625" s="2" t="n"/>
      <c r="E625" s="2" t="n"/>
      <c r="F625" s="2" t="n"/>
    </row>
    <row r="626" ht="15.75" customHeight="1" s="125">
      <c r="A626" s="2" t="n"/>
      <c r="B626" s="2" t="n"/>
      <c r="C626" s="2" t="n"/>
      <c r="D626" s="2" t="n"/>
      <c r="E626" s="2" t="n"/>
      <c r="F626" s="2" t="n"/>
    </row>
    <row r="627" ht="15.75" customHeight="1" s="125">
      <c r="A627" s="2" t="n"/>
      <c r="B627" s="2" t="n"/>
      <c r="C627" s="2" t="n"/>
      <c r="D627" s="2" t="n"/>
      <c r="E627" s="2" t="n"/>
      <c r="F627" s="2" t="n"/>
    </row>
    <row r="628" ht="15.75" customHeight="1" s="125">
      <c r="A628" s="2" t="n"/>
      <c r="B628" s="2" t="n"/>
      <c r="C628" s="2" t="n"/>
      <c r="D628" s="2" t="n"/>
      <c r="E628" s="2" t="n"/>
      <c r="F628" s="2" t="n"/>
    </row>
    <row r="629" ht="15.75" customHeight="1" s="125">
      <c r="A629" s="2" t="n"/>
      <c r="B629" s="2" t="n"/>
      <c r="C629" s="2" t="n"/>
      <c r="D629" s="2" t="n"/>
      <c r="E629" s="2" t="n"/>
      <c r="F629" s="2" t="n"/>
    </row>
    <row r="630" ht="15.75" customHeight="1" s="125">
      <c r="A630" s="2" t="n"/>
      <c r="B630" s="2" t="n"/>
      <c r="C630" s="2" t="n"/>
      <c r="D630" s="2" t="n"/>
      <c r="E630" s="2" t="n"/>
      <c r="F630" s="2" t="n"/>
    </row>
    <row r="631" ht="15.75" customHeight="1" s="125">
      <c r="A631" s="2" t="n"/>
      <c r="B631" s="2" t="n"/>
      <c r="C631" s="2" t="n"/>
      <c r="D631" s="2" t="n"/>
      <c r="E631" s="2" t="n"/>
      <c r="F631" s="2" t="n"/>
    </row>
    <row r="632" ht="15.75" customHeight="1" s="125">
      <c r="A632" s="2" t="n"/>
      <c r="B632" s="2" t="n"/>
      <c r="C632" s="2" t="n"/>
      <c r="D632" s="2" t="n"/>
      <c r="E632" s="2" t="n"/>
      <c r="F632" s="2" t="n"/>
    </row>
    <row r="633" ht="15.75" customHeight="1" s="125">
      <c r="A633" s="2" t="n"/>
      <c r="B633" s="2" t="n"/>
      <c r="C633" s="2" t="n"/>
      <c r="D633" s="2" t="n"/>
      <c r="E633" s="2" t="n"/>
      <c r="F633" s="2" t="n"/>
    </row>
    <row r="634" ht="15.75" customHeight="1" s="125">
      <c r="A634" s="2" t="n"/>
      <c r="B634" s="2" t="n"/>
      <c r="C634" s="2" t="n"/>
      <c r="D634" s="2" t="n"/>
      <c r="E634" s="2" t="n"/>
      <c r="F634" s="2" t="n"/>
    </row>
    <row r="635" ht="15.75" customHeight="1" s="125">
      <c r="A635" s="2" t="n"/>
      <c r="B635" s="2" t="n"/>
      <c r="C635" s="2" t="n"/>
      <c r="D635" s="2" t="n"/>
      <c r="E635" s="2" t="n"/>
      <c r="F635" s="2" t="n"/>
    </row>
    <row r="636" ht="15.75" customHeight="1" s="125">
      <c r="A636" s="2" t="n"/>
      <c r="B636" s="2" t="n"/>
      <c r="C636" s="2" t="n"/>
      <c r="D636" s="2" t="n"/>
      <c r="E636" s="2" t="n"/>
      <c r="F636" s="2" t="n"/>
    </row>
    <row r="637" ht="15.75" customHeight="1" s="125">
      <c r="A637" s="2" t="n"/>
      <c r="B637" s="2" t="n"/>
      <c r="C637" s="2" t="n"/>
      <c r="D637" s="2" t="n"/>
      <c r="E637" s="2" t="n"/>
      <c r="F637" s="2" t="n"/>
    </row>
    <row r="638" ht="15.75" customHeight="1" s="125">
      <c r="A638" s="2" t="n"/>
      <c r="B638" s="2" t="n"/>
      <c r="C638" s="2" t="n"/>
      <c r="D638" s="2" t="n"/>
      <c r="E638" s="2" t="n"/>
      <c r="F638" s="2" t="n"/>
    </row>
    <row r="639" ht="15.75" customHeight="1" s="125">
      <c r="A639" s="2" t="n"/>
      <c r="B639" s="2" t="n"/>
      <c r="C639" s="2" t="n"/>
      <c r="D639" s="2" t="n"/>
      <c r="E639" s="2" t="n"/>
      <c r="F639" s="2" t="n"/>
    </row>
    <row r="640" ht="15.75" customHeight="1" s="125">
      <c r="A640" s="2" t="n"/>
      <c r="B640" s="2" t="n"/>
      <c r="C640" s="2" t="n"/>
      <c r="D640" s="2" t="n"/>
      <c r="E640" s="2" t="n"/>
      <c r="F640" s="2" t="n"/>
    </row>
    <row r="641" ht="15.75" customHeight="1" s="125">
      <c r="A641" s="2" t="n"/>
      <c r="B641" s="2" t="n"/>
      <c r="C641" s="2" t="n"/>
      <c r="D641" s="2" t="n"/>
      <c r="E641" s="2" t="n"/>
      <c r="F641" s="2" t="n"/>
    </row>
    <row r="642" ht="15.75" customHeight="1" s="125">
      <c r="A642" s="2" t="n"/>
      <c r="B642" s="2" t="n"/>
      <c r="C642" s="2" t="n"/>
      <c r="D642" s="2" t="n"/>
      <c r="E642" s="2" t="n"/>
      <c r="F642" s="2" t="n"/>
    </row>
    <row r="643" ht="15.75" customHeight="1" s="125">
      <c r="A643" s="2" t="n"/>
      <c r="B643" s="2" t="n"/>
      <c r="C643" s="2" t="n"/>
      <c r="D643" s="2" t="n"/>
      <c r="E643" s="2" t="n"/>
      <c r="F643" s="2" t="n"/>
    </row>
    <row r="644" ht="15.75" customHeight="1" s="125">
      <c r="A644" s="2" t="n"/>
      <c r="B644" s="2" t="n"/>
      <c r="C644" s="2" t="n"/>
      <c r="D644" s="2" t="n"/>
      <c r="E644" s="2" t="n"/>
      <c r="F644" s="2" t="n"/>
    </row>
    <row r="645" ht="15.75" customHeight="1" s="125">
      <c r="A645" s="2" t="n"/>
      <c r="B645" s="2" t="n"/>
      <c r="C645" s="2" t="n"/>
      <c r="D645" s="2" t="n"/>
      <c r="E645" s="2" t="n"/>
      <c r="F645" s="2" t="n"/>
    </row>
    <row r="646" ht="15.75" customHeight="1" s="125">
      <c r="A646" s="2" t="n"/>
      <c r="B646" s="2" t="n"/>
      <c r="C646" s="2" t="n"/>
      <c r="D646" s="2" t="n"/>
      <c r="E646" s="2" t="n"/>
      <c r="F646" s="2" t="n"/>
    </row>
    <row r="647" ht="15.75" customHeight="1" s="125">
      <c r="A647" s="2" t="n"/>
      <c r="B647" s="2" t="n"/>
      <c r="C647" s="2" t="n"/>
      <c r="D647" s="2" t="n"/>
      <c r="E647" s="2" t="n"/>
      <c r="F647" s="2" t="n"/>
    </row>
    <row r="648" ht="15.75" customHeight="1" s="125">
      <c r="A648" s="2" t="n"/>
      <c r="B648" s="2" t="n"/>
      <c r="C648" s="2" t="n"/>
      <c r="D648" s="2" t="n"/>
      <c r="E648" s="2" t="n"/>
      <c r="F648" s="2" t="n"/>
    </row>
    <row r="649" ht="15.75" customHeight="1" s="125">
      <c r="A649" s="2" t="n"/>
      <c r="B649" s="2" t="n"/>
      <c r="C649" s="2" t="n"/>
      <c r="D649" s="2" t="n"/>
      <c r="E649" s="2" t="n"/>
      <c r="F649" s="2" t="n"/>
    </row>
    <row r="650" ht="15.75" customHeight="1" s="125">
      <c r="A650" s="2" t="n"/>
      <c r="B650" s="2" t="n"/>
      <c r="C650" s="2" t="n"/>
      <c r="D650" s="2" t="n"/>
      <c r="E650" s="2" t="n"/>
      <c r="F650" s="2" t="n"/>
    </row>
    <row r="651" ht="15.75" customHeight="1" s="125">
      <c r="A651" s="2" t="n"/>
      <c r="B651" s="2" t="n"/>
      <c r="C651" s="2" t="n"/>
      <c r="D651" s="2" t="n"/>
      <c r="E651" s="2" t="n"/>
      <c r="F651" s="2" t="n"/>
    </row>
    <row r="652" ht="15.75" customHeight="1" s="125">
      <c r="A652" s="2" t="n"/>
      <c r="B652" s="2" t="n"/>
      <c r="C652" s="2" t="n"/>
      <c r="D652" s="2" t="n"/>
      <c r="E652" s="2" t="n"/>
      <c r="F652" s="2" t="n"/>
    </row>
    <row r="653" ht="15.75" customHeight="1" s="125">
      <c r="A653" s="2" t="n"/>
      <c r="B653" s="2" t="n"/>
      <c r="C653" s="2" t="n"/>
      <c r="D653" s="2" t="n"/>
      <c r="E653" s="2" t="n"/>
      <c r="F653" s="2" t="n"/>
    </row>
    <row r="654" ht="15.75" customHeight="1" s="125">
      <c r="A654" s="2" t="n"/>
      <c r="B654" s="2" t="n"/>
      <c r="C654" s="2" t="n"/>
      <c r="D654" s="2" t="n"/>
      <c r="E654" s="2" t="n"/>
      <c r="F654" s="2" t="n"/>
    </row>
    <row r="655" ht="15.75" customHeight="1" s="125">
      <c r="A655" s="2" t="n"/>
      <c r="B655" s="2" t="n"/>
      <c r="C655" s="2" t="n"/>
      <c r="D655" s="2" t="n"/>
      <c r="E655" s="2" t="n"/>
      <c r="F655" s="2" t="n"/>
    </row>
    <row r="656" ht="15.75" customHeight="1" s="125">
      <c r="A656" s="2" t="n"/>
      <c r="B656" s="2" t="n"/>
      <c r="C656" s="2" t="n"/>
      <c r="D656" s="2" t="n"/>
      <c r="E656" s="2" t="n"/>
      <c r="F656" s="2" t="n"/>
    </row>
    <row r="657" ht="15.75" customHeight="1" s="125">
      <c r="A657" s="2" t="n"/>
      <c r="B657" s="2" t="n"/>
      <c r="C657" s="2" t="n"/>
      <c r="D657" s="2" t="n"/>
      <c r="E657" s="2" t="n"/>
      <c r="F657" s="2" t="n"/>
    </row>
    <row r="658" ht="15.75" customHeight="1" s="125">
      <c r="A658" s="2" t="n"/>
      <c r="B658" s="2" t="n"/>
      <c r="C658" s="2" t="n"/>
      <c r="D658" s="2" t="n"/>
      <c r="E658" s="2" t="n"/>
      <c r="F658" s="2" t="n"/>
    </row>
    <row r="659" ht="15.75" customHeight="1" s="125">
      <c r="A659" s="2" t="n"/>
      <c r="B659" s="2" t="n"/>
      <c r="C659" s="2" t="n"/>
      <c r="D659" s="2" t="n"/>
      <c r="E659" s="2" t="n"/>
      <c r="F659" s="2" t="n"/>
    </row>
    <row r="660" ht="15.75" customHeight="1" s="125">
      <c r="A660" s="2" t="n"/>
      <c r="B660" s="2" t="n"/>
      <c r="C660" s="2" t="n"/>
      <c r="D660" s="2" t="n"/>
      <c r="E660" s="2" t="n"/>
      <c r="F660" s="2" t="n"/>
    </row>
    <row r="661" ht="15.75" customHeight="1" s="125">
      <c r="A661" s="2" t="n"/>
      <c r="B661" s="2" t="n"/>
      <c r="C661" s="2" t="n"/>
      <c r="D661" s="2" t="n"/>
      <c r="E661" s="2" t="n"/>
      <c r="F661" s="2" t="n"/>
    </row>
    <row r="662" ht="15.75" customHeight="1" s="125">
      <c r="A662" s="2" t="n"/>
      <c r="B662" s="2" t="n"/>
      <c r="C662" s="2" t="n"/>
      <c r="D662" s="2" t="n"/>
      <c r="E662" s="2" t="n"/>
      <c r="F662" s="2" t="n"/>
    </row>
    <row r="663" ht="15.75" customHeight="1" s="125">
      <c r="A663" s="2" t="n"/>
      <c r="B663" s="2" t="n"/>
      <c r="C663" s="2" t="n"/>
      <c r="D663" s="2" t="n"/>
      <c r="E663" s="2" t="n"/>
      <c r="F663" s="2" t="n"/>
    </row>
    <row r="664" ht="15.75" customHeight="1" s="125">
      <c r="A664" s="2" t="n"/>
      <c r="B664" s="2" t="n"/>
      <c r="C664" s="2" t="n"/>
      <c r="D664" s="2" t="n"/>
      <c r="E664" s="2" t="n"/>
      <c r="F664" s="2" t="n"/>
    </row>
    <row r="665" ht="15.75" customHeight="1" s="125">
      <c r="A665" s="2" t="n"/>
      <c r="B665" s="2" t="n"/>
      <c r="C665" s="2" t="n"/>
      <c r="D665" s="2" t="n"/>
      <c r="E665" s="2" t="n"/>
      <c r="F665" s="2" t="n"/>
    </row>
    <row r="666" ht="15.75" customHeight="1" s="125">
      <c r="A666" s="2" t="n"/>
      <c r="B666" s="2" t="n"/>
      <c r="C666" s="2" t="n"/>
      <c r="D666" s="2" t="n"/>
      <c r="E666" s="2" t="n"/>
      <c r="F666" s="2" t="n"/>
    </row>
    <row r="667" ht="15.75" customHeight="1" s="125">
      <c r="A667" s="2" t="n"/>
      <c r="B667" s="2" t="n"/>
      <c r="C667" s="2" t="n"/>
      <c r="D667" s="2" t="n"/>
      <c r="E667" s="2" t="n"/>
      <c r="F667" s="2" t="n"/>
    </row>
    <row r="668" ht="15.75" customHeight="1" s="125">
      <c r="A668" s="2" t="n"/>
      <c r="B668" s="2" t="n"/>
      <c r="C668" s="2" t="n"/>
      <c r="D668" s="2" t="n"/>
      <c r="E668" s="2" t="n"/>
      <c r="F668" s="2" t="n"/>
    </row>
    <row r="669" ht="15.75" customHeight="1" s="125">
      <c r="A669" s="2" t="n"/>
      <c r="B669" s="2" t="n"/>
      <c r="C669" s="2" t="n"/>
      <c r="D669" s="2" t="n"/>
      <c r="E669" s="2" t="n"/>
      <c r="F669" s="2" t="n"/>
    </row>
    <row r="670" ht="15.75" customHeight="1" s="125">
      <c r="A670" s="2" t="n"/>
      <c r="B670" s="2" t="n"/>
      <c r="C670" s="2" t="n"/>
      <c r="D670" s="2" t="n"/>
      <c r="E670" s="2" t="n"/>
      <c r="F670" s="2" t="n"/>
    </row>
    <row r="671" ht="15.75" customHeight="1" s="125">
      <c r="A671" s="2" t="n"/>
      <c r="B671" s="2" t="n"/>
      <c r="C671" s="2" t="n"/>
      <c r="D671" s="2" t="n"/>
      <c r="E671" s="2" t="n"/>
      <c r="F671" s="2" t="n"/>
    </row>
    <row r="672" ht="15.75" customHeight="1" s="125">
      <c r="A672" s="2" t="n"/>
      <c r="B672" s="2" t="n"/>
      <c r="C672" s="2" t="n"/>
      <c r="D672" s="2" t="n"/>
      <c r="E672" s="2" t="n"/>
      <c r="F672" s="2" t="n"/>
    </row>
    <row r="673" ht="15.75" customHeight="1" s="125">
      <c r="A673" s="2" t="n"/>
      <c r="B673" s="2" t="n"/>
      <c r="C673" s="2" t="n"/>
      <c r="D673" s="2" t="n"/>
      <c r="E673" s="2" t="n"/>
      <c r="F673" s="2" t="n"/>
    </row>
    <row r="674" ht="15.75" customHeight="1" s="125">
      <c r="A674" s="2" t="n"/>
      <c r="B674" s="2" t="n"/>
      <c r="C674" s="2" t="n"/>
      <c r="D674" s="2" t="n"/>
      <c r="E674" s="2" t="n"/>
      <c r="F674" s="2" t="n"/>
    </row>
    <row r="675" ht="15.75" customHeight="1" s="125">
      <c r="A675" s="2" t="n"/>
      <c r="B675" s="2" t="n"/>
      <c r="C675" s="2" t="n"/>
      <c r="D675" s="2" t="n"/>
      <c r="E675" s="2" t="n"/>
      <c r="F675" s="2" t="n"/>
    </row>
    <row r="676" ht="15.75" customHeight="1" s="125">
      <c r="A676" s="2" t="n"/>
      <c r="B676" s="2" t="n"/>
      <c r="C676" s="2" t="n"/>
      <c r="D676" s="2" t="n"/>
      <c r="E676" s="2" t="n"/>
      <c r="F676" s="2" t="n"/>
    </row>
    <row r="677" ht="15.75" customHeight="1" s="125">
      <c r="A677" s="2" t="n"/>
      <c r="B677" s="2" t="n"/>
      <c r="C677" s="2" t="n"/>
      <c r="D677" s="2" t="n"/>
      <c r="E677" s="2" t="n"/>
      <c r="F677" s="2" t="n"/>
    </row>
    <row r="678" ht="15.75" customHeight="1" s="125">
      <c r="A678" s="2" t="n"/>
      <c r="B678" s="2" t="n"/>
      <c r="C678" s="2" t="n"/>
      <c r="D678" s="2" t="n"/>
      <c r="E678" s="2" t="n"/>
      <c r="F678" s="2" t="n"/>
    </row>
    <row r="679" ht="15.75" customHeight="1" s="125">
      <c r="A679" s="2" t="n"/>
      <c r="B679" s="2" t="n"/>
      <c r="C679" s="2" t="n"/>
      <c r="D679" s="2" t="n"/>
      <c r="E679" s="2" t="n"/>
      <c r="F679" s="2" t="n"/>
    </row>
    <row r="680" ht="15.75" customHeight="1" s="125">
      <c r="A680" s="2" t="n"/>
      <c r="B680" s="2" t="n"/>
      <c r="C680" s="2" t="n"/>
      <c r="D680" s="2" t="n"/>
      <c r="E680" s="2" t="n"/>
      <c r="F680" s="2" t="n"/>
    </row>
    <row r="681" ht="15.75" customHeight="1" s="125">
      <c r="A681" s="2" t="n"/>
      <c r="B681" s="2" t="n"/>
      <c r="C681" s="2" t="n"/>
      <c r="D681" s="2" t="n"/>
      <c r="E681" s="2" t="n"/>
      <c r="F681" s="2" t="n"/>
    </row>
    <row r="682" ht="15.75" customHeight="1" s="125">
      <c r="A682" s="2" t="n"/>
      <c r="B682" s="2" t="n"/>
      <c r="C682" s="2" t="n"/>
      <c r="D682" s="2" t="n"/>
      <c r="E682" s="2" t="n"/>
      <c r="F682" s="2" t="n"/>
    </row>
    <row r="683" ht="15.75" customHeight="1" s="125">
      <c r="A683" s="2" t="n"/>
      <c r="B683" s="2" t="n"/>
      <c r="C683" s="2" t="n"/>
      <c r="D683" s="2" t="n"/>
      <c r="E683" s="2" t="n"/>
      <c r="F683" s="2" t="n"/>
    </row>
    <row r="684" ht="15.75" customHeight="1" s="125">
      <c r="A684" s="2" t="n"/>
      <c r="B684" s="2" t="n"/>
      <c r="C684" s="2" t="n"/>
      <c r="D684" s="2" t="n"/>
      <c r="E684" s="2" t="n"/>
      <c r="F684" s="2" t="n"/>
    </row>
    <row r="685" ht="15.75" customHeight="1" s="125">
      <c r="A685" s="2" t="n"/>
      <c r="B685" s="2" t="n"/>
      <c r="C685" s="2" t="n"/>
      <c r="D685" s="2" t="n"/>
      <c r="E685" s="2" t="n"/>
      <c r="F685" s="2" t="n"/>
    </row>
    <row r="686" ht="15.75" customHeight="1" s="125">
      <c r="A686" s="2" t="n"/>
      <c r="B686" s="2" t="n"/>
      <c r="C686" s="2" t="n"/>
      <c r="D686" s="2" t="n"/>
      <c r="E686" s="2" t="n"/>
      <c r="F686" s="2" t="n"/>
    </row>
    <row r="687" ht="15.75" customHeight="1" s="125">
      <c r="A687" s="2" t="n"/>
      <c r="B687" s="2" t="n"/>
      <c r="C687" s="2" t="n"/>
      <c r="D687" s="2" t="n"/>
      <c r="E687" s="2" t="n"/>
      <c r="F687" s="2" t="n"/>
    </row>
    <row r="688" ht="15.75" customHeight="1" s="125">
      <c r="A688" s="2" t="n"/>
      <c r="B688" s="2" t="n"/>
      <c r="C688" s="2" t="n"/>
      <c r="D688" s="2" t="n"/>
      <c r="E688" s="2" t="n"/>
      <c r="F688" s="2" t="n"/>
    </row>
    <row r="689" ht="15.75" customHeight="1" s="125">
      <c r="A689" s="2" t="n"/>
      <c r="B689" s="2" t="n"/>
      <c r="C689" s="2" t="n"/>
      <c r="D689" s="2" t="n"/>
      <c r="E689" s="2" t="n"/>
      <c r="F689" s="2" t="n"/>
    </row>
    <row r="690" ht="15.75" customHeight="1" s="125">
      <c r="A690" s="2" t="n"/>
      <c r="B690" s="2" t="n"/>
      <c r="C690" s="2" t="n"/>
      <c r="D690" s="2" t="n"/>
      <c r="E690" s="2" t="n"/>
      <c r="F690" s="2" t="n"/>
    </row>
    <row r="691" ht="15.75" customHeight="1" s="125">
      <c r="A691" s="2" t="n"/>
      <c r="B691" s="2" t="n"/>
      <c r="C691" s="2" t="n"/>
      <c r="D691" s="2" t="n"/>
      <c r="E691" s="2" t="n"/>
      <c r="F691" s="2" t="n"/>
    </row>
    <row r="692" ht="15.75" customHeight="1" s="125">
      <c r="A692" s="2" t="n"/>
      <c r="B692" s="2" t="n"/>
      <c r="C692" s="2" t="n"/>
      <c r="D692" s="2" t="n"/>
      <c r="E692" s="2" t="n"/>
      <c r="F692" s="2" t="n"/>
    </row>
    <row r="693" ht="15.75" customHeight="1" s="125">
      <c r="A693" s="2" t="n"/>
      <c r="B693" s="2" t="n"/>
      <c r="C693" s="2" t="n"/>
      <c r="D693" s="2" t="n"/>
      <c r="E693" s="2" t="n"/>
      <c r="F693" s="2" t="n"/>
    </row>
    <row r="694" ht="15.75" customHeight="1" s="125">
      <c r="A694" s="2" t="n"/>
      <c r="B694" s="2" t="n"/>
      <c r="C694" s="2" t="n"/>
      <c r="D694" s="2" t="n"/>
      <c r="E694" s="2" t="n"/>
      <c r="F694" s="2" t="n"/>
    </row>
    <row r="695" ht="15.75" customHeight="1" s="125">
      <c r="A695" s="2" t="n"/>
      <c r="B695" s="2" t="n"/>
      <c r="C695" s="2" t="n"/>
      <c r="D695" s="2" t="n"/>
      <c r="E695" s="2" t="n"/>
      <c r="F695" s="2" t="n"/>
    </row>
    <row r="696" ht="15.75" customHeight="1" s="125">
      <c r="A696" s="2" t="n"/>
      <c r="B696" s="2" t="n"/>
      <c r="C696" s="2" t="n"/>
      <c r="D696" s="2" t="n"/>
      <c r="E696" s="2" t="n"/>
      <c r="F696" s="2" t="n"/>
    </row>
    <row r="697" ht="15.75" customHeight="1" s="125">
      <c r="A697" s="2" t="n"/>
      <c r="B697" s="2" t="n"/>
      <c r="C697" s="2" t="n"/>
      <c r="D697" s="2" t="n"/>
      <c r="E697" s="2" t="n"/>
      <c r="F697" s="2" t="n"/>
    </row>
    <row r="698" ht="15.75" customHeight="1" s="125">
      <c r="A698" s="2" t="n"/>
      <c r="B698" s="2" t="n"/>
      <c r="C698" s="2" t="n"/>
      <c r="D698" s="2" t="n"/>
      <c r="E698" s="2" t="n"/>
      <c r="F698" s="2" t="n"/>
    </row>
    <row r="699" ht="15.75" customHeight="1" s="125">
      <c r="A699" s="2" t="n"/>
      <c r="B699" s="2" t="n"/>
      <c r="C699" s="2" t="n"/>
      <c r="D699" s="2" t="n"/>
      <c r="E699" s="2" t="n"/>
      <c r="F699" s="2" t="n"/>
    </row>
    <row r="700" ht="15.75" customHeight="1" s="125">
      <c r="A700" s="2" t="n"/>
      <c r="B700" s="2" t="n"/>
      <c r="C700" s="2" t="n"/>
      <c r="D700" s="2" t="n"/>
      <c r="E700" s="2" t="n"/>
      <c r="F700" s="2" t="n"/>
    </row>
    <row r="701" ht="15.75" customHeight="1" s="125">
      <c r="A701" s="2" t="n"/>
      <c r="B701" s="2" t="n"/>
      <c r="C701" s="2" t="n"/>
      <c r="D701" s="2" t="n"/>
      <c r="E701" s="2" t="n"/>
      <c r="F701" s="2" t="n"/>
    </row>
    <row r="702" ht="15.75" customHeight="1" s="125">
      <c r="A702" s="2" t="n"/>
      <c r="B702" s="2" t="n"/>
      <c r="C702" s="2" t="n"/>
      <c r="D702" s="2" t="n"/>
      <c r="E702" s="2" t="n"/>
      <c r="F702" s="2" t="n"/>
    </row>
    <row r="703" ht="15.75" customHeight="1" s="125">
      <c r="A703" s="2" t="n"/>
      <c r="B703" s="2" t="n"/>
      <c r="C703" s="2" t="n"/>
      <c r="D703" s="2" t="n"/>
      <c r="E703" s="2" t="n"/>
      <c r="F703" s="2" t="n"/>
    </row>
    <row r="704" ht="15.75" customHeight="1" s="125">
      <c r="A704" s="2" t="n"/>
      <c r="B704" s="2" t="n"/>
      <c r="C704" s="2" t="n"/>
      <c r="D704" s="2" t="n"/>
      <c r="E704" s="2" t="n"/>
      <c r="F704" s="2" t="n"/>
    </row>
    <row r="705" ht="15.75" customHeight="1" s="125">
      <c r="A705" s="2" t="n"/>
      <c r="B705" s="2" t="n"/>
      <c r="C705" s="2" t="n"/>
      <c r="D705" s="2" t="n"/>
      <c r="E705" s="2" t="n"/>
      <c r="F705" s="2" t="n"/>
    </row>
    <row r="706" ht="15.75" customHeight="1" s="125">
      <c r="A706" s="2" t="n"/>
      <c r="B706" s="2" t="n"/>
      <c r="C706" s="2" t="n"/>
      <c r="D706" s="2" t="n"/>
      <c r="E706" s="2" t="n"/>
      <c r="F706" s="2" t="n"/>
    </row>
    <row r="707" ht="15.75" customHeight="1" s="125">
      <c r="A707" s="2" t="n"/>
      <c r="B707" s="2" t="n"/>
      <c r="C707" s="2" t="n"/>
      <c r="D707" s="2" t="n"/>
      <c r="E707" s="2" t="n"/>
      <c r="F707" s="2" t="n"/>
    </row>
    <row r="708" ht="15.75" customHeight="1" s="125">
      <c r="A708" s="2" t="n"/>
      <c r="B708" s="2" t="n"/>
      <c r="C708" s="2" t="n"/>
      <c r="D708" s="2" t="n"/>
      <c r="E708" s="2" t="n"/>
      <c r="F708" s="2" t="n"/>
    </row>
    <row r="709" ht="15.75" customHeight="1" s="125">
      <c r="A709" s="2" t="n"/>
      <c r="B709" s="2" t="n"/>
      <c r="C709" s="2" t="n"/>
      <c r="D709" s="2" t="n"/>
      <c r="E709" s="2" t="n"/>
      <c r="F709" s="2" t="n"/>
    </row>
    <row r="710" ht="15.75" customHeight="1" s="125">
      <c r="A710" s="2" t="n"/>
      <c r="B710" s="2" t="n"/>
      <c r="C710" s="2" t="n"/>
      <c r="D710" s="2" t="n"/>
      <c r="E710" s="2" t="n"/>
      <c r="F710" s="2" t="n"/>
    </row>
    <row r="711" ht="15.75" customHeight="1" s="125">
      <c r="A711" s="2" t="n"/>
      <c r="B711" s="2" t="n"/>
      <c r="C711" s="2" t="n"/>
      <c r="D711" s="2" t="n"/>
      <c r="E711" s="2" t="n"/>
      <c r="F711" s="2" t="n"/>
    </row>
    <row r="712" ht="15.75" customHeight="1" s="125">
      <c r="A712" s="2" t="n"/>
      <c r="B712" s="2" t="n"/>
      <c r="C712" s="2" t="n"/>
      <c r="D712" s="2" t="n"/>
      <c r="E712" s="2" t="n"/>
      <c r="F712" s="2" t="n"/>
    </row>
    <row r="713" ht="15.75" customHeight="1" s="125">
      <c r="A713" s="2" t="n"/>
      <c r="B713" s="2" t="n"/>
      <c r="C713" s="2" t="n"/>
      <c r="D713" s="2" t="n"/>
      <c r="E713" s="2" t="n"/>
      <c r="F713" s="2" t="n"/>
    </row>
    <row r="714" ht="15.75" customHeight="1" s="125">
      <c r="A714" s="2" t="n"/>
      <c r="B714" s="2" t="n"/>
      <c r="C714" s="2" t="n"/>
      <c r="D714" s="2" t="n"/>
      <c r="E714" s="2" t="n"/>
      <c r="F714" s="2" t="n"/>
    </row>
    <row r="715" ht="15.75" customHeight="1" s="125">
      <c r="A715" s="2" t="n"/>
      <c r="B715" s="2" t="n"/>
      <c r="C715" s="2" t="n"/>
      <c r="D715" s="2" t="n"/>
      <c r="E715" s="2" t="n"/>
      <c r="F715" s="2" t="n"/>
    </row>
    <row r="716" ht="15.75" customHeight="1" s="125">
      <c r="A716" s="2" t="n"/>
      <c r="B716" s="2" t="n"/>
      <c r="C716" s="2" t="n"/>
      <c r="D716" s="2" t="n"/>
      <c r="E716" s="2" t="n"/>
      <c r="F716" s="2" t="n"/>
    </row>
    <row r="717" ht="15.75" customHeight="1" s="125">
      <c r="A717" s="2" t="n"/>
      <c r="B717" s="2" t="n"/>
      <c r="C717" s="2" t="n"/>
      <c r="D717" s="2" t="n"/>
      <c r="E717" s="2" t="n"/>
      <c r="F717" s="2" t="n"/>
    </row>
    <row r="718" ht="15.75" customHeight="1" s="125">
      <c r="A718" s="2" t="n"/>
      <c r="B718" s="2" t="n"/>
      <c r="C718" s="2" t="n"/>
      <c r="D718" s="2" t="n"/>
      <c r="E718" s="2" t="n"/>
      <c r="F718" s="2" t="n"/>
    </row>
    <row r="719" ht="15.75" customHeight="1" s="125">
      <c r="A719" s="2" t="n"/>
      <c r="B719" s="2" t="n"/>
      <c r="C719" s="2" t="n"/>
      <c r="D719" s="2" t="n"/>
      <c r="E719" s="2" t="n"/>
      <c r="F719" s="2" t="n"/>
    </row>
    <row r="720" ht="15.75" customHeight="1" s="125">
      <c r="A720" s="2" t="n"/>
      <c r="B720" s="2" t="n"/>
      <c r="C720" s="2" t="n"/>
      <c r="D720" s="2" t="n"/>
      <c r="E720" s="2" t="n"/>
      <c r="F720" s="2" t="n"/>
    </row>
    <row r="721" ht="15.75" customHeight="1" s="125">
      <c r="A721" s="2" t="n"/>
      <c r="B721" s="2" t="n"/>
      <c r="C721" s="2" t="n"/>
      <c r="D721" s="2" t="n"/>
      <c r="E721" s="2" t="n"/>
      <c r="F721" s="2" t="n"/>
    </row>
    <row r="722" ht="15.75" customHeight="1" s="125">
      <c r="A722" s="2" t="n"/>
      <c r="B722" s="2" t="n"/>
      <c r="C722" s="2" t="n"/>
      <c r="D722" s="2" t="n"/>
      <c r="E722" s="2" t="n"/>
      <c r="F722" s="2" t="n"/>
    </row>
    <row r="723" ht="15.75" customHeight="1" s="125">
      <c r="A723" s="2" t="n"/>
      <c r="B723" s="2" t="n"/>
      <c r="C723" s="2" t="n"/>
      <c r="D723" s="2" t="n"/>
      <c r="E723" s="2" t="n"/>
      <c r="F723" s="2" t="n"/>
    </row>
    <row r="724" ht="15.75" customHeight="1" s="125">
      <c r="A724" s="2" t="n"/>
      <c r="B724" s="2" t="n"/>
      <c r="C724" s="2" t="n"/>
      <c r="D724" s="2" t="n"/>
      <c r="E724" s="2" t="n"/>
      <c r="F724" s="2" t="n"/>
    </row>
    <row r="725" ht="15.75" customHeight="1" s="125">
      <c r="A725" s="2" t="n"/>
      <c r="B725" s="2" t="n"/>
      <c r="C725" s="2" t="n"/>
      <c r="D725" s="2" t="n"/>
      <c r="E725" s="2" t="n"/>
      <c r="F725" s="2" t="n"/>
    </row>
    <row r="726" ht="15.75" customHeight="1" s="125">
      <c r="A726" s="2" t="n"/>
      <c r="B726" s="2" t="n"/>
      <c r="C726" s="2" t="n"/>
      <c r="D726" s="2" t="n"/>
      <c r="E726" s="2" t="n"/>
      <c r="F726" s="2" t="n"/>
    </row>
    <row r="727" ht="15.75" customHeight="1" s="125">
      <c r="A727" s="2" t="n"/>
      <c r="B727" s="2" t="n"/>
      <c r="C727" s="2" t="n"/>
      <c r="D727" s="2" t="n"/>
      <c r="E727" s="2" t="n"/>
      <c r="F727" s="2" t="n"/>
    </row>
    <row r="728" ht="15.75" customHeight="1" s="125">
      <c r="A728" s="2" t="n"/>
      <c r="B728" s="2" t="n"/>
      <c r="C728" s="2" t="n"/>
      <c r="D728" s="2" t="n"/>
      <c r="E728" s="2" t="n"/>
      <c r="F728" s="2" t="n"/>
    </row>
    <row r="729" ht="15.75" customHeight="1" s="125">
      <c r="A729" s="2" t="n"/>
      <c r="B729" s="2" t="n"/>
      <c r="C729" s="2" t="n"/>
      <c r="D729" s="2" t="n"/>
      <c r="E729" s="2" t="n"/>
      <c r="F729" s="2" t="n"/>
    </row>
    <row r="730" ht="15.75" customHeight="1" s="125">
      <c r="A730" s="2" t="n"/>
      <c r="B730" s="2" t="n"/>
      <c r="C730" s="2" t="n"/>
      <c r="D730" s="2" t="n"/>
      <c r="E730" s="2" t="n"/>
      <c r="F730" s="2" t="n"/>
    </row>
    <row r="731" ht="15.75" customHeight="1" s="125">
      <c r="A731" s="2" t="n"/>
      <c r="B731" s="2" t="n"/>
      <c r="C731" s="2" t="n"/>
      <c r="D731" s="2" t="n"/>
      <c r="E731" s="2" t="n"/>
      <c r="F731" s="2" t="n"/>
    </row>
    <row r="732" ht="15.75" customHeight="1" s="125">
      <c r="A732" s="2" t="n"/>
      <c r="B732" s="2" t="n"/>
      <c r="C732" s="2" t="n"/>
      <c r="D732" s="2" t="n"/>
      <c r="E732" s="2" t="n"/>
      <c r="F732" s="2" t="n"/>
    </row>
    <row r="733" ht="15.75" customHeight="1" s="125">
      <c r="A733" s="2" t="n"/>
      <c r="B733" s="2" t="n"/>
      <c r="C733" s="2" t="n"/>
      <c r="D733" s="2" t="n"/>
      <c r="E733" s="2" t="n"/>
      <c r="F733" s="2" t="n"/>
    </row>
    <row r="734" ht="15.75" customHeight="1" s="125">
      <c r="A734" s="2" t="n"/>
      <c r="B734" s="2" t="n"/>
      <c r="C734" s="2" t="n"/>
      <c r="D734" s="2" t="n"/>
      <c r="E734" s="2" t="n"/>
      <c r="F734" s="2" t="n"/>
    </row>
    <row r="735" ht="15.75" customHeight="1" s="125">
      <c r="A735" s="2" t="n"/>
      <c r="B735" s="2" t="n"/>
      <c r="C735" s="2" t="n"/>
      <c r="D735" s="2" t="n"/>
      <c r="E735" s="2" t="n"/>
      <c r="F735" s="2" t="n"/>
    </row>
    <row r="736" ht="15.75" customHeight="1" s="125">
      <c r="A736" s="2" t="n"/>
      <c r="B736" s="2" t="n"/>
      <c r="C736" s="2" t="n"/>
      <c r="D736" s="2" t="n"/>
      <c r="E736" s="2" t="n"/>
      <c r="F736" s="2" t="n"/>
    </row>
    <row r="737" ht="15.75" customHeight="1" s="125">
      <c r="A737" s="2" t="n"/>
      <c r="B737" s="2" t="n"/>
      <c r="C737" s="2" t="n"/>
      <c r="D737" s="2" t="n"/>
      <c r="E737" s="2" t="n"/>
      <c r="F737" s="2" t="n"/>
    </row>
    <row r="738" ht="15.75" customHeight="1" s="125">
      <c r="A738" s="2" t="n"/>
      <c r="B738" s="2" t="n"/>
      <c r="C738" s="2" t="n"/>
      <c r="D738" s="2" t="n"/>
      <c r="E738" s="2" t="n"/>
      <c r="F738" s="2" t="n"/>
    </row>
    <row r="739" ht="15.75" customHeight="1" s="125">
      <c r="A739" s="2" t="n"/>
      <c r="B739" s="2" t="n"/>
      <c r="C739" s="2" t="n"/>
      <c r="D739" s="2" t="n"/>
      <c r="E739" s="2" t="n"/>
      <c r="F739" s="2" t="n"/>
    </row>
    <row r="740" ht="15.75" customHeight="1" s="125">
      <c r="A740" s="2" t="n"/>
      <c r="B740" s="2" t="n"/>
      <c r="C740" s="2" t="n"/>
      <c r="D740" s="2" t="n"/>
      <c r="E740" s="2" t="n"/>
      <c r="F740" s="2" t="n"/>
    </row>
    <row r="741" ht="15.75" customHeight="1" s="125">
      <c r="A741" s="2" t="n"/>
      <c r="B741" s="2" t="n"/>
      <c r="C741" s="2" t="n"/>
      <c r="D741" s="2" t="n"/>
      <c r="E741" s="2" t="n"/>
      <c r="F741" s="2" t="n"/>
    </row>
    <row r="742" ht="15.75" customHeight="1" s="125">
      <c r="A742" s="2" t="n"/>
      <c r="B742" s="2" t="n"/>
      <c r="C742" s="2" t="n"/>
      <c r="D742" s="2" t="n"/>
      <c r="E742" s="2" t="n"/>
      <c r="F742" s="2" t="n"/>
    </row>
    <row r="743" ht="15.75" customHeight="1" s="125">
      <c r="A743" s="2" t="n"/>
      <c r="B743" s="2" t="n"/>
      <c r="C743" s="2" t="n"/>
      <c r="D743" s="2" t="n"/>
      <c r="E743" s="2" t="n"/>
      <c r="F743" s="2" t="n"/>
    </row>
    <row r="744" ht="15.75" customHeight="1" s="125">
      <c r="A744" s="2" t="n"/>
      <c r="B744" s="2" t="n"/>
      <c r="C744" s="2" t="n"/>
      <c r="D744" s="2" t="n"/>
      <c r="E744" s="2" t="n"/>
      <c r="F744" s="2" t="n"/>
    </row>
    <row r="745" ht="15.75" customHeight="1" s="125">
      <c r="A745" s="2" t="n"/>
      <c r="B745" s="2" t="n"/>
      <c r="C745" s="2" t="n"/>
      <c r="D745" s="2" t="n"/>
      <c r="E745" s="2" t="n"/>
      <c r="F745" s="2" t="n"/>
    </row>
    <row r="746" ht="15.75" customHeight="1" s="125">
      <c r="A746" s="2" t="n"/>
      <c r="B746" s="2" t="n"/>
      <c r="C746" s="2" t="n"/>
      <c r="D746" s="2" t="n"/>
      <c r="E746" s="2" t="n"/>
      <c r="F746" s="2" t="n"/>
    </row>
    <row r="747" ht="15.75" customHeight="1" s="125">
      <c r="A747" s="2" t="n"/>
      <c r="B747" s="2" t="n"/>
      <c r="C747" s="2" t="n"/>
      <c r="D747" s="2" t="n"/>
      <c r="E747" s="2" t="n"/>
      <c r="F747" s="2" t="n"/>
    </row>
    <row r="748" ht="15.75" customHeight="1" s="125">
      <c r="A748" s="2" t="n"/>
      <c r="B748" s="2" t="n"/>
      <c r="C748" s="2" t="n"/>
      <c r="D748" s="2" t="n"/>
      <c r="E748" s="2" t="n"/>
      <c r="F748" s="2" t="n"/>
    </row>
    <row r="749" ht="15.75" customHeight="1" s="125">
      <c r="A749" s="2" t="n"/>
      <c r="B749" s="2" t="n"/>
      <c r="C749" s="2" t="n"/>
      <c r="D749" s="2" t="n"/>
      <c r="E749" s="2" t="n"/>
      <c r="F749" s="2" t="n"/>
    </row>
    <row r="750" ht="15.75" customHeight="1" s="125">
      <c r="A750" s="2" t="n"/>
      <c r="B750" s="2" t="n"/>
      <c r="C750" s="2" t="n"/>
      <c r="D750" s="2" t="n"/>
      <c r="E750" s="2" t="n"/>
      <c r="F750" s="2" t="n"/>
    </row>
    <row r="751" ht="15.75" customHeight="1" s="125">
      <c r="A751" s="2" t="n"/>
      <c r="B751" s="2" t="n"/>
      <c r="C751" s="2" t="n"/>
      <c r="D751" s="2" t="n"/>
      <c r="E751" s="2" t="n"/>
      <c r="F751" s="2" t="n"/>
    </row>
    <row r="752" ht="15.75" customHeight="1" s="125">
      <c r="A752" s="2" t="n"/>
      <c r="B752" s="2" t="n"/>
      <c r="C752" s="2" t="n"/>
      <c r="D752" s="2" t="n"/>
      <c r="E752" s="2" t="n"/>
      <c r="F752" s="2" t="n"/>
    </row>
    <row r="753" ht="15.75" customHeight="1" s="125">
      <c r="A753" s="2" t="n"/>
      <c r="B753" s="2" t="n"/>
      <c r="C753" s="2" t="n"/>
      <c r="D753" s="2" t="n"/>
      <c r="E753" s="2" t="n"/>
      <c r="F753" s="2" t="n"/>
    </row>
    <row r="754" ht="15.75" customHeight="1" s="125">
      <c r="A754" s="2" t="n"/>
      <c r="B754" s="2" t="n"/>
      <c r="C754" s="2" t="n"/>
      <c r="D754" s="2" t="n"/>
      <c r="E754" s="2" t="n"/>
      <c r="F754" s="2" t="n"/>
    </row>
    <row r="755" ht="15.75" customHeight="1" s="125">
      <c r="A755" s="2" t="n"/>
      <c r="B755" s="2" t="n"/>
      <c r="C755" s="2" t="n"/>
      <c r="D755" s="2" t="n"/>
      <c r="E755" s="2" t="n"/>
      <c r="F755" s="2" t="n"/>
    </row>
    <row r="756" ht="15.75" customHeight="1" s="125">
      <c r="A756" s="2" t="n"/>
      <c r="B756" s="2" t="n"/>
      <c r="C756" s="2" t="n"/>
      <c r="D756" s="2" t="n"/>
      <c r="E756" s="2" t="n"/>
      <c r="F756" s="2" t="n"/>
    </row>
    <row r="757" ht="15.75" customHeight="1" s="125">
      <c r="A757" s="2" t="n"/>
      <c r="B757" s="2" t="n"/>
      <c r="C757" s="2" t="n"/>
      <c r="D757" s="2" t="n"/>
      <c r="E757" s="2" t="n"/>
      <c r="F757" s="2" t="n"/>
    </row>
    <row r="758" ht="15.75" customHeight="1" s="125">
      <c r="A758" s="2" t="n"/>
      <c r="B758" s="2" t="n"/>
      <c r="C758" s="2" t="n"/>
      <c r="D758" s="2" t="n"/>
      <c r="E758" s="2" t="n"/>
      <c r="F758" s="2" t="n"/>
    </row>
    <row r="759" ht="15.75" customHeight="1" s="125">
      <c r="A759" s="2" t="n"/>
      <c r="B759" s="2" t="n"/>
      <c r="C759" s="2" t="n"/>
      <c r="D759" s="2" t="n"/>
      <c r="E759" s="2" t="n"/>
      <c r="F759" s="2" t="n"/>
    </row>
    <row r="760" ht="15.75" customHeight="1" s="125">
      <c r="A760" s="2" t="n"/>
      <c r="B760" s="2" t="n"/>
      <c r="C760" s="2" t="n"/>
      <c r="D760" s="2" t="n"/>
      <c r="E760" s="2" t="n"/>
      <c r="F760" s="2" t="n"/>
    </row>
    <row r="761" ht="15.75" customHeight="1" s="125">
      <c r="A761" s="2" t="n"/>
      <c r="B761" s="2" t="n"/>
      <c r="C761" s="2" t="n"/>
      <c r="D761" s="2" t="n"/>
      <c r="E761" s="2" t="n"/>
      <c r="F761" s="2" t="n"/>
    </row>
    <row r="762" ht="15.75" customHeight="1" s="125">
      <c r="A762" s="2" t="n"/>
      <c r="B762" s="2" t="n"/>
      <c r="C762" s="2" t="n"/>
      <c r="D762" s="2" t="n"/>
      <c r="E762" s="2" t="n"/>
      <c r="F762" s="2" t="n"/>
    </row>
    <row r="763" ht="15.75" customHeight="1" s="125">
      <c r="A763" s="2" t="n"/>
      <c r="B763" s="2" t="n"/>
      <c r="C763" s="2" t="n"/>
      <c r="D763" s="2" t="n"/>
      <c r="E763" s="2" t="n"/>
      <c r="F763" s="2" t="n"/>
    </row>
    <row r="764" ht="15.75" customHeight="1" s="125">
      <c r="A764" s="2" t="n"/>
      <c r="B764" s="2" t="n"/>
      <c r="C764" s="2" t="n"/>
      <c r="D764" s="2" t="n"/>
      <c r="E764" s="2" t="n"/>
      <c r="F764" s="2" t="n"/>
    </row>
    <row r="765" ht="15.75" customHeight="1" s="125">
      <c r="A765" s="2" t="n"/>
      <c r="B765" s="2" t="n"/>
      <c r="C765" s="2" t="n"/>
      <c r="D765" s="2" t="n"/>
      <c r="E765" s="2" t="n"/>
      <c r="F765" s="2" t="n"/>
    </row>
    <row r="766" ht="15.75" customHeight="1" s="125">
      <c r="A766" s="2" t="n"/>
      <c r="B766" s="2" t="n"/>
      <c r="C766" s="2" t="n"/>
      <c r="D766" s="2" t="n"/>
      <c r="E766" s="2" t="n"/>
      <c r="F766" s="2" t="n"/>
    </row>
    <row r="767" ht="15.75" customHeight="1" s="125">
      <c r="A767" s="2" t="n"/>
      <c r="B767" s="2" t="n"/>
      <c r="C767" s="2" t="n"/>
      <c r="D767" s="2" t="n"/>
      <c r="E767" s="2" t="n"/>
      <c r="F767" s="2" t="n"/>
    </row>
    <row r="768" ht="15.75" customHeight="1" s="125">
      <c r="A768" s="2" t="n"/>
      <c r="B768" s="2" t="n"/>
      <c r="C768" s="2" t="n"/>
      <c r="D768" s="2" t="n"/>
      <c r="E768" s="2" t="n"/>
      <c r="F768" s="2" t="n"/>
    </row>
    <row r="769" ht="15.75" customHeight="1" s="125">
      <c r="A769" s="2" t="n"/>
      <c r="B769" s="2" t="n"/>
      <c r="C769" s="2" t="n"/>
      <c r="D769" s="2" t="n"/>
      <c r="E769" s="2" t="n"/>
      <c r="F769" s="2" t="n"/>
    </row>
    <row r="770" ht="15.75" customHeight="1" s="125">
      <c r="A770" s="2" t="n"/>
      <c r="B770" s="2" t="n"/>
      <c r="C770" s="2" t="n"/>
      <c r="D770" s="2" t="n"/>
      <c r="E770" s="2" t="n"/>
      <c r="F770" s="2" t="n"/>
    </row>
    <row r="771" ht="15.75" customHeight="1" s="125">
      <c r="A771" s="2" t="n"/>
      <c r="B771" s="2" t="n"/>
      <c r="C771" s="2" t="n"/>
      <c r="D771" s="2" t="n"/>
      <c r="E771" s="2" t="n"/>
      <c r="F771" s="2" t="n"/>
    </row>
    <row r="772" ht="15.75" customHeight="1" s="125">
      <c r="A772" s="2" t="n"/>
      <c r="B772" s="2" t="n"/>
      <c r="C772" s="2" t="n"/>
      <c r="D772" s="2" t="n"/>
      <c r="E772" s="2" t="n"/>
      <c r="F772" s="2" t="n"/>
    </row>
    <row r="773" ht="15.75" customHeight="1" s="125">
      <c r="A773" s="2" t="n"/>
      <c r="B773" s="2" t="n"/>
      <c r="C773" s="2" t="n"/>
      <c r="D773" s="2" t="n"/>
      <c r="E773" s="2" t="n"/>
      <c r="F773" s="2" t="n"/>
    </row>
    <row r="774" ht="15.75" customHeight="1" s="125">
      <c r="A774" s="2" t="n"/>
      <c r="B774" s="2" t="n"/>
      <c r="C774" s="2" t="n"/>
      <c r="D774" s="2" t="n"/>
      <c r="E774" s="2" t="n"/>
      <c r="F774" s="2" t="n"/>
    </row>
    <row r="775" ht="15.75" customHeight="1" s="125">
      <c r="A775" s="2" t="n"/>
      <c r="B775" s="2" t="n"/>
      <c r="C775" s="2" t="n"/>
      <c r="D775" s="2" t="n"/>
      <c r="E775" s="2" t="n"/>
      <c r="F775" s="2" t="n"/>
    </row>
    <row r="776" ht="15.75" customHeight="1" s="125">
      <c r="A776" s="2" t="n"/>
      <c r="B776" s="2" t="n"/>
      <c r="C776" s="2" t="n"/>
      <c r="D776" s="2" t="n"/>
      <c r="E776" s="2" t="n"/>
      <c r="F776" s="2" t="n"/>
    </row>
    <row r="777" ht="15.75" customHeight="1" s="125">
      <c r="A777" s="2" t="n"/>
      <c r="B777" s="2" t="n"/>
      <c r="C777" s="2" t="n"/>
      <c r="D777" s="2" t="n"/>
      <c r="E777" s="2" t="n"/>
      <c r="F777" s="2" t="n"/>
    </row>
    <row r="778" ht="15.75" customHeight="1" s="125">
      <c r="A778" s="2" t="n"/>
      <c r="B778" s="2" t="n"/>
      <c r="C778" s="2" t="n"/>
      <c r="D778" s="2" t="n"/>
      <c r="E778" s="2" t="n"/>
      <c r="F778" s="2" t="n"/>
    </row>
    <row r="779" ht="15.75" customHeight="1" s="125">
      <c r="A779" s="2" t="n"/>
      <c r="B779" s="2" t="n"/>
      <c r="C779" s="2" t="n"/>
      <c r="D779" s="2" t="n"/>
      <c r="E779" s="2" t="n"/>
      <c r="F779" s="2" t="n"/>
    </row>
    <row r="780" ht="15.75" customHeight="1" s="125">
      <c r="A780" s="2" t="n"/>
      <c r="B780" s="2" t="n"/>
      <c r="C780" s="2" t="n"/>
      <c r="D780" s="2" t="n"/>
      <c r="E780" s="2" t="n"/>
      <c r="F780" s="2" t="n"/>
    </row>
    <row r="781" ht="15.75" customHeight="1" s="125">
      <c r="A781" s="2" t="n"/>
      <c r="B781" s="2" t="n"/>
      <c r="C781" s="2" t="n"/>
      <c r="D781" s="2" t="n"/>
      <c r="E781" s="2" t="n"/>
      <c r="F781" s="2" t="n"/>
    </row>
    <row r="782" ht="15.75" customHeight="1" s="125">
      <c r="A782" s="2" t="n"/>
      <c r="B782" s="2" t="n"/>
      <c r="C782" s="2" t="n"/>
      <c r="D782" s="2" t="n"/>
      <c r="E782" s="2" t="n"/>
      <c r="F782" s="2" t="n"/>
    </row>
    <row r="783" ht="15.75" customHeight="1" s="125">
      <c r="A783" s="2" t="n"/>
      <c r="B783" s="2" t="n"/>
      <c r="C783" s="2" t="n"/>
      <c r="D783" s="2" t="n"/>
      <c r="E783" s="2" t="n"/>
      <c r="F783" s="2" t="n"/>
    </row>
    <row r="784" ht="15.75" customHeight="1" s="125">
      <c r="A784" s="2" t="n"/>
      <c r="B784" s="2" t="n"/>
      <c r="C784" s="2" t="n"/>
      <c r="D784" s="2" t="n"/>
      <c r="E784" s="2" t="n"/>
      <c r="F784" s="2" t="n"/>
    </row>
    <row r="785" ht="15.75" customHeight="1" s="125">
      <c r="A785" s="2" t="n"/>
      <c r="B785" s="2" t="n"/>
      <c r="C785" s="2" t="n"/>
      <c r="D785" s="2" t="n"/>
      <c r="E785" s="2" t="n"/>
      <c r="F785" s="2" t="n"/>
    </row>
    <row r="786" ht="15.75" customHeight="1" s="125">
      <c r="A786" s="2" t="n"/>
      <c r="B786" s="2" t="n"/>
      <c r="C786" s="2" t="n"/>
      <c r="D786" s="2" t="n"/>
      <c r="E786" s="2" t="n"/>
      <c r="F786" s="2" t="n"/>
    </row>
    <row r="787" ht="15.75" customHeight="1" s="125">
      <c r="A787" s="2" t="n"/>
      <c r="B787" s="2" t="n"/>
      <c r="C787" s="2" t="n"/>
      <c r="D787" s="2" t="n"/>
      <c r="E787" s="2" t="n"/>
      <c r="F787" s="2" t="n"/>
    </row>
    <row r="788" ht="15.75" customHeight="1" s="125">
      <c r="A788" s="2" t="n"/>
      <c r="B788" s="2" t="n"/>
      <c r="C788" s="2" t="n"/>
      <c r="D788" s="2" t="n"/>
      <c r="E788" s="2" t="n"/>
      <c r="F788" s="2" t="n"/>
    </row>
    <row r="789" ht="15.75" customHeight="1" s="125">
      <c r="A789" s="2" t="n"/>
      <c r="B789" s="2" t="n"/>
      <c r="C789" s="2" t="n"/>
      <c r="D789" s="2" t="n"/>
      <c r="E789" s="2" t="n"/>
      <c r="F789" s="2" t="n"/>
    </row>
    <row r="790" ht="15.75" customHeight="1" s="125">
      <c r="A790" s="2" t="n"/>
      <c r="B790" s="2" t="n"/>
      <c r="C790" s="2" t="n"/>
      <c r="D790" s="2" t="n"/>
      <c r="E790" s="2" t="n"/>
      <c r="F790" s="2" t="n"/>
    </row>
    <row r="791" ht="15.75" customHeight="1" s="125">
      <c r="A791" s="2" t="n"/>
      <c r="B791" s="2" t="n"/>
      <c r="C791" s="2" t="n"/>
      <c r="D791" s="2" t="n"/>
      <c r="E791" s="2" t="n"/>
      <c r="F791" s="2" t="n"/>
    </row>
    <row r="792" ht="15.75" customHeight="1" s="125">
      <c r="A792" s="2" t="n"/>
      <c r="B792" s="2" t="n"/>
      <c r="C792" s="2" t="n"/>
      <c r="D792" s="2" t="n"/>
      <c r="E792" s="2" t="n"/>
      <c r="F792" s="2" t="n"/>
    </row>
    <row r="793" ht="15.75" customHeight="1" s="125">
      <c r="A793" s="2" t="n"/>
      <c r="B793" s="2" t="n"/>
      <c r="C793" s="2" t="n"/>
      <c r="D793" s="2" t="n"/>
      <c r="E793" s="2" t="n"/>
      <c r="F793" s="2" t="n"/>
    </row>
    <row r="794" ht="15.75" customHeight="1" s="125">
      <c r="A794" s="2" t="n"/>
      <c r="B794" s="2" t="n"/>
      <c r="C794" s="2" t="n"/>
      <c r="D794" s="2" t="n"/>
      <c r="E794" s="2" t="n"/>
      <c r="F794" s="2" t="n"/>
    </row>
    <row r="795" ht="15.75" customHeight="1" s="125">
      <c r="A795" s="2" t="n"/>
      <c r="B795" s="2" t="n"/>
      <c r="C795" s="2" t="n"/>
      <c r="D795" s="2" t="n"/>
      <c r="E795" s="2" t="n"/>
      <c r="F795" s="2" t="n"/>
    </row>
    <row r="796" ht="15.75" customHeight="1" s="125">
      <c r="A796" s="2" t="n"/>
      <c r="B796" s="2" t="n"/>
      <c r="C796" s="2" t="n"/>
      <c r="D796" s="2" t="n"/>
      <c r="E796" s="2" t="n"/>
      <c r="F796" s="2" t="n"/>
    </row>
    <row r="797" ht="15.75" customHeight="1" s="125">
      <c r="A797" s="2" t="n"/>
      <c r="B797" s="2" t="n"/>
      <c r="C797" s="2" t="n"/>
      <c r="D797" s="2" t="n"/>
      <c r="E797" s="2" t="n"/>
      <c r="F797" s="2" t="n"/>
    </row>
    <row r="798" ht="15.75" customHeight="1" s="125">
      <c r="A798" s="2" t="n"/>
      <c r="B798" s="2" t="n"/>
      <c r="C798" s="2" t="n"/>
      <c r="D798" s="2" t="n"/>
      <c r="E798" s="2" t="n"/>
      <c r="F798" s="2" t="n"/>
    </row>
    <row r="799" ht="15.75" customHeight="1" s="125">
      <c r="A799" s="2" t="n"/>
      <c r="B799" s="2" t="n"/>
      <c r="C799" s="2" t="n"/>
      <c r="D799" s="2" t="n"/>
      <c r="E799" s="2" t="n"/>
      <c r="F799" s="2" t="n"/>
    </row>
    <row r="800" ht="15.75" customHeight="1" s="125">
      <c r="A800" s="2" t="n"/>
      <c r="B800" s="2" t="n"/>
      <c r="C800" s="2" t="n"/>
      <c r="D800" s="2" t="n"/>
      <c r="E800" s="2" t="n"/>
      <c r="F800" s="2" t="n"/>
    </row>
    <row r="801" ht="15.75" customHeight="1" s="125">
      <c r="A801" s="2" t="n"/>
      <c r="B801" s="2" t="n"/>
      <c r="C801" s="2" t="n"/>
      <c r="D801" s="2" t="n"/>
      <c r="E801" s="2" t="n"/>
      <c r="F801" s="2" t="n"/>
    </row>
    <row r="802" ht="15.75" customHeight="1" s="125">
      <c r="A802" s="2" t="n"/>
      <c r="B802" s="2" t="n"/>
      <c r="C802" s="2" t="n"/>
      <c r="D802" s="2" t="n"/>
      <c r="E802" s="2" t="n"/>
      <c r="F802" s="2" t="n"/>
    </row>
    <row r="803" ht="15.75" customHeight="1" s="125">
      <c r="A803" s="2" t="n"/>
      <c r="B803" s="2" t="n"/>
      <c r="C803" s="2" t="n"/>
      <c r="D803" s="2" t="n"/>
      <c r="E803" s="2" t="n"/>
      <c r="F803" s="2" t="n"/>
    </row>
    <row r="804" ht="15.75" customHeight="1" s="125">
      <c r="A804" s="2" t="n"/>
      <c r="B804" s="2" t="n"/>
      <c r="C804" s="2" t="n"/>
      <c r="D804" s="2" t="n"/>
      <c r="E804" s="2" t="n"/>
      <c r="F804" s="2" t="n"/>
    </row>
    <row r="805" ht="15.75" customHeight="1" s="125">
      <c r="A805" s="2" t="n"/>
      <c r="B805" s="2" t="n"/>
      <c r="C805" s="2" t="n"/>
      <c r="D805" s="2" t="n"/>
      <c r="E805" s="2" t="n"/>
      <c r="F805" s="2" t="n"/>
    </row>
    <row r="806" ht="15.75" customHeight="1" s="125">
      <c r="A806" s="2" t="n"/>
      <c r="B806" s="2" t="n"/>
      <c r="C806" s="2" t="n"/>
      <c r="D806" s="2" t="n"/>
      <c r="E806" s="2" t="n"/>
      <c r="F806" s="2" t="n"/>
    </row>
    <row r="807" ht="15.75" customHeight="1" s="125">
      <c r="A807" s="2" t="n"/>
      <c r="B807" s="2" t="n"/>
      <c r="C807" s="2" t="n"/>
      <c r="D807" s="2" t="n"/>
      <c r="E807" s="2" t="n"/>
      <c r="F807" s="2" t="n"/>
    </row>
    <row r="808" ht="15.75" customHeight="1" s="125">
      <c r="A808" s="2" t="n"/>
      <c r="B808" s="2" t="n"/>
      <c r="C808" s="2" t="n"/>
      <c r="D808" s="2" t="n"/>
      <c r="E808" s="2" t="n"/>
      <c r="F808" s="2" t="n"/>
    </row>
    <row r="809" ht="15.75" customHeight="1" s="125">
      <c r="A809" s="2" t="n"/>
      <c r="B809" s="2" t="n"/>
      <c r="C809" s="2" t="n"/>
      <c r="D809" s="2" t="n"/>
      <c r="E809" s="2" t="n"/>
      <c r="F809" s="2" t="n"/>
    </row>
    <row r="810" ht="15.75" customHeight="1" s="125">
      <c r="A810" s="2" t="n"/>
      <c r="B810" s="2" t="n"/>
      <c r="C810" s="2" t="n"/>
      <c r="D810" s="2" t="n"/>
      <c r="E810" s="2" t="n"/>
      <c r="F810" s="2" t="n"/>
    </row>
    <row r="811" ht="15.75" customHeight="1" s="125">
      <c r="A811" s="2" t="n"/>
      <c r="B811" s="2" t="n"/>
      <c r="C811" s="2" t="n"/>
      <c r="D811" s="2" t="n"/>
      <c r="E811" s="2" t="n"/>
      <c r="F811" s="2" t="n"/>
    </row>
    <row r="812" ht="15.75" customHeight="1" s="125">
      <c r="A812" s="2" t="n"/>
      <c r="B812" s="2" t="n"/>
      <c r="C812" s="2" t="n"/>
      <c r="D812" s="2" t="n"/>
      <c r="E812" s="2" t="n"/>
      <c r="F812" s="2" t="n"/>
    </row>
    <row r="813" ht="15.75" customHeight="1" s="125">
      <c r="A813" s="2" t="n"/>
      <c r="B813" s="2" t="n"/>
      <c r="C813" s="2" t="n"/>
      <c r="D813" s="2" t="n"/>
      <c r="E813" s="2" t="n"/>
      <c r="F813" s="2" t="n"/>
    </row>
    <row r="814" ht="15.75" customHeight="1" s="125">
      <c r="A814" s="2" t="n"/>
      <c r="B814" s="2" t="n"/>
      <c r="C814" s="2" t="n"/>
      <c r="D814" s="2" t="n"/>
      <c r="E814" s="2" t="n"/>
      <c r="F814" s="2" t="n"/>
    </row>
    <row r="815" ht="15.75" customHeight="1" s="125">
      <c r="A815" s="2" t="n"/>
      <c r="B815" s="2" t="n"/>
      <c r="C815" s="2" t="n"/>
      <c r="D815" s="2" t="n"/>
      <c r="E815" s="2" t="n"/>
      <c r="F815" s="2" t="n"/>
    </row>
    <row r="816" ht="15.75" customHeight="1" s="125">
      <c r="A816" s="2" t="n"/>
      <c r="B816" s="2" t="n"/>
      <c r="C816" s="2" t="n"/>
      <c r="D816" s="2" t="n"/>
      <c r="E816" s="2" t="n"/>
      <c r="F816" s="2" t="n"/>
    </row>
    <row r="817" ht="15.75" customHeight="1" s="125">
      <c r="A817" s="2" t="n"/>
      <c r="B817" s="2" t="n"/>
      <c r="C817" s="2" t="n"/>
      <c r="D817" s="2" t="n"/>
      <c r="E817" s="2" t="n"/>
      <c r="F817" s="2" t="n"/>
    </row>
    <row r="818" ht="15.75" customHeight="1" s="125">
      <c r="A818" s="2" t="n"/>
      <c r="B818" s="2" t="n"/>
      <c r="C818" s="2" t="n"/>
      <c r="D818" s="2" t="n"/>
      <c r="E818" s="2" t="n"/>
      <c r="F818" s="2" t="n"/>
    </row>
    <row r="819" ht="15.75" customHeight="1" s="125">
      <c r="A819" s="2" t="n"/>
      <c r="B819" s="2" t="n"/>
      <c r="C819" s="2" t="n"/>
      <c r="D819" s="2" t="n"/>
      <c r="E819" s="2" t="n"/>
      <c r="F819" s="2" t="n"/>
    </row>
    <row r="820" ht="15.75" customHeight="1" s="125">
      <c r="A820" s="2" t="n"/>
      <c r="B820" s="2" t="n"/>
      <c r="C820" s="2" t="n"/>
      <c r="D820" s="2" t="n"/>
      <c r="E820" s="2" t="n"/>
      <c r="F820" s="2" t="n"/>
    </row>
    <row r="821" ht="15.75" customHeight="1" s="125">
      <c r="A821" s="2" t="n"/>
      <c r="B821" s="2" t="n"/>
      <c r="C821" s="2" t="n"/>
      <c r="D821" s="2" t="n"/>
      <c r="E821" s="2" t="n"/>
      <c r="F821" s="2" t="n"/>
    </row>
    <row r="822" ht="15.75" customHeight="1" s="125">
      <c r="A822" s="2" t="n"/>
      <c r="B822" s="2" t="n"/>
      <c r="C822" s="2" t="n"/>
      <c r="D822" s="2" t="n"/>
      <c r="E822" s="2" t="n"/>
      <c r="F822" s="2" t="n"/>
    </row>
    <row r="823" ht="15.75" customHeight="1" s="125">
      <c r="A823" s="2" t="n"/>
      <c r="B823" s="2" t="n"/>
      <c r="C823" s="2" t="n"/>
      <c r="D823" s="2" t="n"/>
      <c r="E823" s="2" t="n"/>
      <c r="F823" s="2" t="n"/>
    </row>
    <row r="824" ht="15.75" customHeight="1" s="125">
      <c r="A824" s="2" t="n"/>
      <c r="B824" s="2" t="n"/>
      <c r="C824" s="2" t="n"/>
      <c r="D824" s="2" t="n"/>
      <c r="E824" s="2" t="n"/>
      <c r="F824" s="2" t="n"/>
    </row>
    <row r="825" ht="15.75" customHeight="1" s="125">
      <c r="A825" s="2" t="n"/>
      <c r="B825" s="2" t="n"/>
      <c r="C825" s="2" t="n"/>
      <c r="D825" s="2" t="n"/>
      <c r="E825" s="2" t="n"/>
      <c r="F825" s="2" t="n"/>
    </row>
    <row r="826" ht="15.75" customHeight="1" s="125">
      <c r="A826" s="2" t="n"/>
      <c r="B826" s="2" t="n"/>
      <c r="C826" s="2" t="n"/>
      <c r="D826" s="2" t="n"/>
      <c r="E826" s="2" t="n"/>
      <c r="F826" s="2" t="n"/>
    </row>
    <row r="827" ht="15.75" customHeight="1" s="125">
      <c r="A827" s="2" t="n"/>
      <c r="B827" s="2" t="n"/>
      <c r="C827" s="2" t="n"/>
      <c r="D827" s="2" t="n"/>
      <c r="E827" s="2" t="n"/>
      <c r="F827" s="2" t="n"/>
    </row>
    <row r="828" ht="15.75" customHeight="1" s="125">
      <c r="A828" s="2" t="n"/>
      <c r="B828" s="2" t="n"/>
      <c r="C828" s="2" t="n"/>
      <c r="D828" s="2" t="n"/>
      <c r="E828" s="2" t="n"/>
      <c r="F828" s="2" t="n"/>
    </row>
    <row r="829" ht="15.75" customHeight="1" s="125">
      <c r="A829" s="2" t="n"/>
      <c r="B829" s="2" t="n"/>
      <c r="C829" s="2" t="n"/>
      <c r="D829" s="2" t="n"/>
      <c r="E829" s="2" t="n"/>
      <c r="F829" s="2" t="n"/>
    </row>
    <row r="830" ht="15.75" customHeight="1" s="125">
      <c r="A830" s="2" t="n"/>
      <c r="B830" s="2" t="n"/>
      <c r="C830" s="2" t="n"/>
      <c r="D830" s="2" t="n"/>
      <c r="E830" s="2" t="n"/>
      <c r="F830" s="2" t="n"/>
    </row>
    <row r="831" ht="15.75" customHeight="1" s="125">
      <c r="A831" s="2" t="n"/>
      <c r="B831" s="2" t="n"/>
      <c r="C831" s="2" t="n"/>
      <c r="D831" s="2" t="n"/>
      <c r="E831" s="2" t="n"/>
      <c r="F831" s="2" t="n"/>
    </row>
    <row r="832" ht="15.75" customHeight="1" s="125">
      <c r="A832" s="2" t="n"/>
      <c r="B832" s="2" t="n"/>
      <c r="C832" s="2" t="n"/>
      <c r="D832" s="2" t="n"/>
      <c r="E832" s="2" t="n"/>
      <c r="F832" s="2" t="n"/>
    </row>
    <row r="833" ht="15.75" customHeight="1" s="125">
      <c r="A833" s="2" t="n"/>
      <c r="B833" s="2" t="n"/>
      <c r="C833" s="2" t="n"/>
      <c r="D833" s="2" t="n"/>
      <c r="E833" s="2" t="n"/>
      <c r="F833" s="2" t="n"/>
    </row>
    <row r="834" ht="15.75" customHeight="1" s="125">
      <c r="A834" s="2" t="n"/>
      <c r="B834" s="2" t="n"/>
      <c r="C834" s="2" t="n"/>
      <c r="D834" s="2" t="n"/>
      <c r="E834" s="2" t="n"/>
      <c r="F834" s="2" t="n"/>
    </row>
    <row r="835" ht="15.75" customHeight="1" s="125">
      <c r="A835" s="2" t="n"/>
      <c r="B835" s="2" t="n"/>
      <c r="C835" s="2" t="n"/>
      <c r="D835" s="2" t="n"/>
      <c r="E835" s="2" t="n"/>
      <c r="F835" s="2" t="n"/>
    </row>
    <row r="836" ht="15.75" customHeight="1" s="125">
      <c r="A836" s="2" t="n"/>
      <c r="B836" s="2" t="n"/>
      <c r="C836" s="2" t="n"/>
      <c r="D836" s="2" t="n"/>
      <c r="E836" s="2" t="n"/>
      <c r="F836" s="2" t="n"/>
    </row>
    <row r="837" ht="15.75" customHeight="1" s="125">
      <c r="A837" s="2" t="n"/>
      <c r="B837" s="2" t="n"/>
      <c r="C837" s="2" t="n"/>
      <c r="D837" s="2" t="n"/>
      <c r="E837" s="2" t="n"/>
      <c r="F837" s="2" t="n"/>
    </row>
    <row r="838" ht="15.75" customHeight="1" s="125">
      <c r="A838" s="2" t="n"/>
      <c r="B838" s="2" t="n"/>
      <c r="C838" s="2" t="n"/>
      <c r="D838" s="2" t="n"/>
      <c r="E838" s="2" t="n"/>
      <c r="F838" s="2" t="n"/>
    </row>
    <row r="839" ht="15.75" customHeight="1" s="125">
      <c r="A839" s="2" t="n"/>
      <c r="B839" s="2" t="n"/>
      <c r="C839" s="2" t="n"/>
      <c r="D839" s="2" t="n"/>
      <c r="E839" s="2" t="n"/>
      <c r="F839" s="2" t="n"/>
    </row>
    <row r="840" ht="15.75" customHeight="1" s="125">
      <c r="A840" s="2" t="n"/>
      <c r="B840" s="2" t="n"/>
      <c r="C840" s="2" t="n"/>
      <c r="D840" s="2" t="n"/>
      <c r="E840" s="2" t="n"/>
      <c r="F840" s="2" t="n"/>
    </row>
    <row r="841" ht="15.75" customHeight="1" s="125">
      <c r="A841" s="2" t="n"/>
      <c r="B841" s="2" t="n"/>
      <c r="C841" s="2" t="n"/>
      <c r="D841" s="2" t="n"/>
      <c r="E841" s="2" t="n"/>
      <c r="F841" s="2" t="n"/>
    </row>
    <row r="842" ht="15.75" customHeight="1" s="125">
      <c r="A842" s="2" t="n"/>
      <c r="B842" s="2" t="n"/>
      <c r="C842" s="2" t="n"/>
      <c r="D842" s="2" t="n"/>
      <c r="E842" s="2" t="n"/>
      <c r="F842" s="2" t="n"/>
    </row>
    <row r="843" ht="15.75" customHeight="1" s="125">
      <c r="A843" s="2" t="n"/>
      <c r="B843" s="2" t="n"/>
      <c r="C843" s="2" t="n"/>
      <c r="D843" s="2" t="n"/>
      <c r="E843" s="2" t="n"/>
      <c r="F843" s="2" t="n"/>
    </row>
    <row r="844" ht="15.75" customHeight="1" s="125">
      <c r="A844" s="2" t="n"/>
      <c r="B844" s="2" t="n"/>
      <c r="C844" s="2" t="n"/>
      <c r="D844" s="2" t="n"/>
      <c r="E844" s="2" t="n"/>
      <c r="F844" s="2" t="n"/>
    </row>
    <row r="845" ht="15.75" customHeight="1" s="125">
      <c r="A845" s="2" t="n"/>
      <c r="B845" s="2" t="n"/>
      <c r="C845" s="2" t="n"/>
      <c r="D845" s="2" t="n"/>
      <c r="E845" s="2" t="n"/>
      <c r="F845" s="2" t="n"/>
    </row>
    <row r="846" ht="15.75" customHeight="1" s="125">
      <c r="A846" s="2" t="n"/>
      <c r="B846" s="2" t="n"/>
      <c r="C846" s="2" t="n"/>
      <c r="D846" s="2" t="n"/>
      <c r="E846" s="2" t="n"/>
      <c r="F846" s="2" t="n"/>
    </row>
    <row r="847" ht="15.75" customHeight="1" s="125">
      <c r="A847" s="2" t="n"/>
      <c r="B847" s="2" t="n"/>
      <c r="C847" s="2" t="n"/>
      <c r="D847" s="2" t="n"/>
      <c r="E847" s="2" t="n"/>
      <c r="F847" s="2" t="n"/>
    </row>
    <row r="848" ht="15.75" customHeight="1" s="125">
      <c r="A848" s="2" t="n"/>
      <c r="B848" s="2" t="n"/>
      <c r="C848" s="2" t="n"/>
      <c r="D848" s="2" t="n"/>
      <c r="E848" s="2" t="n"/>
      <c r="F848" s="2" t="n"/>
    </row>
    <row r="849" ht="15.75" customHeight="1" s="125">
      <c r="A849" s="2" t="n"/>
      <c r="B849" s="2" t="n"/>
      <c r="C849" s="2" t="n"/>
      <c r="D849" s="2" t="n"/>
      <c r="E849" s="2" t="n"/>
      <c r="F849" s="2" t="n"/>
    </row>
    <row r="850" ht="15.75" customHeight="1" s="125">
      <c r="A850" s="2" t="n"/>
      <c r="B850" s="2" t="n"/>
      <c r="C850" s="2" t="n"/>
      <c r="D850" s="2" t="n"/>
      <c r="E850" s="2" t="n"/>
      <c r="F850" s="2" t="n"/>
    </row>
    <row r="851" ht="15.75" customHeight="1" s="125">
      <c r="A851" s="2" t="n"/>
      <c r="B851" s="2" t="n"/>
      <c r="C851" s="2" t="n"/>
      <c r="D851" s="2" t="n"/>
      <c r="E851" s="2" t="n"/>
      <c r="F851" s="2" t="n"/>
    </row>
    <row r="852" ht="15.75" customHeight="1" s="125">
      <c r="A852" s="2" t="n"/>
      <c r="B852" s="2" t="n"/>
      <c r="C852" s="2" t="n"/>
      <c r="D852" s="2" t="n"/>
      <c r="E852" s="2" t="n"/>
      <c r="F852" s="2" t="n"/>
    </row>
    <row r="853" ht="15.75" customHeight="1" s="125">
      <c r="A853" s="2" t="n"/>
      <c r="B853" s="2" t="n"/>
      <c r="C853" s="2" t="n"/>
      <c r="D853" s="2" t="n"/>
      <c r="E853" s="2" t="n"/>
      <c r="F853" s="2" t="n"/>
    </row>
    <row r="854" ht="15.75" customHeight="1" s="125">
      <c r="A854" s="2" t="n"/>
      <c r="B854" s="2" t="n"/>
      <c r="C854" s="2" t="n"/>
      <c r="D854" s="2" t="n"/>
      <c r="E854" s="2" t="n"/>
      <c r="F854" s="2" t="n"/>
    </row>
    <row r="855" ht="15.75" customHeight="1" s="125">
      <c r="A855" s="2" t="n"/>
      <c r="B855" s="2" t="n"/>
      <c r="C855" s="2" t="n"/>
      <c r="D855" s="2" t="n"/>
      <c r="E855" s="2" t="n"/>
      <c r="F855" s="2" t="n"/>
    </row>
    <row r="856" ht="15.75" customHeight="1" s="125">
      <c r="A856" s="2" t="n"/>
      <c r="B856" s="2" t="n"/>
      <c r="C856" s="2" t="n"/>
      <c r="D856" s="2" t="n"/>
      <c r="E856" s="2" t="n"/>
      <c r="F856" s="2" t="n"/>
    </row>
    <row r="857" ht="15.75" customHeight="1" s="125">
      <c r="A857" s="2" t="n"/>
      <c r="B857" s="2" t="n"/>
      <c r="C857" s="2" t="n"/>
      <c r="D857" s="2" t="n"/>
      <c r="E857" s="2" t="n"/>
      <c r="F857" s="2" t="n"/>
    </row>
    <row r="858" ht="15.75" customHeight="1" s="125">
      <c r="A858" s="2" t="n"/>
      <c r="B858" s="2" t="n"/>
      <c r="C858" s="2" t="n"/>
      <c r="D858" s="2" t="n"/>
      <c r="E858" s="2" t="n"/>
      <c r="F858" s="2" t="n"/>
    </row>
    <row r="859" ht="15.75" customHeight="1" s="125">
      <c r="A859" s="2" t="n"/>
      <c r="B859" s="2" t="n"/>
      <c r="C859" s="2" t="n"/>
      <c r="D859" s="2" t="n"/>
      <c r="E859" s="2" t="n"/>
      <c r="F859" s="2" t="n"/>
    </row>
    <row r="860" ht="15.75" customHeight="1" s="125">
      <c r="A860" s="2" t="n"/>
      <c r="B860" s="2" t="n"/>
      <c r="C860" s="2" t="n"/>
      <c r="D860" s="2" t="n"/>
      <c r="E860" s="2" t="n"/>
      <c r="F860" s="2" t="n"/>
    </row>
    <row r="861" ht="15.75" customHeight="1" s="125">
      <c r="A861" s="2" t="n"/>
      <c r="B861" s="2" t="n"/>
      <c r="C861" s="2" t="n"/>
      <c r="D861" s="2" t="n"/>
      <c r="E861" s="2" t="n"/>
      <c r="F861" s="2" t="n"/>
    </row>
    <row r="862" ht="15.75" customHeight="1" s="125">
      <c r="A862" s="2" t="n"/>
      <c r="B862" s="2" t="n"/>
      <c r="C862" s="2" t="n"/>
      <c r="D862" s="2" t="n"/>
      <c r="E862" s="2" t="n"/>
      <c r="F862" s="2" t="n"/>
    </row>
    <row r="863" ht="15.75" customHeight="1" s="125">
      <c r="A863" s="2" t="n"/>
      <c r="B863" s="2" t="n"/>
      <c r="C863" s="2" t="n"/>
      <c r="D863" s="2" t="n"/>
      <c r="E863" s="2" t="n"/>
      <c r="F863" s="2" t="n"/>
    </row>
    <row r="864" ht="15.75" customHeight="1" s="125">
      <c r="A864" s="2" t="n"/>
      <c r="B864" s="2" t="n"/>
      <c r="C864" s="2" t="n"/>
      <c r="D864" s="2" t="n"/>
      <c r="E864" s="2" t="n"/>
      <c r="F864" s="2" t="n"/>
    </row>
    <row r="865" ht="15.75" customHeight="1" s="125">
      <c r="A865" s="2" t="n"/>
      <c r="B865" s="2" t="n"/>
      <c r="C865" s="2" t="n"/>
      <c r="D865" s="2" t="n"/>
      <c r="E865" s="2" t="n"/>
      <c r="F865" s="2" t="n"/>
    </row>
    <row r="866" ht="15.75" customHeight="1" s="125">
      <c r="A866" s="2" t="n"/>
      <c r="B866" s="2" t="n"/>
      <c r="C866" s="2" t="n"/>
      <c r="D866" s="2" t="n"/>
      <c r="E866" s="2" t="n"/>
      <c r="F866" s="2" t="n"/>
    </row>
    <row r="867" ht="15.75" customHeight="1" s="125">
      <c r="A867" s="2" t="n"/>
      <c r="B867" s="2" t="n"/>
      <c r="C867" s="2" t="n"/>
      <c r="D867" s="2" t="n"/>
      <c r="E867" s="2" t="n"/>
      <c r="F867" s="2" t="n"/>
    </row>
    <row r="868" ht="15.75" customHeight="1" s="125">
      <c r="A868" s="2" t="n"/>
      <c r="B868" s="2" t="n"/>
      <c r="C868" s="2" t="n"/>
      <c r="D868" s="2" t="n"/>
      <c r="E868" s="2" t="n"/>
      <c r="F868" s="2" t="n"/>
    </row>
    <row r="869" ht="15.75" customHeight="1" s="125">
      <c r="A869" s="2" t="n"/>
      <c r="B869" s="2" t="n"/>
      <c r="C869" s="2" t="n"/>
      <c r="D869" s="2" t="n"/>
      <c r="E869" s="2" t="n"/>
      <c r="F869" s="2" t="n"/>
    </row>
    <row r="870" ht="15.75" customHeight="1" s="125">
      <c r="A870" s="2" t="n"/>
      <c r="B870" s="2" t="n"/>
      <c r="C870" s="2" t="n"/>
      <c r="D870" s="2" t="n"/>
      <c r="E870" s="2" t="n"/>
      <c r="F870" s="2" t="n"/>
    </row>
    <row r="871" ht="15.75" customHeight="1" s="125">
      <c r="A871" s="2" t="n"/>
      <c r="B871" s="2" t="n"/>
      <c r="C871" s="2" t="n"/>
      <c r="D871" s="2" t="n"/>
      <c r="E871" s="2" t="n"/>
      <c r="F871" s="2" t="n"/>
    </row>
    <row r="872" ht="15.75" customHeight="1" s="125">
      <c r="A872" s="2" t="n"/>
      <c r="B872" s="2" t="n"/>
      <c r="C872" s="2" t="n"/>
      <c r="D872" s="2" t="n"/>
      <c r="E872" s="2" t="n"/>
      <c r="F872" s="2" t="n"/>
    </row>
    <row r="873" ht="15.75" customHeight="1" s="125">
      <c r="A873" s="2" t="n"/>
      <c r="B873" s="2" t="n"/>
      <c r="C873" s="2" t="n"/>
      <c r="D873" s="2" t="n"/>
      <c r="E873" s="2" t="n"/>
      <c r="F873" s="2" t="n"/>
    </row>
    <row r="874" ht="15.75" customHeight="1" s="125">
      <c r="A874" s="2" t="n"/>
      <c r="B874" s="2" t="n"/>
      <c r="C874" s="2" t="n"/>
      <c r="D874" s="2" t="n"/>
      <c r="E874" s="2" t="n"/>
      <c r="F874" s="2" t="n"/>
    </row>
    <row r="875" ht="15.75" customHeight="1" s="125">
      <c r="A875" s="2" t="n"/>
      <c r="B875" s="2" t="n"/>
      <c r="C875" s="2" t="n"/>
      <c r="D875" s="2" t="n"/>
      <c r="E875" s="2" t="n"/>
      <c r="F875" s="2" t="n"/>
    </row>
    <row r="876" ht="15.75" customHeight="1" s="125">
      <c r="A876" s="2" t="n"/>
      <c r="B876" s="2" t="n"/>
      <c r="C876" s="2" t="n"/>
      <c r="D876" s="2" t="n"/>
      <c r="E876" s="2" t="n"/>
      <c r="F876" s="2" t="n"/>
    </row>
    <row r="877" ht="15.75" customHeight="1" s="125">
      <c r="A877" s="2" t="n"/>
      <c r="B877" s="2" t="n"/>
      <c r="C877" s="2" t="n"/>
      <c r="D877" s="2" t="n"/>
      <c r="E877" s="2" t="n"/>
      <c r="F877" s="2" t="n"/>
    </row>
    <row r="878" ht="15.75" customHeight="1" s="125">
      <c r="A878" s="2" t="n"/>
      <c r="B878" s="2" t="n"/>
      <c r="C878" s="2" t="n"/>
      <c r="D878" s="2" t="n"/>
      <c r="E878" s="2" t="n"/>
      <c r="F878" s="2" t="n"/>
    </row>
    <row r="879" ht="15.75" customHeight="1" s="125">
      <c r="A879" s="2" t="n"/>
      <c r="B879" s="2" t="n"/>
      <c r="C879" s="2" t="n"/>
      <c r="D879" s="2" t="n"/>
      <c r="E879" s="2" t="n"/>
      <c r="F879" s="2" t="n"/>
    </row>
    <row r="880" ht="15.75" customHeight="1" s="125">
      <c r="A880" s="2" t="n"/>
      <c r="B880" s="2" t="n"/>
      <c r="C880" s="2" t="n"/>
      <c r="D880" s="2" t="n"/>
      <c r="E880" s="2" t="n"/>
      <c r="F880" s="2" t="n"/>
    </row>
    <row r="881" ht="15.75" customHeight="1" s="125">
      <c r="A881" s="2" t="n"/>
      <c r="B881" s="2" t="n"/>
      <c r="C881" s="2" t="n"/>
      <c r="D881" s="2" t="n"/>
      <c r="E881" s="2" t="n"/>
      <c r="F881" s="2" t="n"/>
    </row>
    <row r="882" ht="15.75" customHeight="1" s="125">
      <c r="A882" s="2" t="n"/>
      <c r="B882" s="2" t="n"/>
      <c r="C882" s="2" t="n"/>
      <c r="D882" s="2" t="n"/>
      <c r="E882" s="2" t="n"/>
      <c r="F882" s="2" t="n"/>
    </row>
    <row r="883" ht="15.75" customHeight="1" s="125">
      <c r="A883" s="2" t="n"/>
      <c r="B883" s="2" t="n"/>
      <c r="C883" s="2" t="n"/>
      <c r="D883" s="2" t="n"/>
      <c r="E883" s="2" t="n"/>
      <c r="F883" s="2" t="n"/>
    </row>
    <row r="884" ht="15.75" customHeight="1" s="125">
      <c r="A884" s="2" t="n"/>
      <c r="B884" s="2" t="n"/>
      <c r="C884" s="2" t="n"/>
      <c r="D884" s="2" t="n"/>
      <c r="E884" s="2" t="n"/>
      <c r="F884" s="2" t="n"/>
    </row>
    <row r="885" ht="15.75" customHeight="1" s="125">
      <c r="A885" s="2" t="n"/>
      <c r="B885" s="2" t="n"/>
      <c r="C885" s="2" t="n"/>
      <c r="D885" s="2" t="n"/>
      <c r="E885" s="2" t="n"/>
      <c r="F885" s="2" t="n"/>
    </row>
    <row r="886" ht="15.75" customHeight="1" s="125">
      <c r="A886" s="2" t="n"/>
      <c r="B886" s="2" t="n"/>
      <c r="C886" s="2" t="n"/>
      <c r="D886" s="2" t="n"/>
      <c r="E886" s="2" t="n"/>
      <c r="F886" s="2" t="n"/>
    </row>
    <row r="887" ht="15.75" customHeight="1" s="125">
      <c r="A887" s="2" t="n"/>
      <c r="B887" s="2" t="n"/>
      <c r="C887" s="2" t="n"/>
      <c r="D887" s="2" t="n"/>
      <c r="E887" s="2" t="n"/>
      <c r="F887" s="2" t="n"/>
    </row>
    <row r="888" ht="15.75" customHeight="1" s="125">
      <c r="A888" s="2" t="n"/>
      <c r="B888" s="2" t="n"/>
      <c r="C888" s="2" t="n"/>
      <c r="D888" s="2" t="n"/>
      <c r="E888" s="2" t="n"/>
      <c r="F888" s="2" t="n"/>
    </row>
    <row r="889" ht="15.75" customHeight="1" s="125">
      <c r="A889" s="2" t="n"/>
      <c r="B889" s="2" t="n"/>
      <c r="C889" s="2" t="n"/>
      <c r="D889" s="2" t="n"/>
      <c r="E889" s="2" t="n"/>
      <c r="F889" s="2" t="n"/>
    </row>
    <row r="890" ht="15.75" customHeight="1" s="125">
      <c r="A890" s="2" t="n"/>
      <c r="B890" s="2" t="n"/>
      <c r="C890" s="2" t="n"/>
      <c r="D890" s="2" t="n"/>
      <c r="E890" s="2" t="n"/>
      <c r="F890" s="2" t="n"/>
    </row>
    <row r="891" ht="15.75" customHeight="1" s="125">
      <c r="A891" s="2" t="n"/>
      <c r="B891" s="2" t="n"/>
      <c r="C891" s="2" t="n"/>
      <c r="D891" s="2" t="n"/>
      <c r="E891" s="2" t="n"/>
      <c r="F891" s="2" t="n"/>
    </row>
    <row r="892" ht="15.75" customHeight="1" s="125">
      <c r="A892" s="2" t="n"/>
      <c r="B892" s="2" t="n"/>
      <c r="C892" s="2" t="n"/>
      <c r="D892" s="2" t="n"/>
      <c r="E892" s="2" t="n"/>
      <c r="F892" s="2" t="n"/>
    </row>
    <row r="893" ht="15.75" customHeight="1" s="125">
      <c r="A893" s="2" t="n"/>
      <c r="B893" s="2" t="n"/>
      <c r="C893" s="2" t="n"/>
      <c r="D893" s="2" t="n"/>
      <c r="E893" s="2" t="n"/>
      <c r="F893" s="2" t="n"/>
    </row>
    <row r="894" ht="15.75" customHeight="1" s="125">
      <c r="A894" s="2" t="n"/>
      <c r="B894" s="2" t="n"/>
      <c r="C894" s="2" t="n"/>
      <c r="D894" s="2" t="n"/>
      <c r="E894" s="2" t="n"/>
      <c r="F894" s="2" t="n"/>
    </row>
    <row r="895" ht="15.75" customHeight="1" s="125">
      <c r="A895" s="2" t="n"/>
      <c r="B895" s="2" t="n"/>
      <c r="C895" s="2" t="n"/>
      <c r="D895" s="2" t="n"/>
      <c r="E895" s="2" t="n"/>
      <c r="F895" s="2" t="n"/>
    </row>
    <row r="896" ht="15.75" customHeight="1" s="125">
      <c r="A896" s="2" t="n"/>
      <c r="B896" s="2" t="n"/>
      <c r="C896" s="2" t="n"/>
      <c r="D896" s="2" t="n"/>
      <c r="E896" s="2" t="n"/>
      <c r="F896" s="2" t="n"/>
    </row>
    <row r="897" ht="15.75" customHeight="1" s="125">
      <c r="A897" s="2" t="n"/>
      <c r="B897" s="2" t="n"/>
      <c r="C897" s="2" t="n"/>
      <c r="D897" s="2" t="n"/>
      <c r="E897" s="2" t="n"/>
      <c r="F897" s="2" t="n"/>
    </row>
    <row r="898" ht="15.75" customHeight="1" s="125">
      <c r="A898" s="2" t="n"/>
      <c r="B898" s="2" t="n"/>
      <c r="C898" s="2" t="n"/>
      <c r="D898" s="2" t="n"/>
      <c r="E898" s="2" t="n"/>
      <c r="F898" s="2" t="n"/>
    </row>
    <row r="899" ht="15.75" customHeight="1" s="125">
      <c r="A899" s="2" t="n"/>
      <c r="B899" s="2" t="n"/>
      <c r="C899" s="2" t="n"/>
      <c r="D899" s="2" t="n"/>
      <c r="E899" s="2" t="n"/>
      <c r="F899" s="2" t="n"/>
    </row>
    <row r="900" ht="15.75" customHeight="1" s="125">
      <c r="A900" s="2" t="n"/>
      <c r="B900" s="2" t="n"/>
      <c r="C900" s="2" t="n"/>
      <c r="D900" s="2" t="n"/>
      <c r="E900" s="2" t="n"/>
      <c r="F900" s="2" t="n"/>
    </row>
    <row r="901" ht="15.75" customHeight="1" s="125">
      <c r="A901" s="2" t="n"/>
      <c r="B901" s="2" t="n"/>
      <c r="C901" s="2" t="n"/>
      <c r="D901" s="2" t="n"/>
      <c r="E901" s="2" t="n"/>
      <c r="F901" s="2" t="n"/>
    </row>
    <row r="902" ht="15.75" customHeight="1" s="125">
      <c r="A902" s="2" t="n"/>
      <c r="B902" s="2" t="n"/>
      <c r="C902" s="2" t="n"/>
      <c r="D902" s="2" t="n"/>
      <c r="E902" s="2" t="n"/>
      <c r="F902" s="2" t="n"/>
    </row>
    <row r="903" ht="15.75" customHeight="1" s="125">
      <c r="A903" s="2" t="n"/>
      <c r="B903" s="2" t="n"/>
      <c r="C903" s="2" t="n"/>
      <c r="D903" s="2" t="n"/>
      <c r="E903" s="2" t="n"/>
      <c r="F903" s="2" t="n"/>
    </row>
    <row r="904" ht="15.75" customHeight="1" s="125">
      <c r="A904" s="2" t="n"/>
      <c r="B904" s="2" t="n"/>
      <c r="C904" s="2" t="n"/>
      <c r="D904" s="2" t="n"/>
      <c r="E904" s="2" t="n"/>
      <c r="F904" s="2" t="n"/>
    </row>
    <row r="905" ht="15.75" customHeight="1" s="125">
      <c r="A905" s="2" t="n"/>
      <c r="B905" s="2" t="n"/>
      <c r="C905" s="2" t="n"/>
      <c r="D905" s="2" t="n"/>
      <c r="E905" s="2" t="n"/>
      <c r="F905" s="2" t="n"/>
    </row>
    <row r="906" ht="15.75" customHeight="1" s="125">
      <c r="A906" s="2" t="n"/>
      <c r="B906" s="2" t="n"/>
      <c r="C906" s="2" t="n"/>
      <c r="D906" s="2" t="n"/>
      <c r="E906" s="2" t="n"/>
      <c r="F906" s="2" t="n"/>
    </row>
    <row r="907" ht="15.75" customHeight="1" s="125">
      <c r="A907" s="2" t="n"/>
      <c r="B907" s="2" t="n"/>
      <c r="C907" s="2" t="n"/>
      <c r="D907" s="2" t="n"/>
      <c r="E907" s="2" t="n"/>
      <c r="F907" s="2" t="n"/>
    </row>
    <row r="908" ht="15.75" customHeight="1" s="125">
      <c r="A908" s="2" t="n"/>
      <c r="B908" s="2" t="n"/>
      <c r="C908" s="2" t="n"/>
      <c r="D908" s="2" t="n"/>
      <c r="E908" s="2" t="n"/>
      <c r="F908" s="2" t="n"/>
    </row>
    <row r="909" ht="15.75" customHeight="1" s="125">
      <c r="A909" s="2" t="n"/>
      <c r="B909" s="2" t="n"/>
      <c r="C909" s="2" t="n"/>
      <c r="D909" s="2" t="n"/>
      <c r="E909" s="2" t="n"/>
      <c r="F909" s="2" t="n"/>
    </row>
    <row r="910" ht="15.75" customHeight="1" s="125">
      <c r="A910" s="2" t="n"/>
      <c r="B910" s="2" t="n"/>
      <c r="C910" s="2" t="n"/>
      <c r="D910" s="2" t="n"/>
      <c r="E910" s="2" t="n"/>
      <c r="F910" s="2" t="n"/>
    </row>
    <row r="911" ht="15.75" customHeight="1" s="125">
      <c r="A911" s="2" t="n"/>
      <c r="B911" s="2" t="n"/>
      <c r="C911" s="2" t="n"/>
      <c r="D911" s="2" t="n"/>
      <c r="E911" s="2" t="n"/>
      <c r="F911" s="2" t="n"/>
    </row>
    <row r="912" ht="15.75" customHeight="1" s="125">
      <c r="A912" s="2" t="n"/>
      <c r="B912" s="2" t="n"/>
      <c r="C912" s="2" t="n"/>
      <c r="D912" s="2" t="n"/>
      <c r="E912" s="2" t="n"/>
      <c r="F912" s="2" t="n"/>
    </row>
    <row r="913" ht="15.75" customHeight="1" s="125">
      <c r="A913" s="2" t="n"/>
      <c r="B913" s="2" t="n"/>
      <c r="C913" s="2" t="n"/>
      <c r="D913" s="2" t="n"/>
      <c r="E913" s="2" t="n"/>
      <c r="F913" s="2" t="n"/>
    </row>
    <row r="914" ht="15.75" customHeight="1" s="125">
      <c r="A914" s="2" t="n"/>
      <c r="B914" s="2" t="n"/>
      <c r="C914" s="2" t="n"/>
      <c r="D914" s="2" t="n"/>
      <c r="E914" s="2" t="n"/>
      <c r="F914" s="2" t="n"/>
    </row>
    <row r="915" ht="15.75" customHeight="1" s="125">
      <c r="A915" s="2" t="n"/>
      <c r="B915" s="2" t="n"/>
      <c r="C915" s="2" t="n"/>
      <c r="D915" s="2" t="n"/>
      <c r="E915" s="2" t="n"/>
      <c r="F915" s="2" t="n"/>
    </row>
    <row r="916" ht="15.75" customHeight="1" s="125">
      <c r="A916" s="2" t="n"/>
      <c r="B916" s="2" t="n"/>
      <c r="C916" s="2" t="n"/>
      <c r="D916" s="2" t="n"/>
      <c r="E916" s="2" t="n"/>
      <c r="F916" s="2" t="n"/>
    </row>
    <row r="917" ht="15.75" customHeight="1" s="125">
      <c r="A917" s="2" t="n"/>
      <c r="B917" s="2" t="n"/>
      <c r="C917" s="2" t="n"/>
      <c r="D917" s="2" t="n"/>
      <c r="E917" s="2" t="n"/>
      <c r="F917" s="2" t="n"/>
    </row>
    <row r="918" ht="15.75" customHeight="1" s="125">
      <c r="A918" s="2" t="n"/>
      <c r="B918" s="2" t="n"/>
      <c r="C918" s="2" t="n"/>
      <c r="D918" s="2" t="n"/>
      <c r="E918" s="2" t="n"/>
      <c r="F918" s="2" t="n"/>
    </row>
    <row r="919" ht="15.75" customHeight="1" s="125">
      <c r="A919" s="2" t="n"/>
      <c r="B919" s="2" t="n"/>
      <c r="C919" s="2" t="n"/>
      <c r="D919" s="2" t="n"/>
      <c r="E919" s="2" t="n"/>
      <c r="F919" s="2" t="n"/>
    </row>
    <row r="920" ht="15.75" customHeight="1" s="125">
      <c r="A920" s="2" t="n"/>
      <c r="B920" s="2" t="n"/>
      <c r="C920" s="2" t="n"/>
      <c r="D920" s="2" t="n"/>
      <c r="E920" s="2" t="n"/>
      <c r="F920" s="2" t="n"/>
    </row>
    <row r="921" ht="15.75" customHeight="1" s="125">
      <c r="A921" s="2" t="n"/>
      <c r="B921" s="2" t="n"/>
      <c r="C921" s="2" t="n"/>
      <c r="D921" s="2" t="n"/>
      <c r="E921" s="2" t="n"/>
      <c r="F921" s="2" t="n"/>
    </row>
    <row r="922" ht="15.75" customHeight="1" s="125">
      <c r="A922" s="2" t="n"/>
      <c r="B922" s="2" t="n"/>
      <c r="C922" s="2" t="n"/>
      <c r="D922" s="2" t="n"/>
      <c r="E922" s="2" t="n"/>
      <c r="F922" s="2" t="n"/>
    </row>
    <row r="923" ht="15.75" customHeight="1" s="125">
      <c r="A923" s="2" t="n"/>
      <c r="B923" s="2" t="n"/>
      <c r="C923" s="2" t="n"/>
      <c r="D923" s="2" t="n"/>
      <c r="E923" s="2" t="n"/>
      <c r="F923" s="2" t="n"/>
    </row>
    <row r="924" ht="15.75" customHeight="1" s="125">
      <c r="A924" s="2" t="n"/>
      <c r="B924" s="2" t="n"/>
      <c r="C924" s="2" t="n"/>
      <c r="D924" s="2" t="n"/>
      <c r="E924" s="2" t="n"/>
      <c r="F924" s="2" t="n"/>
    </row>
    <row r="925" ht="15.75" customHeight="1" s="125">
      <c r="A925" s="2" t="n"/>
      <c r="B925" s="2" t="n"/>
      <c r="C925" s="2" t="n"/>
      <c r="D925" s="2" t="n"/>
      <c r="E925" s="2" t="n"/>
      <c r="F925" s="2" t="n"/>
    </row>
    <row r="926" ht="15.75" customHeight="1" s="125">
      <c r="A926" s="2" t="n"/>
      <c r="B926" s="2" t="n"/>
      <c r="C926" s="2" t="n"/>
      <c r="D926" s="2" t="n"/>
      <c r="E926" s="2" t="n"/>
      <c r="F926" s="2" t="n"/>
    </row>
    <row r="927" ht="15.75" customHeight="1" s="125">
      <c r="A927" s="2" t="n"/>
      <c r="B927" s="2" t="n"/>
      <c r="C927" s="2" t="n"/>
      <c r="D927" s="2" t="n"/>
      <c r="E927" s="2" t="n"/>
      <c r="F927" s="2" t="n"/>
    </row>
    <row r="928" ht="15.75" customHeight="1" s="125">
      <c r="A928" s="2" t="n"/>
      <c r="B928" s="2" t="n"/>
      <c r="C928" s="2" t="n"/>
      <c r="D928" s="2" t="n"/>
      <c r="E928" s="2" t="n"/>
      <c r="F928" s="2" t="n"/>
    </row>
    <row r="929" ht="15.75" customHeight="1" s="125">
      <c r="A929" s="2" t="n"/>
      <c r="B929" s="2" t="n"/>
      <c r="C929" s="2" t="n"/>
      <c r="D929" s="2" t="n"/>
      <c r="E929" s="2" t="n"/>
      <c r="F929" s="2" t="n"/>
    </row>
    <row r="930" ht="15.75" customHeight="1" s="125">
      <c r="A930" s="2" t="n"/>
      <c r="B930" s="2" t="n"/>
      <c r="C930" s="2" t="n"/>
      <c r="D930" s="2" t="n"/>
      <c r="E930" s="2" t="n"/>
      <c r="F930" s="2" t="n"/>
    </row>
    <row r="931" ht="15.75" customHeight="1" s="125">
      <c r="A931" s="2" t="n"/>
      <c r="B931" s="2" t="n"/>
      <c r="C931" s="2" t="n"/>
      <c r="D931" s="2" t="n"/>
      <c r="E931" s="2" t="n"/>
      <c r="F931" s="2" t="n"/>
    </row>
    <row r="932" ht="15.75" customHeight="1" s="125">
      <c r="A932" s="2" t="n"/>
      <c r="B932" s="2" t="n"/>
      <c r="C932" s="2" t="n"/>
      <c r="D932" s="2" t="n"/>
      <c r="E932" s="2" t="n"/>
      <c r="F932" s="2" t="n"/>
    </row>
    <row r="933" ht="15.75" customHeight="1" s="125">
      <c r="A933" s="2" t="n"/>
      <c r="B933" s="2" t="n"/>
      <c r="C933" s="2" t="n"/>
      <c r="D933" s="2" t="n"/>
      <c r="E933" s="2" t="n"/>
      <c r="F933" s="2" t="n"/>
    </row>
    <row r="934" ht="15.75" customHeight="1" s="125">
      <c r="A934" s="2" t="n"/>
      <c r="B934" s="2" t="n"/>
      <c r="C934" s="2" t="n"/>
      <c r="D934" s="2" t="n"/>
      <c r="E934" s="2" t="n"/>
      <c r="F934" s="2" t="n"/>
    </row>
    <row r="935" ht="15.75" customHeight="1" s="125">
      <c r="A935" s="2" t="n"/>
      <c r="B935" s="2" t="n"/>
      <c r="C935" s="2" t="n"/>
      <c r="D935" s="2" t="n"/>
      <c r="E935" s="2" t="n"/>
      <c r="F935" s="2" t="n"/>
    </row>
    <row r="936" ht="15.75" customHeight="1" s="125">
      <c r="A936" s="2" t="n"/>
      <c r="B936" s="2" t="n"/>
      <c r="C936" s="2" t="n"/>
      <c r="D936" s="2" t="n"/>
      <c r="E936" s="2" t="n"/>
      <c r="F936" s="2" t="n"/>
    </row>
    <row r="937" ht="15.75" customHeight="1" s="125">
      <c r="A937" s="2" t="n"/>
      <c r="B937" s="2" t="n"/>
      <c r="C937" s="2" t="n"/>
      <c r="D937" s="2" t="n"/>
      <c r="E937" s="2" t="n"/>
      <c r="F937" s="2" t="n"/>
    </row>
    <row r="938" ht="15.75" customHeight="1" s="125">
      <c r="A938" s="2" t="n"/>
      <c r="B938" s="2" t="n"/>
      <c r="C938" s="2" t="n"/>
      <c r="D938" s="2" t="n"/>
      <c r="E938" s="2" t="n"/>
      <c r="F938" s="2" t="n"/>
    </row>
    <row r="939" ht="15.75" customHeight="1" s="125">
      <c r="A939" s="2" t="n"/>
      <c r="B939" s="2" t="n"/>
      <c r="C939" s="2" t="n"/>
      <c r="D939" s="2" t="n"/>
      <c r="E939" s="2" t="n"/>
      <c r="F939" s="2" t="n"/>
    </row>
    <row r="940" ht="15.75" customHeight="1" s="125">
      <c r="A940" s="2" t="n"/>
      <c r="B940" s="2" t="n"/>
      <c r="C940" s="2" t="n"/>
      <c r="D940" s="2" t="n"/>
      <c r="E940" s="2" t="n"/>
      <c r="F940" s="2" t="n"/>
    </row>
    <row r="941" ht="15.75" customHeight="1" s="125">
      <c r="A941" s="2" t="n"/>
      <c r="B941" s="2" t="n"/>
      <c r="C941" s="2" t="n"/>
      <c r="D941" s="2" t="n"/>
      <c r="E941" s="2" t="n"/>
      <c r="F941" s="2" t="n"/>
    </row>
    <row r="942" ht="15.75" customHeight="1" s="125">
      <c r="A942" s="2" t="n"/>
      <c r="B942" s="2" t="n"/>
      <c r="C942" s="2" t="n"/>
      <c r="D942" s="2" t="n"/>
      <c r="E942" s="2" t="n"/>
      <c r="F942" s="2" t="n"/>
    </row>
    <row r="943" ht="15.75" customHeight="1" s="125">
      <c r="A943" s="2" t="n"/>
      <c r="B943" s="2" t="n"/>
      <c r="C943" s="2" t="n"/>
      <c r="D943" s="2" t="n"/>
      <c r="E943" s="2" t="n"/>
      <c r="F943" s="2" t="n"/>
    </row>
    <row r="944" ht="15.75" customHeight="1" s="125">
      <c r="A944" s="2" t="n"/>
      <c r="B944" s="2" t="n"/>
      <c r="C944" s="2" t="n"/>
      <c r="D944" s="2" t="n"/>
      <c r="E944" s="2" t="n"/>
      <c r="F944" s="2" t="n"/>
    </row>
    <row r="945" ht="15.75" customHeight="1" s="125">
      <c r="A945" s="2" t="n"/>
      <c r="B945" s="2" t="n"/>
      <c r="C945" s="2" t="n"/>
      <c r="D945" s="2" t="n"/>
      <c r="E945" s="2" t="n"/>
      <c r="F945" s="2" t="n"/>
    </row>
    <row r="946" ht="15.75" customHeight="1" s="125">
      <c r="A946" s="2" t="n"/>
      <c r="B946" s="2" t="n"/>
      <c r="C946" s="2" t="n"/>
      <c r="D946" s="2" t="n"/>
      <c r="E946" s="2" t="n"/>
      <c r="F946" s="2" t="n"/>
    </row>
    <row r="947" ht="15.75" customHeight="1" s="125">
      <c r="A947" s="2" t="n"/>
      <c r="B947" s="2" t="n"/>
      <c r="C947" s="2" t="n"/>
      <c r="D947" s="2" t="n"/>
      <c r="E947" s="2" t="n"/>
      <c r="F947" s="2" t="n"/>
    </row>
    <row r="948" ht="15.75" customHeight="1" s="125">
      <c r="A948" s="2" t="n"/>
      <c r="B948" s="2" t="n"/>
      <c r="C948" s="2" t="n"/>
      <c r="D948" s="2" t="n"/>
      <c r="E948" s="2" t="n"/>
      <c r="F948" s="2" t="n"/>
    </row>
    <row r="949" ht="15.75" customHeight="1" s="125">
      <c r="A949" s="2" t="n"/>
      <c r="B949" s="2" t="n"/>
      <c r="C949" s="2" t="n"/>
      <c r="D949" s="2" t="n"/>
      <c r="E949" s="2" t="n"/>
      <c r="F949" s="2" t="n"/>
    </row>
    <row r="950" ht="15.75" customHeight="1" s="125">
      <c r="A950" s="2" t="n"/>
      <c r="B950" s="2" t="n"/>
      <c r="C950" s="2" t="n"/>
      <c r="D950" s="2" t="n"/>
      <c r="E950" s="2" t="n"/>
      <c r="F950" s="2" t="n"/>
    </row>
    <row r="951" ht="15.75" customHeight="1" s="125">
      <c r="A951" s="2" t="n"/>
      <c r="B951" s="2" t="n"/>
      <c r="C951" s="2" t="n"/>
      <c r="D951" s="2" t="n"/>
      <c r="E951" s="2" t="n"/>
      <c r="F951" s="2" t="n"/>
    </row>
    <row r="952" ht="15.75" customHeight="1" s="125">
      <c r="A952" s="2" t="n"/>
      <c r="B952" s="2" t="n"/>
      <c r="C952" s="2" t="n"/>
      <c r="D952" s="2" t="n"/>
      <c r="E952" s="2" t="n"/>
      <c r="F952" s="2" t="n"/>
    </row>
    <row r="953" ht="15.75" customHeight="1" s="125">
      <c r="A953" s="2" t="n"/>
      <c r="B953" s="2" t="n"/>
      <c r="C953" s="2" t="n"/>
      <c r="D953" s="2" t="n"/>
      <c r="E953" s="2" t="n"/>
      <c r="F953" s="2" t="n"/>
    </row>
    <row r="954" ht="15.75" customHeight="1" s="125">
      <c r="A954" s="2" t="n"/>
      <c r="B954" s="2" t="n"/>
      <c r="C954" s="2" t="n"/>
      <c r="D954" s="2" t="n"/>
      <c r="E954" s="2" t="n"/>
      <c r="F954" s="2" t="n"/>
    </row>
    <row r="955" ht="15.75" customHeight="1" s="125">
      <c r="A955" s="2" t="n"/>
      <c r="B955" s="2" t="n"/>
      <c r="C955" s="2" t="n"/>
      <c r="D955" s="2" t="n"/>
      <c r="E955" s="2" t="n"/>
      <c r="F955" s="2" t="n"/>
    </row>
    <row r="956" ht="15.75" customHeight="1" s="125">
      <c r="A956" s="2" t="n"/>
      <c r="B956" s="2" t="n"/>
      <c r="C956" s="2" t="n"/>
      <c r="D956" s="2" t="n"/>
      <c r="E956" s="2" t="n"/>
      <c r="F956" s="2" t="n"/>
    </row>
    <row r="957" ht="15.75" customHeight="1" s="125">
      <c r="A957" s="2" t="n"/>
      <c r="B957" s="2" t="n"/>
      <c r="C957" s="2" t="n"/>
      <c r="D957" s="2" t="n"/>
      <c r="E957" s="2" t="n"/>
      <c r="F957" s="2" t="n"/>
    </row>
    <row r="958" ht="15.75" customHeight="1" s="125">
      <c r="A958" s="2" t="n"/>
      <c r="B958" s="2" t="n"/>
      <c r="C958" s="2" t="n"/>
      <c r="D958" s="2" t="n"/>
      <c r="E958" s="2" t="n"/>
      <c r="F958" s="2" t="n"/>
    </row>
    <row r="959" ht="15.75" customHeight="1" s="125">
      <c r="A959" s="2" t="n"/>
      <c r="B959" s="2" t="n"/>
      <c r="C959" s="2" t="n"/>
      <c r="D959" s="2" t="n"/>
      <c r="E959" s="2" t="n"/>
      <c r="F959" s="2" t="n"/>
    </row>
    <row r="960" ht="15.75" customHeight="1" s="125">
      <c r="A960" s="2" t="n"/>
      <c r="B960" s="2" t="n"/>
      <c r="C960" s="2" t="n"/>
      <c r="D960" s="2" t="n"/>
      <c r="E960" s="2" t="n"/>
      <c r="F960" s="2" t="n"/>
    </row>
    <row r="961" ht="15.75" customHeight="1" s="125">
      <c r="A961" s="2" t="n"/>
      <c r="B961" s="2" t="n"/>
      <c r="C961" s="2" t="n"/>
      <c r="D961" s="2" t="n"/>
      <c r="E961" s="2" t="n"/>
      <c r="F961" s="2" t="n"/>
    </row>
    <row r="962" ht="15.75" customHeight="1" s="125">
      <c r="A962" s="2" t="n"/>
      <c r="B962" s="2" t="n"/>
      <c r="C962" s="2" t="n"/>
      <c r="D962" s="2" t="n"/>
      <c r="E962" s="2" t="n"/>
      <c r="F962" s="2" t="n"/>
    </row>
    <row r="963" ht="15.75" customHeight="1" s="125">
      <c r="A963" s="2" t="n"/>
      <c r="B963" s="2" t="n"/>
      <c r="C963" s="2" t="n"/>
      <c r="D963" s="2" t="n"/>
      <c r="E963" s="2" t="n"/>
      <c r="F963" s="2" t="n"/>
    </row>
    <row r="964" ht="15.75" customHeight="1" s="125">
      <c r="A964" s="2" t="n"/>
      <c r="B964" s="2" t="n"/>
      <c r="C964" s="2" t="n"/>
      <c r="D964" s="2" t="n"/>
      <c r="E964" s="2" t="n"/>
      <c r="F964" s="2" t="n"/>
    </row>
    <row r="965" ht="15.75" customHeight="1" s="125">
      <c r="A965" s="2" t="n"/>
      <c r="B965" s="2" t="n"/>
      <c r="C965" s="2" t="n"/>
      <c r="D965" s="2" t="n"/>
      <c r="E965" s="2" t="n"/>
      <c r="F965" s="2" t="n"/>
    </row>
    <row r="966" ht="15.75" customHeight="1" s="125">
      <c r="A966" s="2" t="n"/>
      <c r="B966" s="2" t="n"/>
      <c r="C966" s="2" t="n"/>
      <c r="D966" s="2" t="n"/>
      <c r="E966" s="2" t="n"/>
      <c r="F966" s="2" t="n"/>
    </row>
    <row r="967" ht="15.75" customHeight="1" s="125">
      <c r="A967" s="2" t="n"/>
      <c r="B967" s="2" t="n"/>
      <c r="C967" s="2" t="n"/>
      <c r="D967" s="2" t="n"/>
      <c r="E967" s="2" t="n"/>
      <c r="F967" s="2" t="n"/>
    </row>
    <row r="968" ht="15.75" customHeight="1" s="125">
      <c r="A968" s="2" t="n"/>
      <c r="B968" s="2" t="n"/>
      <c r="C968" s="2" t="n"/>
      <c r="D968" s="2" t="n"/>
      <c r="E968" s="2" t="n"/>
      <c r="F968" s="2" t="n"/>
    </row>
    <row r="969" ht="15.75" customHeight="1" s="125">
      <c r="A969" s="2" t="n"/>
      <c r="B969" s="2" t="n"/>
      <c r="C969" s="2" t="n"/>
      <c r="D969" s="2" t="n"/>
      <c r="E969" s="2" t="n"/>
      <c r="F969" s="2" t="n"/>
    </row>
    <row r="970" ht="15.75" customHeight="1" s="125">
      <c r="A970" s="2" t="n"/>
      <c r="B970" s="2" t="n"/>
      <c r="C970" s="2" t="n"/>
      <c r="D970" s="2" t="n"/>
      <c r="E970" s="2" t="n"/>
      <c r="F970" s="2" t="n"/>
    </row>
    <row r="971" ht="15.75" customHeight="1" s="125">
      <c r="A971" s="2" t="n"/>
      <c r="B971" s="2" t="n"/>
      <c r="C971" s="2" t="n"/>
      <c r="D971" s="2" t="n"/>
      <c r="E971" s="2" t="n"/>
      <c r="F971" s="2" t="n"/>
    </row>
    <row r="972" ht="15.75" customHeight="1" s="125">
      <c r="A972" s="2" t="n"/>
      <c r="B972" s="2" t="n"/>
      <c r="C972" s="2" t="n"/>
      <c r="D972" s="2" t="n"/>
      <c r="E972" s="2" t="n"/>
      <c r="F972" s="2" t="n"/>
    </row>
    <row r="973" ht="15.75" customHeight="1" s="125">
      <c r="A973" s="2" t="n"/>
      <c r="B973" s="2" t="n"/>
      <c r="C973" s="2" t="n"/>
      <c r="D973" s="2" t="n"/>
      <c r="E973" s="2" t="n"/>
      <c r="F973" s="2" t="n"/>
    </row>
    <row r="974" ht="15.75" customHeight="1" s="125">
      <c r="A974" s="2" t="n"/>
      <c r="B974" s="2" t="n"/>
      <c r="C974" s="2" t="n"/>
      <c r="D974" s="2" t="n"/>
      <c r="E974" s="2" t="n"/>
      <c r="F974" s="2" t="n"/>
    </row>
    <row r="975" ht="15.75" customHeight="1" s="125">
      <c r="A975" s="2" t="n"/>
      <c r="B975" s="2" t="n"/>
      <c r="C975" s="2" t="n"/>
      <c r="D975" s="2" t="n"/>
      <c r="E975" s="2" t="n"/>
      <c r="F975" s="2" t="n"/>
    </row>
    <row r="976" ht="15.75" customHeight="1" s="125">
      <c r="A976" s="2" t="n"/>
      <c r="B976" s="2" t="n"/>
      <c r="C976" s="2" t="n"/>
      <c r="D976" s="2" t="n"/>
      <c r="E976" s="2" t="n"/>
      <c r="F976" s="2" t="n"/>
    </row>
    <row r="977" ht="15.75" customHeight="1" s="125">
      <c r="A977" s="2" t="n"/>
      <c r="B977" s="2" t="n"/>
      <c r="C977" s="2" t="n"/>
      <c r="D977" s="2" t="n"/>
      <c r="E977" s="2" t="n"/>
      <c r="F977" s="2" t="n"/>
    </row>
    <row r="978" ht="15.75" customHeight="1" s="125">
      <c r="A978" s="2" t="n"/>
      <c r="B978" s="2" t="n"/>
      <c r="C978" s="2" t="n"/>
      <c r="D978" s="2" t="n"/>
      <c r="E978" s="2" t="n"/>
      <c r="F978" s="2" t="n"/>
    </row>
    <row r="979" ht="15.75" customHeight="1" s="125">
      <c r="A979" s="2" t="n"/>
      <c r="B979" s="2" t="n"/>
      <c r="C979" s="2" t="n"/>
      <c r="D979" s="2" t="n"/>
      <c r="E979" s="2" t="n"/>
      <c r="F979" s="2" t="n"/>
    </row>
    <row r="980" ht="15.75" customHeight="1" s="125">
      <c r="A980" s="2" t="n"/>
      <c r="B980" s="2" t="n"/>
      <c r="C980" s="2" t="n"/>
      <c r="D980" s="2" t="n"/>
      <c r="E980" s="2" t="n"/>
      <c r="F980" s="2" t="n"/>
    </row>
    <row r="981" ht="15.75" customHeight="1" s="125">
      <c r="A981" s="2" t="n"/>
      <c r="B981" s="2" t="n"/>
      <c r="C981" s="2" t="n"/>
      <c r="D981" s="2" t="n"/>
      <c r="E981" s="2" t="n"/>
      <c r="F981" s="2" t="n"/>
    </row>
    <row r="982" ht="15.75" customHeight="1" s="125">
      <c r="A982" s="2" t="n"/>
      <c r="B982" s="2" t="n"/>
      <c r="C982" s="2" t="n"/>
      <c r="D982" s="2" t="n"/>
      <c r="E982" s="2" t="n"/>
      <c r="F982" s="2" t="n"/>
    </row>
    <row r="983" ht="15.75" customHeight="1" s="125">
      <c r="A983" s="2" t="n"/>
      <c r="B983" s="2" t="n"/>
      <c r="C983" s="2" t="n"/>
      <c r="D983" s="2" t="n"/>
      <c r="E983" s="2" t="n"/>
      <c r="F983" s="2" t="n"/>
    </row>
    <row r="984" ht="15.75" customHeight="1" s="125">
      <c r="A984" s="2" t="n"/>
      <c r="B984" s="2" t="n"/>
      <c r="C984" s="2" t="n"/>
      <c r="D984" s="2" t="n"/>
      <c r="E984" s="2" t="n"/>
      <c r="F984" s="2" t="n"/>
    </row>
    <row r="985" ht="15.75" customHeight="1" s="125">
      <c r="A985" s="2" t="n"/>
      <c r="B985" s="2" t="n"/>
      <c r="C985" s="2" t="n"/>
      <c r="D985" s="2" t="n"/>
      <c r="E985" s="2" t="n"/>
      <c r="F985" s="2" t="n"/>
    </row>
    <row r="986" ht="15.75" customHeight="1" s="125">
      <c r="A986" s="2" t="n"/>
      <c r="B986" s="2" t="n"/>
      <c r="C986" s="2" t="n"/>
      <c r="D986" s="2" t="n"/>
      <c r="E986" s="2" t="n"/>
      <c r="F986" s="2" t="n"/>
    </row>
    <row r="987" ht="15.75" customHeight="1" s="125">
      <c r="A987" s="2" t="n"/>
      <c r="B987" s="2" t="n"/>
      <c r="C987" s="2" t="n"/>
      <c r="D987" s="2" t="n"/>
      <c r="E987" s="2" t="n"/>
      <c r="F987" s="2" t="n"/>
    </row>
    <row r="988" ht="15.75" customHeight="1" s="125">
      <c r="A988" s="2" t="n"/>
      <c r="B988" s="2" t="n"/>
      <c r="C988" s="2" t="n"/>
      <c r="D988" s="2" t="n"/>
      <c r="E988" s="2" t="n"/>
      <c r="F988" s="2" t="n"/>
    </row>
    <row r="989" ht="15.75" customHeight="1" s="125">
      <c r="A989" s="2" t="n"/>
      <c r="B989" s="2" t="n"/>
      <c r="C989" s="2" t="n"/>
      <c r="D989" s="2" t="n"/>
      <c r="E989" s="2" t="n"/>
      <c r="F989" s="2" t="n"/>
    </row>
    <row r="990" ht="15.75" customHeight="1" s="125">
      <c r="A990" s="2" t="n"/>
      <c r="B990" s="2" t="n"/>
      <c r="C990" s="2" t="n"/>
      <c r="D990" s="2" t="n"/>
      <c r="E990" s="2" t="n"/>
      <c r="F990" s="2" t="n"/>
    </row>
    <row r="991" ht="15.75" customHeight="1" s="125">
      <c r="A991" s="2" t="n"/>
      <c r="B991" s="2" t="n"/>
      <c r="C991" s="2" t="n"/>
      <c r="D991" s="2" t="n"/>
      <c r="E991" s="2" t="n"/>
      <c r="F991" s="2" t="n"/>
    </row>
    <row r="992" ht="15.75" customHeight="1" s="125">
      <c r="A992" s="2" t="n"/>
      <c r="B992" s="2" t="n"/>
      <c r="C992" s="2" t="n"/>
      <c r="D992" s="2" t="n"/>
      <c r="E992" s="2" t="n"/>
      <c r="F992" s="2" t="n"/>
    </row>
    <row r="993" ht="15.75" customHeight="1" s="125">
      <c r="A993" s="2" t="n"/>
      <c r="B993" s="2" t="n"/>
      <c r="C993" s="2" t="n"/>
      <c r="D993" s="2" t="n"/>
      <c r="E993" s="2" t="n"/>
      <c r="F993" s="2" t="n"/>
    </row>
    <row r="994" ht="15.75" customHeight="1" s="125">
      <c r="A994" s="2" t="n"/>
      <c r="B994" s="2" t="n"/>
      <c r="C994" s="2" t="n"/>
      <c r="D994" s="2" t="n"/>
      <c r="E994" s="2" t="n"/>
      <c r="F994" s="2" t="n"/>
    </row>
    <row r="995" ht="15.75" customHeight="1" s="125">
      <c r="A995" s="2" t="n"/>
      <c r="B995" s="2" t="n"/>
      <c r="C995" s="2" t="n"/>
      <c r="D995" s="2" t="n"/>
      <c r="E995" s="2" t="n"/>
      <c r="F995" s="2" t="n"/>
    </row>
    <row r="996" ht="15.75" customHeight="1" s="125">
      <c r="A996" s="2" t="n"/>
      <c r="B996" s="2" t="n"/>
      <c r="C996" s="2" t="n"/>
      <c r="D996" s="2" t="n"/>
      <c r="E996" s="2" t="n"/>
      <c r="F996" s="2" t="n"/>
    </row>
    <row r="997" ht="15.75" customHeight="1" s="125">
      <c r="A997" s="2" t="n"/>
      <c r="B997" s="2" t="n"/>
      <c r="C997" s="2" t="n"/>
      <c r="D997" s="2" t="n"/>
      <c r="E997" s="2" t="n"/>
      <c r="F997" s="2" t="n"/>
    </row>
    <row r="998" ht="15.75" customHeight="1" s="125">
      <c r="A998" s="2" t="n"/>
      <c r="B998" s="2" t="n"/>
      <c r="C998" s="2" t="n"/>
      <c r="D998" s="2" t="n"/>
      <c r="E998" s="2" t="n"/>
      <c r="F998" s="2" t="n"/>
    </row>
    <row r="999" ht="15.75" customHeight="1" s="125">
      <c r="A999" s="2" t="n"/>
      <c r="B999" s="2" t="n"/>
      <c r="C999" s="2" t="n"/>
      <c r="D999" s="2" t="n"/>
      <c r="E999" s="2" t="n"/>
      <c r="F999" s="2" t="n"/>
    </row>
    <row r="1000" ht="15.75" customHeight="1" s="125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2026-04-09T21:07:35Z</dcterms:created>
  <dcterms:modified xsi:type="dcterms:W3CDTF">2026-04-12T01:57:35Z</dcterms:modified>
</cp:coreProperties>
</file>